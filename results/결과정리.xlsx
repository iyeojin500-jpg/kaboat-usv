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대효과KPI" sheetId="1" state="visible" r:id="rId1"/>
    <sheet name="결과정리" sheetId="2" state="visible" r:id="rId2"/>
    <sheet name="시스템요약" sheetId="3" state="visible" r:id="rId3"/>
    <sheet name="AMR별" sheetId="4" state="visible" r:id="rId4"/>
    <sheet name="주문별_CASE1" sheetId="5" state="visible" r:id="rId5"/>
    <sheet name="주문별_CASE2" sheetId="6" state="visible" r:id="rId6"/>
    <sheet name="충돌_CASE1" sheetId="7" state="visible" r:id="rId7"/>
    <sheet name="충돌_CASE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+0.0%;-0.0%;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4"/>
    </font>
    <font>
      <name val="Arial"/>
      <color rgb="00555555"/>
      <sz val="9"/>
    </font>
    <font>
      <name val="Arial"/>
      <b val="1"/>
      <color rgb="00000000"/>
      <sz val="10"/>
    </font>
    <font>
      <name val="Arial"/>
      <color rgb="00666666"/>
      <sz val="9"/>
    </font>
    <font>
      <name val="Arial"/>
      <b val="1"/>
      <color rgb="00333333"/>
      <sz val="9"/>
    </font>
    <font>
      <name val="Arial"/>
      <color rgb="00333333"/>
      <sz val="9"/>
    </font>
  </fonts>
  <fills count="5">
    <fill>
      <patternFill/>
    </fill>
    <fill>
      <patternFill patternType="gray125"/>
    </fill>
    <fill>
      <patternFill patternType="solid">
        <fgColor rgb="0033415C"/>
      </patternFill>
    </fill>
    <fill>
      <patternFill patternType="solid">
        <fgColor rgb="00EEF1F6"/>
      </patternFill>
    </fill>
    <fill>
      <patternFill patternType="solid">
        <fgColor rgb="00F7F7F4"/>
      </patternFill>
    </fill>
  </fills>
  <borders count="5">
    <border>
      <left/>
      <right/>
      <top/>
      <bottom/>
      <diagonal/>
    </border>
    <border>
      <left style="thin">
        <color rgb="00C9CDD4"/>
      </left>
      <right style="thin">
        <color rgb="00C9CDD4"/>
      </right>
      <top style="thin">
        <color rgb="00C9CDD4"/>
      </top>
      <bottom style="thin">
        <color rgb="00C9CDD4"/>
      </bottom>
    </border>
    <border>
      <left style="thin">
        <color rgb="00C9CDD4"/>
      </left>
      <right/>
      <top/>
      <bottom/>
      <diagonal/>
    </border>
    <border>
      <left style="thin">
        <color rgb="00C9CDD4"/>
      </left>
      <right style="thin">
        <color rgb="00C9CDD4"/>
      </right>
      <top/>
      <bottom/>
      <diagonal/>
    </border>
    <border>
      <left style="thin">
        <color rgb="00C9CDD4"/>
      </left>
      <right style="thin">
        <color rgb="00C9CDD4"/>
      </right>
      <top/>
      <bottom style="thin">
        <color rgb="00C9CDD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0" fillId="0" borderId="3" pivotButton="0" quotePrefix="0" xfId="0"/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  <xf numFmtId="0" fontId="7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6" customWidth="1" min="4" max="4"/>
    <col width="11" customWidth="1" min="5" max="5"/>
    <col width="30" customWidth="1" min="6" max="6"/>
    <col width="12" customWidth="1" min="7" max="7"/>
  </cols>
  <sheetData>
    <row r="1">
      <c r="A1" s="1" t="inlineStr">
        <is>
          <t>프로젝트 기대효과 KPI — Before(CASE1) vs After(CASE2)</t>
        </is>
      </c>
    </row>
    <row r="2">
      <c r="A2" s="2" t="inlineStr">
        <is>
          <t>값은 주문별·AMR별·충돌 시트에서 직접 계산하는 수식, 판정도 수식 (목표에 맞춰 조정하지 않은 실제 실행값)</t>
        </is>
      </c>
    </row>
    <row r="4">
      <c r="A4" s="3" t="inlineStr">
        <is>
          <t>기대효과</t>
        </is>
      </c>
      <c r="B4" s="3" t="inlineStr">
        <is>
          <t>계산식</t>
        </is>
      </c>
      <c r="C4" s="3" t="inlineStr">
        <is>
          <t>Before (CASE1)</t>
        </is>
      </c>
      <c r="D4" s="3" t="inlineStr">
        <is>
          <t>After (CASE2)</t>
        </is>
      </c>
      <c r="E4" s="3" t="inlineStr">
        <is>
          <t>개선율</t>
        </is>
      </c>
      <c r="F4" s="3" t="inlineStr">
        <is>
          <t>목표</t>
        </is>
      </c>
      <c r="G4" s="3" t="inlineStr">
        <is>
          <t>판정</t>
        </is>
      </c>
    </row>
    <row r="5" ht="30" customHeight="1">
      <c r="A5" s="4" t="inlineStr">
        <is>
          <t>작업 처리시간 단축</t>
        </is>
      </c>
      <c r="B5" s="5" t="inlineStr">
        <is>
          <t>출고완료 − 주문발생 (평균, 초)</t>
        </is>
      </c>
      <c r="C5" s="6">
        <f>AVERAGE(주문별_CASE1!$K$2:$K$1001)</f>
        <v/>
      </c>
      <c r="D5" s="6">
        <f>AVERAGE(주문별_CASE2!$K$2:$K$1001)</f>
        <v/>
      </c>
      <c r="E5" s="7">
        <f>IF(C5=0,"-",(C5-D5)/C5)</f>
        <v/>
      </c>
      <c r="F5" s="5" t="inlineStr">
        <is>
          <t>20~30% 단축</t>
        </is>
      </c>
      <c r="G5" s="8">
        <f>IF(E5&lt;0.2,"미달",IF(E5&gt;0.3,"초과 달성","달성"))</f>
        <v/>
      </c>
    </row>
    <row r="6" ht="30" customHeight="1">
      <c r="A6" s="4" t="inlineStr">
        <is>
          <t>설비 가동률 향상</t>
        </is>
      </c>
      <c r="B6" s="5" t="inlineStr">
        <is>
          <t>작업시간 / 전체시간 × 100 (실작업 가동률, 상대 개선율)</t>
        </is>
      </c>
      <c r="C6" s="6">
        <f>SUMIFS(AMR별!$F$2:$F$7,AMR별!$A$2:$A$7,"CASE1")/(COUNTIF(AMR별!$A$2:$A$7,"CASE1")*MAX(주문별_CASE1!$J$2:$J$1001))*100</f>
        <v/>
      </c>
      <c r="D6" s="6">
        <f>SUMIFS(AMR별!$F$2:$F$7,AMR별!$A$2:$A$7,"CASE2")/(COUNTIF(AMR별!$A$2:$A$7,"CASE2")*MAX(주문별_CASE2!$J$2:$J$1001))*100</f>
        <v/>
      </c>
      <c r="E6" s="7">
        <f>IF(C6=0,"-",(D6-C6)/C6)</f>
        <v/>
      </c>
      <c r="F6" s="5" t="inlineStr">
        <is>
          <t>15% 이상 향상</t>
        </is>
      </c>
      <c r="G6" s="8">
        <f>IF(E6&gt;=0.15,"달성","미달")</f>
        <v/>
      </c>
    </row>
    <row r="7" ht="30" customHeight="1">
      <c r="A7" s="4" t="inlineStr">
        <is>
          <t>재고 정확도 확보</t>
        </is>
      </c>
      <c r="B7" s="5" t="inlineStr">
        <is>
          <t>일치 기록 / 전체 기록 × 100</t>
        </is>
      </c>
      <c r="C7" s="6">
        <f>INDEX(시스템요약!$B$2:$B$89,MATCH("재고 정확도(%)",시스템요약!$A$2:$A$89,0))</f>
        <v/>
      </c>
      <c r="D7" s="6">
        <f>INDEX(시스템요약!$C$2:$C$89,MATCH("재고 정확도(%)",시스템요약!$A$2:$A$89,0))</f>
        <v/>
      </c>
      <c r="E7" s="7">
        <f>(D7-C7)/C7</f>
        <v/>
      </c>
      <c r="F7" s="5" t="inlineStr">
        <is>
          <t>98% 이상 (방해요소 반영 후 평가)</t>
        </is>
      </c>
      <c r="G7" s="8">
        <f>IF(D7&gt;=98,"달성","미달")</f>
        <v/>
      </c>
    </row>
    <row r="8" ht="30" customHeight="1">
      <c r="A8" s="4" t="inlineStr">
        <is>
          <t>인력 의존도 감소</t>
        </is>
      </c>
      <c r="B8" s="5" t="inlineStr">
        <is>
          <t>충돌 해결 작업자 개입시간(초): (B − A) / B × 100</t>
        </is>
      </c>
      <c r="C8" s="6">
        <f>SUM(충돌_CASE1!$G$2:$G$1016)</f>
        <v/>
      </c>
      <c r="D8" s="6">
        <f>SUM(충돌_CASE2!$G$2:$G$2)</f>
        <v/>
      </c>
      <c r="E8" s="7">
        <f>IF(C8=0,"-",(C8-D8)/C8)</f>
        <v/>
      </c>
      <c r="F8" s="5" t="inlineStr">
        <is>
          <t>10~15% 감소</t>
        </is>
      </c>
      <c r="G8" s="8">
        <f>IF(E8&lt;0.1,"미달",IF(E8&gt;0.15,"초과 달성","달성"))</f>
        <v/>
      </c>
    </row>
    <row r="9" ht="30" customHeight="1">
      <c r="A9" s="4" t="inlineStr">
        <is>
          <t xml:space="preserve">  └ 충돌 해결 개입 횟수 (보조)</t>
        </is>
      </c>
      <c r="B9" s="5" t="inlineStr">
        <is>
          <t>충돌 1건 = 개입 1회</t>
        </is>
      </c>
      <c r="C9" s="9">
        <f>COUNT(충돌_CASE1!$A$2:$A$1016)</f>
        <v/>
      </c>
      <c r="D9" s="9">
        <f>COUNT(충돌_CASE2!$A$2:$A$2)</f>
        <v/>
      </c>
      <c r="E9" s="7">
        <f>IF(C9=0,"-",(C9-D9)/C9)</f>
        <v/>
      </c>
      <c r="F9" s="5" t="inlineStr">
        <is>
          <t>보조지표</t>
        </is>
      </c>
      <c r="G9" s="8" t="inlineStr">
        <is>
          <t>-</t>
        </is>
      </c>
    </row>
    <row r="10" ht="30" customHeight="1">
      <c r="A10" s="4" t="inlineStr">
        <is>
          <t>주문 대응시간 개선</t>
        </is>
      </c>
      <c r="B10" s="5" t="inlineStr">
        <is>
          <t>작업시작 − 주문발생 (평균, 초)</t>
        </is>
      </c>
      <c r="C10" s="6">
        <f>AVERAGE(주문별_CASE1!$L$2:$L$1001)</f>
        <v/>
      </c>
      <c r="D10" s="6">
        <f>AVERAGE(주문별_CASE2!$L$2:$L$1001)</f>
        <v/>
      </c>
      <c r="E10" s="7">
        <f>IF(C10=0,"-",(C10-D10)/C10)</f>
        <v/>
      </c>
      <c r="F10" s="5" t="inlineStr">
        <is>
          <t>25% 이상 개선</t>
        </is>
      </c>
      <c r="G10" s="8">
        <f>IF(E10&gt;=0.25,"달성","미달")</f>
        <v/>
      </c>
    </row>
    <row r="12">
      <c r="A12" s="10" t="inlineStr">
        <is>
          <t>· 개선율: 낮을수록 좋은 지표 (B−A)/B, 높을수록 좋은 지표 (A−B)/B. 양수 = After 가 좋음.</t>
        </is>
      </c>
    </row>
    <row r="13">
      <c r="A13" s="10" t="inlineStr">
        <is>
          <t>· 설비 가동률: 실작업 가동률(빈 차 이동·대기 제외) 기준 상대 개선율. 기존 정의(이동+작업)는 시스템요약 참조.</t>
        </is>
      </c>
    </row>
    <row r="14">
      <c r="A14" s="10" t="inlineStr">
        <is>
          <t>· 인력 의존도: AMR 충돌 1건마다 작업자가 현장에서 해결 (20~60초 랜덤, seed 고정, 해결 동안 AMR 정지). 주 지표 = 개입시간.</t>
        </is>
      </c>
    </row>
    <row r="15">
      <c r="A15" s="10" t="inlineStr">
        <is>
          <t>· Before: 단순 순차 배정 + 독립 A* + 작업마다 작업장 복귀 / After: OR-Tools 후속 작업 선택 + 연속 수행 + Cooperative A*·예약테이블.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8" customWidth="1" min="2" max="2"/>
    <col width="7" customWidth="1" min="3" max="3"/>
    <col width="17" customWidth="1" min="4" max="4"/>
    <col width="17" customWidth="1" min="5" max="5"/>
    <col width="10" customWidth="1" min="6" max="6"/>
    <col width="44" customWidth="1" min="7" max="7"/>
    <col width="52" customWidth="1" min="8" max="8"/>
  </cols>
  <sheetData>
    <row r="1">
      <c r="A1" s="1" t="inlineStr">
        <is>
          <t>AMR 창고 시뮬레이션 — 필요 데이터 결과 정리 (Before CASE1 vs After CASE2)</t>
        </is>
      </c>
    </row>
    <row r="2">
      <c r="A2" s="2" t="inlineStr">
        <is>
          <t>CASE1: 단순 순차 배정 + 독립 A* + 작업마다 작업장 복귀  ·  CASE2: OR-Tools 후속 작업 선택(연속 수행) + Cooperative A* + 예약테이블  ·  AMR 3대, 주문 1,000건(입고·출고 작업 2,000건), seed 42 (두 CASE 동일 주문)</t>
        </is>
      </c>
    </row>
    <row r="4" ht="24" customHeight="1">
      <c r="A4" s="3" t="inlineStr">
        <is>
          <t>구분</t>
        </is>
      </c>
      <c r="B4" s="3" t="inlineStr">
        <is>
          <t>필요한 데이터</t>
        </is>
      </c>
      <c r="C4" s="3" t="inlineStr">
        <is>
          <t>단위</t>
        </is>
      </c>
      <c r="D4" s="3" t="inlineStr">
        <is>
          <t>CASE1 (Before)</t>
        </is>
      </c>
      <c r="E4" s="3" t="inlineStr">
        <is>
          <t>CASE2 (After)</t>
        </is>
      </c>
      <c r="F4" s="3" t="inlineStr">
        <is>
          <t>개선율</t>
        </is>
      </c>
      <c r="G4" s="3" t="inlineStr">
        <is>
          <t>출처 (시트 · 열)</t>
        </is>
      </c>
      <c r="H4" s="3" t="inlineStr">
        <is>
          <t>비고</t>
        </is>
      </c>
    </row>
    <row r="5">
      <c r="A5" s="11" t="inlineStr">
        <is>
          <t>주문</t>
        </is>
      </c>
      <c r="B5" s="12" t="inlineStr">
        <is>
          <t>주문 발생시간</t>
        </is>
      </c>
      <c r="C5" s="13" t="inlineStr">
        <is>
          <t>초</t>
        </is>
      </c>
      <c r="D5" s="14">
        <f>TEXT(MIN(주문별_CASE1!$C$2:$C$1001),"#,##0.0")&amp;" ~ "&amp;TEXT(MAX(주문별_CASE1!$C$2:$C$1001),"#,##0.0")</f>
        <v/>
      </c>
      <c r="E5" s="14">
        <f>TEXT(MIN(주문별_CASE2!$C$2:$C$1001),"#,##0.0")&amp;" ~ "&amp;TEXT(MAX(주문별_CASE2!$C$2:$C$1001),"#,##0.0")</f>
        <v/>
      </c>
      <c r="F5" s="15" t="inlineStr">
        <is>
          <t>-</t>
        </is>
      </c>
      <c r="G5" s="16" t="inlineStr">
        <is>
          <t>주문별_CASE* · 발생시각(s)</t>
        </is>
      </c>
      <c r="H5" s="5" t="inlineStr">
        <is>
          <t>첫 주문 ~ 마지막 주문 (주문별 값은 주문별 시트)</t>
        </is>
      </c>
    </row>
    <row r="6">
      <c r="A6" s="17" t="n"/>
      <c r="B6" s="12" t="inlineStr">
        <is>
          <t>주문 완료시간</t>
        </is>
      </c>
      <c r="C6" s="13" t="inlineStr">
        <is>
          <t>초</t>
        </is>
      </c>
      <c r="D6" s="14">
        <f>TEXT(MIN(주문별_CASE1!$J$2:$J$1001),"#,##0.0")&amp;" ~ "&amp;TEXT(MAX(주문별_CASE1!$J$2:$J$1001),"#,##0.0")</f>
        <v/>
      </c>
      <c r="E6" s="14">
        <f>TEXT(MIN(주문별_CASE2!$J$2:$J$1001),"#,##0.0")&amp;" ~ "&amp;TEXT(MAX(주문별_CASE2!$J$2:$J$1001),"#,##0.0")</f>
        <v/>
      </c>
      <c r="F6" s="15" t="inlineStr">
        <is>
          <t>-</t>
        </is>
      </c>
      <c r="G6" s="16" t="inlineStr">
        <is>
          <t>주문별_CASE* · 출고완료(s)</t>
        </is>
      </c>
      <c r="H6" s="5" t="inlineStr">
        <is>
          <t>첫 완료 ~ 마지막 완료</t>
        </is>
      </c>
    </row>
    <row r="7">
      <c r="A7" s="17" t="n"/>
      <c r="B7" s="18" t="inlineStr">
        <is>
          <t xml:space="preserve">  └ 평균 총처리시간 (완료−발생)</t>
        </is>
      </c>
      <c r="C7" s="19" t="inlineStr">
        <is>
          <t>초</t>
        </is>
      </c>
      <c r="D7" s="20">
        <f>AVERAGE(주문별_CASE1!$K$2:$K$1001)</f>
        <v/>
      </c>
      <c r="E7" s="20">
        <f>AVERAGE(주문별_CASE2!$K$2:$K$1001)</f>
        <v/>
      </c>
      <c r="F7" s="21">
        <f>IF(D7=0,"-",(D7-E7)/D7)</f>
        <v/>
      </c>
      <c r="G7" s="22" t="inlineStr">
        <is>
          <t>주문별_CASE* · 총처리시간(s)</t>
        </is>
      </c>
      <c r="H7" s="23" t="inlineStr">
        <is>
          <t>참고</t>
        </is>
      </c>
    </row>
    <row r="8">
      <c r="A8" s="24" t="n"/>
      <c r="B8" s="12" t="inlineStr">
        <is>
          <t>주문 개수</t>
        </is>
      </c>
      <c r="C8" s="13" t="inlineStr">
        <is>
          <t>건</t>
        </is>
      </c>
      <c r="D8" s="25">
        <f>COUNTA(주문별_CASE1!$A$2:$A$1001)</f>
        <v/>
      </c>
      <c r="E8" s="25">
        <f>COUNTA(주문별_CASE2!$A$2:$A$1001)</f>
        <v/>
      </c>
      <c r="F8" s="15" t="inlineStr">
        <is>
          <t>-</t>
        </is>
      </c>
      <c r="G8" s="16" t="inlineStr">
        <is>
          <t>주문별_CASE* · 행 수</t>
        </is>
      </c>
      <c r="H8" s="5" t="inlineStr"/>
    </row>
    <row r="9">
      <c r="A9" s="11" t="inlineStr">
        <is>
          <t>AMR</t>
        </is>
      </c>
      <c r="B9" s="12" t="inlineStr">
        <is>
          <t>AMR별 이동거리 — AMR1</t>
        </is>
      </c>
      <c r="C9" s="13" t="inlineStr">
        <is>
          <t>m</t>
        </is>
      </c>
      <c r="D9" s="25">
        <f>SUMIFS(AMR별!$D$2:$D$7,AMR별!$A$2:$A$7,"CASE1",AMR별!$B$2:$B$7,"AMR1")</f>
        <v/>
      </c>
      <c r="E9" s="25">
        <f>SUMIFS(AMR별!$D$2:$D$7,AMR별!$A$2:$A$7,"CASE2",AMR별!$B$2:$B$7,"AMR1")</f>
        <v/>
      </c>
      <c r="F9" s="15">
        <f>IF(D9=0,"-",(D9-E9)/D9)</f>
        <v/>
      </c>
      <c r="G9" s="16" t="inlineStr">
        <is>
          <t>AMR별 · 이동거리(m)</t>
        </is>
      </c>
      <c r="H9" s="5" t="inlineStr"/>
    </row>
    <row r="10">
      <c r="A10" s="17" t="n"/>
      <c r="B10" s="12" t="inlineStr">
        <is>
          <t>AMR별 이동거리 — AMR2</t>
        </is>
      </c>
      <c r="C10" s="13" t="inlineStr">
        <is>
          <t>m</t>
        </is>
      </c>
      <c r="D10" s="25">
        <f>SUMIFS(AMR별!$D$2:$D$7,AMR별!$A$2:$A$7,"CASE1",AMR별!$B$2:$B$7,"AMR2")</f>
        <v/>
      </c>
      <c r="E10" s="25">
        <f>SUMIFS(AMR별!$D$2:$D$7,AMR별!$A$2:$A$7,"CASE2",AMR별!$B$2:$B$7,"AMR2")</f>
        <v/>
      </c>
      <c r="F10" s="15">
        <f>IF(D10=0,"-",(D10-E10)/D10)</f>
        <v/>
      </c>
      <c r="G10" s="16" t="inlineStr">
        <is>
          <t>AMR별 · 이동거리(m)</t>
        </is>
      </c>
      <c r="H10" s="5" t="inlineStr"/>
    </row>
    <row r="11">
      <c r="A11" s="17" t="n"/>
      <c r="B11" s="12" t="inlineStr">
        <is>
          <t>AMR별 이동거리 — AMR3</t>
        </is>
      </c>
      <c r="C11" s="13" t="inlineStr">
        <is>
          <t>m</t>
        </is>
      </c>
      <c r="D11" s="25">
        <f>SUMIFS(AMR별!$D$2:$D$7,AMR별!$A$2:$A$7,"CASE1",AMR별!$B$2:$B$7,"AMR3")</f>
        <v/>
      </c>
      <c r="E11" s="25">
        <f>SUMIFS(AMR별!$D$2:$D$7,AMR별!$A$2:$A$7,"CASE2",AMR별!$B$2:$B$7,"AMR3")</f>
        <v/>
      </c>
      <c r="F11" s="15">
        <f>IF(D11=0,"-",(D11-E11)/D11)</f>
        <v/>
      </c>
      <c r="G11" s="16" t="inlineStr">
        <is>
          <t>AMR별 · 이동거리(m)</t>
        </is>
      </c>
      <c r="H11" s="5" t="inlineStr"/>
    </row>
    <row r="12">
      <c r="A12" s="17" t="n"/>
      <c r="B12" s="12" t="inlineStr">
        <is>
          <t>AMR별 이동거리 — 합계</t>
        </is>
      </c>
      <c r="C12" s="13" t="inlineStr">
        <is>
          <t>m</t>
        </is>
      </c>
      <c r="D12" s="25">
        <f>SUMIFS(AMR별!$D$2:$D$7,AMR별!$A$2:$A$7,"CASE1")</f>
        <v/>
      </c>
      <c r="E12" s="25">
        <f>SUMIFS(AMR별!$D$2:$D$7,AMR별!$A$2:$A$7,"CASE2")</f>
        <v/>
      </c>
      <c r="F12" s="15">
        <f>IF(D12=0,"-",(D12-E12)/D12)</f>
        <v/>
      </c>
      <c r="G12" s="16" t="inlineStr">
        <is>
          <t>AMR별 · 이동거리(m)</t>
        </is>
      </c>
      <c r="H12" s="5" t="inlineStr"/>
    </row>
    <row r="13">
      <c r="A13" s="17" t="n"/>
      <c r="B13" s="12" t="inlineStr">
        <is>
          <t>AMR별 이동시간 — AMR1</t>
        </is>
      </c>
      <c r="C13" s="13" t="inlineStr">
        <is>
          <t>sec</t>
        </is>
      </c>
      <c r="D13" s="26">
        <f>SUMIFS(AMR별!$E$2:$E$7,AMR별!$A$2:$A$7,"CASE1",AMR별!$B$2:$B$7,"AMR1")</f>
        <v/>
      </c>
      <c r="E13" s="26">
        <f>SUMIFS(AMR별!$E$2:$E$7,AMR별!$A$2:$A$7,"CASE2",AMR별!$B$2:$B$7,"AMR1")</f>
        <v/>
      </c>
      <c r="F13" s="15">
        <f>IF(D13=0,"-",(D13-E13)/D13)</f>
        <v/>
      </c>
      <c r="G13" s="16" t="inlineStr">
        <is>
          <t>AMR별 · 이동시간(s)</t>
        </is>
      </c>
      <c r="H13" s="5" t="inlineStr"/>
    </row>
    <row r="14">
      <c r="A14" s="17" t="n"/>
      <c r="B14" s="12" t="inlineStr">
        <is>
          <t>AMR별 이동시간 — AMR2</t>
        </is>
      </c>
      <c r="C14" s="13" t="inlineStr">
        <is>
          <t>sec</t>
        </is>
      </c>
      <c r="D14" s="26">
        <f>SUMIFS(AMR별!$E$2:$E$7,AMR별!$A$2:$A$7,"CASE1",AMR별!$B$2:$B$7,"AMR2")</f>
        <v/>
      </c>
      <c r="E14" s="26">
        <f>SUMIFS(AMR별!$E$2:$E$7,AMR별!$A$2:$A$7,"CASE2",AMR별!$B$2:$B$7,"AMR2")</f>
        <v/>
      </c>
      <c r="F14" s="15">
        <f>IF(D14=0,"-",(D14-E14)/D14)</f>
        <v/>
      </c>
      <c r="G14" s="16" t="inlineStr">
        <is>
          <t>AMR별 · 이동시간(s)</t>
        </is>
      </c>
      <c r="H14" s="5" t="inlineStr"/>
    </row>
    <row r="15">
      <c r="A15" s="17" t="n"/>
      <c r="B15" s="12" t="inlineStr">
        <is>
          <t>AMR별 이동시간 — AMR3</t>
        </is>
      </c>
      <c r="C15" s="13" t="inlineStr">
        <is>
          <t>sec</t>
        </is>
      </c>
      <c r="D15" s="26">
        <f>SUMIFS(AMR별!$E$2:$E$7,AMR별!$A$2:$A$7,"CASE1",AMR별!$B$2:$B$7,"AMR3")</f>
        <v/>
      </c>
      <c r="E15" s="26">
        <f>SUMIFS(AMR별!$E$2:$E$7,AMR별!$A$2:$A$7,"CASE2",AMR별!$B$2:$B$7,"AMR3")</f>
        <v/>
      </c>
      <c r="F15" s="15">
        <f>IF(D15=0,"-",(D15-E15)/D15)</f>
        <v/>
      </c>
      <c r="G15" s="16" t="inlineStr">
        <is>
          <t>AMR별 · 이동시간(s)</t>
        </is>
      </c>
      <c r="H15" s="5" t="inlineStr"/>
    </row>
    <row r="16">
      <c r="A16" s="17" t="n"/>
      <c r="B16" s="12" t="inlineStr">
        <is>
          <t>AMR별 이동시간 — 합계</t>
        </is>
      </c>
      <c r="C16" s="13" t="inlineStr">
        <is>
          <t>sec</t>
        </is>
      </c>
      <c r="D16" s="26">
        <f>SUMIFS(AMR별!$E$2:$E$7,AMR별!$A$2:$A$7,"CASE1")</f>
        <v/>
      </c>
      <c r="E16" s="26">
        <f>SUMIFS(AMR별!$E$2:$E$7,AMR별!$A$2:$A$7,"CASE2")</f>
        <v/>
      </c>
      <c r="F16" s="15">
        <f>IF(D16=0,"-",(D16-E16)/D16)</f>
        <v/>
      </c>
      <c r="G16" s="16" t="inlineStr">
        <is>
          <t>AMR별 · 이동시간(s)</t>
        </is>
      </c>
      <c r="H16" s="5" t="inlineStr"/>
    </row>
    <row r="17">
      <c r="A17" s="17" t="n"/>
      <c r="B17" s="12" t="inlineStr">
        <is>
          <t>AMR별 작업시간 — AMR1</t>
        </is>
      </c>
      <c r="C17" s="13" t="inlineStr">
        <is>
          <t>sec</t>
        </is>
      </c>
      <c r="D17" s="26">
        <f>SUMIFS(AMR별!$F$2:$F$7,AMR별!$A$2:$A$7,"CASE1",AMR별!$B$2:$B$7,"AMR1")</f>
        <v/>
      </c>
      <c r="E17" s="26">
        <f>SUMIFS(AMR별!$F$2:$F$7,AMR별!$A$2:$A$7,"CASE2",AMR별!$B$2:$B$7,"AMR1")</f>
        <v/>
      </c>
      <c r="F17" s="15" t="inlineStr">
        <is>
          <t>-</t>
        </is>
      </c>
      <c r="G17" s="16" t="inlineStr">
        <is>
          <t>AMR별 · 작업시간(s)</t>
        </is>
      </c>
      <c r="H17" s="5" t="inlineStr">
        <is>
          <t>적재·RFID·적치·피킹·하역·WMS·작업자 개입 대기</t>
        </is>
      </c>
    </row>
    <row r="18">
      <c r="A18" s="17" t="n"/>
      <c r="B18" s="12" t="inlineStr">
        <is>
          <t>AMR별 작업시간 — AMR2</t>
        </is>
      </c>
      <c r="C18" s="13" t="inlineStr">
        <is>
          <t>sec</t>
        </is>
      </c>
      <c r="D18" s="26">
        <f>SUMIFS(AMR별!$F$2:$F$7,AMR별!$A$2:$A$7,"CASE1",AMR별!$B$2:$B$7,"AMR2")</f>
        <v/>
      </c>
      <c r="E18" s="26">
        <f>SUMIFS(AMR별!$F$2:$F$7,AMR별!$A$2:$A$7,"CASE2",AMR별!$B$2:$B$7,"AMR2")</f>
        <v/>
      </c>
      <c r="F18" s="15" t="inlineStr">
        <is>
          <t>-</t>
        </is>
      </c>
      <c r="G18" s="16" t="inlineStr">
        <is>
          <t>AMR별 · 작업시간(s)</t>
        </is>
      </c>
      <c r="H18" s="5" t="inlineStr"/>
    </row>
    <row r="19">
      <c r="A19" s="17" t="n"/>
      <c r="B19" s="12" t="inlineStr">
        <is>
          <t>AMR별 작업시간 — AMR3</t>
        </is>
      </c>
      <c r="C19" s="13" t="inlineStr">
        <is>
          <t>sec</t>
        </is>
      </c>
      <c r="D19" s="26">
        <f>SUMIFS(AMR별!$F$2:$F$7,AMR별!$A$2:$A$7,"CASE1",AMR별!$B$2:$B$7,"AMR3")</f>
        <v/>
      </c>
      <c r="E19" s="26">
        <f>SUMIFS(AMR별!$F$2:$F$7,AMR별!$A$2:$A$7,"CASE2",AMR별!$B$2:$B$7,"AMR3")</f>
        <v/>
      </c>
      <c r="F19" s="15" t="inlineStr">
        <is>
          <t>-</t>
        </is>
      </c>
      <c r="G19" s="16" t="inlineStr">
        <is>
          <t>AMR별 · 작업시간(s)</t>
        </is>
      </c>
      <c r="H19" s="5" t="inlineStr"/>
    </row>
    <row r="20">
      <c r="A20" s="17" t="n"/>
      <c r="B20" s="12" t="inlineStr">
        <is>
          <t>AMR별 작업시간 — 합계</t>
        </is>
      </c>
      <c r="C20" s="13" t="inlineStr">
        <is>
          <t>sec</t>
        </is>
      </c>
      <c r="D20" s="26">
        <f>SUMIFS(AMR별!$F$2:$F$7,AMR별!$A$2:$A$7,"CASE1")</f>
        <v/>
      </c>
      <c r="E20" s="26">
        <f>SUMIFS(AMR별!$F$2:$F$7,AMR별!$A$2:$A$7,"CASE2")</f>
        <v/>
      </c>
      <c r="F20" s="15" t="inlineStr">
        <is>
          <t>-</t>
        </is>
      </c>
      <c r="G20" s="16" t="inlineStr">
        <is>
          <t>AMR별 · 작업시간(s)</t>
        </is>
      </c>
      <c r="H20" s="5" t="inlineStr"/>
    </row>
    <row r="21">
      <c r="A21" s="17" t="n"/>
      <c r="B21" s="12" t="inlineStr">
        <is>
          <t>AMR별 대기시간 — AMR1</t>
        </is>
      </c>
      <c r="C21" s="13" t="inlineStr">
        <is>
          <t>sec</t>
        </is>
      </c>
      <c r="D21" s="26">
        <f>SUMIFS(AMR별!$G$2:$G$7,AMR별!$A$2:$A$7,"CASE1",AMR별!$B$2:$B$7,"AMR1")</f>
        <v/>
      </c>
      <c r="E21" s="26">
        <f>SUMIFS(AMR별!$G$2:$G$7,AMR별!$A$2:$A$7,"CASE2",AMR별!$B$2:$B$7,"AMR1")</f>
        <v/>
      </c>
      <c r="F21" s="15">
        <f>IF(D21=0,"-",(D21-E21)/D21)</f>
        <v/>
      </c>
      <c r="G21" s="16" t="inlineStr">
        <is>
          <t>AMR별 · 대기시간(s)</t>
        </is>
      </c>
      <c r="H21" s="5" t="inlineStr">
        <is>
          <t>다른 AMR·병목 때문에 멈춘 시간 (재출발 지연 포함)</t>
        </is>
      </c>
    </row>
    <row r="22">
      <c r="A22" s="17" t="n"/>
      <c r="B22" s="12" t="inlineStr">
        <is>
          <t>AMR별 대기시간 — AMR2</t>
        </is>
      </c>
      <c r="C22" s="13" t="inlineStr">
        <is>
          <t>sec</t>
        </is>
      </c>
      <c r="D22" s="26">
        <f>SUMIFS(AMR별!$G$2:$G$7,AMR별!$A$2:$A$7,"CASE1",AMR별!$B$2:$B$7,"AMR2")</f>
        <v/>
      </c>
      <c r="E22" s="26">
        <f>SUMIFS(AMR별!$G$2:$G$7,AMR별!$A$2:$A$7,"CASE2",AMR별!$B$2:$B$7,"AMR2")</f>
        <v/>
      </c>
      <c r="F22" s="15">
        <f>IF(D22=0,"-",(D22-E22)/D22)</f>
        <v/>
      </c>
      <c r="G22" s="16" t="inlineStr">
        <is>
          <t>AMR별 · 대기시간(s)</t>
        </is>
      </c>
      <c r="H22" s="5" t="inlineStr"/>
    </row>
    <row r="23">
      <c r="A23" s="17" t="n"/>
      <c r="B23" s="12" t="inlineStr">
        <is>
          <t>AMR별 대기시간 — AMR3</t>
        </is>
      </c>
      <c r="C23" s="13" t="inlineStr">
        <is>
          <t>sec</t>
        </is>
      </c>
      <c r="D23" s="26">
        <f>SUMIFS(AMR별!$G$2:$G$7,AMR별!$A$2:$A$7,"CASE1",AMR별!$B$2:$B$7,"AMR3")</f>
        <v/>
      </c>
      <c r="E23" s="26">
        <f>SUMIFS(AMR별!$G$2:$G$7,AMR별!$A$2:$A$7,"CASE2",AMR별!$B$2:$B$7,"AMR3")</f>
        <v/>
      </c>
      <c r="F23" s="15">
        <f>IF(D23=0,"-",(D23-E23)/D23)</f>
        <v/>
      </c>
      <c r="G23" s="16" t="inlineStr">
        <is>
          <t>AMR별 · 대기시간(s)</t>
        </is>
      </c>
      <c r="H23" s="5" t="inlineStr"/>
    </row>
    <row r="24">
      <c r="A24" s="17" t="n"/>
      <c r="B24" s="12" t="inlineStr">
        <is>
          <t>AMR별 대기시간 — 합계</t>
        </is>
      </c>
      <c r="C24" s="13" t="inlineStr">
        <is>
          <t>sec</t>
        </is>
      </c>
      <c r="D24" s="26">
        <f>SUMIFS(AMR별!$G$2:$G$7,AMR별!$A$2:$A$7,"CASE1")</f>
        <v/>
      </c>
      <c r="E24" s="26">
        <f>SUMIFS(AMR별!$G$2:$G$7,AMR별!$A$2:$A$7,"CASE2")</f>
        <v/>
      </c>
      <c r="F24" s="15">
        <f>IF(D24=0,"-",(D24-E24)/D24)</f>
        <v/>
      </c>
      <c r="G24" s="16" t="inlineStr">
        <is>
          <t>AMR별 · 대기시간(s)</t>
        </is>
      </c>
      <c r="H24" s="5" t="inlineStr"/>
    </row>
    <row r="25">
      <c r="A25" s="17" t="n"/>
      <c r="B25" s="12" t="inlineStr">
        <is>
          <t>AMR별 유휴시간 — AMR1</t>
        </is>
      </c>
      <c r="C25" s="13" t="inlineStr">
        <is>
          <t>sec</t>
        </is>
      </c>
      <c r="D25" s="26">
        <f>SUMIFS(AMR별!$H$2:$H$7,AMR별!$A$2:$A$7,"CASE1",AMR별!$B$2:$B$7,"AMR1")</f>
        <v/>
      </c>
      <c r="E25" s="26">
        <f>SUMIFS(AMR별!$H$2:$H$7,AMR별!$A$2:$A$7,"CASE2",AMR별!$B$2:$B$7,"AMR1")</f>
        <v/>
      </c>
      <c r="F25" s="15" t="inlineStr">
        <is>
          <t>-</t>
        </is>
      </c>
      <c r="G25" s="16" t="inlineStr">
        <is>
          <t>AMR별 · 유휴시간(s)</t>
        </is>
      </c>
      <c r="H25" s="5" t="inlineStr">
        <is>
          <t>배정된 주문 없이 서 있던 시간</t>
        </is>
      </c>
    </row>
    <row r="26">
      <c r="A26" s="17" t="n"/>
      <c r="B26" s="12" t="inlineStr">
        <is>
          <t>AMR별 유휴시간 — AMR2</t>
        </is>
      </c>
      <c r="C26" s="13" t="inlineStr">
        <is>
          <t>sec</t>
        </is>
      </c>
      <c r="D26" s="26">
        <f>SUMIFS(AMR별!$H$2:$H$7,AMR별!$A$2:$A$7,"CASE1",AMR별!$B$2:$B$7,"AMR2")</f>
        <v/>
      </c>
      <c r="E26" s="26">
        <f>SUMIFS(AMR별!$H$2:$H$7,AMR별!$A$2:$A$7,"CASE2",AMR별!$B$2:$B$7,"AMR2")</f>
        <v/>
      </c>
      <c r="F26" s="15" t="inlineStr">
        <is>
          <t>-</t>
        </is>
      </c>
      <c r="G26" s="16" t="inlineStr">
        <is>
          <t>AMR별 · 유휴시간(s)</t>
        </is>
      </c>
      <c r="H26" s="5" t="inlineStr"/>
    </row>
    <row r="27">
      <c r="A27" s="17" t="n"/>
      <c r="B27" s="12" t="inlineStr">
        <is>
          <t>AMR별 유휴시간 — AMR3</t>
        </is>
      </c>
      <c r="C27" s="13" t="inlineStr">
        <is>
          <t>sec</t>
        </is>
      </c>
      <c r="D27" s="26">
        <f>SUMIFS(AMR별!$H$2:$H$7,AMR별!$A$2:$A$7,"CASE1",AMR별!$B$2:$B$7,"AMR3")</f>
        <v/>
      </c>
      <c r="E27" s="26">
        <f>SUMIFS(AMR별!$H$2:$H$7,AMR별!$A$2:$A$7,"CASE2",AMR별!$B$2:$B$7,"AMR3")</f>
        <v/>
      </c>
      <c r="F27" s="15" t="inlineStr">
        <is>
          <t>-</t>
        </is>
      </c>
      <c r="G27" s="16" t="inlineStr">
        <is>
          <t>AMR별 · 유휴시간(s)</t>
        </is>
      </c>
      <c r="H27" s="5" t="inlineStr"/>
    </row>
    <row r="28">
      <c r="A28" s="24" t="n"/>
      <c r="B28" s="12" t="inlineStr">
        <is>
          <t>AMR별 유휴시간 — 합계</t>
        </is>
      </c>
      <c r="C28" s="13" t="inlineStr">
        <is>
          <t>sec</t>
        </is>
      </c>
      <c r="D28" s="26">
        <f>SUMIFS(AMR별!$H$2:$H$7,AMR별!$A$2:$A$7,"CASE1")</f>
        <v/>
      </c>
      <c r="E28" s="26">
        <f>SUMIFS(AMR별!$H$2:$H$7,AMR별!$A$2:$A$7,"CASE2")</f>
        <v/>
      </c>
      <c r="F28" s="15" t="inlineStr">
        <is>
          <t>-</t>
        </is>
      </c>
      <c r="G28" s="16" t="inlineStr">
        <is>
          <t>AMR별 · 유휴시간(s)</t>
        </is>
      </c>
      <c r="H28" s="5" t="inlineStr"/>
    </row>
    <row r="29">
      <c r="A29" s="11" t="inlineStr">
        <is>
          <t>충돌</t>
        </is>
      </c>
      <c r="B29" s="12" t="inlineStr">
        <is>
          <t>충돌 예상 횟수</t>
        </is>
      </c>
      <c r="C29" s="13" t="inlineStr">
        <is>
          <t>회</t>
        </is>
      </c>
      <c r="D29" s="25">
        <f>INDEX(시스템요약!$B$2:$B$89,MATCH("경로 충돌 횟수",시스템요약!$A$2:$A$89,0))+INDEX(시스템요약!$B$2:$B$89,MATCH("정면 충돌 횟수",시스템요약!$A$2:$A$89,0))</f>
        <v/>
      </c>
      <c r="E29" s="25">
        <f>INDEX(시스템요약!$C$2:$C$89,MATCH("예약테이블 사전 회피(충돌 예상)",시스템요약!$A$2:$A$89,0))</f>
        <v/>
      </c>
      <c r="F29" s="15" t="inlineStr">
        <is>
          <t>-</t>
        </is>
      </c>
      <c r="G29" s="16" t="inlineStr">
        <is>
          <t>시스템요약</t>
        </is>
      </c>
      <c r="H29" s="5" t="inlineStr">
        <is>
          <t>CASE1 = 실제 발생한 경로충돌+정면충돌 / CASE2 = 예약테이블이 사전에 감지·회피한 수 (정의가 달라 개선율 미산출)</t>
        </is>
      </c>
    </row>
    <row r="30">
      <c r="A30" s="17" t="n"/>
      <c r="B30" s="12" t="inlineStr">
        <is>
          <t>충돌 건수 (작업자 개입 기준)</t>
        </is>
      </c>
      <c r="C30" s="13" t="inlineStr">
        <is>
          <t>회</t>
        </is>
      </c>
      <c r="D30" s="25">
        <f>INDEX(시스템요약!$B$2:$B$89,MATCH("충돌 건수(경로+정면)",시스템요약!$A$2:$A$89,0))</f>
        <v/>
      </c>
      <c r="E30" s="25">
        <f>INDEX(시스템요약!$C$2:$C$89,MATCH("충돌 건수(경로+정면)",시스템요약!$A$2:$A$89,0))</f>
        <v/>
      </c>
      <c r="F30" s="15">
        <f>IF(D30=0,"-",(D30-E30)/D30)</f>
        <v/>
      </c>
      <c r="G30" s="16" t="inlineStr">
        <is>
          <t>시스템요약 · 충돌 건수(경로+정면)</t>
        </is>
      </c>
      <c r="H30" s="5" t="inlineStr">
        <is>
          <t>작업자가 해결한 충돌 수 (해결 중·직후 같은 상황 반복은 1건)</t>
        </is>
      </c>
    </row>
    <row r="31">
      <c r="A31" s="17" t="n"/>
      <c r="B31" s="18" t="inlineStr">
        <is>
          <t xml:space="preserve">  └ 실제 발생한 경로 충돌</t>
        </is>
      </c>
      <c r="C31" s="19" t="inlineStr">
        <is>
          <t>회</t>
        </is>
      </c>
      <c r="D31" s="27">
        <f>INDEX(시스템요약!$B$2:$B$89,MATCH("경로 충돌 횟수",시스템요약!$A$2:$A$89,0))</f>
        <v/>
      </c>
      <c r="E31" s="27">
        <f>INDEX(시스템요약!$C$2:$C$89,MATCH("경로 충돌 횟수",시스템요약!$A$2:$A$89,0))</f>
        <v/>
      </c>
      <c r="F31" s="21">
        <f>IF(D31=0,"-",(D31-E31)/D31)</f>
        <v/>
      </c>
      <c r="G31" s="22" t="inlineStr">
        <is>
          <t>시스템요약 · 경로 충돌 횟수</t>
        </is>
      </c>
      <c r="H31" s="23" t="inlineStr"/>
    </row>
    <row r="32">
      <c r="A32" s="17" t="n"/>
      <c r="B32" s="18" t="inlineStr">
        <is>
          <t xml:space="preserve">  └ 실제 발생한 정면 충돌</t>
        </is>
      </c>
      <c r="C32" s="19" t="inlineStr">
        <is>
          <t>회</t>
        </is>
      </c>
      <c r="D32" s="27">
        <f>INDEX(시스템요약!$B$2:$B$89,MATCH("정면 충돌 횟수",시스템요약!$A$2:$A$89,0))</f>
        <v/>
      </c>
      <c r="E32" s="27">
        <f>INDEX(시스템요약!$C$2:$C$89,MATCH("정면 충돌 횟수",시스템요약!$A$2:$A$89,0))</f>
        <v/>
      </c>
      <c r="F32" s="21">
        <f>IF(D32=0,"-",(D32-E32)/D32)</f>
        <v/>
      </c>
      <c r="G32" s="22" t="inlineStr">
        <is>
          <t>시스템요약 · 정면 충돌 횟수</t>
        </is>
      </c>
      <c r="H32" s="23" t="inlineStr"/>
    </row>
    <row r="33">
      <c r="A33" s="24" t="n"/>
      <c r="B33" s="12" t="inlineStr">
        <is>
          <t>충돌 회피를 위한 정지 횟수</t>
        </is>
      </c>
      <c r="C33" s="13" t="inlineStr">
        <is>
          <t>회</t>
        </is>
      </c>
      <c r="D33" s="25">
        <f>INDEX(시스템요약!$B$2:$B$89,MATCH("정지 횟수",시스템요약!$A$2:$A$89,0))</f>
        <v/>
      </c>
      <c r="E33" s="25">
        <f>INDEX(시스템요약!$C$2:$C$89,MATCH("정지 횟수",시스템요약!$A$2:$A$89,0))</f>
        <v/>
      </c>
      <c r="F33" s="15">
        <f>IF(D33=0,"-",(D33-E33)/D33)</f>
        <v/>
      </c>
      <c r="G33" s="16" t="inlineStr">
        <is>
          <t>시스템요약 · 정지 횟수</t>
        </is>
      </c>
      <c r="H33" s="5" t="inlineStr">
        <is>
          <t>다른 AMR 때문에 멈춘 횟수 (예약 대기 포함)</t>
        </is>
      </c>
    </row>
    <row r="34">
      <c r="A34" s="11" t="inlineStr">
        <is>
          <t>병목</t>
        </is>
      </c>
      <c r="B34" s="12" t="inlineStr">
        <is>
          <t>병목구간 대기시간</t>
        </is>
      </c>
      <c r="C34" s="13" t="inlineStr">
        <is>
          <t>sec</t>
        </is>
      </c>
      <c r="D34" s="26">
        <f>INDEX(시스템요약!$B$2:$B$89,MATCH("병목 대기시간(s)",시스템요약!$A$2:$A$89,0))</f>
        <v/>
      </c>
      <c r="E34" s="26">
        <f>INDEX(시스템요약!$C$2:$C$89,MATCH("병목 대기시간(s)",시스템요약!$A$2:$A$89,0))</f>
        <v/>
      </c>
      <c r="F34" s="15">
        <f>IF(D34=0,"-",(D34-E34)/D34)</f>
        <v/>
      </c>
      <c r="G34" s="16" t="inlineStr">
        <is>
          <t>시스템요약 · 병목 대기시간(s)</t>
        </is>
      </c>
      <c r="H34" s="5" t="inlineStr">
        <is>
          <t>공용구역 밖에서 구역 진입을 기다린 시간 합계</t>
        </is>
      </c>
    </row>
    <row r="35">
      <c r="A35" s="17" t="n"/>
      <c r="B35" s="18" t="inlineStr">
        <is>
          <t xml:space="preserve">  └ RFID</t>
        </is>
      </c>
      <c r="C35" s="19" t="inlineStr">
        <is>
          <t>sec</t>
        </is>
      </c>
      <c r="D35" s="20">
        <f>INDEX(시스템요약!$B$2:$B$89,MATCH("병목[RFID] 대기시간(s)",시스템요약!$A$2:$A$89,0))</f>
        <v/>
      </c>
      <c r="E35" s="20">
        <f>INDEX(시스템요약!$C$2:$C$89,MATCH("병목[RFID] 대기시간(s)",시스템요약!$A$2:$A$89,0))</f>
        <v/>
      </c>
      <c r="F35" s="21">
        <f>IF(D35=0,"-",(D35-E35)/D35)</f>
        <v/>
      </c>
      <c r="G35" s="22" t="inlineStr">
        <is>
          <t>시스템요약 · 병목[RFID] 대기시간(s)</t>
        </is>
      </c>
      <c r="H35" s="23" t="inlineStr"/>
    </row>
    <row r="36">
      <c r="A36" s="17" t="n"/>
      <c r="B36" s="18" t="inlineStr">
        <is>
          <t xml:space="preserve">  └ 중앙교차로</t>
        </is>
      </c>
      <c r="C36" s="19" t="inlineStr">
        <is>
          <t>sec</t>
        </is>
      </c>
      <c r="D36" s="20">
        <f>INDEX(시스템요약!$B$2:$B$89,MATCH("병목[중앙교차로] 대기시간(s)",시스템요약!$A$2:$A$89,0))</f>
        <v/>
      </c>
      <c r="E36" s="20">
        <f>INDEX(시스템요약!$C$2:$C$89,MATCH("병목[중앙교차로] 대기시간(s)",시스템요약!$A$2:$A$89,0))</f>
        <v/>
      </c>
      <c r="F36" s="21">
        <f>IF(D36=0,"-",(D36-E36)/D36)</f>
        <v/>
      </c>
      <c r="G36" s="22" t="inlineStr">
        <is>
          <t>시스템요약 · 병목[중앙교차로] 대기시간(s)</t>
        </is>
      </c>
      <c r="H36" s="23" t="inlineStr"/>
    </row>
    <row r="37">
      <c r="A37" s="17" t="n"/>
      <c r="B37" s="18" t="inlineStr">
        <is>
          <t xml:space="preserve">  └ 좁은통로</t>
        </is>
      </c>
      <c r="C37" s="19" t="inlineStr">
        <is>
          <t>sec</t>
        </is>
      </c>
      <c r="D37" s="20">
        <f>INDEX(시스템요약!$B$2:$B$89,MATCH("병목[좁은통로] 대기시간(s)",시스템요약!$A$2:$A$89,0))</f>
        <v/>
      </c>
      <c r="E37" s="20">
        <f>INDEX(시스템요약!$C$2:$C$89,MATCH("병목[좁은통로] 대기시간(s)",시스템요약!$A$2:$A$89,0))</f>
        <v/>
      </c>
      <c r="F37" s="21">
        <f>IF(D37=0,"-",(D37-E37)/D37)</f>
        <v/>
      </c>
      <c r="G37" s="22" t="inlineStr">
        <is>
          <t>시스템요약 · 병목[좁은통로] 대기시간(s)</t>
        </is>
      </c>
      <c r="H37" s="23" t="inlineStr"/>
    </row>
    <row r="38">
      <c r="A38" s="17" t="n"/>
      <c r="B38" s="18" t="inlineStr">
        <is>
          <t xml:space="preserve">  └ 출고진입부</t>
        </is>
      </c>
      <c r="C38" s="19" t="inlineStr">
        <is>
          <t>sec</t>
        </is>
      </c>
      <c r="D38" s="20">
        <f>INDEX(시스템요약!$B$2:$B$89,MATCH("병목[출고진입부] 대기시간(s)",시스템요약!$A$2:$A$89,0))</f>
        <v/>
      </c>
      <c r="E38" s="20">
        <f>INDEX(시스템요약!$C$2:$C$89,MATCH("병목[출고진입부] 대기시간(s)",시스템요약!$A$2:$A$89,0))</f>
        <v/>
      </c>
      <c r="F38" s="21">
        <f>IF(D38=0,"-",(D38-E38)/D38)</f>
        <v/>
      </c>
      <c r="G38" s="22" t="inlineStr">
        <is>
          <t>시스템요약 · 병목[출고진입부] 대기시간(s)</t>
        </is>
      </c>
      <c r="H38" s="23" t="inlineStr"/>
    </row>
    <row r="39">
      <c r="A39" s="17" t="n"/>
      <c r="B39" s="12" t="inlineStr">
        <is>
          <t>병목구간 대기 AMR 수 (최대 동시)</t>
        </is>
      </c>
      <c r="C39" s="13" t="inlineStr">
        <is>
          <t>대</t>
        </is>
      </c>
      <c r="D39" s="25">
        <f>INDEX(시스템요약!$B$2:$B$89,MATCH("병목구간 최대 동시 대기 AMR 수",시스템요약!$A$2:$A$89,0))</f>
        <v/>
      </c>
      <c r="E39" s="25">
        <f>INDEX(시스템요약!$C$2:$C$89,MATCH("병목구간 최대 동시 대기 AMR 수",시스템요약!$A$2:$A$89,0))</f>
        <v/>
      </c>
      <c r="F39" s="15">
        <f>IF(D39=0,"-",(D39-E39)/D39)</f>
        <v/>
      </c>
      <c r="G39" s="16" t="inlineStr">
        <is>
          <t>시스템요약 · 병목구간 최대 동시 대기 AMR 수</t>
        </is>
      </c>
      <c r="H39" s="5" t="inlineStr">
        <is>
          <t>같은 순간 병목구간 앞에서 동시에 기다린 AMR 최대 대수</t>
        </is>
      </c>
    </row>
    <row r="40">
      <c r="A40" s="17" t="n"/>
      <c r="B40" s="18" t="inlineStr">
        <is>
          <t xml:space="preserve">  └ RFID</t>
        </is>
      </c>
      <c r="C40" s="19" t="inlineStr">
        <is>
          <t>대</t>
        </is>
      </c>
      <c r="D40" s="27">
        <f>INDEX(시스템요약!$B$2:$B$89,MATCH("병목[RFID] 최대 동시 대기 AMR 수",시스템요약!$A$2:$A$89,0))</f>
        <v/>
      </c>
      <c r="E40" s="27">
        <f>INDEX(시스템요약!$C$2:$C$89,MATCH("병목[RFID] 최대 동시 대기 AMR 수",시스템요약!$A$2:$A$89,0))</f>
        <v/>
      </c>
      <c r="F40" s="21">
        <f>IF(D40=0,"-",(D40-E40)/D40)</f>
        <v/>
      </c>
      <c r="G40" s="22" t="inlineStr">
        <is>
          <t>시스템요약 · 병목[RFID] 최대 동시 대기 AMR 수</t>
        </is>
      </c>
      <c r="H40" s="23" t="inlineStr"/>
    </row>
    <row r="41">
      <c r="A41" s="17" t="n"/>
      <c r="B41" s="18" t="inlineStr">
        <is>
          <t xml:space="preserve">  └ 중앙교차로</t>
        </is>
      </c>
      <c r="C41" s="19" t="inlineStr">
        <is>
          <t>대</t>
        </is>
      </c>
      <c r="D41" s="27">
        <f>INDEX(시스템요약!$B$2:$B$89,MATCH("병목[중앙교차로] 최대 동시 대기 AMR 수",시스템요약!$A$2:$A$89,0))</f>
        <v/>
      </c>
      <c r="E41" s="27">
        <f>INDEX(시스템요약!$C$2:$C$89,MATCH("병목[중앙교차로] 최대 동시 대기 AMR 수",시스템요약!$A$2:$A$89,0))</f>
        <v/>
      </c>
      <c r="F41" s="21">
        <f>IF(D41=0,"-",(D41-E41)/D41)</f>
        <v/>
      </c>
      <c r="G41" s="22" t="inlineStr">
        <is>
          <t>시스템요약 · 병목[중앙교차로] 최대 동시 대기 AMR 수</t>
        </is>
      </c>
      <c r="H41" s="23" t="inlineStr"/>
    </row>
    <row r="42">
      <c r="A42" s="17" t="n"/>
      <c r="B42" s="18" t="inlineStr">
        <is>
          <t xml:space="preserve">  └ 좁은통로</t>
        </is>
      </c>
      <c r="C42" s="19" t="inlineStr">
        <is>
          <t>대</t>
        </is>
      </c>
      <c r="D42" s="27">
        <f>INDEX(시스템요약!$B$2:$B$89,MATCH("병목[좁은통로] 최대 동시 대기 AMR 수",시스템요약!$A$2:$A$89,0))</f>
        <v/>
      </c>
      <c r="E42" s="27">
        <f>INDEX(시스템요약!$C$2:$C$89,MATCH("병목[좁은통로] 최대 동시 대기 AMR 수",시스템요약!$A$2:$A$89,0))</f>
        <v/>
      </c>
      <c r="F42" s="21">
        <f>IF(D42=0,"-",(D42-E42)/D42)</f>
        <v/>
      </c>
      <c r="G42" s="22" t="inlineStr">
        <is>
          <t>시스템요약 · 병목[좁은통로] 최대 동시 대기 AMR 수</t>
        </is>
      </c>
      <c r="H42" s="23" t="inlineStr"/>
    </row>
    <row r="43">
      <c r="A43" s="17" t="n"/>
      <c r="B43" s="18" t="inlineStr">
        <is>
          <t xml:space="preserve">  └ 출고진입부</t>
        </is>
      </c>
      <c r="C43" s="19" t="inlineStr">
        <is>
          <t>대</t>
        </is>
      </c>
      <c r="D43" s="27">
        <f>INDEX(시스템요약!$B$2:$B$89,MATCH("병목[출고진입부] 최대 동시 대기 AMR 수",시스템요약!$A$2:$A$89,0))</f>
        <v/>
      </c>
      <c r="E43" s="27">
        <f>INDEX(시스템요약!$C$2:$C$89,MATCH("병목[출고진입부] 최대 동시 대기 AMR 수",시스템요약!$A$2:$A$89,0))</f>
        <v/>
      </c>
      <c r="F43" s="21">
        <f>IF(D43=0,"-",(D43-E43)/D43)</f>
        <v/>
      </c>
      <c r="G43" s="22" t="inlineStr">
        <is>
          <t>시스템요약 · 병목[출고진입부] 최대 동시 대기 AMR 수</t>
        </is>
      </c>
      <c r="H43" s="23" t="inlineStr"/>
    </row>
    <row r="44">
      <c r="A44" s="17" t="n"/>
      <c r="B44" s="12" t="inlineStr">
        <is>
          <t>병목구간 대기 AMR 수 (대기 경험)</t>
        </is>
      </c>
      <c r="C44" s="13" t="inlineStr">
        <is>
          <t>대</t>
        </is>
      </c>
      <c r="D44" s="25">
        <f>INDEX(시스템요약!$B$2:$B$89,MATCH("병목구간 대기 경험 AMR 수",시스템요약!$A$2:$A$89,0))</f>
        <v/>
      </c>
      <c r="E44" s="25">
        <f>INDEX(시스템요약!$C$2:$C$89,MATCH("병목구간 대기 경험 AMR 수",시스템요약!$A$2:$A$89,0))</f>
        <v/>
      </c>
      <c r="F44" s="15" t="inlineStr">
        <is>
          <t>-</t>
        </is>
      </c>
      <c r="G44" s="16" t="inlineStr">
        <is>
          <t>시스템요약 · 병목구간 대기 경험 AMR 수</t>
        </is>
      </c>
      <c r="H44" s="5" t="inlineStr">
        <is>
          <t>한 번이라도 병목 대기를 겪은 AMR 대수 (3대 중)</t>
        </is>
      </c>
    </row>
    <row r="45">
      <c r="A45" s="24" t="n"/>
      <c r="B45" s="18" t="inlineStr">
        <is>
          <t xml:space="preserve">  └ 병목 발생 횟수 (참고)</t>
        </is>
      </c>
      <c r="C45" s="19" t="inlineStr">
        <is>
          <t>회</t>
        </is>
      </c>
      <c r="D45" s="27">
        <f>INDEX(시스템요약!$B$2:$B$89,MATCH("병목 횟수",시스템요약!$A$2:$A$89,0))</f>
        <v/>
      </c>
      <c r="E45" s="27">
        <f>INDEX(시스템요약!$C$2:$C$89,MATCH("병목 횟수",시스템요약!$A$2:$A$89,0))</f>
        <v/>
      </c>
      <c r="F45" s="21">
        <f>IF(D45=0,"-",(D45-E45)/D45)</f>
        <v/>
      </c>
      <c r="G45" s="22" t="inlineStr">
        <is>
          <t>시스템요약 · 병목 횟수</t>
        </is>
      </c>
      <c r="H45" s="23" t="inlineStr">
        <is>
          <t>대기 시작~진입까지 1회</t>
        </is>
      </c>
    </row>
    <row r="46">
      <c r="A46" s="11" t="inlineStr">
        <is>
          <t>배차</t>
        </is>
      </c>
      <c r="B46" s="12" t="inlineStr">
        <is>
          <t>작업→AMR 배정 결과 — AMR1</t>
        </is>
      </c>
      <c r="C46" s="13" t="inlineStr">
        <is>
          <t>건</t>
        </is>
      </c>
      <c r="D46" s="25">
        <f>COUNTIF(주문별_CASE1!$M$2:$M$1001,"AMR1")+COUNTIF(주문별_CASE1!$N$2:$N$1001,"AMR1")</f>
        <v/>
      </c>
      <c r="E46" s="25">
        <f>COUNTIF(주문별_CASE2!$M$2:$M$1001,"AMR1")+COUNTIF(주문별_CASE2!$N$2:$N$1001,"AMR1")</f>
        <v/>
      </c>
      <c r="F46" s="15" t="inlineStr">
        <is>
          <t>-</t>
        </is>
      </c>
      <c r="G46" s="16" t="inlineStr">
        <is>
          <t>주문별_CASE* · 입고/출고 배정 AMR</t>
        </is>
      </c>
      <c r="H46" s="5" t="inlineStr">
        <is>
          <t>입고 작업 + 출고 작업 (주문별 배정은 주문별 시트)</t>
        </is>
      </c>
    </row>
    <row r="47">
      <c r="A47" s="17" t="n"/>
      <c r="B47" s="12" t="inlineStr">
        <is>
          <t>작업→AMR 배정 결과 — AMR2</t>
        </is>
      </c>
      <c r="C47" s="13" t="inlineStr">
        <is>
          <t>건</t>
        </is>
      </c>
      <c r="D47" s="25">
        <f>COUNTIF(주문별_CASE1!$M$2:$M$1001,"AMR2")+COUNTIF(주문별_CASE1!$N$2:$N$1001,"AMR2")</f>
        <v/>
      </c>
      <c r="E47" s="25">
        <f>COUNTIF(주문별_CASE2!$M$2:$M$1001,"AMR2")+COUNTIF(주문별_CASE2!$N$2:$N$1001,"AMR2")</f>
        <v/>
      </c>
      <c r="F47" s="15" t="inlineStr">
        <is>
          <t>-</t>
        </is>
      </c>
      <c r="G47" s="16" t="inlineStr">
        <is>
          <t>주문별_CASE* · 입고/출고 배정 AMR</t>
        </is>
      </c>
      <c r="H47" s="5" t="inlineStr"/>
    </row>
    <row r="48">
      <c r="A48" s="17" t="n"/>
      <c r="B48" s="12" t="inlineStr">
        <is>
          <t>작업→AMR 배정 결과 — AMR3</t>
        </is>
      </c>
      <c r="C48" s="13" t="inlineStr">
        <is>
          <t>건</t>
        </is>
      </c>
      <c r="D48" s="25">
        <f>COUNTIF(주문별_CASE1!$M$2:$M$1001,"AMR3")+COUNTIF(주문별_CASE1!$N$2:$N$1001,"AMR3")</f>
        <v/>
      </c>
      <c r="E48" s="25">
        <f>COUNTIF(주문별_CASE2!$M$2:$M$1001,"AMR3")+COUNTIF(주문별_CASE2!$N$2:$N$1001,"AMR3")</f>
        <v/>
      </c>
      <c r="F48" s="15" t="inlineStr">
        <is>
          <t>-</t>
        </is>
      </c>
      <c r="G48" s="16" t="inlineStr">
        <is>
          <t>주문별_CASE* · 입고/출고 배정 AMR</t>
        </is>
      </c>
      <c r="H48" s="5" t="inlineStr"/>
    </row>
    <row r="49">
      <c r="A49" s="17" t="n"/>
      <c r="B49" s="12" t="inlineStr">
        <is>
          <t>배정 당시 AMR-작업 위치 거리 (입고, 평균)</t>
        </is>
      </c>
      <c r="C49" s="13" t="inlineStr">
        <is>
          <t>m</t>
        </is>
      </c>
      <c r="D49" s="26">
        <f>AVERAGE(주문별_CASE1!$P$2:$P$1001)</f>
        <v/>
      </c>
      <c r="E49" s="26">
        <f>AVERAGE(주문별_CASE2!$P$2:$P$1001)</f>
        <v/>
      </c>
      <c r="F49" s="15" t="inlineStr">
        <is>
          <t>-</t>
        </is>
      </c>
      <c r="G49" s="16" t="inlineStr">
        <is>
          <t>주문별_CASE* · 배정 당시 AMR-입고장 거리(m)</t>
        </is>
      </c>
      <c r="H49" s="5" t="inlineStr">
        <is>
          <t>입고 작업 위치 = 입고장. CASE1 은 배정 전에 이미 입고장으로 복귀해 있어 ≈0m (복귀 이동은 이동거리에 포함) → 개선율 비교 안 함</t>
        </is>
      </c>
    </row>
    <row r="50">
      <c r="A50" s="17" t="n"/>
      <c r="B50" s="12" t="inlineStr">
        <is>
          <t>배정 당시 AMR-작업 위치 거리 (출고, 평균)</t>
        </is>
      </c>
      <c r="C50" s="13" t="inlineStr">
        <is>
          <t>m</t>
        </is>
      </c>
      <c r="D50" s="26">
        <f>AVERAGE(주문별_CASE1!$Q$2:$Q$1001)</f>
        <v/>
      </c>
      <c r="E50" s="26">
        <f>AVERAGE(주문별_CASE2!$Q$2:$Q$1001)</f>
        <v/>
      </c>
      <c r="F50" s="15" t="inlineStr">
        <is>
          <t>-</t>
        </is>
      </c>
      <c r="G50" s="16" t="inlineStr">
        <is>
          <t>주문별_CASE* · 배정 당시 AMR-피킹위치 거리(m)</t>
        </is>
      </c>
      <c r="H50" s="5" t="inlineStr">
        <is>
          <t>출고 작업 위치 = 피킹할 저장구역 (CASE2 는 직전 작업 위치에서 바로 이어받으면 0m)</t>
        </is>
      </c>
    </row>
    <row r="51">
      <c r="A51" s="17" t="n"/>
      <c r="B51" s="18" t="inlineStr">
        <is>
          <t xml:space="preserve">  └ 연속 수행 작업 수</t>
        </is>
      </c>
      <c r="C51" s="19" t="inlineStr">
        <is>
          <t>건</t>
        </is>
      </c>
      <c r="D51" s="27">
        <f>INDEX(시스템요약!$B$2:$B$89,MATCH("연속 수행 작업 수",시스템요약!$A$2:$A$89,0))</f>
        <v/>
      </c>
      <c r="E51" s="27">
        <f>INDEX(시스템요약!$C$2:$C$89,MATCH("연속 수행 작업 수",시스템요약!$A$2:$A$89,0))</f>
        <v/>
      </c>
      <c r="F51" s="21" t="inlineStr">
        <is>
          <t>-</t>
        </is>
      </c>
      <c r="G51" s="22" t="inlineStr">
        <is>
          <t>시스템요약 · 연속 수행 작업 수</t>
        </is>
      </c>
      <c r="H51" s="23" t="inlineStr">
        <is>
          <t>작업장 복귀 없이 직전 작업 위치에서 바로 시작한 작업</t>
        </is>
      </c>
    </row>
    <row r="52">
      <c r="A52" s="24" t="n"/>
      <c r="B52" s="18" t="inlineStr">
        <is>
          <t xml:space="preserve">  └ 작업장(입고장) 복귀 횟수</t>
        </is>
      </c>
      <c r="C52" s="19" t="inlineStr">
        <is>
          <t>회</t>
        </is>
      </c>
      <c r="D52" s="27">
        <f>INDEX(시스템요약!$B$2:$B$89,MATCH("작업장 복귀 횟수",시스템요약!$A$2:$A$89,0))</f>
        <v/>
      </c>
      <c r="E52" s="27">
        <f>INDEX(시스템요약!$C$2:$C$89,MATCH("작업장 복귀 횟수",시스템요약!$A$2:$A$89,0))</f>
        <v/>
      </c>
      <c r="F52" s="21">
        <f>IF(D52=0,"-",(D52-E52)/D52)</f>
        <v/>
      </c>
      <c r="G52" s="22" t="inlineStr">
        <is>
          <t>시스템요약 · 작업장 복귀 횟수</t>
        </is>
      </c>
      <c r="H52" s="23" t="inlineStr">
        <is>
          <t>CASE1 은 작업마다 필수, CASE2 는 선택</t>
        </is>
      </c>
    </row>
    <row r="53">
      <c r="A53" s="11" t="inlineStr">
        <is>
          <t>시스템</t>
        </is>
      </c>
      <c r="B53" s="12" t="inlineStr">
        <is>
          <t>전체 작업 완료시간</t>
        </is>
      </c>
      <c r="C53" s="13" t="inlineStr">
        <is>
          <t>sec</t>
        </is>
      </c>
      <c r="D53" s="26">
        <f>INDEX(시스템요약!$B$2:$B$89,MATCH("완료시간(makespan,s)",시스템요약!$A$2:$A$89,0))</f>
        <v/>
      </c>
      <c r="E53" s="26">
        <f>INDEX(시스템요약!$C$2:$C$89,MATCH("완료시간(makespan,s)",시스템요약!$A$2:$A$89,0))</f>
        <v/>
      </c>
      <c r="F53" s="15">
        <f>IF(D53=0,"-",(D53-E53)/D53)</f>
        <v/>
      </c>
      <c r="G53" s="16" t="inlineStr">
        <is>
          <t>시스템요약 · 완료시간(makespan,s)</t>
        </is>
      </c>
      <c r="H53" s="5" t="inlineStr">
        <is>
          <t>마지막 주문 출고 완료 시각</t>
        </is>
      </c>
    </row>
    <row r="54">
      <c r="A54" s="24" t="n"/>
      <c r="B54" s="12" t="inlineStr">
        <is>
          <t>시간당 처리 주문량</t>
        </is>
      </c>
      <c r="C54" s="13" t="inlineStr">
        <is>
          <t>건/h</t>
        </is>
      </c>
      <c r="D54" s="26">
        <f>INDEX(시스템요약!$B$2:$B$89,MATCH("시간당 처리량(건/h)",시스템요약!$A$2:$A$89,0))</f>
        <v/>
      </c>
      <c r="E54" s="26">
        <f>INDEX(시스템요약!$C$2:$C$89,MATCH("시간당 처리량(건/h)",시스템요약!$A$2:$A$89,0))</f>
        <v/>
      </c>
      <c r="F54" s="15">
        <f>IF(D54=0,"-",(E54-D54)/D54)</f>
        <v/>
      </c>
      <c r="G54" s="16" t="inlineStr">
        <is>
          <t>시스템요약 · 시간당 처리량(건/h)</t>
        </is>
      </c>
      <c r="H54" s="5" t="inlineStr"/>
    </row>
    <row r="55">
      <c r="A55" s="11" t="inlineStr">
        <is>
          <t>RFID</t>
        </is>
      </c>
      <c r="B55" s="12" t="inlineStr">
        <is>
          <t>인식 성공 횟수</t>
        </is>
      </c>
      <c r="C55" s="13" t="inlineStr">
        <is>
          <t>회</t>
        </is>
      </c>
      <c r="D55" s="25">
        <f>INDEX(시스템요약!$B$2:$B$89,MATCH("RFID 인식 성공",시스템요약!$A$2:$A$89,0))</f>
        <v/>
      </c>
      <c r="E55" s="25">
        <f>INDEX(시스템요약!$C$2:$C$89,MATCH("RFID 인식 성공",시스템요약!$A$2:$A$89,0))</f>
        <v/>
      </c>
      <c r="F55" s="15" t="inlineStr">
        <is>
          <t>-</t>
        </is>
      </c>
      <c r="G55" s="16" t="inlineStr">
        <is>
          <t>시스템요약 · RFID 인식 성공</t>
        </is>
      </c>
      <c r="H55" s="5" t="inlineStr">
        <is>
          <t>RFID 결과는 주문 생성 시 고정 → 두 CASE 동일</t>
        </is>
      </c>
    </row>
    <row r="56">
      <c r="A56" s="17" t="n"/>
      <c r="B56" s="12" t="inlineStr">
        <is>
          <t>인식 실패 횟수 (감지)</t>
        </is>
      </c>
      <c r="C56" s="13" t="inlineStr">
        <is>
          <t>회</t>
        </is>
      </c>
      <c r="D56" s="25">
        <f>INDEX(시스템요약!$B$2:$B$89,MATCH("RFID 인식 실패(감지·작업자 처리)",시스템요약!$A$2:$A$89,0))</f>
        <v/>
      </c>
      <c r="E56" s="25">
        <f>INDEX(시스템요약!$C$2:$C$89,MATCH("RFID 인식 실패(감지·작업자 처리)",시스템요약!$A$2:$A$89,0))</f>
        <v/>
      </c>
      <c r="F56" s="15" t="inlineStr">
        <is>
          <t>-</t>
        </is>
      </c>
      <c r="G56" s="16" t="inlineStr">
        <is>
          <t>시스템요약 · RFID 인식 실패(감지·작업자 처리)</t>
        </is>
      </c>
      <c r="H56" s="5" t="inlineStr">
        <is>
          <t>작업자가 수동 확인 (10초)</t>
        </is>
      </c>
    </row>
    <row r="57">
      <c r="A57" s="24" t="n"/>
      <c r="B57" s="12" t="inlineStr">
        <is>
          <t>오인식 횟수 (미감지)</t>
        </is>
      </c>
      <c r="C57" s="13" t="inlineStr">
        <is>
          <t>회</t>
        </is>
      </c>
      <c r="D57" s="25">
        <f>INDEX(시스템요약!$B$2:$B$89,MATCH("RFID 오인식(미감지)",시스템요약!$A$2:$A$89,0))</f>
        <v/>
      </c>
      <c r="E57" s="25">
        <f>INDEX(시스템요약!$C$2:$C$89,MATCH("RFID 오인식(미감지)",시스템요약!$A$2:$A$89,0))</f>
        <v/>
      </c>
      <c r="F57" s="15" t="inlineStr">
        <is>
          <t>-</t>
        </is>
      </c>
      <c r="G57" s="16" t="inlineStr">
        <is>
          <t>시스템요약 · RFID 오인식(미감지)</t>
        </is>
      </c>
      <c r="H57" s="5" t="inlineStr">
        <is>
          <t>WMS 기록 불일치 → 재고 정확도에 반영</t>
        </is>
      </c>
    </row>
    <row r="58">
      <c r="A58" s="11" t="inlineStr">
        <is>
          <t>작업자</t>
        </is>
      </c>
      <c r="B58" s="12" t="inlineStr">
        <is>
          <t>작업자 개입 횟수 — 충돌 해결</t>
        </is>
      </c>
      <c r="C58" s="13" t="inlineStr">
        <is>
          <t>회</t>
        </is>
      </c>
      <c r="D58" s="25">
        <f>COUNT(충돌_CASE1!$A$2:$A$1016)</f>
        <v/>
      </c>
      <c r="E58" s="25">
        <f>COUNT(충돌_CASE2!$A$2:$A$2)</f>
        <v/>
      </c>
      <c r="F58" s="15">
        <f>IF(D58=0,"-",(D58-E58)/D58)</f>
        <v/>
      </c>
      <c r="G58" s="16" t="inlineStr">
        <is>
          <t>충돌_CASE* · collision_id 개수</t>
        </is>
      </c>
      <c r="H58" s="5" t="inlineStr">
        <is>
          <t>인력 의존도 보조지표. 충돌 1건 = 개입 1회</t>
        </is>
      </c>
    </row>
    <row r="59">
      <c r="A59" s="17" t="n"/>
      <c r="B59" s="12" t="inlineStr">
        <is>
          <t>작업자 개입 횟수 — RFID 오류</t>
        </is>
      </c>
      <c r="C59" s="13" t="inlineStr">
        <is>
          <t>회</t>
        </is>
      </c>
      <c r="D59" s="25">
        <f>INDEX(시스템요약!$B$2:$B$89,MATCH("RFID 오류 작업자 개입 횟수",시스템요약!$A$2:$A$89,0))</f>
        <v/>
      </c>
      <c r="E59" s="25">
        <f>INDEX(시스템요약!$C$2:$C$89,MATCH("RFID 오류 작업자 개입 횟수",시스템요약!$A$2:$A$89,0))</f>
        <v/>
      </c>
      <c r="F59" s="15" t="inlineStr">
        <is>
          <t>-</t>
        </is>
      </c>
      <c r="G59" s="16" t="inlineStr">
        <is>
          <t>시스템요약 · RFID 오류 작업자 개입 횟수</t>
        </is>
      </c>
      <c r="H59" s="5" t="inlineStr">
        <is>
          <t>RFID 결과는 두 CASE 동일</t>
        </is>
      </c>
    </row>
    <row r="60">
      <c r="A60" s="17" t="n"/>
      <c r="B60" s="12" t="inlineStr">
        <is>
          <t>작업자 개입 횟수 — 합계</t>
        </is>
      </c>
      <c r="C60" s="13" t="inlineStr">
        <is>
          <t>회</t>
        </is>
      </c>
      <c r="D60" s="25">
        <f>SUM(D58:D59)</f>
        <v/>
      </c>
      <c r="E60" s="25">
        <f>SUM(E58:E59)</f>
        <v/>
      </c>
      <c r="F60" s="15">
        <f>IF(D60=0,"-",(D60-E60)/D60)</f>
        <v/>
      </c>
      <c r="G60" s="16" t="inlineStr">
        <is>
          <t>위 2행 합계</t>
        </is>
      </c>
      <c r="H60" s="5" t="inlineStr"/>
    </row>
    <row r="61">
      <c r="A61" s="17" t="n"/>
      <c r="B61" s="18" t="inlineStr">
        <is>
          <t xml:space="preserve">  └ (참고) 장시간 정체 5초+</t>
        </is>
      </c>
      <c r="C61" s="19" t="inlineStr">
        <is>
          <t>회</t>
        </is>
      </c>
      <c r="D61" s="27">
        <f>INDEX(시스템요약!$B$2:$B$89,MATCH("장시간 정체 개입 횟수",시스템요약!$A$2:$A$89,0))</f>
        <v/>
      </c>
      <c r="E61" s="27">
        <f>INDEX(시스템요약!$C$2:$C$89,MATCH("장시간 정체 개입 횟수",시스템요약!$A$2:$A$89,0))</f>
        <v/>
      </c>
      <c r="F61" s="21">
        <f>IF(D61=0,"-",(D61-E61)/D61)</f>
        <v/>
      </c>
      <c r="G61" s="22" t="inlineStr">
        <is>
          <t>시스템요약 · 장시간 정체 개입 횟수</t>
        </is>
      </c>
      <c r="H61" s="23" t="inlineStr">
        <is>
          <t>이전 판정 기준 — 인력 의존도 KPI 에는 미포함</t>
        </is>
      </c>
    </row>
    <row r="62">
      <c r="A62" s="17" t="n"/>
      <c r="B62" s="18" t="inlineStr">
        <is>
          <t xml:space="preserve">  └ (참고) 수동 배차 확인</t>
        </is>
      </c>
      <c r="C62" s="19" t="inlineStr">
        <is>
          <t>회</t>
        </is>
      </c>
      <c r="D62" s="27">
        <f>INDEX(시스템요약!$B$2:$B$89,MATCH("수동 배차 확인 개입 횟수",시스템요약!$A$2:$A$89,0))</f>
        <v/>
      </c>
      <c r="E62" s="27">
        <f>INDEX(시스템요약!$C$2:$C$89,MATCH("수동 배차 확인 개입 횟수",시스템요약!$A$2:$A$89,0))</f>
        <v/>
      </c>
      <c r="F62" s="21">
        <f>IF(D62=0,"-",(D62-E62)/D62)</f>
        <v/>
      </c>
      <c r="G62" s="22" t="inlineStr">
        <is>
          <t>시스템요약 · 수동 배차 확인 개입 횟수</t>
        </is>
      </c>
      <c r="H62" s="23" t="inlineStr">
        <is>
          <t>이전 판정 기준 — 인력 의존도 KPI 에는 미포함</t>
        </is>
      </c>
    </row>
    <row r="63">
      <c r="A63" s="17" t="n"/>
      <c r="B63" s="12" t="inlineStr">
        <is>
          <t>작업자 투입시간 — 충돌 해결</t>
        </is>
      </c>
      <c r="C63" s="13" t="inlineStr">
        <is>
          <t>min</t>
        </is>
      </c>
      <c r="D63" s="26">
        <f>SUM(충돌_CASE1!$G$2:$G$1016)/60</f>
        <v/>
      </c>
      <c r="E63" s="26">
        <f>SUM(충돌_CASE2!$G$2:$G$2)/60</f>
        <v/>
      </c>
      <c r="F63" s="15">
        <f>IF(D63=0,"-",(D63-E63)/D63)</f>
        <v/>
      </c>
      <c r="G63" s="16" t="inlineStr">
        <is>
          <t>충돌_CASE* · human_intervention_time 합계 ÷ 60</t>
        </is>
      </c>
      <c r="H63" s="5" t="inlineStr">
        <is>
          <t>인력 의존도 주 지표 (충돌 1건 20~60초 랜덤, seed 고정)</t>
        </is>
      </c>
    </row>
    <row r="64">
      <c r="A64" s="24" t="n"/>
      <c r="B64" s="12" t="inlineStr">
        <is>
          <t>작업자 투입시간 — 전체</t>
        </is>
      </c>
      <c r="C64" s="13" t="inlineStr">
        <is>
          <t>min</t>
        </is>
      </c>
      <c r="D64" s="26">
        <f>INDEX(시스템요약!$B$2:$B$89,MATCH("작업자 투입시간(s)",시스템요약!$A$2:$A$89,0))/60</f>
        <v/>
      </c>
      <c r="E64" s="26">
        <f>INDEX(시스템요약!$C$2:$C$89,MATCH("작업자 투입시간(s)",시스템요약!$A$2:$A$89,0))/60</f>
        <v/>
      </c>
      <c r="F64" s="15" t="inlineStr">
        <is>
          <t>-</t>
        </is>
      </c>
      <c r="G64" s="16" t="inlineStr">
        <is>
          <t>시스템요약 · 작업자 투입시간(s) ÷ 60</t>
        </is>
      </c>
      <c r="H64" s="5" t="inlineStr">
        <is>
          <t>충돌 해결 + 태그 부착 + RFID 오류 + 수동 배차 확인</t>
        </is>
      </c>
    </row>
    <row r="66">
      <c r="A66" s="28" t="inlineStr">
        <is>
          <t>읽는 법</t>
        </is>
      </c>
    </row>
    <row r="67">
      <c r="A67" s="10" t="inlineStr">
        <is>
          <t>· 개선율: 낮을수록 좋은 지표 (CASE1−CASE2)/CASE1, 시간당 처리량만 (CASE2−CASE1)/CASE1. 양수 = CASE2 가 좋음. '-' = 비교 대상 아님.</t>
        </is>
      </c>
    </row>
    <row r="68">
      <c r="A68" s="10" t="inlineStr">
        <is>
          <t>· 모든 값은 시뮬레이션 실행값이며, 이 시트의 숫자는 시스템요약·AMR별·주문별 시트를 참조하는 수식입니다.</t>
        </is>
      </c>
    </row>
    <row r="69">
      <c r="A69" s="10" t="inlineStr">
        <is>
          <t>· 병목구간 = RFID 구역·중앙교차로·좁은통로·출고진입부. 판정 기준: docs/new_scenario.md 4장.</t>
        </is>
      </c>
    </row>
    <row r="70">
      <c r="A70" s="10" t="inlineStr">
        <is>
          <t>· 사람개입 판정 기준(5초·20%)과 작업자 개입 시간(10초)은 가정값 — amr_sim/params.py 에서 교체.</t>
        </is>
      </c>
    </row>
  </sheetData>
  <mergeCells count="8">
    <mergeCell ref="A58:A64"/>
    <mergeCell ref="A34:A45"/>
    <mergeCell ref="A29:A33"/>
    <mergeCell ref="A53:A54"/>
    <mergeCell ref="A46:A52"/>
    <mergeCell ref="A55:A57"/>
    <mergeCell ref="A5:A8"/>
    <mergeCell ref="A9:A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 ht="32" customHeight="1">
      <c r="A1" s="29" t="inlineStr">
        <is>
          <t>CASE</t>
        </is>
      </c>
      <c r="B1" s="29" t="inlineStr">
        <is>
          <t>CASE1</t>
        </is>
      </c>
      <c r="C1" s="29" t="inlineStr">
        <is>
          <t>CASE2</t>
        </is>
      </c>
      <c r="D1" s="29" t="inlineStr">
        <is>
          <t>ORTOOLS_ONLY</t>
        </is>
      </c>
      <c r="E1" s="29" t="inlineStr">
        <is>
          <t>COOP_ONLY</t>
        </is>
      </c>
    </row>
    <row r="2">
      <c r="A2" s="30" t="inlineStr">
        <is>
          <t>배정</t>
        </is>
      </c>
      <c r="B2" s="30" t="inlineStr">
        <is>
          <t>단순 순차</t>
        </is>
      </c>
      <c r="C2" s="30" t="inlineStr">
        <is>
          <t>OR-Tools VRP</t>
        </is>
      </c>
      <c r="D2" s="30" t="inlineStr">
        <is>
          <t>OR-Tools VRP</t>
        </is>
      </c>
      <c r="E2" s="30" t="inlineStr">
        <is>
          <t>단순 순차</t>
        </is>
      </c>
    </row>
    <row r="3">
      <c r="A3" s="30" t="inlineStr">
        <is>
          <t>경로</t>
        </is>
      </c>
      <c r="B3" s="30" t="inlineStr">
        <is>
          <t>독립 A*</t>
        </is>
      </c>
      <c r="C3" s="30" t="inlineStr">
        <is>
          <t>Cooperative A* + 예약테이블</t>
        </is>
      </c>
      <c r="D3" s="30" t="inlineStr">
        <is>
          <t>독립 A*</t>
        </is>
      </c>
      <c r="E3" s="30" t="inlineStr">
        <is>
          <t>Cooperative A* + 예약테이블</t>
        </is>
      </c>
    </row>
    <row r="4">
      <c r="A4" s="30" t="inlineStr">
        <is>
          <t>완료시간(makespan,s)</t>
        </is>
      </c>
      <c r="B4" s="31" t="n">
        <v>48812.6</v>
      </c>
      <c r="C4" s="31" t="n">
        <v>36999.4</v>
      </c>
      <c r="D4" s="31" t="n">
        <v>36660</v>
      </c>
      <c r="E4" s="31" t="n">
        <v>51471.9</v>
      </c>
    </row>
    <row r="5">
      <c r="A5" s="30" t="inlineStr">
        <is>
          <t>시간당 처리량(건/h)</t>
        </is>
      </c>
      <c r="B5" s="31" t="n">
        <v>73.8</v>
      </c>
      <c r="C5" s="31" t="n">
        <v>97.3</v>
      </c>
      <c r="D5" s="31" t="n">
        <v>98.2</v>
      </c>
      <c r="E5" s="31" t="n">
        <v>69.90000000000001</v>
      </c>
    </row>
    <row r="6">
      <c r="A6" s="30" t="inlineStr">
        <is>
          <t>평균 총처리시간(s)</t>
        </is>
      </c>
      <c r="B6" s="31" t="n">
        <v>17497.2</v>
      </c>
      <c r="C6" s="31" t="n">
        <v>11673.8</v>
      </c>
      <c r="D6" s="31" t="n">
        <v>11482.6</v>
      </c>
      <c r="E6" s="31" t="n">
        <v>18806.8</v>
      </c>
    </row>
    <row r="7">
      <c r="A7" s="30" t="inlineStr">
        <is>
          <t>평균 주문 대응시간(s)</t>
        </is>
      </c>
      <c r="B7" s="31" t="n">
        <v>17380.3</v>
      </c>
      <c r="C7" s="31" t="n">
        <v>11336.2</v>
      </c>
      <c r="D7" s="31" t="n">
        <v>11170</v>
      </c>
      <c r="E7" s="31" t="n">
        <v>18693.8</v>
      </c>
    </row>
    <row r="8">
      <c r="A8" s="30" t="inlineStr">
        <is>
          <t>평균 실행시간(s)</t>
        </is>
      </c>
      <c r="B8" s="31" t="n">
        <v>116.9</v>
      </c>
      <c r="C8" s="31" t="n">
        <v>337.6</v>
      </c>
      <c r="D8" s="31" t="n">
        <v>312.6</v>
      </c>
      <c r="E8" s="31" t="n">
        <v>113</v>
      </c>
    </row>
    <row r="9">
      <c r="A9" s="30" t="inlineStr">
        <is>
          <t>최대 대기 주문 수</t>
        </is>
      </c>
      <c r="B9" s="32" t="n">
        <v>711</v>
      </c>
      <c r="C9" s="32" t="n">
        <v>614</v>
      </c>
      <c r="D9" s="32" t="n">
        <v>610</v>
      </c>
      <c r="E9" s="32" t="n">
        <v>726</v>
      </c>
    </row>
    <row r="10">
      <c r="A10" s="30" t="inlineStr">
        <is>
          <t>최대 대기 작업 수</t>
        </is>
      </c>
      <c r="B10" s="32" t="n">
        <v>712</v>
      </c>
      <c r="C10" s="32" t="n">
        <v>621</v>
      </c>
      <c r="D10" s="32" t="n">
        <v>616</v>
      </c>
      <c r="E10" s="32" t="n">
        <v>726</v>
      </c>
    </row>
    <row r="11">
      <c r="A11" s="30" t="inlineStr">
        <is>
          <t>작업 완료 후 정책</t>
        </is>
      </c>
      <c r="B11" s="30" t="inlineStr">
        <is>
          <t>작업장(입고장) 복귀</t>
        </is>
      </c>
      <c r="C11" s="30" t="inlineStr">
        <is>
          <t>후속 작업 연속 수행</t>
        </is>
      </c>
      <c r="D11" s="30" t="inlineStr">
        <is>
          <t>후속 작업 연속 수행</t>
        </is>
      </c>
      <c r="E11" s="30" t="inlineStr">
        <is>
          <t>작업장(입고장) 복귀</t>
        </is>
      </c>
    </row>
    <row r="12">
      <c r="A12" s="30" t="inlineStr">
        <is>
          <t>완료 작업 수(입고+출고)</t>
        </is>
      </c>
      <c r="B12" s="32" t="n">
        <v>2000</v>
      </c>
      <c r="C12" s="32" t="n">
        <v>2000</v>
      </c>
      <c r="D12" s="32" t="n">
        <v>2000</v>
      </c>
      <c r="E12" s="32" t="n">
        <v>2000</v>
      </c>
    </row>
    <row r="13">
      <c r="A13" s="30" t="inlineStr">
        <is>
          <t>연속 수행 작업 수</t>
        </is>
      </c>
      <c r="B13" s="32" t="n">
        <v>0</v>
      </c>
      <c r="C13" s="32" t="n">
        <v>1996</v>
      </c>
      <c r="D13" s="32" t="n">
        <v>1996</v>
      </c>
      <c r="E13" s="32" t="n">
        <v>0</v>
      </c>
    </row>
    <row r="14">
      <c r="A14" s="30" t="inlineStr">
        <is>
          <t>연속 수행 비율(%)</t>
        </is>
      </c>
      <c r="B14" s="31" t="n">
        <v>0</v>
      </c>
      <c r="C14" s="31" t="n">
        <v>99.8</v>
      </c>
      <c r="D14" s="31" t="n">
        <v>99.8</v>
      </c>
      <c r="E14" s="31" t="n">
        <v>0</v>
      </c>
    </row>
    <row r="15">
      <c r="A15" s="30" t="inlineStr">
        <is>
          <t>작업장 복귀 횟수</t>
        </is>
      </c>
      <c r="B15" s="32" t="n">
        <v>1999</v>
      </c>
      <c r="C15" s="32" t="n">
        <v>0</v>
      </c>
      <c r="D15" s="32" t="n">
        <v>0</v>
      </c>
      <c r="E15" s="32" t="n">
        <v>1998</v>
      </c>
    </row>
    <row r="16">
      <c r="A16" s="30" t="inlineStr">
        <is>
          <t>같은 AMR 가 입고→출고 연속 수행한 주문 수</t>
        </is>
      </c>
      <c r="B16" s="32" t="n">
        <v>0</v>
      </c>
      <c r="C16" s="32" t="n">
        <v>760</v>
      </c>
      <c r="D16" s="32" t="n">
        <v>770</v>
      </c>
      <c r="E16" s="32" t="n">
        <v>0</v>
      </c>
    </row>
    <row r="17">
      <c r="A17" s="30" t="inlineStr">
        <is>
          <t>AMR별 작업 수 최대-최소 차</t>
        </is>
      </c>
      <c r="B17" s="32" t="n">
        <v>7</v>
      </c>
      <c r="C17" s="32" t="n">
        <v>1</v>
      </c>
      <c r="D17" s="32" t="n">
        <v>1</v>
      </c>
      <c r="E17" s="32" t="n">
        <v>2</v>
      </c>
    </row>
    <row r="18">
      <c r="A18" s="30" t="inlineStr">
        <is>
          <t>총 이동거리(m)</t>
        </is>
      </c>
      <c r="B18" s="32" t="n">
        <v>92987</v>
      </c>
      <c r="C18" s="32" t="n">
        <v>60929</v>
      </c>
      <c r="D18" s="32" t="n">
        <v>60865</v>
      </c>
      <c r="E18" s="32" t="n">
        <v>93060</v>
      </c>
    </row>
    <row r="19">
      <c r="A19" s="30" t="inlineStr">
        <is>
          <t>총 이동시간(s)</t>
        </is>
      </c>
      <c r="B19" s="31" t="n">
        <v>95211.89999999999</v>
      </c>
      <c r="C19" s="31" t="n">
        <v>61970.5</v>
      </c>
      <c r="D19" s="31" t="n">
        <v>62578.1</v>
      </c>
      <c r="E19" s="31" t="n">
        <v>92655.60000000001</v>
      </c>
    </row>
    <row r="20">
      <c r="A20" s="30" t="inlineStr">
        <is>
          <t>총 작업시간(s)</t>
        </is>
      </c>
      <c r="B20" s="31" t="n">
        <v>44192.2</v>
      </c>
      <c r="C20" s="31" t="n">
        <v>44192.2</v>
      </c>
      <c r="D20" s="31" t="n">
        <v>44192.2</v>
      </c>
      <c r="E20" s="31" t="n">
        <v>44192.2</v>
      </c>
    </row>
    <row r="21">
      <c r="A21" s="30" t="inlineStr">
        <is>
          <t>총 대기시간(s)</t>
        </is>
      </c>
      <c r="B21" s="31" t="n">
        <v>6734.1</v>
      </c>
      <c r="C21" s="31" t="n">
        <v>4737.4</v>
      </c>
      <c r="D21" s="31" t="n">
        <v>3079.2</v>
      </c>
      <c r="E21" s="31" t="n">
        <v>17296.3</v>
      </c>
    </row>
    <row r="22">
      <c r="A22" s="30" t="inlineStr">
        <is>
          <t>총 유휴시간(s)</t>
        </is>
      </c>
      <c r="B22" s="31" t="n">
        <v>299.9</v>
      </c>
      <c r="C22" s="31" t="n">
        <v>98.40000000000001</v>
      </c>
      <c r="D22" s="31" t="n">
        <v>130.8</v>
      </c>
      <c r="E22" s="31" t="n">
        <v>271.9</v>
      </c>
    </row>
    <row r="23">
      <c r="A23" s="30" t="inlineStr">
        <is>
          <t>정지 횟수</t>
        </is>
      </c>
      <c r="B23" s="32" t="n">
        <v>1680</v>
      </c>
      <c r="C23" s="32" t="n">
        <v>710</v>
      </c>
      <c r="D23" s="32" t="n">
        <v>636</v>
      </c>
      <c r="E23" s="32" t="n">
        <v>1532</v>
      </c>
    </row>
    <row r="24">
      <c r="A24" s="30" t="inlineStr">
        <is>
          <t>설비 가동률(%)</t>
        </is>
      </c>
      <c r="B24" s="31" t="n">
        <v>95.2</v>
      </c>
      <c r="C24" s="31" t="n">
        <v>95.59999999999999</v>
      </c>
      <c r="D24" s="31" t="n">
        <v>97.09999999999999</v>
      </c>
      <c r="E24" s="31" t="n">
        <v>88.59999999999999</v>
      </c>
    </row>
    <row r="25">
      <c r="A25" s="30" t="inlineStr">
        <is>
          <t>경로 충돌 횟수</t>
        </is>
      </c>
      <c r="B25" s="32" t="n">
        <v>557</v>
      </c>
      <c r="C25" s="32" t="n">
        <v>1</v>
      </c>
      <c r="D25" s="32" t="n">
        <v>114</v>
      </c>
      <c r="E25" s="32" t="n">
        <v>5</v>
      </c>
    </row>
    <row r="26">
      <c r="A26" s="30" t="inlineStr">
        <is>
          <t>경로 충돌 대기시간(s)</t>
        </is>
      </c>
      <c r="B26" s="31" t="n">
        <v>340.4</v>
      </c>
      <c r="C26" s="31" t="n">
        <v>0.1</v>
      </c>
      <c r="D26" s="31" t="n">
        <v>68.40000000000001</v>
      </c>
      <c r="E26" s="31" t="n">
        <v>0.5</v>
      </c>
    </row>
    <row r="27">
      <c r="A27" s="30" t="inlineStr">
        <is>
          <t>경로 충돌 평균 지속(s)</t>
        </is>
      </c>
      <c r="B27" s="31" t="n">
        <v>0.6</v>
      </c>
      <c r="C27" s="31" t="n">
        <v>0.1</v>
      </c>
      <c r="D27" s="31" t="n">
        <v>0.6</v>
      </c>
      <c r="E27" s="31" t="n">
        <v>0.1</v>
      </c>
    </row>
    <row r="28">
      <c r="A28" s="30" t="inlineStr">
        <is>
          <t>경로 충돌 최대 지속(s)</t>
        </is>
      </c>
      <c r="B28" s="31" t="n">
        <v>2.6</v>
      </c>
      <c r="C28" s="31" t="n">
        <v>0.1</v>
      </c>
      <c r="D28" s="31" t="n">
        <v>1.6</v>
      </c>
      <c r="E28" s="31" t="n">
        <v>0.1</v>
      </c>
    </row>
    <row r="29">
      <c r="A29" s="30" t="inlineStr">
        <is>
          <t>경로 충돌 관련 주문수</t>
        </is>
      </c>
      <c r="B29" s="32" t="n">
        <v>427</v>
      </c>
      <c r="C29" s="32" t="n">
        <v>2</v>
      </c>
      <c r="D29" s="32" t="n">
        <v>206</v>
      </c>
      <c r="E29" s="32" t="n">
        <v>0</v>
      </c>
    </row>
    <row r="30">
      <c r="A30" s="30" t="inlineStr">
        <is>
          <t>정면 충돌 횟수</t>
        </is>
      </c>
      <c r="B30" s="32" t="n">
        <v>458</v>
      </c>
      <c r="C30" s="32" t="n">
        <v>0</v>
      </c>
      <c r="D30" s="32" t="n">
        <v>71</v>
      </c>
      <c r="E30" s="32" t="n">
        <v>0</v>
      </c>
    </row>
    <row r="31">
      <c r="A31" s="30" t="inlineStr">
        <is>
          <t>정면 충돌 대기시간(s)</t>
        </is>
      </c>
      <c r="B31" s="31" t="n">
        <v>665.9</v>
      </c>
      <c r="C31" s="32" t="n">
        <v>0</v>
      </c>
      <c r="D31" s="31" t="n">
        <v>102.9</v>
      </c>
      <c r="E31" s="32" t="n">
        <v>0</v>
      </c>
    </row>
    <row r="32">
      <c r="A32" s="30" t="inlineStr">
        <is>
          <t>정면 충돌 평균 지속(s)</t>
        </is>
      </c>
      <c r="B32" s="31" t="n">
        <v>1.5</v>
      </c>
      <c r="C32" s="31" t="n">
        <v>0</v>
      </c>
      <c r="D32" s="31" t="n">
        <v>1.4</v>
      </c>
      <c r="E32" s="31" t="n">
        <v>0</v>
      </c>
    </row>
    <row r="33">
      <c r="A33" s="30" t="inlineStr">
        <is>
          <t>정면 충돌 최대 지속(s)</t>
        </is>
      </c>
      <c r="B33" s="31" t="n">
        <v>2</v>
      </c>
      <c r="C33" s="31" t="n">
        <v>0</v>
      </c>
      <c r="D33" s="31" t="n">
        <v>2</v>
      </c>
      <c r="E33" s="31" t="n">
        <v>0</v>
      </c>
    </row>
    <row r="34">
      <c r="A34" s="30" t="inlineStr">
        <is>
          <t>정면 충돌 관련 주문수</t>
        </is>
      </c>
      <c r="B34" s="32" t="n">
        <v>395</v>
      </c>
      <c r="C34" s="32" t="n">
        <v>0</v>
      </c>
      <c r="D34" s="32" t="n">
        <v>135</v>
      </c>
      <c r="E34" s="32" t="n">
        <v>0</v>
      </c>
    </row>
    <row r="35">
      <c r="A35" s="30" t="inlineStr">
        <is>
          <t>병목 횟수</t>
        </is>
      </c>
      <c r="B35" s="32" t="n">
        <v>328</v>
      </c>
      <c r="C35" s="32" t="n">
        <v>316</v>
      </c>
      <c r="D35" s="32" t="n">
        <v>314</v>
      </c>
      <c r="E35" s="32" t="n">
        <v>221</v>
      </c>
    </row>
    <row r="36">
      <c r="A36" s="30" t="inlineStr">
        <is>
          <t>병목 대기시간(s)</t>
        </is>
      </c>
      <c r="B36" s="31" t="n">
        <v>1537.8</v>
      </c>
      <c r="C36" s="31" t="n">
        <v>2090.2</v>
      </c>
      <c r="D36" s="31" t="n">
        <v>1847.9</v>
      </c>
      <c r="E36" s="31" t="n">
        <v>1532.7</v>
      </c>
    </row>
    <row r="37">
      <c r="A37" s="30" t="inlineStr">
        <is>
          <t>병목 평균 지속(s)</t>
        </is>
      </c>
      <c r="B37" s="31" t="n">
        <v>4.7</v>
      </c>
      <c r="C37" s="31" t="n">
        <v>6.6</v>
      </c>
      <c r="D37" s="31" t="n">
        <v>5.9</v>
      </c>
      <c r="E37" s="31" t="n">
        <v>6.9</v>
      </c>
    </row>
    <row r="38">
      <c r="A38" s="30" t="inlineStr">
        <is>
          <t>병목 최대 지속(s)</t>
        </is>
      </c>
      <c r="B38" s="31" t="n">
        <v>14</v>
      </c>
      <c r="C38" s="31" t="n">
        <v>22.2</v>
      </c>
      <c r="D38" s="31" t="n">
        <v>13.8</v>
      </c>
      <c r="E38" s="31" t="n">
        <v>25</v>
      </c>
    </row>
    <row r="39">
      <c r="A39" s="30" t="inlineStr">
        <is>
          <t>병목 관련 주문수</t>
        </is>
      </c>
      <c r="B39" s="32" t="n">
        <v>231</v>
      </c>
      <c r="C39" s="32" t="n">
        <v>270</v>
      </c>
      <c r="D39" s="32" t="n">
        <v>277</v>
      </c>
      <c r="E39" s="32" t="n">
        <v>204</v>
      </c>
    </row>
    <row r="40">
      <c r="A40" s="30" t="inlineStr">
        <is>
          <t>병목구간 최대 동시 대기 AMR 수</t>
        </is>
      </c>
      <c r="B40" s="32" t="n">
        <v>2</v>
      </c>
      <c r="C40" s="32" t="n">
        <v>2</v>
      </c>
      <c r="D40" s="32" t="n">
        <v>2</v>
      </c>
      <c r="E40" s="32" t="n">
        <v>2</v>
      </c>
    </row>
    <row r="41">
      <c r="A41" s="30" t="inlineStr">
        <is>
          <t>병목구간 대기 경험 AMR 수</t>
        </is>
      </c>
      <c r="B41" s="32" t="n">
        <v>3</v>
      </c>
      <c r="C41" s="32" t="n">
        <v>3</v>
      </c>
      <c r="D41" s="32" t="n">
        <v>3</v>
      </c>
      <c r="E41" s="32" t="n">
        <v>3</v>
      </c>
    </row>
    <row r="42">
      <c r="A42" s="30" t="inlineStr">
        <is>
          <t>병목[RFID] 횟수</t>
        </is>
      </c>
      <c r="B42" s="32" t="n">
        <v>1</v>
      </c>
      <c r="C42" s="32" t="n">
        <v>16</v>
      </c>
      <c r="D42" s="32" t="n">
        <v>1</v>
      </c>
      <c r="E42" s="32" t="n">
        <v>4</v>
      </c>
    </row>
    <row r="43">
      <c r="A43" s="30" t="inlineStr">
        <is>
          <t>병목[RFID] 대기시간(s)</t>
        </is>
      </c>
      <c r="B43" s="31" t="n">
        <v>2.2</v>
      </c>
      <c r="C43" s="31" t="n">
        <v>34.6</v>
      </c>
      <c r="D43" s="31" t="n">
        <v>2.1</v>
      </c>
      <c r="E43" s="31" t="n">
        <v>9</v>
      </c>
    </row>
    <row r="44">
      <c r="A44" s="30" t="inlineStr">
        <is>
          <t>병목[RFID] 최대 동시 대기 AMR 수</t>
        </is>
      </c>
      <c r="B44" s="32" t="n">
        <v>1</v>
      </c>
      <c r="C44" s="32" t="n">
        <v>1</v>
      </c>
      <c r="D44" s="32" t="n">
        <v>1</v>
      </c>
      <c r="E44" s="32" t="n">
        <v>1</v>
      </c>
    </row>
    <row r="45">
      <c r="A45" s="30" t="inlineStr">
        <is>
          <t>병목[중앙교차로] 횟수</t>
        </is>
      </c>
      <c r="B45" s="32" t="n">
        <v>158</v>
      </c>
      <c r="C45" s="32" t="n">
        <v>12</v>
      </c>
      <c r="D45" s="32" t="n">
        <v>71</v>
      </c>
      <c r="E45" s="32" t="n">
        <v>37</v>
      </c>
    </row>
    <row r="46">
      <c r="A46" s="30" t="inlineStr">
        <is>
          <t>병목[중앙교차로] 대기시간(s)</t>
        </is>
      </c>
      <c r="B46" s="31" t="n">
        <v>372.4</v>
      </c>
      <c r="C46" s="31" t="n">
        <v>24.5</v>
      </c>
      <c r="D46" s="31" t="n">
        <v>164.7</v>
      </c>
      <c r="E46" s="31" t="n">
        <v>274</v>
      </c>
    </row>
    <row r="47">
      <c r="A47" s="30" t="inlineStr">
        <is>
          <t>병목[중앙교차로] 최대 동시 대기 AMR 수</t>
        </is>
      </c>
      <c r="B47" s="32" t="n">
        <v>2</v>
      </c>
      <c r="C47" s="32" t="n">
        <v>1</v>
      </c>
      <c r="D47" s="32" t="n">
        <v>1</v>
      </c>
      <c r="E47" s="32" t="n">
        <v>1</v>
      </c>
    </row>
    <row r="48">
      <c r="A48" s="30" t="inlineStr">
        <is>
          <t>병목[좁은통로] 횟수</t>
        </is>
      </c>
      <c r="B48" s="32" t="n">
        <v>16</v>
      </c>
      <c r="C48" s="32" t="n">
        <v>2</v>
      </c>
      <c r="D48" s="32" t="n">
        <v>21</v>
      </c>
      <c r="E48" s="32" t="n">
        <v>0</v>
      </c>
    </row>
    <row r="49">
      <c r="A49" s="30" t="inlineStr">
        <is>
          <t>병목[좁은통로] 대기시간(s)</t>
        </is>
      </c>
      <c r="B49" s="31" t="n">
        <v>22.5</v>
      </c>
      <c r="C49" s="31" t="n">
        <v>0.2</v>
      </c>
      <c r="D49" s="31" t="n">
        <v>66.5</v>
      </c>
      <c r="E49" s="32" t="n">
        <v>0</v>
      </c>
    </row>
    <row r="50">
      <c r="A50" s="30" t="inlineStr">
        <is>
          <t>병목[좁은통로] 최대 동시 대기 AMR 수</t>
        </is>
      </c>
      <c r="B50" s="32" t="n">
        <v>1</v>
      </c>
      <c r="C50" s="32" t="n">
        <v>1</v>
      </c>
      <c r="D50" s="32" t="n">
        <v>1</v>
      </c>
      <c r="E50" s="32" t="n">
        <v>0</v>
      </c>
    </row>
    <row r="51">
      <c r="A51" s="30" t="inlineStr">
        <is>
          <t>병목[출고진입부] 횟수</t>
        </is>
      </c>
      <c r="B51" s="32" t="n">
        <v>153</v>
      </c>
      <c r="C51" s="32" t="n">
        <v>286</v>
      </c>
      <c r="D51" s="32" t="n">
        <v>221</v>
      </c>
      <c r="E51" s="32" t="n">
        <v>180</v>
      </c>
    </row>
    <row r="52">
      <c r="A52" s="30" t="inlineStr">
        <is>
          <t>병목[출고진입부] 대기시간(s)</t>
        </is>
      </c>
      <c r="B52" s="31" t="n">
        <v>1140.7</v>
      </c>
      <c r="C52" s="31" t="n">
        <v>2030.9</v>
      </c>
      <c r="D52" s="31" t="n">
        <v>1614.6</v>
      </c>
      <c r="E52" s="31" t="n">
        <v>1249.7</v>
      </c>
    </row>
    <row r="53">
      <c r="A53" s="30" t="inlineStr">
        <is>
          <t>병목[출고진입부] 최대 동시 대기 AMR 수</t>
        </is>
      </c>
      <c r="B53" s="32" t="n">
        <v>1</v>
      </c>
      <c r="C53" s="32" t="n">
        <v>2</v>
      </c>
      <c r="D53" s="32" t="n">
        <v>1</v>
      </c>
      <c r="E53" s="32" t="n">
        <v>1</v>
      </c>
    </row>
    <row r="54">
      <c r="A54" s="30" t="inlineStr">
        <is>
          <t>배차 비효율 횟수</t>
        </is>
      </c>
      <c r="B54" s="32" t="n">
        <v>2</v>
      </c>
      <c r="C54" s="32" t="n">
        <v>105</v>
      </c>
      <c r="D54" s="32" t="n">
        <v>89</v>
      </c>
      <c r="E54" s="32" t="n">
        <v>2</v>
      </c>
    </row>
    <row r="55">
      <c r="A55" s="30" t="inlineStr">
        <is>
          <t>배차 비효율률(%)</t>
        </is>
      </c>
      <c r="B55" s="31" t="n">
        <v>0.2</v>
      </c>
      <c r="C55" s="31" t="n">
        <v>10.5</v>
      </c>
      <c r="D55" s="31" t="n">
        <v>8.9</v>
      </c>
      <c r="E55" s="31" t="n">
        <v>0.2</v>
      </c>
    </row>
    <row r="56">
      <c r="A56" s="30" t="inlineStr">
        <is>
          <t>배차 추가 이동거리(m)</t>
        </is>
      </c>
      <c r="B56" s="32" t="n">
        <v>32</v>
      </c>
      <c r="C56" s="32" t="n">
        <v>1129</v>
      </c>
      <c r="D56" s="32" t="n">
        <v>913</v>
      </c>
      <c r="E56" s="32" t="n">
        <v>32</v>
      </c>
    </row>
    <row r="57">
      <c r="A57" s="30" t="inlineStr">
        <is>
          <t>배차 추가 예상시간(s)</t>
        </is>
      </c>
      <c r="B57" s="31" t="n">
        <v>3.1</v>
      </c>
      <c r="C57" s="31" t="n">
        <v>489.2</v>
      </c>
      <c r="D57" s="31" t="n">
        <v>369.3</v>
      </c>
      <c r="E57" s="31" t="n">
        <v>3.1</v>
      </c>
    </row>
    <row r="58">
      <c r="A58" s="30" t="inlineStr">
        <is>
          <t>장시간 정체 개입 횟수</t>
        </is>
      </c>
      <c r="B58" s="32" t="n">
        <v>437</v>
      </c>
      <c r="C58" s="32" t="n">
        <v>381</v>
      </c>
      <c r="D58" s="32" t="n">
        <v>232</v>
      </c>
      <c r="E58" s="32" t="n">
        <v>1016</v>
      </c>
    </row>
    <row r="59">
      <c r="A59" s="30" t="inlineStr">
        <is>
          <t>장시간 정체 개입시간(s)</t>
        </is>
      </c>
      <c r="B59" s="31" t="n">
        <v>860.9</v>
      </c>
      <c r="C59" s="31" t="n">
        <v>1914.1</v>
      </c>
      <c r="D59" s="31" t="n">
        <v>802.8</v>
      </c>
      <c r="E59" s="31" t="n">
        <v>11112.4</v>
      </c>
    </row>
    <row r="60">
      <c r="A60" s="30" t="inlineStr">
        <is>
          <t>장시간 정체 관련 주문수</t>
        </is>
      </c>
      <c r="B60" s="32" t="n">
        <v>213</v>
      </c>
      <c r="C60" s="32" t="n">
        <v>322</v>
      </c>
      <c r="D60" s="32" t="n">
        <v>209</v>
      </c>
      <c r="E60" s="32" t="n">
        <v>128</v>
      </c>
    </row>
    <row r="61">
      <c r="A61" s="30" t="inlineStr">
        <is>
          <t>수동 배차 확인 개입 횟수</t>
        </is>
      </c>
      <c r="B61" s="32" t="n">
        <v>0</v>
      </c>
      <c r="C61" s="32" t="n">
        <v>2</v>
      </c>
      <c r="D61" s="32" t="n">
        <v>5</v>
      </c>
      <c r="E61" s="32" t="n">
        <v>0</v>
      </c>
    </row>
    <row r="62">
      <c r="A62" s="30" t="inlineStr">
        <is>
          <t>수동 배차 확인 개입시간(s)</t>
        </is>
      </c>
      <c r="B62" s="31" t="n">
        <v>0</v>
      </c>
      <c r="C62" s="31" t="n">
        <v>20</v>
      </c>
      <c r="D62" s="31" t="n">
        <v>50</v>
      </c>
      <c r="E62" s="31" t="n">
        <v>0</v>
      </c>
    </row>
    <row r="63">
      <c r="A63" s="30" t="inlineStr">
        <is>
          <t>수동 배차 확인 관련 주문수</t>
        </is>
      </c>
      <c r="B63" s="32" t="n">
        <v>0</v>
      </c>
      <c r="C63" s="32" t="n">
        <v>2</v>
      </c>
      <c r="D63" s="32" t="n">
        <v>5</v>
      </c>
      <c r="E63" s="32" t="n">
        <v>0</v>
      </c>
    </row>
    <row r="64">
      <c r="A64" s="30" t="inlineStr">
        <is>
          <t>수동 배차 확인 / 주문 100건</t>
        </is>
      </c>
      <c r="B64" s="31" t="n">
        <v>0</v>
      </c>
      <c r="C64" s="31" t="n">
        <v>0.2</v>
      </c>
      <c r="D64" s="31" t="n">
        <v>0.5</v>
      </c>
      <c r="E64" s="31" t="n">
        <v>0</v>
      </c>
    </row>
    <row r="65">
      <c r="A65" s="30" t="inlineStr">
        <is>
          <t>사람 개입 합계(정체+배차)</t>
        </is>
      </c>
      <c r="B65" s="32" t="n">
        <v>437</v>
      </c>
      <c r="C65" s="32" t="n">
        <v>383</v>
      </c>
      <c r="D65" s="32" t="n">
        <v>237</v>
      </c>
      <c r="E65" s="32" t="n">
        <v>1016</v>
      </c>
    </row>
    <row r="66">
      <c r="A66" s="30" t="inlineStr">
        <is>
          <t>RFID 인식 성공</t>
        </is>
      </c>
      <c r="B66" s="32" t="n">
        <v>984</v>
      </c>
      <c r="C66" s="32" t="n">
        <v>984</v>
      </c>
      <c r="D66" s="32" t="n">
        <v>984</v>
      </c>
      <c r="E66" s="32" t="n">
        <v>984</v>
      </c>
    </row>
    <row r="67">
      <c r="A67" s="30" t="inlineStr">
        <is>
          <t>RFID 인식 실패(감지·작업자 처리)</t>
        </is>
      </c>
      <c r="B67" s="32" t="n">
        <v>9</v>
      </c>
      <c r="C67" s="32" t="n">
        <v>9</v>
      </c>
      <c r="D67" s="32" t="n">
        <v>9</v>
      </c>
      <c r="E67" s="32" t="n">
        <v>9</v>
      </c>
    </row>
    <row r="68">
      <c r="A68" s="30" t="inlineStr">
        <is>
          <t>RFID 오인식(미감지)</t>
        </is>
      </c>
      <c r="B68" s="32" t="n">
        <v>7</v>
      </c>
      <c r="C68" s="32" t="n">
        <v>7</v>
      </c>
      <c r="D68" s="32" t="n">
        <v>7</v>
      </c>
      <c r="E68" s="32" t="n">
        <v>7</v>
      </c>
    </row>
    <row r="69">
      <c r="A69" s="30" t="inlineStr">
        <is>
          <t>RFID 오류 작업자 개입 횟수</t>
        </is>
      </c>
      <c r="B69" s="32" t="n">
        <v>9</v>
      </c>
      <c r="C69" s="32" t="n">
        <v>9</v>
      </c>
      <c r="D69" s="32" t="n">
        <v>9</v>
      </c>
      <c r="E69" s="32" t="n">
        <v>9</v>
      </c>
    </row>
    <row r="70">
      <c r="A70" s="30" t="inlineStr">
        <is>
          <t>작업자 투입시간(s)</t>
        </is>
      </c>
      <c r="B70" s="31" t="n">
        <v>46053</v>
      </c>
      <c r="C70" s="31" t="n">
        <v>5168.4</v>
      </c>
      <c r="D70" s="31" t="n">
        <v>12661.4</v>
      </c>
      <c r="E70" s="31" t="n">
        <v>5267.6</v>
      </c>
    </row>
    <row r="71">
      <c r="A71" s="30" t="inlineStr">
        <is>
          <t>작업자 투입시간[태그부착](s)</t>
        </is>
      </c>
      <c r="B71" s="31" t="n">
        <v>5027.5</v>
      </c>
      <c r="C71" s="31" t="n">
        <v>5027.5</v>
      </c>
      <c r="D71" s="31" t="n">
        <v>5027.5</v>
      </c>
      <c r="E71" s="31" t="n">
        <v>5027.5</v>
      </c>
    </row>
    <row r="72">
      <c r="A72" s="30" t="inlineStr">
        <is>
          <t>작업자 투입시간[RFID 오류](s)</t>
        </is>
      </c>
      <c r="B72" s="31" t="n">
        <v>90</v>
      </c>
      <c r="C72" s="31" t="n">
        <v>90</v>
      </c>
      <c r="D72" s="31" t="n">
        <v>90</v>
      </c>
      <c r="E72" s="31" t="n">
        <v>90</v>
      </c>
    </row>
    <row r="73">
      <c r="A73" s="30" t="inlineStr">
        <is>
          <t>작업자 투입시간[수동 배차 확인](s)</t>
        </is>
      </c>
      <c r="B73" s="31" t="n">
        <v>0</v>
      </c>
      <c r="C73" s="31" t="n">
        <v>20</v>
      </c>
      <c r="D73" s="31" t="n">
        <v>50</v>
      </c>
      <c r="E73" s="31" t="n">
        <v>0</v>
      </c>
    </row>
    <row r="74">
      <c r="A74" s="30" t="inlineStr">
        <is>
          <t>재고 일치 기록 수</t>
        </is>
      </c>
      <c r="B74" s="32" t="n">
        <v>1143</v>
      </c>
      <c r="C74" s="32" t="n">
        <v>1143</v>
      </c>
      <c r="D74" s="32" t="n">
        <v>1143</v>
      </c>
      <c r="E74" s="32" t="n">
        <v>1143</v>
      </c>
    </row>
    <row r="75">
      <c r="A75" s="30" t="inlineStr">
        <is>
          <t>재고 전체 기록 수</t>
        </is>
      </c>
      <c r="B75" s="32" t="n">
        <v>1150</v>
      </c>
      <c r="C75" s="32" t="n">
        <v>1150</v>
      </c>
      <c r="D75" s="32" t="n">
        <v>1150</v>
      </c>
      <c r="E75" s="32" t="n">
        <v>1150</v>
      </c>
    </row>
    <row r="76">
      <c r="A76" s="30" t="inlineStr">
        <is>
          <t>재고 정확도(%)</t>
        </is>
      </c>
      <c r="B76" s="31" t="n">
        <v>99.40000000000001</v>
      </c>
      <c r="C76" s="31" t="n">
        <v>99.40000000000001</v>
      </c>
      <c r="D76" s="31" t="n">
        <v>99.40000000000001</v>
      </c>
      <c r="E76" s="31" t="n">
        <v>99.40000000000001</v>
      </c>
    </row>
    <row r="77">
      <c r="A77" s="30" t="inlineStr">
        <is>
          <t>예약테이블 사전 회피(충돌 예상)</t>
        </is>
      </c>
      <c r="B77" s="32" t="n">
        <v>0</v>
      </c>
      <c r="C77" s="32" t="n">
        <v>531</v>
      </c>
      <c r="D77" s="32" t="n">
        <v>0</v>
      </c>
      <c r="E77" s="32" t="n">
        <v>1029</v>
      </c>
    </row>
    <row r="78">
      <c r="A78" s="30" t="inlineStr">
        <is>
          <t>예약 어긋남 → 재계획</t>
        </is>
      </c>
      <c r="B78" s="32" t="n">
        <v>0</v>
      </c>
      <c r="C78" s="32" t="n">
        <v>159</v>
      </c>
      <c r="D78" s="32" t="n">
        <v>0</v>
      </c>
      <c r="E78" s="32" t="n">
        <v>70</v>
      </c>
    </row>
    <row r="79">
      <c r="A79" s="30" t="inlineStr">
        <is>
          <t>물리적 충돌(같은 칸 동시 점유)</t>
        </is>
      </c>
      <c r="B79" s="32" t="n">
        <v>0</v>
      </c>
      <c r="C79" s="32" t="n">
        <v>0</v>
      </c>
      <c r="D79" s="32" t="n">
        <v>0</v>
      </c>
      <c r="E79" s="32" t="n">
        <v>0</v>
      </c>
    </row>
    <row r="80">
      <c r="A80" s="30" t="inlineStr">
        <is>
          <t>종료 시점 재고 정확도(%)</t>
        </is>
      </c>
      <c r="B80" s="31" t="n">
        <v>100</v>
      </c>
      <c r="C80" s="31" t="n">
        <v>100</v>
      </c>
      <c r="D80" s="31" t="n">
        <v>100</v>
      </c>
      <c r="E80" s="31" t="n">
        <v>100</v>
      </c>
    </row>
    <row r="81">
      <c r="A81" s="30" t="inlineStr">
        <is>
          <t>설비 가동률 — 실작업(%)</t>
        </is>
      </c>
      <c r="B81" s="31" t="n">
        <v>30.178</v>
      </c>
      <c r="C81" s="31" t="n">
        <v>39.813</v>
      </c>
      <c r="D81" s="31" t="n">
        <v>40.182</v>
      </c>
      <c r="E81" s="31" t="n">
        <v>28.619</v>
      </c>
    </row>
    <row r="82">
      <c r="A82" s="30" t="inlineStr">
        <is>
          <t>설비 가동률 — 기존 정의(이동+작업, %)</t>
        </is>
      </c>
      <c r="B82" s="31" t="n">
        <v>95.2</v>
      </c>
      <c r="C82" s="31" t="n">
        <v>95.59999999999999</v>
      </c>
      <c r="D82" s="31" t="n">
        <v>97.09999999999999</v>
      </c>
      <c r="E82" s="31" t="n">
        <v>88.59999999999999</v>
      </c>
    </row>
    <row r="83">
      <c r="A83" s="30" t="inlineStr">
        <is>
          <t>충돌 건수(경로+정면)</t>
        </is>
      </c>
      <c r="B83" s="32" t="n">
        <v>1015</v>
      </c>
      <c r="C83" s="32" t="n">
        <v>1</v>
      </c>
      <c r="D83" s="32" t="n">
        <v>185</v>
      </c>
      <c r="E83" s="32" t="n">
        <v>5</v>
      </c>
    </row>
    <row r="84">
      <c r="A84" s="30" t="inlineStr">
        <is>
          <t>충돌 해결 작업자 개입 횟수</t>
        </is>
      </c>
      <c r="B84" s="32" t="n">
        <v>1015</v>
      </c>
      <c r="C84" s="32" t="n">
        <v>1</v>
      </c>
      <c r="D84" s="32" t="n">
        <v>185</v>
      </c>
      <c r="E84" s="32" t="n">
        <v>5</v>
      </c>
    </row>
    <row r="85">
      <c r="A85" s="30" t="inlineStr">
        <is>
          <t>충돌 해결 작업자 개입시간(s)</t>
        </is>
      </c>
      <c r="B85" s="31" t="n">
        <v>40935.5</v>
      </c>
      <c r="C85" s="31" t="n">
        <v>30.9</v>
      </c>
      <c r="D85" s="31" t="n">
        <v>7493.9</v>
      </c>
      <c r="E85" s="31" t="n">
        <v>150.1</v>
      </c>
    </row>
    <row r="86">
      <c r="A86" s="30" t="inlineStr">
        <is>
          <t>충돌 해결 개입 방식</t>
        </is>
      </c>
      <c r="B86" s="30" t="inlineStr">
        <is>
          <t>시간 기록만 (저장된 충돌 기록으로 사후 계산, AMR 정지 없음)</t>
        </is>
      </c>
      <c r="C86" s="30" t="inlineStr">
        <is>
          <t>시간 기록만 (저장된 충돌 기록으로 사후 계산, AMR 정지 없음)</t>
        </is>
      </c>
      <c r="D86" s="30" t="inlineStr">
        <is>
          <t>시간 기록만 (저장된 충돌 기록으로 사후 계산, AMR 정지 없음)</t>
        </is>
      </c>
      <c r="E86" s="30" t="inlineStr">
        <is>
          <t>시간 기록만 (저장된 충돌 기록으로 사후 계산, AMR 정지 없음)</t>
        </is>
      </c>
    </row>
    <row r="87">
      <c r="A87" s="30" t="inlineStr">
        <is>
          <t>충돌 해결 대기로 AMR 정지한 시간(s)</t>
        </is>
      </c>
      <c r="B87" s="31" t="n">
        <v>0</v>
      </c>
      <c r="C87" s="31" t="n">
        <v>0</v>
      </c>
      <c r="D87" s="31" t="n">
        <v>0</v>
      </c>
      <c r="E87" s="31" t="n">
        <v>0</v>
      </c>
    </row>
    <row r="88">
      <c r="A88" s="30" t="inlineStr">
        <is>
          <t>충돌 외 사람개입 합계(정체+배차, 참고)</t>
        </is>
      </c>
      <c r="B88" s="32" t="n">
        <v>437</v>
      </c>
      <c r="C88" s="32" t="n">
        <v>383</v>
      </c>
      <c r="D88" s="32" t="n">
        <v>237</v>
      </c>
      <c r="E88" s="32" t="n">
        <v>1016</v>
      </c>
    </row>
    <row r="89">
      <c r="A89" s="30" t="inlineStr">
        <is>
          <t>작업자 투입시간[충돌 해결](s)</t>
        </is>
      </c>
      <c r="B89" s="31" t="n">
        <v>40935.5</v>
      </c>
      <c r="C89" s="31" t="n">
        <v>30.9</v>
      </c>
      <c r="D89" s="31" t="n">
        <v>7493.9</v>
      </c>
      <c r="E89" s="31" t="n">
        <v>150.1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.2" customWidth="1" min="4" max="4"/>
    <col width="11.2" customWidth="1" min="5" max="5"/>
    <col width="11.2" customWidth="1" min="6" max="6"/>
    <col width="11.2" customWidth="1" min="7" max="7"/>
    <col width="11.2" customWidth="1" min="8" max="8"/>
    <col width="11.2" customWidth="1" min="9" max="9"/>
    <col width="10" customWidth="1" min="10" max="10"/>
    <col width="10" customWidth="1" min="11" max="11"/>
    <col width="10" customWidth="1" min="12" max="12"/>
    <col width="17.6" customWidth="1" min="13" max="13"/>
    <col width="11.2" customWidth="1" min="14" max="14"/>
    <col width="11.2" customWidth="1" min="15" max="15"/>
    <col width="16" customWidth="1" min="16" max="16"/>
    <col width="14.4" customWidth="1" min="17" max="17"/>
    <col width="11.2" customWidth="1" min="18" max="18"/>
    <col width="11.2" customWidth="1" min="19" max="19"/>
    <col width="10" customWidth="1" min="20" max="20"/>
    <col width="12.8" customWidth="1" min="21" max="21"/>
  </cols>
  <sheetData>
    <row r="1" ht="32" customHeight="1">
      <c r="A1" s="29" t="inlineStr">
        <is>
          <t>CASE</t>
        </is>
      </c>
      <c r="B1" s="29" t="inlineStr">
        <is>
          <t>AMR</t>
        </is>
      </c>
      <c r="C1" s="29" t="inlineStr">
        <is>
          <t>처리건수</t>
        </is>
      </c>
      <c r="D1" s="29" t="inlineStr">
        <is>
          <t>이동거리(m)</t>
        </is>
      </c>
      <c r="E1" s="29" t="inlineStr">
        <is>
          <t>이동시간(s)</t>
        </is>
      </c>
      <c r="F1" s="29" t="inlineStr">
        <is>
          <t>작업시간(s)</t>
        </is>
      </c>
      <c r="G1" s="29" t="inlineStr">
        <is>
          <t>대기시간(s)</t>
        </is>
      </c>
      <c r="H1" s="29" t="inlineStr">
        <is>
          <t>유휴시간(s)</t>
        </is>
      </c>
      <c r="I1" s="29" t="inlineStr">
        <is>
          <t>태그대기(s)</t>
        </is>
      </c>
      <c r="J1" s="29" t="inlineStr">
        <is>
          <t>고장(s)</t>
        </is>
      </c>
      <c r="K1" s="29" t="inlineStr">
        <is>
          <t>정지 횟수</t>
        </is>
      </c>
      <c r="L1" s="29" t="inlineStr">
        <is>
          <t>가동률(%)</t>
        </is>
      </c>
      <c r="M1" s="29" t="inlineStr">
        <is>
          <t>시간당 처리(건/h)</t>
        </is>
      </c>
      <c r="N1" s="29" t="inlineStr">
        <is>
          <t>입고 작업 수</t>
        </is>
      </c>
      <c r="O1" s="29" t="inlineStr">
        <is>
          <t>출고 작업 수</t>
        </is>
      </c>
      <c r="P1" s="29" t="inlineStr">
        <is>
          <t>연속 수행 작업 수</t>
        </is>
      </c>
      <c r="Q1" s="29" t="inlineStr">
        <is>
          <t>작업장 복귀 횟수</t>
        </is>
      </c>
      <c r="R1" s="29" t="inlineStr">
        <is>
          <t>경로충돌 관여</t>
        </is>
      </c>
      <c r="S1" s="29" t="inlineStr">
        <is>
          <t>정면충돌 관여</t>
        </is>
      </c>
      <c r="T1" s="29" t="inlineStr">
        <is>
          <t>병목 횟수</t>
        </is>
      </c>
      <c r="U1" s="29" t="inlineStr">
        <is>
          <t>장시간정체 개입</t>
        </is>
      </c>
    </row>
    <row r="2">
      <c r="A2" s="30" t="inlineStr">
        <is>
          <t>CASE1</t>
        </is>
      </c>
      <c r="B2" s="30" t="inlineStr">
        <is>
          <t>AMR1</t>
        </is>
      </c>
      <c r="C2" s="32" t="n">
        <v>329</v>
      </c>
      <c r="D2" s="32" t="n">
        <v>30996</v>
      </c>
      <c r="E2" s="31" t="n">
        <v>31725.3</v>
      </c>
      <c r="F2" s="31" t="n">
        <v>14650.1</v>
      </c>
      <c r="G2" s="31" t="n">
        <v>2343.3</v>
      </c>
      <c r="H2" s="31" t="n">
        <v>94</v>
      </c>
      <c r="I2" s="31" t="n">
        <v>0</v>
      </c>
      <c r="J2" s="31" t="n">
        <v>0</v>
      </c>
      <c r="K2" s="32" t="n">
        <v>582</v>
      </c>
      <c r="L2" s="31" t="n">
        <v>95</v>
      </c>
      <c r="M2" s="31" t="n">
        <v>24.3</v>
      </c>
      <c r="N2" s="32" t="n">
        <v>333</v>
      </c>
      <c r="O2" s="32" t="n">
        <v>329</v>
      </c>
      <c r="P2" s="32" t="n">
        <v>0</v>
      </c>
      <c r="Q2" s="32" t="n">
        <v>662</v>
      </c>
      <c r="R2" s="32" t="n">
        <v>372</v>
      </c>
      <c r="S2" s="32" t="n">
        <v>308</v>
      </c>
      <c r="T2" s="32" t="n">
        <v>119</v>
      </c>
      <c r="U2" s="32" t="n">
        <v>153</v>
      </c>
    </row>
    <row r="3">
      <c r="A3" s="30" t="inlineStr">
        <is>
          <t>CASE1</t>
        </is>
      </c>
      <c r="B3" s="30" t="inlineStr">
        <is>
          <t>AMR2</t>
        </is>
      </c>
      <c r="C3" s="32" t="n">
        <v>337</v>
      </c>
      <c r="D3" s="32" t="n">
        <v>31023</v>
      </c>
      <c r="E3" s="31" t="n">
        <v>31776.8</v>
      </c>
      <c r="F3" s="31" t="n">
        <v>14747.5</v>
      </c>
      <c r="G3" s="31" t="n">
        <v>2188.2</v>
      </c>
      <c r="H3" s="31" t="n">
        <v>100.2</v>
      </c>
      <c r="I3" s="31" t="n">
        <v>0</v>
      </c>
      <c r="J3" s="31" t="n">
        <v>0</v>
      </c>
      <c r="K3" s="32" t="n">
        <v>541</v>
      </c>
      <c r="L3" s="31" t="n">
        <v>95.3</v>
      </c>
      <c r="M3" s="31" t="n">
        <v>24.9</v>
      </c>
      <c r="N3" s="32" t="n">
        <v>332</v>
      </c>
      <c r="O3" s="32" t="n">
        <v>337</v>
      </c>
      <c r="P3" s="32" t="n">
        <v>0</v>
      </c>
      <c r="Q3" s="32" t="n">
        <v>668</v>
      </c>
      <c r="R3" s="32" t="n">
        <v>372</v>
      </c>
      <c r="S3" s="32" t="n">
        <v>306</v>
      </c>
      <c r="T3" s="32" t="n">
        <v>105</v>
      </c>
      <c r="U3" s="32" t="n">
        <v>136</v>
      </c>
    </row>
    <row r="4">
      <c r="A4" s="30" t="inlineStr">
        <is>
          <t>CASE1</t>
        </is>
      </c>
      <c r="B4" s="30" t="inlineStr">
        <is>
          <t>AMR3</t>
        </is>
      </c>
      <c r="C4" s="32" t="n">
        <v>334</v>
      </c>
      <c r="D4" s="32" t="n">
        <v>30968</v>
      </c>
      <c r="E4" s="31" t="n">
        <v>31709.8</v>
      </c>
      <c r="F4" s="31" t="n">
        <v>14794.6</v>
      </c>
      <c r="G4" s="31" t="n">
        <v>2202.6</v>
      </c>
      <c r="H4" s="31" t="n">
        <v>105.7</v>
      </c>
      <c r="I4" s="31" t="n">
        <v>0</v>
      </c>
      <c r="J4" s="31" t="n">
        <v>0</v>
      </c>
      <c r="K4" s="32" t="n">
        <v>557</v>
      </c>
      <c r="L4" s="31" t="n">
        <v>95.3</v>
      </c>
      <c r="M4" s="31" t="n">
        <v>24.6</v>
      </c>
      <c r="N4" s="32" t="n">
        <v>335</v>
      </c>
      <c r="O4" s="32" t="n">
        <v>334</v>
      </c>
      <c r="P4" s="32" t="n">
        <v>0</v>
      </c>
      <c r="Q4" s="32" t="n">
        <v>669</v>
      </c>
      <c r="R4" s="32" t="n">
        <v>370</v>
      </c>
      <c r="S4" s="32" t="n">
        <v>302</v>
      </c>
      <c r="T4" s="32" t="n">
        <v>104</v>
      </c>
      <c r="U4" s="32" t="n">
        <v>148</v>
      </c>
    </row>
    <row r="5">
      <c r="A5" s="30" t="inlineStr">
        <is>
          <t>CASE2</t>
        </is>
      </c>
      <c r="B5" s="30" t="inlineStr">
        <is>
          <t>AMR1</t>
        </is>
      </c>
      <c r="C5" s="32" t="n">
        <v>333</v>
      </c>
      <c r="D5" s="32" t="n">
        <v>20413</v>
      </c>
      <c r="E5" s="31" t="n">
        <v>20741.3</v>
      </c>
      <c r="F5" s="31" t="n">
        <v>14780.2</v>
      </c>
      <c r="G5" s="31" t="n">
        <v>1455.6</v>
      </c>
      <c r="H5" s="31" t="n">
        <v>22.4</v>
      </c>
      <c r="I5" s="31" t="n">
        <v>0</v>
      </c>
      <c r="J5" s="31" t="n">
        <v>0</v>
      </c>
      <c r="K5" s="32" t="n">
        <v>240</v>
      </c>
      <c r="L5" s="31" t="n">
        <v>96</v>
      </c>
      <c r="M5" s="31" t="n">
        <v>32.4</v>
      </c>
      <c r="N5" s="32" t="n">
        <v>334</v>
      </c>
      <c r="O5" s="32" t="n">
        <v>333</v>
      </c>
      <c r="P5" s="32" t="n">
        <v>666</v>
      </c>
      <c r="Q5" s="32" t="n">
        <v>0</v>
      </c>
      <c r="R5" s="32" t="n">
        <v>1</v>
      </c>
      <c r="S5" s="32" t="n">
        <v>0</v>
      </c>
      <c r="T5" s="32" t="n">
        <v>103</v>
      </c>
      <c r="U5" s="32" t="n">
        <v>118</v>
      </c>
    </row>
    <row r="6">
      <c r="A6" s="30" t="inlineStr">
        <is>
          <t>CASE2</t>
        </is>
      </c>
      <c r="B6" s="30" t="inlineStr">
        <is>
          <t>AMR2</t>
        </is>
      </c>
      <c r="C6" s="32" t="n">
        <v>332</v>
      </c>
      <c r="D6" s="32" t="n">
        <v>20286</v>
      </c>
      <c r="E6" s="31" t="n">
        <v>20632.2</v>
      </c>
      <c r="F6" s="31" t="n">
        <v>14585.4</v>
      </c>
      <c r="G6" s="31" t="n">
        <v>1767.1</v>
      </c>
      <c r="H6" s="31" t="n">
        <v>14.8</v>
      </c>
      <c r="I6" s="31" t="n">
        <v>0</v>
      </c>
      <c r="J6" s="31" t="n">
        <v>0</v>
      </c>
      <c r="K6" s="32" t="n">
        <v>260</v>
      </c>
      <c r="L6" s="31" t="n">
        <v>95.2</v>
      </c>
      <c r="M6" s="31" t="n">
        <v>32.3</v>
      </c>
      <c r="N6" s="32" t="n">
        <v>334</v>
      </c>
      <c r="O6" s="32" t="n">
        <v>332</v>
      </c>
      <c r="P6" s="32" t="n">
        <v>664</v>
      </c>
      <c r="Q6" s="32" t="n">
        <v>0</v>
      </c>
      <c r="R6" s="32" t="n">
        <v>0</v>
      </c>
      <c r="S6" s="32" t="n">
        <v>0</v>
      </c>
      <c r="T6" s="32" t="n">
        <v>120</v>
      </c>
      <c r="U6" s="32" t="n">
        <v>144</v>
      </c>
    </row>
    <row r="7">
      <c r="A7" s="30" t="inlineStr">
        <is>
          <t>CASE2</t>
        </is>
      </c>
      <c r="B7" s="30" t="inlineStr">
        <is>
          <t>AMR3</t>
        </is>
      </c>
      <c r="C7" s="32" t="n">
        <v>335</v>
      </c>
      <c r="D7" s="32" t="n">
        <v>20230</v>
      </c>
      <c r="E7" s="31" t="n">
        <v>20597</v>
      </c>
      <c r="F7" s="31" t="n">
        <v>14826.6</v>
      </c>
      <c r="G7" s="31" t="n">
        <v>1514.7</v>
      </c>
      <c r="H7" s="31" t="n">
        <v>61.2</v>
      </c>
      <c r="I7" s="31" t="n">
        <v>0</v>
      </c>
      <c r="J7" s="31" t="n">
        <v>0</v>
      </c>
      <c r="K7" s="32" t="n">
        <v>210</v>
      </c>
      <c r="L7" s="31" t="n">
        <v>95.7</v>
      </c>
      <c r="M7" s="31" t="n">
        <v>32.6</v>
      </c>
      <c r="N7" s="32" t="n">
        <v>332</v>
      </c>
      <c r="O7" s="32" t="n">
        <v>335</v>
      </c>
      <c r="P7" s="32" t="n">
        <v>666</v>
      </c>
      <c r="Q7" s="32" t="n">
        <v>0</v>
      </c>
      <c r="R7" s="32" t="n">
        <v>1</v>
      </c>
      <c r="S7" s="32" t="n">
        <v>0</v>
      </c>
      <c r="T7" s="32" t="n">
        <v>93</v>
      </c>
      <c r="U7" s="32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.2" customWidth="1" min="3" max="3"/>
    <col width="20.8" customWidth="1" min="4" max="4"/>
    <col width="14.4" customWidth="1" min="5" max="5"/>
    <col width="16" customWidth="1" min="6" max="6"/>
    <col width="19.2" customWidth="1" min="7" max="7"/>
    <col width="17.6" customWidth="1" min="8" max="8"/>
    <col width="12.8" customWidth="1" min="9" max="9"/>
    <col width="11.2" customWidth="1" min="10" max="10"/>
    <col width="12.8" customWidth="1" min="11" max="11"/>
    <col width="16" customWidth="1" min="12" max="12"/>
    <col width="14.4" customWidth="1" min="13" max="13"/>
    <col width="14.4" customWidth="1" min="14" max="14"/>
    <col width="12.8" customWidth="1" min="15" max="15"/>
    <col width="26" customWidth="1" min="16" max="16"/>
    <col width="26" customWidth="1" min="17" max="17"/>
    <col width="16" customWidth="1" min="18" max="18"/>
    <col width="20.8" customWidth="1" min="19" max="19"/>
    <col width="17.6" customWidth="1" min="20" max="20"/>
    <col width="16" customWidth="1" min="21" max="21"/>
    <col width="20.8" customWidth="1" min="22" max="22"/>
    <col width="17.6" customWidth="1" min="23" max="23"/>
    <col width="10" customWidth="1" min="24" max="24"/>
    <col width="16" customWidth="1" min="25" max="25"/>
    <col width="16" customWidth="1" min="26" max="26"/>
    <col width="17.6" customWidth="1" min="27" max="27"/>
    <col width="10" customWidth="1" min="28" max="28"/>
    <col width="10" customWidth="1" min="29" max="29"/>
    <col width="10" customWidth="1" min="30" max="30"/>
    <col width="12.8" customWidth="1" min="31" max="31"/>
    <col width="12.8" customWidth="1" min="32" max="32"/>
    <col width="20.8" customWidth="1" min="33" max="33"/>
    <col width="11.2" customWidth="1" min="34" max="34"/>
    <col width="11.2" customWidth="1" min="35" max="35"/>
    <col width="11.2" customWidth="1" min="36" max="36"/>
    <col width="11.2" customWidth="1" min="37" max="37"/>
    <col width="10" customWidth="1" min="38" max="38"/>
    <col width="10" customWidth="1" min="39" max="39"/>
    <col width="10" customWidth="1" min="40" max="40"/>
    <col width="10" customWidth="1" min="41" max="41"/>
  </cols>
  <sheetData>
    <row r="1" ht="32" customHeight="1">
      <c r="A1" s="29" t="inlineStr">
        <is>
          <t>주문ID</t>
        </is>
      </c>
      <c r="B1" s="29" t="inlineStr">
        <is>
          <t>저장구역</t>
        </is>
      </c>
      <c r="C1" s="29" t="inlineStr">
        <is>
          <t>발생시각(s)</t>
        </is>
      </c>
      <c r="D1" s="29" t="inlineStr">
        <is>
          <t>작업시작(배정)시각(s)</t>
        </is>
      </c>
      <c r="E1" s="29" t="inlineStr">
        <is>
          <t>입고장 도착(s)</t>
        </is>
      </c>
      <c r="F1" s="29" t="inlineStr">
        <is>
          <t>RFID 통과(s)</t>
        </is>
      </c>
      <c r="G1" s="29" t="inlineStr">
        <is>
          <t>저장구역 적치완료(s)</t>
        </is>
      </c>
      <c r="H1" s="29" t="inlineStr">
        <is>
          <t>출고 작업 배정(s)</t>
        </is>
      </c>
      <c r="I1" s="29" t="inlineStr">
        <is>
          <t>피킹 완료(s)</t>
        </is>
      </c>
      <c r="J1" s="29" t="inlineStr">
        <is>
          <t>출고완료(s)</t>
        </is>
      </c>
      <c r="K1" s="29" t="inlineStr">
        <is>
          <t>총처리시간(s)</t>
        </is>
      </c>
      <c r="L1" s="29" t="inlineStr">
        <is>
          <t>주문 대응시간(s)</t>
        </is>
      </c>
      <c r="M1" s="29" t="inlineStr">
        <is>
          <t>입고 배정 AMR</t>
        </is>
      </c>
      <c r="N1" s="29" t="inlineStr">
        <is>
          <t>출고 배정 AMR</t>
        </is>
      </c>
      <c r="O1" s="29" t="inlineStr">
        <is>
          <t>출고 연속 수행</t>
        </is>
      </c>
      <c r="P1" s="29" t="inlineStr">
        <is>
          <t>배정 당시 AMR-입고장 거리(m)</t>
        </is>
      </c>
      <c r="Q1" s="29" t="inlineStr">
        <is>
          <t>배정 당시 AMR-피킹위치 거리(m)</t>
        </is>
      </c>
      <c r="R1" s="29" t="inlineStr">
        <is>
          <t>입고 배차비용(s)</t>
        </is>
      </c>
      <c r="S1" s="29" t="inlineStr">
        <is>
          <t>입고 최소 가능비용(s)</t>
        </is>
      </c>
      <c r="T1" s="29" t="inlineStr">
        <is>
          <t>입고 최소비용 AMR</t>
        </is>
      </c>
      <c r="U1" s="29" t="inlineStr">
        <is>
          <t>출고 배차비용(s)</t>
        </is>
      </c>
      <c r="V1" s="29" t="inlineStr">
        <is>
          <t>출고 최소 가능비용(s)</t>
        </is>
      </c>
      <c r="W1" s="29" t="inlineStr">
        <is>
          <t>출고 최소비용 AMR</t>
        </is>
      </c>
      <c r="X1" s="29" t="inlineStr">
        <is>
          <t>배차 비효율</t>
        </is>
      </c>
      <c r="Y1" s="29" t="inlineStr">
        <is>
          <t>추가 이동거리(m)</t>
        </is>
      </c>
      <c r="Z1" s="29" t="inlineStr">
        <is>
          <t>추가 예상시간(s)</t>
        </is>
      </c>
      <c r="AA1" s="29" t="inlineStr">
        <is>
          <t>수동 배차 확인 개입</t>
        </is>
      </c>
      <c r="AB1" s="29" t="inlineStr">
        <is>
          <t>경로충돌</t>
        </is>
      </c>
      <c r="AC1" s="29" t="inlineStr">
        <is>
          <t>정면충돌</t>
        </is>
      </c>
      <c r="AD1" s="29" t="inlineStr">
        <is>
          <t>병목 횟수</t>
        </is>
      </c>
      <c r="AE1" s="29" t="inlineStr">
        <is>
          <t>병목 대기(s)</t>
        </is>
      </c>
      <c r="AF1" s="29" t="inlineStr">
        <is>
          <t>장시간정체 개입</t>
        </is>
      </c>
      <c r="AG1" s="29" t="inlineStr">
        <is>
          <t>장시간정체 개입시간(s)</t>
        </is>
      </c>
      <c r="AH1" s="29" t="inlineStr">
        <is>
          <t>이동거리(m)</t>
        </is>
      </c>
      <c r="AI1" s="29" t="inlineStr">
        <is>
          <t>이동시간(s)</t>
        </is>
      </c>
      <c r="AJ1" s="29" t="inlineStr">
        <is>
          <t>작업시간(s)</t>
        </is>
      </c>
      <c r="AK1" s="29" t="inlineStr">
        <is>
          <t>대기시간(s)</t>
        </is>
      </c>
      <c r="AL1" s="29" t="inlineStr">
        <is>
          <t>입고 토트</t>
        </is>
      </c>
      <c r="AM1" s="29" t="inlineStr">
        <is>
          <t>적치 슬롯</t>
        </is>
      </c>
      <c r="AN1" s="29" t="inlineStr">
        <is>
          <t>출고 토트</t>
        </is>
      </c>
      <c r="AO1" s="29" t="inlineStr">
        <is>
          <t>피킹 슬롯</t>
        </is>
      </c>
    </row>
    <row r="2">
      <c r="A2" s="30" t="inlineStr">
        <is>
          <t>O0001</t>
        </is>
      </c>
      <c r="B2" s="30" t="inlineStr">
        <is>
          <t>B</t>
        </is>
      </c>
      <c r="C2" s="31" t="n">
        <v>0</v>
      </c>
      <c r="D2" s="31" t="n">
        <v>0</v>
      </c>
      <c r="E2" s="31" t="n">
        <v>10.5</v>
      </c>
      <c r="F2" s="31" t="n">
        <v>21.8</v>
      </c>
      <c r="G2" s="31" t="n">
        <v>47</v>
      </c>
      <c r="H2" s="31" t="n">
        <v>63.2</v>
      </c>
      <c r="I2" s="31" t="n">
        <v>95.09999999999999</v>
      </c>
      <c r="J2" s="31" t="n">
        <v>132.9</v>
      </c>
      <c r="K2" s="31" t="n">
        <v>132.9</v>
      </c>
      <c r="L2" s="31" t="n">
        <v>0</v>
      </c>
      <c r="M2" s="30" t="inlineStr">
        <is>
          <t>AMR1</t>
        </is>
      </c>
      <c r="N2" s="30" t="inlineStr">
        <is>
          <t>AMR1</t>
        </is>
      </c>
      <c r="O2" s="32" t="n">
        <v>0</v>
      </c>
      <c r="P2" s="32" t="n">
        <v>15</v>
      </c>
      <c r="Q2" s="32" t="n">
        <v>15</v>
      </c>
      <c r="R2" s="31" t="n">
        <v>44.5</v>
      </c>
      <c r="S2" s="31" t="n">
        <v>43.8</v>
      </c>
      <c r="T2" s="30" t="inlineStr">
        <is>
          <t>AMR2</t>
        </is>
      </c>
      <c r="U2" s="31" t="n">
        <v>57.6</v>
      </c>
      <c r="V2" s="31" t="n">
        <v>57.6</v>
      </c>
      <c r="W2" s="30" t="inlineStr">
        <is>
          <t>AMR1</t>
        </is>
      </c>
      <c r="X2" s="32" t="n">
        <v>1</v>
      </c>
      <c r="Y2" s="32" t="n">
        <v>1</v>
      </c>
      <c r="Z2" s="31" t="n">
        <v>0.7</v>
      </c>
      <c r="AA2" s="32" t="n">
        <v>0</v>
      </c>
      <c r="AB2" s="32" t="n">
        <v>2</v>
      </c>
      <c r="AC2" s="32" t="n">
        <v>2</v>
      </c>
      <c r="AD2" s="32" t="n">
        <v>0</v>
      </c>
      <c r="AE2" s="31" t="n">
        <v>0</v>
      </c>
      <c r="AF2" s="32" t="n">
        <v>0</v>
      </c>
      <c r="AG2" s="31" t="n">
        <v>0</v>
      </c>
      <c r="AH2" s="32" t="n">
        <v>66</v>
      </c>
      <c r="AI2" s="31" t="n">
        <v>65.2</v>
      </c>
      <c r="AJ2" s="31" t="n">
        <v>44.3</v>
      </c>
      <c r="AK2" s="31" t="n">
        <v>7.2</v>
      </c>
      <c r="AL2" s="30" t="inlineStr">
        <is>
          <t>T-0151</t>
        </is>
      </c>
      <c r="AM2" s="30" t="inlineStr">
        <is>
          <t>B-01-01</t>
        </is>
      </c>
      <c r="AN2" s="30" t="inlineStr">
        <is>
          <t>T-0016</t>
        </is>
      </c>
      <c r="AO2" s="30" t="inlineStr">
        <is>
          <t>B-01-05</t>
        </is>
      </c>
    </row>
    <row r="3">
      <c r="A3" s="30" t="inlineStr">
        <is>
          <t>O0002</t>
        </is>
      </c>
      <c r="B3" s="30" t="inlineStr">
        <is>
          <t>D</t>
        </is>
      </c>
      <c r="C3" s="31" t="n">
        <v>22.4</v>
      </c>
      <c r="D3" s="31" t="n">
        <v>22.4</v>
      </c>
      <c r="E3" s="31" t="n">
        <v>32.2</v>
      </c>
      <c r="F3" s="31" t="n">
        <v>42.7</v>
      </c>
      <c r="G3" s="31" t="n">
        <v>64.5</v>
      </c>
      <c r="H3" s="31" t="n">
        <v>82.59999999999999</v>
      </c>
      <c r="I3" s="31" t="n">
        <v>106.7</v>
      </c>
      <c r="J3" s="31" t="n">
        <v>149.4</v>
      </c>
      <c r="K3" s="31" t="n">
        <v>127</v>
      </c>
      <c r="L3" s="31" t="n">
        <v>0</v>
      </c>
      <c r="M3" s="30" t="inlineStr">
        <is>
          <t>AMR2</t>
        </is>
      </c>
      <c r="N3" s="30" t="inlineStr">
        <is>
          <t>AMR2</t>
        </is>
      </c>
      <c r="O3" s="32" t="n">
        <v>0</v>
      </c>
      <c r="P3" s="32" t="n">
        <v>14</v>
      </c>
      <c r="Q3" s="32" t="n">
        <v>13</v>
      </c>
      <c r="R3" s="31" t="n">
        <v>41.2</v>
      </c>
      <c r="S3" s="31" t="n">
        <v>41.2</v>
      </c>
      <c r="T3" s="30" t="inlineStr">
        <is>
          <t>AMR2</t>
        </is>
      </c>
      <c r="U3" s="31" t="n">
        <v>53.1</v>
      </c>
      <c r="V3" s="31" t="n">
        <v>53.1</v>
      </c>
      <c r="W3" s="30" t="inlineStr">
        <is>
          <t>AMR2</t>
        </is>
      </c>
      <c r="X3" s="32" t="n">
        <v>0</v>
      </c>
      <c r="Y3" s="32" t="n">
        <v>0</v>
      </c>
      <c r="Z3" s="31" t="n">
        <v>0</v>
      </c>
      <c r="AA3" s="32" t="n">
        <v>0</v>
      </c>
      <c r="AB3" s="32" t="n">
        <v>0</v>
      </c>
      <c r="AC3" s="32" t="n">
        <v>0</v>
      </c>
      <c r="AD3" s="32" t="n">
        <v>1</v>
      </c>
      <c r="AE3" s="31" t="n">
        <v>10.4</v>
      </c>
      <c r="AF3" s="32" t="n">
        <v>1</v>
      </c>
      <c r="AG3" s="31" t="n">
        <v>5.4</v>
      </c>
      <c r="AH3" s="32" t="n">
        <v>57</v>
      </c>
      <c r="AI3" s="31" t="n">
        <v>56.7</v>
      </c>
      <c r="AJ3" s="31" t="n">
        <v>41.8</v>
      </c>
      <c r="AK3" s="31" t="n">
        <v>10.4</v>
      </c>
      <c r="AL3" s="30" t="inlineStr">
        <is>
          <t>T-0152</t>
        </is>
      </c>
      <c r="AM3" s="30" t="inlineStr">
        <is>
          <t>D-01-01</t>
        </is>
      </c>
      <c r="AN3" s="30" t="inlineStr">
        <is>
          <t>T-0046</t>
        </is>
      </c>
      <c r="AO3" s="30" t="inlineStr">
        <is>
          <t>D-04-03</t>
        </is>
      </c>
    </row>
    <row r="4">
      <c r="A4" s="30" t="inlineStr">
        <is>
          <t>O0003</t>
        </is>
      </c>
      <c r="B4" s="30" t="inlineStr">
        <is>
          <t>B</t>
        </is>
      </c>
      <c r="C4" s="31" t="n">
        <v>38.8</v>
      </c>
      <c r="D4" s="31" t="n">
        <v>38.8</v>
      </c>
      <c r="E4" s="31" t="n">
        <v>69.5</v>
      </c>
      <c r="F4" s="31" t="n">
        <v>82.5</v>
      </c>
      <c r="G4" s="31" t="n">
        <v>113.3</v>
      </c>
      <c r="H4" s="31" t="n">
        <v>129.5</v>
      </c>
      <c r="I4" s="31" t="n">
        <v>156.5</v>
      </c>
      <c r="J4" s="31" t="n">
        <v>188.6</v>
      </c>
      <c r="K4" s="31" t="n">
        <v>149.8</v>
      </c>
      <c r="L4" s="31" t="n">
        <v>0</v>
      </c>
      <c r="M4" s="30" t="inlineStr">
        <is>
          <t>AMR3</t>
        </is>
      </c>
      <c r="N4" s="30" t="inlineStr">
        <is>
          <t>AMR3</t>
        </is>
      </c>
      <c r="O4" s="32" t="n">
        <v>0</v>
      </c>
      <c r="P4" s="32" t="n">
        <v>31</v>
      </c>
      <c r="Q4" s="32" t="n">
        <v>15</v>
      </c>
      <c r="R4" s="31" t="n">
        <v>59.7</v>
      </c>
      <c r="S4" s="31" t="n">
        <v>57.3</v>
      </c>
      <c r="T4" s="30" t="inlineStr">
        <is>
          <t>AMR1</t>
        </is>
      </c>
      <c r="U4" s="31" t="n">
        <v>58.8</v>
      </c>
      <c r="V4" s="31" t="n">
        <v>58.8</v>
      </c>
      <c r="W4" s="30" t="inlineStr">
        <is>
          <t>AMR3</t>
        </is>
      </c>
      <c r="X4" s="32" t="n">
        <v>1</v>
      </c>
      <c r="Y4" s="32" t="n">
        <v>31</v>
      </c>
      <c r="Z4" s="31" t="n">
        <v>2.4</v>
      </c>
      <c r="AA4" s="32" t="n">
        <v>0</v>
      </c>
      <c r="AB4" s="32" t="n">
        <v>2</v>
      </c>
      <c r="AC4" s="32" t="n">
        <v>2</v>
      </c>
      <c r="AD4" s="32" t="n">
        <v>0</v>
      </c>
      <c r="AE4" s="31" t="n">
        <v>0</v>
      </c>
      <c r="AF4" s="32" t="n">
        <v>0</v>
      </c>
      <c r="AG4" s="31" t="n">
        <v>0</v>
      </c>
      <c r="AH4" s="32" t="n">
        <v>80</v>
      </c>
      <c r="AI4" s="31" t="n">
        <v>80.09999999999999</v>
      </c>
      <c r="AJ4" s="31" t="n">
        <v>45.5</v>
      </c>
      <c r="AK4" s="31" t="n">
        <v>8</v>
      </c>
      <c r="AL4" s="30" t="inlineStr">
        <is>
          <t>T-0153</t>
        </is>
      </c>
      <c r="AM4" s="30" t="inlineStr">
        <is>
          <t>B-02-01</t>
        </is>
      </c>
      <c r="AN4" s="30" t="inlineStr">
        <is>
          <t>T-0017</t>
        </is>
      </c>
      <c r="AO4" s="30" t="inlineStr">
        <is>
          <t>B-05-03</t>
        </is>
      </c>
    </row>
    <row r="5">
      <c r="A5" s="30" t="inlineStr">
        <is>
          <t>O0004</t>
        </is>
      </c>
      <c r="B5" s="30" t="inlineStr">
        <is>
          <t>I</t>
        </is>
      </c>
      <c r="C5" s="31" t="n">
        <v>61.2</v>
      </c>
      <c r="D5" s="31" t="n">
        <v>156.6</v>
      </c>
      <c r="E5" s="31" t="n">
        <v>156.6</v>
      </c>
      <c r="F5" s="31" t="n">
        <v>170.1</v>
      </c>
      <c r="G5" s="31" t="n">
        <v>194.9</v>
      </c>
      <c r="H5" s="31" t="n">
        <v>209.7</v>
      </c>
      <c r="I5" s="31" t="n">
        <v>243.9</v>
      </c>
      <c r="J5" s="31" t="n">
        <v>272.6</v>
      </c>
      <c r="K5" s="31" t="n">
        <v>211.4</v>
      </c>
      <c r="L5" s="31" t="n">
        <v>95.40000000000001</v>
      </c>
      <c r="M5" s="30" t="inlineStr">
        <is>
          <t>AMR1</t>
        </is>
      </c>
      <c r="N5" s="30" t="inlineStr">
        <is>
          <t>AMR1</t>
        </is>
      </c>
      <c r="O5" s="32" t="n">
        <v>0</v>
      </c>
      <c r="P5" s="32" t="n">
        <v>0</v>
      </c>
      <c r="Q5" s="32" t="n">
        <v>15</v>
      </c>
      <c r="R5" s="31" t="n">
        <v>37.4</v>
      </c>
      <c r="S5" s="31" t="n">
        <v>37.4</v>
      </c>
      <c r="T5" s="30" t="inlineStr">
        <is>
          <t>AMR1</t>
        </is>
      </c>
      <c r="U5" s="31" t="n">
        <v>54.5</v>
      </c>
      <c r="V5" s="31" t="n">
        <v>54.5</v>
      </c>
      <c r="W5" s="30" t="inlineStr">
        <is>
          <t>AMR1</t>
        </is>
      </c>
      <c r="X5" s="32" t="n">
        <v>0</v>
      </c>
      <c r="Y5" s="32" t="n">
        <v>0</v>
      </c>
      <c r="Z5" s="31" t="n">
        <v>0</v>
      </c>
      <c r="AA5" s="32" t="n">
        <v>0</v>
      </c>
      <c r="AB5" s="32" t="n">
        <v>1</v>
      </c>
      <c r="AC5" s="32" t="n">
        <v>1</v>
      </c>
      <c r="AD5" s="32" t="n">
        <v>0</v>
      </c>
      <c r="AE5" s="31" t="n">
        <v>0</v>
      </c>
      <c r="AF5" s="32" t="n">
        <v>1</v>
      </c>
      <c r="AG5" s="31" t="n">
        <v>0.1</v>
      </c>
      <c r="AH5" s="32" t="n">
        <v>45</v>
      </c>
      <c r="AI5" s="31" t="n">
        <v>50</v>
      </c>
      <c r="AJ5" s="31" t="n">
        <v>46.1</v>
      </c>
      <c r="AK5" s="31" t="n">
        <v>5.1</v>
      </c>
      <c r="AL5" s="30" t="inlineStr">
        <is>
          <t>T-0154</t>
        </is>
      </c>
      <c r="AM5" s="30" t="inlineStr">
        <is>
          <t>I-01-01</t>
        </is>
      </c>
      <c r="AN5" s="30" t="inlineStr">
        <is>
          <t>T-0121</t>
        </is>
      </c>
      <c r="AO5" s="30" t="inlineStr">
        <is>
          <t>I-04-03</t>
        </is>
      </c>
    </row>
    <row r="6">
      <c r="A6" s="30" t="inlineStr">
        <is>
          <t>O0005</t>
        </is>
      </c>
      <c r="B6" s="30" t="inlineStr">
        <is>
          <t>A</t>
        </is>
      </c>
      <c r="C6" s="31" t="n">
        <v>82.09999999999999</v>
      </c>
      <c r="D6" s="31" t="n">
        <v>173.1</v>
      </c>
      <c r="E6" s="31" t="n">
        <v>173.1</v>
      </c>
      <c r="F6" s="31" t="n">
        <v>185.8</v>
      </c>
      <c r="G6" s="31" t="n">
        <v>213.3</v>
      </c>
      <c r="H6" s="31" t="n">
        <v>219.7</v>
      </c>
      <c r="I6" s="31" t="n">
        <v>247.6</v>
      </c>
      <c r="J6" s="31" t="n">
        <v>289.7</v>
      </c>
      <c r="K6" s="31" t="n">
        <v>207.6</v>
      </c>
      <c r="L6" s="31" t="n">
        <v>91</v>
      </c>
      <c r="M6" s="30" t="inlineStr">
        <is>
          <t>AMR2</t>
        </is>
      </c>
      <c r="N6" s="30" t="inlineStr">
        <is>
          <t>AMR3</t>
        </is>
      </c>
      <c r="O6" s="32" t="n">
        <v>0</v>
      </c>
      <c r="P6" s="32" t="n">
        <v>0</v>
      </c>
      <c r="Q6" s="32" t="n">
        <v>21</v>
      </c>
      <c r="R6" s="31" t="n">
        <v>37.7</v>
      </c>
      <c r="S6" s="31" t="n">
        <v>37.7</v>
      </c>
      <c r="T6" s="30" t="inlineStr">
        <is>
          <t>AMR2</t>
        </is>
      </c>
      <c r="U6" s="31" t="n">
        <v>64.90000000000001</v>
      </c>
      <c r="V6" s="31" t="n">
        <v>64.90000000000001</v>
      </c>
      <c r="W6" s="30" t="inlineStr">
        <is>
          <t>AMR3</t>
        </is>
      </c>
      <c r="X6" s="32" t="n">
        <v>0</v>
      </c>
      <c r="Y6" s="32" t="n">
        <v>0</v>
      </c>
      <c r="Z6" s="31" t="n">
        <v>0</v>
      </c>
      <c r="AA6" s="32" t="n">
        <v>0</v>
      </c>
      <c r="AB6" s="32" t="n">
        <v>0</v>
      </c>
      <c r="AC6" s="32" t="n">
        <v>0</v>
      </c>
      <c r="AD6" s="32" t="n">
        <v>1</v>
      </c>
      <c r="AE6" s="31" t="n">
        <v>1.8</v>
      </c>
      <c r="AF6" s="32" t="n">
        <v>0</v>
      </c>
      <c r="AG6" s="31" t="n">
        <v>0</v>
      </c>
      <c r="AH6" s="32" t="n">
        <v>69</v>
      </c>
      <c r="AI6" s="31" t="n">
        <v>67.90000000000001</v>
      </c>
      <c r="AJ6" s="31" t="n">
        <v>40.5</v>
      </c>
      <c r="AK6" s="31" t="n">
        <v>1.8</v>
      </c>
      <c r="AL6" s="30" t="inlineStr">
        <is>
          <t>T-0155</t>
        </is>
      </c>
      <c r="AM6" s="30" t="inlineStr">
        <is>
          <t>A-02-01</t>
        </is>
      </c>
      <c r="AN6" s="30" t="inlineStr">
        <is>
          <t>T-0001</t>
        </is>
      </c>
      <c r="AO6" s="30" t="inlineStr">
        <is>
          <t>A-02-03</t>
        </is>
      </c>
    </row>
    <row r="7">
      <c r="A7" s="30" t="inlineStr">
        <is>
          <t>O0006</t>
        </is>
      </c>
      <c r="B7" s="30" t="inlineStr">
        <is>
          <t>D</t>
        </is>
      </c>
      <c r="C7" s="31" t="n">
        <v>98.09999999999999</v>
      </c>
      <c r="D7" s="31" t="n">
        <v>234.9</v>
      </c>
      <c r="E7" s="31" t="n">
        <v>234.9</v>
      </c>
      <c r="F7" s="31" t="n">
        <v>250.6</v>
      </c>
      <c r="G7" s="31" t="n">
        <v>273.7</v>
      </c>
      <c r="H7" s="31" t="n">
        <v>287.8</v>
      </c>
      <c r="I7" s="31" t="n">
        <v>313.6</v>
      </c>
      <c r="J7" s="31" t="n">
        <v>343.8</v>
      </c>
      <c r="K7" s="31" t="n">
        <v>245.7</v>
      </c>
      <c r="L7" s="31" t="n">
        <v>136.8</v>
      </c>
      <c r="M7" s="30" t="inlineStr">
        <is>
          <t>AMR2</t>
        </is>
      </c>
      <c r="N7" s="30" t="inlineStr">
        <is>
          <t>AMR2</t>
        </is>
      </c>
      <c r="O7" s="32" t="n">
        <v>0</v>
      </c>
      <c r="P7" s="32" t="n">
        <v>0</v>
      </c>
      <c r="Q7" s="32" t="n">
        <v>13</v>
      </c>
      <c r="R7" s="31" t="n">
        <v>37.1</v>
      </c>
      <c r="S7" s="31" t="n">
        <v>37.1</v>
      </c>
      <c r="T7" s="30" t="inlineStr">
        <is>
          <t>AMR2</t>
        </is>
      </c>
      <c r="U7" s="31" t="n">
        <v>51.5</v>
      </c>
      <c r="V7" s="31" t="n">
        <v>51.5</v>
      </c>
      <c r="W7" s="30" t="inlineStr">
        <is>
          <t>AMR2</t>
        </is>
      </c>
      <c r="X7" s="32" t="n">
        <v>0</v>
      </c>
      <c r="Y7" s="32" t="n">
        <v>0</v>
      </c>
      <c r="Z7" s="31" t="n">
        <v>0</v>
      </c>
      <c r="AA7" s="32" t="n">
        <v>0</v>
      </c>
      <c r="AB7" s="32" t="n">
        <v>2</v>
      </c>
      <c r="AC7" s="32" t="n">
        <v>1</v>
      </c>
      <c r="AD7" s="32" t="n">
        <v>0</v>
      </c>
      <c r="AE7" s="31" t="n">
        <v>0</v>
      </c>
      <c r="AF7" s="32" t="n">
        <v>0</v>
      </c>
      <c r="AG7" s="31" t="n">
        <v>0</v>
      </c>
      <c r="AH7" s="32" t="n">
        <v>40</v>
      </c>
      <c r="AI7" s="31" t="n">
        <v>44.2</v>
      </c>
      <c r="AJ7" s="31" t="n">
        <v>45.9</v>
      </c>
      <c r="AK7" s="31" t="n">
        <v>4.7</v>
      </c>
      <c r="AL7" s="30" t="inlineStr">
        <is>
          <t>T-0156</t>
        </is>
      </c>
      <c r="AM7" s="30" t="inlineStr">
        <is>
          <t>D-03-01</t>
        </is>
      </c>
      <c r="AN7" s="30" t="inlineStr">
        <is>
          <t>T-0047</t>
        </is>
      </c>
      <c r="AO7" s="30" t="inlineStr">
        <is>
          <t>D-01-02</t>
        </is>
      </c>
    </row>
    <row r="8">
      <c r="A8" s="30" t="inlineStr">
        <is>
          <t>O0007</t>
        </is>
      </c>
      <c r="B8" s="30" t="inlineStr">
        <is>
          <t>I</t>
        </is>
      </c>
      <c r="C8" s="31" t="n">
        <v>119.1</v>
      </c>
      <c r="D8" s="31" t="n">
        <v>300.3</v>
      </c>
      <c r="E8" s="31" t="n">
        <v>300.3</v>
      </c>
      <c r="F8" s="31" t="n">
        <v>314.8</v>
      </c>
      <c r="G8" s="31" t="n">
        <v>337.2</v>
      </c>
      <c r="H8" s="31" t="n">
        <v>352</v>
      </c>
      <c r="I8" s="31" t="n">
        <v>384.5</v>
      </c>
      <c r="J8" s="31" t="n">
        <v>413.5</v>
      </c>
      <c r="K8" s="31" t="n">
        <v>294.4</v>
      </c>
      <c r="L8" s="31" t="n">
        <v>181.2</v>
      </c>
      <c r="M8" s="30" t="inlineStr">
        <is>
          <t>AMR1</t>
        </is>
      </c>
      <c r="N8" s="30" t="inlineStr">
        <is>
          <t>AMR1</t>
        </is>
      </c>
      <c r="O8" s="32" t="n">
        <v>0</v>
      </c>
      <c r="P8" s="32" t="n">
        <v>0</v>
      </c>
      <c r="Q8" s="32" t="n">
        <v>15</v>
      </c>
      <c r="R8" s="31" t="n">
        <v>36</v>
      </c>
      <c r="S8" s="31" t="n">
        <v>36</v>
      </c>
      <c r="T8" s="30" t="inlineStr">
        <is>
          <t>AMR1</t>
        </is>
      </c>
      <c r="U8" s="31" t="n">
        <v>54.7</v>
      </c>
      <c r="V8" s="31" t="n">
        <v>54.7</v>
      </c>
      <c r="W8" s="30" t="inlineStr">
        <is>
          <t>AMR1</t>
        </is>
      </c>
      <c r="X8" s="32" t="n">
        <v>0</v>
      </c>
      <c r="Y8" s="32" t="n">
        <v>0</v>
      </c>
      <c r="Z8" s="31" t="n">
        <v>0</v>
      </c>
      <c r="AA8" s="32" t="n">
        <v>0</v>
      </c>
      <c r="AB8" s="32" t="n">
        <v>1</v>
      </c>
      <c r="AC8" s="32" t="n">
        <v>1</v>
      </c>
      <c r="AD8" s="32" t="n">
        <v>0</v>
      </c>
      <c r="AE8" s="31" t="n">
        <v>0</v>
      </c>
      <c r="AF8" s="32" t="n">
        <v>0</v>
      </c>
      <c r="AG8" s="31" t="n">
        <v>0</v>
      </c>
      <c r="AH8" s="32" t="n">
        <v>43</v>
      </c>
      <c r="AI8" s="31" t="n">
        <v>48.5</v>
      </c>
      <c r="AJ8" s="31" t="n">
        <v>44.9</v>
      </c>
      <c r="AK8" s="31" t="n">
        <v>5</v>
      </c>
      <c r="AL8" s="30" t="inlineStr">
        <is>
          <t>T-0157</t>
        </is>
      </c>
      <c r="AM8" s="30" t="inlineStr">
        <is>
          <t>I-02-01</t>
        </is>
      </c>
      <c r="AN8" s="30" t="inlineStr">
        <is>
          <t>T-0122</t>
        </is>
      </c>
      <c r="AO8" s="30" t="inlineStr">
        <is>
          <t>I-03-02</t>
        </is>
      </c>
    </row>
    <row r="9">
      <c r="A9" s="30" t="inlineStr">
        <is>
          <t>O0008</t>
        </is>
      </c>
      <c r="B9" s="30" t="inlineStr">
        <is>
          <t>I</t>
        </is>
      </c>
      <c r="C9" s="31" t="n">
        <v>141.2</v>
      </c>
      <c r="D9" s="31" t="n">
        <v>316.7</v>
      </c>
      <c r="E9" s="31" t="n">
        <v>316.7</v>
      </c>
      <c r="F9" s="31" t="n">
        <v>330.3</v>
      </c>
      <c r="G9" s="31" t="n">
        <v>357.9</v>
      </c>
      <c r="H9" s="31" t="n">
        <v>372.5</v>
      </c>
      <c r="I9" s="31" t="n">
        <v>402.1</v>
      </c>
      <c r="J9" s="31" t="n">
        <v>431.5</v>
      </c>
      <c r="K9" s="31" t="n">
        <v>290.3</v>
      </c>
      <c r="L9" s="31" t="n">
        <v>175.5</v>
      </c>
      <c r="M9" s="30" t="inlineStr">
        <is>
          <t>AMR3</t>
        </is>
      </c>
      <c r="N9" s="30" t="inlineStr">
        <is>
          <t>AMR2</t>
        </is>
      </c>
      <c r="O9" s="32" t="n">
        <v>0</v>
      </c>
      <c r="P9" s="32" t="n">
        <v>0</v>
      </c>
      <c r="Q9" s="32" t="n">
        <v>15</v>
      </c>
      <c r="R9" s="31" t="n">
        <v>38.7</v>
      </c>
      <c r="S9" s="31" t="n">
        <v>38.7</v>
      </c>
      <c r="T9" s="30" t="inlineStr">
        <is>
          <t>AMR3</t>
        </is>
      </c>
      <c r="U9" s="31" t="n">
        <v>52.4</v>
      </c>
      <c r="V9" s="31" t="n">
        <v>52.4</v>
      </c>
      <c r="W9" s="30" t="inlineStr">
        <is>
          <t>AMR2</t>
        </is>
      </c>
      <c r="X9" s="32" t="n">
        <v>0</v>
      </c>
      <c r="Y9" s="32" t="n">
        <v>0</v>
      </c>
      <c r="Z9" s="31" t="n">
        <v>0</v>
      </c>
      <c r="AA9" s="32" t="n">
        <v>0</v>
      </c>
      <c r="AB9" s="32" t="n">
        <v>1</v>
      </c>
      <c r="AC9" s="32" t="n">
        <v>1</v>
      </c>
      <c r="AD9" s="32" t="n">
        <v>0</v>
      </c>
      <c r="AE9" s="31" t="n">
        <v>0</v>
      </c>
      <c r="AF9" s="32" t="n">
        <v>0</v>
      </c>
      <c r="AG9" s="31" t="n">
        <v>0</v>
      </c>
      <c r="AH9" s="32" t="n">
        <v>45</v>
      </c>
      <c r="AI9" s="31" t="n">
        <v>50.1</v>
      </c>
      <c r="AJ9" s="31" t="n">
        <v>45.3</v>
      </c>
      <c r="AK9" s="31" t="n">
        <v>4.8</v>
      </c>
      <c r="AL9" s="30" t="inlineStr">
        <is>
          <t>T-0158</t>
        </is>
      </c>
      <c r="AM9" s="30" t="inlineStr">
        <is>
          <t>I-04-01</t>
        </is>
      </c>
      <c r="AN9" s="30" t="inlineStr">
        <is>
          <t>T-0123</t>
        </is>
      </c>
      <c r="AO9" s="30" t="inlineStr">
        <is>
          <t>I-03-01</t>
        </is>
      </c>
    </row>
    <row r="10">
      <c r="A10" s="30" t="inlineStr">
        <is>
          <t>O0009</t>
        </is>
      </c>
      <c r="B10" s="30" t="inlineStr">
        <is>
          <t>J</t>
        </is>
      </c>
      <c r="C10" s="31" t="n">
        <v>158.4</v>
      </c>
      <c r="D10" s="31" t="n">
        <v>382.2</v>
      </c>
      <c r="E10" s="31" t="n">
        <v>382.2</v>
      </c>
      <c r="F10" s="31" t="n">
        <v>396.1</v>
      </c>
      <c r="G10" s="31" t="n">
        <v>424.9</v>
      </c>
      <c r="H10" s="31" t="n">
        <v>437.2</v>
      </c>
      <c r="I10" s="31" t="n">
        <v>467</v>
      </c>
      <c r="J10" s="31" t="n">
        <v>501.5</v>
      </c>
      <c r="K10" s="31" t="n">
        <v>343.1</v>
      </c>
      <c r="L10" s="31" t="n">
        <v>223.8</v>
      </c>
      <c r="M10" s="30" t="inlineStr">
        <is>
          <t>AMR3</t>
        </is>
      </c>
      <c r="N10" s="30" t="inlineStr">
        <is>
          <t>AMR1</t>
        </is>
      </c>
      <c r="O10" s="32" t="n">
        <v>0</v>
      </c>
      <c r="P10" s="32" t="n">
        <v>0</v>
      </c>
      <c r="Q10" s="32" t="n">
        <v>21</v>
      </c>
      <c r="R10" s="31" t="n">
        <v>41.8</v>
      </c>
      <c r="S10" s="31" t="n">
        <v>41.8</v>
      </c>
      <c r="T10" s="30" t="inlineStr">
        <is>
          <t>AMR3</t>
        </is>
      </c>
      <c r="U10" s="31" t="n">
        <v>61</v>
      </c>
      <c r="V10" s="31" t="n">
        <v>61</v>
      </c>
      <c r="W10" s="30" t="inlineStr">
        <is>
          <t>AMR1</t>
        </is>
      </c>
      <c r="X10" s="32" t="n">
        <v>0</v>
      </c>
      <c r="Y10" s="32" t="n">
        <v>0</v>
      </c>
      <c r="Z10" s="31" t="n">
        <v>0</v>
      </c>
      <c r="AA10" s="32" t="n">
        <v>0</v>
      </c>
      <c r="AB10" s="32" t="n">
        <v>0</v>
      </c>
      <c r="AC10" s="32" t="n">
        <v>0</v>
      </c>
      <c r="AD10" s="32" t="n">
        <v>0</v>
      </c>
      <c r="AE10" s="31" t="n">
        <v>0</v>
      </c>
      <c r="AF10" s="32" t="n">
        <v>0</v>
      </c>
      <c r="AG10" s="31" t="n">
        <v>0</v>
      </c>
      <c r="AH10" s="32" t="n">
        <v>63</v>
      </c>
      <c r="AI10" s="31" t="n">
        <v>64.8</v>
      </c>
      <c r="AJ10" s="31" t="n">
        <v>42.2</v>
      </c>
      <c r="AK10" s="31" t="n">
        <v>0</v>
      </c>
      <c r="AL10" s="30" t="inlineStr">
        <is>
          <t>T-0159</t>
        </is>
      </c>
      <c r="AM10" s="30" t="inlineStr">
        <is>
          <t>J-01-01</t>
        </is>
      </c>
      <c r="AN10" s="30" t="inlineStr">
        <is>
          <t>T-0136</t>
        </is>
      </c>
      <c r="AO10" s="30" t="inlineStr">
        <is>
          <t>J-04-02</t>
        </is>
      </c>
    </row>
    <row r="11">
      <c r="A11" s="30" t="inlineStr">
        <is>
          <t>O0010</t>
        </is>
      </c>
      <c r="B11" s="30" t="inlineStr">
        <is>
          <t>A</t>
        </is>
      </c>
      <c r="C11" s="31" t="n">
        <v>181.5</v>
      </c>
      <c r="D11" s="31" t="n">
        <v>445.1</v>
      </c>
      <c r="E11" s="31" t="n">
        <v>445.1</v>
      </c>
      <c r="F11" s="31" t="n">
        <v>456.2</v>
      </c>
      <c r="G11" s="31" t="n">
        <v>485.6</v>
      </c>
      <c r="H11" s="31" t="n">
        <v>508.3</v>
      </c>
      <c r="I11" s="31" t="n">
        <v>539.1</v>
      </c>
      <c r="J11" s="31" t="n">
        <v>577.8</v>
      </c>
      <c r="K11" s="31" t="n">
        <v>396.3</v>
      </c>
      <c r="L11" s="31" t="n">
        <v>263.6</v>
      </c>
      <c r="M11" s="30" t="inlineStr">
        <is>
          <t>AMR3</t>
        </is>
      </c>
      <c r="N11" s="30" t="inlineStr">
        <is>
          <t>AMR3</t>
        </is>
      </c>
      <c r="O11" s="32" t="n">
        <v>0</v>
      </c>
      <c r="P11" s="32" t="n">
        <v>0</v>
      </c>
      <c r="Q11" s="32" t="n">
        <v>21</v>
      </c>
      <c r="R11" s="31" t="n">
        <v>38.8</v>
      </c>
      <c r="S11" s="31" t="n">
        <v>38.8</v>
      </c>
      <c r="T11" s="30" t="inlineStr">
        <is>
          <t>AMR3</t>
        </is>
      </c>
      <c r="U11" s="31" t="n">
        <v>69.2</v>
      </c>
      <c r="V11" s="31" t="n">
        <v>69.2</v>
      </c>
      <c r="W11" s="30" t="inlineStr">
        <is>
          <t>AMR3</t>
        </is>
      </c>
      <c r="X11" s="32" t="n">
        <v>0</v>
      </c>
      <c r="Y11" s="32" t="n">
        <v>0</v>
      </c>
      <c r="Z11" s="31" t="n">
        <v>0</v>
      </c>
      <c r="AA11" s="32" t="n">
        <v>0</v>
      </c>
      <c r="AB11" s="32" t="n">
        <v>0</v>
      </c>
      <c r="AC11" s="32" t="n">
        <v>0</v>
      </c>
      <c r="AD11" s="32" t="n">
        <v>0</v>
      </c>
      <c r="AE11" s="31" t="n">
        <v>0</v>
      </c>
      <c r="AF11" s="32" t="n">
        <v>0</v>
      </c>
      <c r="AG11" s="31" t="n">
        <v>0</v>
      </c>
      <c r="AH11" s="32" t="n">
        <v>64</v>
      </c>
      <c r="AI11" s="31" t="n">
        <v>64.09999999999999</v>
      </c>
      <c r="AJ11" s="31" t="n">
        <v>45.9</v>
      </c>
      <c r="AK11" s="31" t="n">
        <v>0</v>
      </c>
      <c r="AL11" s="30" t="inlineStr">
        <is>
          <t>T-0160</t>
        </is>
      </c>
      <c r="AM11" s="30" t="inlineStr">
        <is>
          <t>A-03-01</t>
        </is>
      </c>
      <c r="AN11" s="30" t="inlineStr">
        <is>
          <t>T-0002</t>
        </is>
      </c>
      <c r="AO11" s="30" t="inlineStr">
        <is>
          <t>A-05-03</t>
        </is>
      </c>
    </row>
    <row r="12">
      <c r="A12" s="30" t="inlineStr">
        <is>
          <t>O0011</t>
        </is>
      </c>
      <c r="B12" s="30" t="inlineStr">
        <is>
          <t>F</t>
        </is>
      </c>
      <c r="C12" s="31" t="n">
        <v>203.5</v>
      </c>
      <c r="D12" s="31" t="n">
        <v>456.3</v>
      </c>
      <c r="E12" s="31" t="n">
        <v>456.3</v>
      </c>
      <c r="F12" s="31" t="n">
        <v>472.5</v>
      </c>
      <c r="G12" s="31" t="n">
        <v>505.9</v>
      </c>
      <c r="H12" s="31" t="n">
        <v>525.2</v>
      </c>
      <c r="I12" s="31" t="n">
        <v>558.8</v>
      </c>
      <c r="J12" s="31" t="n">
        <v>590.5</v>
      </c>
      <c r="K12" s="31" t="n">
        <v>387</v>
      </c>
      <c r="L12" s="31" t="n">
        <v>252.8</v>
      </c>
      <c r="M12" s="30" t="inlineStr">
        <is>
          <t>AMR2</t>
        </is>
      </c>
      <c r="N12" s="30" t="inlineStr">
        <is>
          <t>AMR1</t>
        </is>
      </c>
      <c r="O12" s="32" t="n">
        <v>0</v>
      </c>
      <c r="P12" s="32" t="n">
        <v>0</v>
      </c>
      <c r="Q12" s="32" t="n">
        <v>23</v>
      </c>
      <c r="R12" s="31" t="n">
        <v>47.1</v>
      </c>
      <c r="S12" s="31" t="n">
        <v>47.1</v>
      </c>
      <c r="T12" s="30" t="inlineStr">
        <is>
          <t>AMR2</t>
        </is>
      </c>
      <c r="U12" s="31" t="n">
        <v>60.6</v>
      </c>
      <c r="V12" s="31" t="n">
        <v>60.6</v>
      </c>
      <c r="W12" s="30" t="inlineStr">
        <is>
          <t>AMR1</t>
        </is>
      </c>
      <c r="X12" s="32" t="n">
        <v>0</v>
      </c>
      <c r="Y12" s="32" t="n">
        <v>0</v>
      </c>
      <c r="Z12" s="31" t="n">
        <v>0</v>
      </c>
      <c r="AA12" s="32" t="n">
        <v>0</v>
      </c>
      <c r="AB12" s="32" t="n">
        <v>1</v>
      </c>
      <c r="AC12" s="32" t="n">
        <v>1</v>
      </c>
      <c r="AD12" s="32" t="n">
        <v>0</v>
      </c>
      <c r="AE12" s="31" t="n">
        <v>0</v>
      </c>
      <c r="AF12" s="32" t="n">
        <v>1</v>
      </c>
      <c r="AG12" s="31" t="n">
        <v>0.4</v>
      </c>
      <c r="AH12" s="32" t="n">
        <v>67</v>
      </c>
      <c r="AI12" s="31" t="n">
        <v>67</v>
      </c>
      <c r="AJ12" s="31" t="n">
        <v>42.5</v>
      </c>
      <c r="AK12" s="31" t="n">
        <v>5.4</v>
      </c>
      <c r="AL12" s="30" t="inlineStr">
        <is>
          <t>T-0161</t>
        </is>
      </c>
      <c r="AM12" s="30" t="inlineStr">
        <is>
          <t>F-02-01</t>
        </is>
      </c>
      <c r="AN12" s="30" t="inlineStr">
        <is>
          <t>T-0076</t>
        </is>
      </c>
      <c r="AO12" s="30" t="inlineStr">
        <is>
          <t>F-05-05</t>
        </is>
      </c>
    </row>
    <row r="13">
      <c r="A13" s="30" t="inlineStr">
        <is>
          <t>O0012</t>
        </is>
      </c>
      <c r="B13" s="30" t="inlineStr">
        <is>
          <t>F</t>
        </is>
      </c>
      <c r="C13" s="31" t="n">
        <v>220.1</v>
      </c>
      <c r="D13" s="31" t="n">
        <v>535.9</v>
      </c>
      <c r="E13" s="31" t="n">
        <v>535.9</v>
      </c>
      <c r="F13" s="31" t="n">
        <v>547.2</v>
      </c>
      <c r="G13" s="31" t="n">
        <v>581</v>
      </c>
      <c r="H13" s="31" t="n">
        <v>601.5</v>
      </c>
      <c r="I13" s="31" t="n">
        <v>638.1</v>
      </c>
      <c r="J13" s="31" t="n">
        <v>673.8</v>
      </c>
      <c r="K13" s="31" t="n">
        <v>453.7</v>
      </c>
      <c r="L13" s="31" t="n">
        <v>315.8</v>
      </c>
      <c r="M13" s="30" t="inlineStr">
        <is>
          <t>AMR2</t>
        </is>
      </c>
      <c r="N13" s="30" t="inlineStr">
        <is>
          <t>AMR3</t>
        </is>
      </c>
      <c r="O13" s="32" t="n">
        <v>0</v>
      </c>
      <c r="P13" s="32" t="n">
        <v>0</v>
      </c>
      <c r="Q13" s="32" t="n">
        <v>23</v>
      </c>
      <c r="R13" s="31" t="n">
        <v>43.4</v>
      </c>
      <c r="S13" s="31" t="n">
        <v>43.4</v>
      </c>
      <c r="T13" s="30" t="inlineStr">
        <is>
          <t>AMR2</t>
        </is>
      </c>
      <c r="U13" s="31" t="n">
        <v>63.2</v>
      </c>
      <c r="V13" s="31" t="n">
        <v>63.2</v>
      </c>
      <c r="W13" s="30" t="inlineStr">
        <is>
          <t>AMR3</t>
        </is>
      </c>
      <c r="X13" s="32" t="n">
        <v>0</v>
      </c>
      <c r="Y13" s="32" t="n">
        <v>0</v>
      </c>
      <c r="Z13" s="31" t="n">
        <v>0</v>
      </c>
      <c r="AA13" s="32" t="n">
        <v>0</v>
      </c>
      <c r="AB13" s="32" t="n">
        <v>1</v>
      </c>
      <c r="AC13" s="32" t="n">
        <v>1</v>
      </c>
      <c r="AD13" s="32" t="n">
        <v>0</v>
      </c>
      <c r="AE13" s="31" t="n">
        <v>0</v>
      </c>
      <c r="AF13" s="32" t="n">
        <v>0</v>
      </c>
      <c r="AG13" s="31" t="n">
        <v>0</v>
      </c>
      <c r="AH13" s="32" t="n">
        <v>70</v>
      </c>
      <c r="AI13" s="31" t="n">
        <v>73</v>
      </c>
      <c r="AJ13" s="31" t="n">
        <v>41.4</v>
      </c>
      <c r="AK13" s="31" t="n">
        <v>3</v>
      </c>
      <c r="AL13" s="30" t="inlineStr">
        <is>
          <t>T-0162</t>
        </is>
      </c>
      <c r="AM13" s="30" t="inlineStr">
        <is>
          <t>F-03-01</t>
        </is>
      </c>
      <c r="AN13" s="30" t="inlineStr">
        <is>
          <t>T-0077</t>
        </is>
      </c>
      <c r="AO13" s="30" t="inlineStr">
        <is>
          <t>F-01-01</t>
        </is>
      </c>
    </row>
    <row r="14">
      <c r="A14" s="30" t="inlineStr">
        <is>
          <t>O0013</t>
        </is>
      </c>
      <c r="B14" s="30" t="inlineStr">
        <is>
          <t>B</t>
        </is>
      </c>
      <c r="C14" s="31" t="n">
        <v>236</v>
      </c>
      <c r="D14" s="31" t="n">
        <v>609.4</v>
      </c>
      <c r="E14" s="31" t="n">
        <v>609.4</v>
      </c>
      <c r="F14" s="31" t="n">
        <v>619.8</v>
      </c>
      <c r="G14" s="31" t="n">
        <v>646</v>
      </c>
      <c r="H14" s="31" t="n">
        <v>660.8</v>
      </c>
      <c r="I14" s="31" t="n">
        <v>688.6</v>
      </c>
      <c r="J14" s="31" t="n">
        <v>716.5</v>
      </c>
      <c r="K14" s="31" t="n">
        <v>480.5</v>
      </c>
      <c r="L14" s="31" t="n">
        <v>373.4</v>
      </c>
      <c r="M14" s="30" t="inlineStr">
        <is>
          <t>AMR2</t>
        </is>
      </c>
      <c r="N14" s="30" t="inlineStr">
        <is>
          <t>AMR2</t>
        </is>
      </c>
      <c r="O14" s="32" t="n">
        <v>0</v>
      </c>
      <c r="P14" s="32" t="n">
        <v>0</v>
      </c>
      <c r="Q14" s="32" t="n">
        <v>15</v>
      </c>
      <c r="R14" s="31" t="n">
        <v>35.7</v>
      </c>
      <c r="S14" s="31" t="n">
        <v>35.7</v>
      </c>
      <c r="T14" s="30" t="inlineStr">
        <is>
          <t>AMR2</t>
        </is>
      </c>
      <c r="U14" s="31" t="n">
        <v>55.4</v>
      </c>
      <c r="V14" s="31" t="n">
        <v>55.4</v>
      </c>
      <c r="W14" s="30" t="inlineStr">
        <is>
          <t>AMR2</t>
        </is>
      </c>
      <c r="X14" s="32" t="n">
        <v>0</v>
      </c>
      <c r="Y14" s="32" t="n">
        <v>0</v>
      </c>
      <c r="Z14" s="31" t="n">
        <v>0</v>
      </c>
      <c r="AA14" s="32" t="n">
        <v>0</v>
      </c>
      <c r="AB14" s="32" t="n">
        <v>0</v>
      </c>
      <c r="AC14" s="32" t="n">
        <v>0</v>
      </c>
      <c r="AD14" s="32" t="n">
        <v>0</v>
      </c>
      <c r="AE14" s="31" t="n">
        <v>0</v>
      </c>
      <c r="AF14" s="32" t="n">
        <v>0</v>
      </c>
      <c r="AG14" s="31" t="n">
        <v>0</v>
      </c>
      <c r="AH14" s="32" t="n">
        <v>45</v>
      </c>
      <c r="AI14" s="31" t="n">
        <v>48.5</v>
      </c>
      <c r="AJ14" s="31" t="n">
        <v>43.8</v>
      </c>
      <c r="AK14" s="31" t="n">
        <v>0</v>
      </c>
      <c r="AL14" s="30" t="inlineStr">
        <is>
          <t>T-0163</t>
        </is>
      </c>
      <c r="AM14" s="30" t="inlineStr">
        <is>
          <t>B-04-01</t>
        </is>
      </c>
      <c r="AN14" s="30" t="inlineStr">
        <is>
          <t>T-0018</t>
        </is>
      </c>
      <c r="AO14" s="30" t="inlineStr">
        <is>
          <t>B-05-04</t>
        </is>
      </c>
    </row>
    <row r="15">
      <c r="A15" s="30" t="inlineStr">
        <is>
          <t>O0014</t>
        </is>
      </c>
      <c r="B15" s="30" t="inlineStr">
        <is>
          <t>J</t>
        </is>
      </c>
      <c r="C15" s="31" t="n">
        <v>259.5</v>
      </c>
      <c r="D15" s="31" t="n">
        <v>619.9</v>
      </c>
      <c r="E15" s="31" t="n">
        <v>619.9</v>
      </c>
      <c r="F15" s="31" t="n">
        <v>635.7</v>
      </c>
      <c r="G15" s="31" t="n">
        <v>667.6</v>
      </c>
      <c r="H15" s="31" t="n">
        <v>687.8</v>
      </c>
      <c r="I15" s="31" t="n">
        <v>719.2</v>
      </c>
      <c r="J15" s="31" t="n">
        <v>757.3</v>
      </c>
      <c r="K15" s="31" t="n">
        <v>497.8</v>
      </c>
      <c r="L15" s="31" t="n">
        <v>360.4</v>
      </c>
      <c r="M15" s="30" t="inlineStr">
        <is>
          <t>AMR1</t>
        </is>
      </c>
      <c r="N15" s="30" t="inlineStr">
        <is>
          <t>AMR1</t>
        </is>
      </c>
      <c r="O15" s="32" t="n">
        <v>0</v>
      </c>
      <c r="P15" s="32" t="n">
        <v>0</v>
      </c>
      <c r="Q15" s="32" t="n">
        <v>21</v>
      </c>
      <c r="R15" s="31" t="n">
        <v>46.8</v>
      </c>
      <c r="S15" s="31" t="n">
        <v>46.8</v>
      </c>
      <c r="T15" s="30" t="inlineStr">
        <is>
          <t>AMR1</t>
        </is>
      </c>
      <c r="U15" s="31" t="n">
        <v>62.6</v>
      </c>
      <c r="V15" s="31" t="n">
        <v>62.6</v>
      </c>
      <c r="W15" s="30" t="inlineStr">
        <is>
          <t>AMR1</t>
        </is>
      </c>
      <c r="X15" s="32" t="n">
        <v>0</v>
      </c>
      <c r="Y15" s="32" t="n">
        <v>0</v>
      </c>
      <c r="Z15" s="31" t="n">
        <v>0</v>
      </c>
      <c r="AA15" s="32" t="n">
        <v>0</v>
      </c>
      <c r="AB15" s="32" t="n">
        <v>0</v>
      </c>
      <c r="AC15" s="32" t="n">
        <v>0</v>
      </c>
      <c r="AD15" s="32" t="n">
        <v>1</v>
      </c>
      <c r="AE15" s="31" t="n">
        <v>2.1</v>
      </c>
      <c r="AF15" s="32" t="n">
        <v>0</v>
      </c>
      <c r="AG15" s="31" t="n">
        <v>0</v>
      </c>
      <c r="AH15" s="32" t="n">
        <v>65</v>
      </c>
      <c r="AI15" s="31" t="n">
        <v>66.3</v>
      </c>
      <c r="AJ15" s="31" t="n">
        <v>48.8</v>
      </c>
      <c r="AK15" s="31" t="n">
        <v>2.1</v>
      </c>
      <c r="AL15" s="30" t="inlineStr">
        <is>
          <t>T-0164</t>
        </is>
      </c>
      <c r="AM15" s="30" t="inlineStr">
        <is>
          <t>J-02-01</t>
        </is>
      </c>
      <c r="AN15" s="30" t="inlineStr">
        <is>
          <t>T-0137</t>
        </is>
      </c>
      <c r="AO15" s="30" t="inlineStr">
        <is>
          <t>J-06-03</t>
        </is>
      </c>
    </row>
    <row r="16">
      <c r="A16" s="30" t="inlineStr">
        <is>
          <t>O0015</t>
        </is>
      </c>
      <c r="B16" s="30" t="inlineStr">
        <is>
          <t>H</t>
        </is>
      </c>
      <c r="C16" s="31" t="n">
        <v>282.6</v>
      </c>
      <c r="D16" s="31" t="n">
        <v>697.5</v>
      </c>
      <c r="E16" s="31" t="n">
        <v>697.5</v>
      </c>
      <c r="F16" s="31" t="n">
        <v>712.1</v>
      </c>
      <c r="G16" s="31" t="n">
        <v>739</v>
      </c>
      <c r="H16" s="31" t="n">
        <v>740.2</v>
      </c>
      <c r="I16" s="31" t="n">
        <v>767.4</v>
      </c>
      <c r="J16" s="31" t="n">
        <v>792.2</v>
      </c>
      <c r="K16" s="31" t="n">
        <v>509.6</v>
      </c>
      <c r="L16" s="31" t="n">
        <v>414.9</v>
      </c>
      <c r="M16" s="30" t="inlineStr">
        <is>
          <t>AMR3</t>
        </is>
      </c>
      <c r="N16" s="30" t="inlineStr">
        <is>
          <t>AMR2</t>
        </is>
      </c>
      <c r="O16" s="32" t="n">
        <v>0</v>
      </c>
      <c r="P16" s="32" t="n">
        <v>0</v>
      </c>
      <c r="Q16" s="32" t="n">
        <v>15</v>
      </c>
      <c r="R16" s="31" t="n">
        <v>40.6</v>
      </c>
      <c r="S16" s="31" t="n">
        <v>40.6</v>
      </c>
      <c r="T16" s="30" t="inlineStr">
        <is>
          <t>AMR3</t>
        </is>
      </c>
      <c r="U16" s="31" t="n">
        <v>53.2</v>
      </c>
      <c r="V16" s="31" t="n">
        <v>53.2</v>
      </c>
      <c r="W16" s="30" t="inlineStr">
        <is>
          <t>AMR2</t>
        </is>
      </c>
      <c r="X16" s="32" t="n">
        <v>0</v>
      </c>
      <c r="Y16" s="32" t="n">
        <v>0</v>
      </c>
      <c r="Z16" s="31" t="n">
        <v>0</v>
      </c>
      <c r="AA16" s="32" t="n">
        <v>0</v>
      </c>
      <c r="AB16" s="32" t="n">
        <v>0</v>
      </c>
      <c r="AC16" s="32" t="n">
        <v>0</v>
      </c>
      <c r="AD16" s="32" t="n">
        <v>0</v>
      </c>
      <c r="AE16" s="31" t="n">
        <v>0</v>
      </c>
      <c r="AF16" s="32" t="n">
        <v>0</v>
      </c>
      <c r="AG16" s="31" t="n">
        <v>0</v>
      </c>
      <c r="AH16" s="32" t="n">
        <v>41</v>
      </c>
      <c r="AI16" s="31" t="n">
        <v>45</v>
      </c>
      <c r="AJ16" s="31" t="n">
        <v>48.5</v>
      </c>
      <c r="AK16" s="31" t="n">
        <v>0</v>
      </c>
      <c r="AL16" s="30" t="inlineStr">
        <is>
          <t>T-0165</t>
        </is>
      </c>
      <c r="AM16" s="30" t="inlineStr">
        <is>
          <t>H-04-01</t>
        </is>
      </c>
      <c r="AN16" s="30" t="inlineStr">
        <is>
          <t>T-0106</t>
        </is>
      </c>
      <c r="AO16" s="30" t="inlineStr">
        <is>
          <t>H-02-04</t>
        </is>
      </c>
    </row>
    <row r="17">
      <c r="A17" s="30" t="inlineStr">
        <is>
          <t>O0016</t>
        </is>
      </c>
      <c r="B17" s="30" t="inlineStr">
        <is>
          <t>G</t>
        </is>
      </c>
      <c r="C17" s="31" t="n">
        <v>298.8</v>
      </c>
      <c r="D17" s="31" t="n">
        <v>753.8</v>
      </c>
      <c r="E17" s="31" t="n">
        <v>753.8</v>
      </c>
      <c r="F17" s="31" t="n">
        <v>765.4</v>
      </c>
      <c r="G17" s="31" t="n">
        <v>795.2</v>
      </c>
      <c r="H17" s="31" t="n">
        <v>812.7</v>
      </c>
      <c r="I17" s="31" t="n">
        <v>839.6</v>
      </c>
      <c r="J17" s="31" t="n">
        <v>868.8</v>
      </c>
      <c r="K17" s="31" t="n">
        <v>570</v>
      </c>
      <c r="L17" s="31" t="n">
        <v>455</v>
      </c>
      <c r="M17" s="30" t="inlineStr">
        <is>
          <t>AMR3</t>
        </is>
      </c>
      <c r="N17" s="30" t="inlineStr">
        <is>
          <t>AMR3</t>
        </is>
      </c>
      <c r="O17" s="32" t="n">
        <v>0</v>
      </c>
      <c r="P17" s="32" t="n">
        <v>0</v>
      </c>
      <c r="Q17" s="32" t="n">
        <v>17</v>
      </c>
      <c r="R17" s="31" t="n">
        <v>39.7</v>
      </c>
      <c r="S17" s="31" t="n">
        <v>39.7</v>
      </c>
      <c r="T17" s="30" t="inlineStr">
        <is>
          <t>AMR3</t>
        </is>
      </c>
      <c r="U17" s="31" t="n">
        <v>55.8</v>
      </c>
      <c r="V17" s="31" t="n">
        <v>55.8</v>
      </c>
      <c r="W17" s="30" t="inlineStr">
        <is>
          <t>AMR3</t>
        </is>
      </c>
      <c r="X17" s="32" t="n">
        <v>0</v>
      </c>
      <c r="Y17" s="32" t="n">
        <v>0</v>
      </c>
      <c r="Z17" s="31" t="n">
        <v>0</v>
      </c>
      <c r="AA17" s="32" t="n">
        <v>0</v>
      </c>
      <c r="AB17" s="32" t="n">
        <v>0</v>
      </c>
      <c r="AC17" s="32" t="n">
        <v>0</v>
      </c>
      <c r="AD17" s="32" t="n">
        <v>0</v>
      </c>
      <c r="AE17" s="31" t="n">
        <v>0</v>
      </c>
      <c r="AF17" s="32" t="n">
        <v>0</v>
      </c>
      <c r="AG17" s="31" t="n">
        <v>0</v>
      </c>
      <c r="AH17" s="32" t="n">
        <v>48</v>
      </c>
      <c r="AI17" s="31" t="n">
        <v>52.4</v>
      </c>
      <c r="AJ17" s="31" t="n">
        <v>45.1</v>
      </c>
      <c r="AK17" s="31" t="n">
        <v>0</v>
      </c>
      <c r="AL17" s="30" t="inlineStr">
        <is>
          <t>T-0166</t>
        </is>
      </c>
      <c r="AM17" s="30" t="inlineStr">
        <is>
          <t>G-03-01</t>
        </is>
      </c>
      <c r="AN17" s="30" t="inlineStr">
        <is>
          <t>T-0091</t>
        </is>
      </c>
      <c r="AO17" s="30" t="inlineStr">
        <is>
          <t>G-05-02</t>
        </is>
      </c>
    </row>
    <row r="18">
      <c r="A18" s="30" t="inlineStr">
        <is>
          <t>O0017</t>
        </is>
      </c>
      <c r="B18" s="30" t="inlineStr">
        <is>
          <t>J</t>
        </is>
      </c>
      <c r="C18" s="31" t="n">
        <v>319.3</v>
      </c>
      <c r="D18" s="31" t="n">
        <v>781</v>
      </c>
      <c r="E18" s="31" t="n">
        <v>781</v>
      </c>
      <c r="F18" s="31" t="n">
        <v>794.9</v>
      </c>
      <c r="G18" s="31" t="n">
        <v>828.6</v>
      </c>
      <c r="H18" s="31" t="n">
        <v>850.8</v>
      </c>
      <c r="I18" s="31" t="n">
        <v>880.8</v>
      </c>
      <c r="J18" s="31" t="n">
        <v>913</v>
      </c>
      <c r="K18" s="31" t="n">
        <v>593.7</v>
      </c>
      <c r="L18" s="31" t="n">
        <v>461.7</v>
      </c>
      <c r="M18" s="30" t="inlineStr">
        <is>
          <t>AMR1</t>
        </is>
      </c>
      <c r="N18" s="30" t="inlineStr">
        <is>
          <t>AMR1</t>
        </is>
      </c>
      <c r="O18" s="32" t="n">
        <v>0</v>
      </c>
      <c r="P18" s="32" t="n">
        <v>0</v>
      </c>
      <c r="Q18" s="32" t="n">
        <v>21</v>
      </c>
      <c r="R18" s="31" t="n">
        <v>45.1</v>
      </c>
      <c r="S18" s="31" t="n">
        <v>45.1</v>
      </c>
      <c r="T18" s="30" t="inlineStr">
        <is>
          <t>AMR1</t>
        </is>
      </c>
      <c r="U18" s="31" t="n">
        <v>60.4</v>
      </c>
      <c r="V18" s="31" t="n">
        <v>60.4</v>
      </c>
      <c r="W18" s="30" t="inlineStr">
        <is>
          <t>AMR1</t>
        </is>
      </c>
      <c r="X18" s="32" t="n">
        <v>0</v>
      </c>
      <c r="Y18" s="32" t="n">
        <v>0</v>
      </c>
      <c r="Z18" s="31" t="n">
        <v>0</v>
      </c>
      <c r="AA18" s="32" t="n">
        <v>0</v>
      </c>
      <c r="AB18" s="32" t="n">
        <v>0</v>
      </c>
      <c r="AC18" s="32" t="n">
        <v>0</v>
      </c>
      <c r="AD18" s="32" t="n">
        <v>0</v>
      </c>
      <c r="AE18" s="31" t="n">
        <v>0</v>
      </c>
      <c r="AF18" s="32" t="n">
        <v>0</v>
      </c>
      <c r="AG18" s="31" t="n">
        <v>0</v>
      </c>
      <c r="AH18" s="32" t="n">
        <v>63</v>
      </c>
      <c r="AI18" s="31" t="n">
        <v>64.90000000000001</v>
      </c>
      <c r="AJ18" s="31" t="n">
        <v>44.9</v>
      </c>
      <c r="AK18" s="31" t="n">
        <v>0</v>
      </c>
      <c r="AL18" s="30" t="inlineStr">
        <is>
          <t>T-0167</t>
        </is>
      </c>
      <c r="AM18" s="30" t="inlineStr">
        <is>
          <t>J-04-01</t>
        </is>
      </c>
      <c r="AN18" s="30" t="inlineStr">
        <is>
          <t>T-0138</t>
        </is>
      </c>
      <c r="AO18" s="30" t="inlineStr">
        <is>
          <t>J-03-03</t>
        </is>
      </c>
    </row>
    <row r="19">
      <c r="A19" s="30" t="inlineStr">
        <is>
          <t>O0018</t>
        </is>
      </c>
      <c r="B19" s="30" t="inlineStr">
        <is>
          <t>B</t>
        </is>
      </c>
      <c r="C19" s="31" t="n">
        <v>340.1</v>
      </c>
      <c r="D19" s="31" t="n">
        <v>815.9</v>
      </c>
      <c r="E19" s="31" t="n">
        <v>815.9</v>
      </c>
      <c r="F19" s="31" t="n">
        <v>831.3</v>
      </c>
      <c r="G19" s="31" t="n">
        <v>856.3</v>
      </c>
      <c r="H19" s="31" t="n">
        <v>871.1</v>
      </c>
      <c r="I19" s="31" t="n">
        <v>898.8</v>
      </c>
      <c r="J19" s="31" t="n">
        <v>930</v>
      </c>
      <c r="K19" s="31" t="n">
        <v>589.9</v>
      </c>
      <c r="L19" s="31" t="n">
        <v>475.8</v>
      </c>
      <c r="M19" s="30" t="inlineStr">
        <is>
          <t>AMR2</t>
        </is>
      </c>
      <c r="N19" s="30" t="inlineStr">
        <is>
          <t>AMR2</t>
        </is>
      </c>
      <c r="O19" s="32" t="n">
        <v>0</v>
      </c>
      <c r="P19" s="32" t="n">
        <v>0</v>
      </c>
      <c r="Q19" s="32" t="n">
        <v>15</v>
      </c>
      <c r="R19" s="31" t="n">
        <v>39.5</v>
      </c>
      <c r="S19" s="31" t="n">
        <v>39.5</v>
      </c>
      <c r="T19" s="30" t="inlineStr">
        <is>
          <t>AMR2</t>
        </is>
      </c>
      <c r="U19" s="31" t="n">
        <v>58.6</v>
      </c>
      <c r="V19" s="31" t="n">
        <v>58.6</v>
      </c>
      <c r="W19" s="30" t="inlineStr">
        <is>
          <t>AMR2</t>
        </is>
      </c>
      <c r="X19" s="32" t="n">
        <v>0</v>
      </c>
      <c r="Y19" s="32" t="n">
        <v>0</v>
      </c>
      <c r="Z19" s="31" t="n">
        <v>0</v>
      </c>
      <c r="AA19" s="32" t="n">
        <v>0</v>
      </c>
      <c r="AB19" s="32" t="n">
        <v>0</v>
      </c>
      <c r="AC19" s="32" t="n">
        <v>0</v>
      </c>
      <c r="AD19" s="32" t="n">
        <v>0</v>
      </c>
      <c r="AE19" s="31" t="n">
        <v>0</v>
      </c>
      <c r="AF19" s="32" t="n">
        <v>0</v>
      </c>
      <c r="AG19" s="31" t="n">
        <v>0</v>
      </c>
      <c r="AH19" s="32" t="n">
        <v>45</v>
      </c>
      <c r="AI19" s="31" t="n">
        <v>48.5</v>
      </c>
      <c r="AJ19" s="31" t="n">
        <v>50.8</v>
      </c>
      <c r="AK19" s="31" t="n">
        <v>0</v>
      </c>
      <c r="AL19" s="30" t="inlineStr">
        <is>
          <t>T-0168</t>
        </is>
      </c>
      <c r="AM19" s="30" t="inlineStr">
        <is>
          <t>B-05-01</t>
        </is>
      </c>
      <c r="AN19" s="30" t="inlineStr">
        <is>
          <t>T-0019</t>
        </is>
      </c>
      <c r="AO19" s="30" t="inlineStr">
        <is>
          <t>B-04-02</t>
        </is>
      </c>
    </row>
    <row r="20">
      <c r="A20" s="30" t="inlineStr">
        <is>
          <t>O0019</t>
        </is>
      </c>
      <c r="B20" s="30" t="inlineStr">
        <is>
          <t>E</t>
        </is>
      </c>
      <c r="C20" s="31" t="n">
        <v>361.7</v>
      </c>
      <c r="D20" s="31" t="n">
        <v>892.5</v>
      </c>
      <c r="E20" s="31" t="n">
        <v>892.5</v>
      </c>
      <c r="F20" s="31" t="n">
        <v>904</v>
      </c>
      <c r="G20" s="31" t="n">
        <v>930.1</v>
      </c>
      <c r="H20" s="31" t="n">
        <v>936.7</v>
      </c>
      <c r="I20" s="31" t="n">
        <v>963.7</v>
      </c>
      <c r="J20" s="31" t="n">
        <v>1000.5</v>
      </c>
      <c r="K20" s="31" t="n">
        <v>638.8</v>
      </c>
      <c r="L20" s="31" t="n">
        <v>530.8</v>
      </c>
      <c r="M20" s="30" t="inlineStr">
        <is>
          <t>AMR3</t>
        </is>
      </c>
      <c r="N20" s="30" t="inlineStr">
        <is>
          <t>AMR1</t>
        </is>
      </c>
      <c r="O20" s="32" t="n">
        <v>0</v>
      </c>
      <c r="P20" s="32" t="n">
        <v>0</v>
      </c>
      <c r="Q20" s="32" t="n">
        <v>19</v>
      </c>
      <c r="R20" s="31" t="n">
        <v>35.9</v>
      </c>
      <c r="S20" s="31" t="n">
        <v>35.9</v>
      </c>
      <c r="T20" s="30" t="inlineStr">
        <is>
          <t>AMR3</t>
        </is>
      </c>
      <c r="U20" s="31" t="n">
        <v>64</v>
      </c>
      <c r="V20" s="31" t="n">
        <v>64</v>
      </c>
      <c r="W20" s="30" t="inlineStr">
        <is>
          <t>AMR1</t>
        </is>
      </c>
      <c r="X20" s="32" t="n">
        <v>0</v>
      </c>
      <c r="Y20" s="32" t="n">
        <v>0</v>
      </c>
      <c r="Z20" s="31" t="n">
        <v>0</v>
      </c>
      <c r="AA20" s="32" t="n">
        <v>0</v>
      </c>
      <c r="AB20" s="32" t="n">
        <v>0</v>
      </c>
      <c r="AC20" s="32" t="n">
        <v>0</v>
      </c>
      <c r="AD20" s="32" t="n">
        <v>0</v>
      </c>
      <c r="AE20" s="31" t="n">
        <v>0</v>
      </c>
      <c r="AF20" s="32" t="n">
        <v>0</v>
      </c>
      <c r="AG20" s="31" t="n">
        <v>0</v>
      </c>
      <c r="AH20" s="32" t="n">
        <v>58</v>
      </c>
      <c r="AI20" s="31" t="n">
        <v>59</v>
      </c>
      <c r="AJ20" s="31" t="n">
        <v>42.4</v>
      </c>
      <c r="AK20" s="31" t="n">
        <v>0</v>
      </c>
      <c r="AL20" s="30" t="inlineStr">
        <is>
          <t>T-0169</t>
        </is>
      </c>
      <c r="AM20" s="30" t="inlineStr">
        <is>
          <t>E-03-01</t>
        </is>
      </c>
      <c r="AN20" s="30" t="inlineStr">
        <is>
          <t>T-0061</t>
        </is>
      </c>
      <c r="AO20" s="30" t="inlineStr">
        <is>
          <t>E-01-04</t>
        </is>
      </c>
    </row>
    <row r="21">
      <c r="A21" s="30" t="inlineStr">
        <is>
          <t>O0020</t>
        </is>
      </c>
      <c r="B21" s="30" t="inlineStr">
        <is>
          <t>B</t>
        </is>
      </c>
      <c r="C21" s="31" t="n">
        <v>385.3</v>
      </c>
      <c r="D21" s="31" t="n">
        <v>949.6</v>
      </c>
      <c r="E21" s="31" t="n">
        <v>949.6</v>
      </c>
      <c r="F21" s="31" t="n">
        <v>960.4</v>
      </c>
      <c r="G21" s="31" t="n">
        <v>983</v>
      </c>
      <c r="H21" s="31" t="n">
        <v>999.2</v>
      </c>
      <c r="I21" s="31" t="n">
        <v>1024.4</v>
      </c>
      <c r="J21" s="31" t="n">
        <v>1055.3</v>
      </c>
      <c r="K21" s="31" t="n">
        <v>670</v>
      </c>
      <c r="L21" s="31" t="n">
        <v>564.3</v>
      </c>
      <c r="M21" s="30" t="inlineStr">
        <is>
          <t>AMR3</t>
        </is>
      </c>
      <c r="N21" s="30" t="inlineStr">
        <is>
          <t>AMR3</t>
        </is>
      </c>
      <c r="O21" s="32" t="n">
        <v>0</v>
      </c>
      <c r="P21" s="32" t="n">
        <v>0</v>
      </c>
      <c r="Q21" s="32" t="n">
        <v>15</v>
      </c>
      <c r="R21" s="31" t="n">
        <v>30.9</v>
      </c>
      <c r="S21" s="31" t="n">
        <v>30.9</v>
      </c>
      <c r="T21" s="30" t="inlineStr">
        <is>
          <t>AMR3</t>
        </is>
      </c>
      <c r="U21" s="31" t="n">
        <v>55.8</v>
      </c>
      <c r="V21" s="31" t="n">
        <v>55.8</v>
      </c>
      <c r="W21" s="30" t="inlineStr">
        <is>
          <t>AMR3</t>
        </is>
      </c>
      <c r="X21" s="32" t="n">
        <v>0</v>
      </c>
      <c r="Y21" s="32" t="n">
        <v>0</v>
      </c>
      <c r="Z21" s="31" t="n">
        <v>0</v>
      </c>
      <c r="AA21" s="32" t="n">
        <v>0</v>
      </c>
      <c r="AB21" s="32" t="n">
        <v>0</v>
      </c>
      <c r="AC21" s="32" t="n">
        <v>0</v>
      </c>
      <c r="AD21" s="32" t="n">
        <v>0</v>
      </c>
      <c r="AE21" s="31" t="n">
        <v>0</v>
      </c>
      <c r="AF21" s="32" t="n">
        <v>0</v>
      </c>
      <c r="AG21" s="31" t="n">
        <v>0</v>
      </c>
      <c r="AH21" s="32" t="n">
        <v>47</v>
      </c>
      <c r="AI21" s="31" t="n">
        <v>50.1</v>
      </c>
      <c r="AJ21" s="31" t="n">
        <v>39.4</v>
      </c>
      <c r="AK21" s="31" t="n">
        <v>0</v>
      </c>
      <c r="AL21" s="30" t="inlineStr">
        <is>
          <t>T-0170</t>
        </is>
      </c>
      <c r="AM21" s="30" t="inlineStr">
        <is>
          <t>B-01-02</t>
        </is>
      </c>
      <c r="AN21" s="30" t="inlineStr">
        <is>
          <t>T-0020</t>
        </is>
      </c>
      <c r="AO21" s="30" t="inlineStr">
        <is>
          <t>B-04-05</t>
        </is>
      </c>
    </row>
    <row r="22">
      <c r="A22" s="30" t="inlineStr">
        <is>
          <t>O0021</t>
        </is>
      </c>
      <c r="B22" s="30" t="inlineStr">
        <is>
          <t>F</t>
        </is>
      </c>
      <c r="C22" s="31" t="n">
        <v>403</v>
      </c>
      <c r="D22" s="31" t="n">
        <v>960.5</v>
      </c>
      <c r="E22" s="31" t="n">
        <v>960.5</v>
      </c>
      <c r="F22" s="31" t="n">
        <v>976.1</v>
      </c>
      <c r="G22" s="31" t="n">
        <v>1011.6</v>
      </c>
      <c r="H22" s="31" t="n">
        <v>1024.2</v>
      </c>
      <c r="I22" s="31" t="n">
        <v>1056.8</v>
      </c>
      <c r="J22" s="31" t="n">
        <v>1090.9</v>
      </c>
      <c r="K22" s="31" t="n">
        <v>687.9</v>
      </c>
      <c r="L22" s="31" t="n">
        <v>557.5</v>
      </c>
      <c r="M22" s="30" t="inlineStr">
        <is>
          <t>AMR2</t>
        </is>
      </c>
      <c r="N22" s="30" t="inlineStr">
        <is>
          <t>AMR1</t>
        </is>
      </c>
      <c r="O22" s="32" t="n">
        <v>0</v>
      </c>
      <c r="P22" s="32" t="n">
        <v>0</v>
      </c>
      <c r="Q22" s="32" t="n">
        <v>23</v>
      </c>
      <c r="R22" s="31" t="n">
        <v>48.6</v>
      </c>
      <c r="S22" s="31" t="n">
        <v>48.6</v>
      </c>
      <c r="T22" s="30" t="inlineStr">
        <is>
          <t>AMR2</t>
        </is>
      </c>
      <c r="U22" s="31" t="n">
        <v>64.40000000000001</v>
      </c>
      <c r="V22" s="31" t="n">
        <v>64.40000000000001</v>
      </c>
      <c r="W22" s="30" t="inlineStr">
        <is>
          <t>AMR1</t>
        </is>
      </c>
      <c r="X22" s="32" t="n">
        <v>0</v>
      </c>
      <c r="Y22" s="32" t="n">
        <v>0</v>
      </c>
      <c r="Z22" s="31" t="n">
        <v>0</v>
      </c>
      <c r="AA22" s="32" t="n">
        <v>0</v>
      </c>
      <c r="AB22" s="32" t="n">
        <v>0</v>
      </c>
      <c r="AC22" s="32" t="n">
        <v>0</v>
      </c>
      <c r="AD22" s="32" t="n">
        <v>0</v>
      </c>
      <c r="AE22" s="31" t="n">
        <v>0</v>
      </c>
      <c r="AF22" s="32" t="n">
        <v>0</v>
      </c>
      <c r="AG22" s="31" t="n">
        <v>0</v>
      </c>
      <c r="AH22" s="32" t="n">
        <v>71</v>
      </c>
      <c r="AI22" s="31" t="n">
        <v>70</v>
      </c>
      <c r="AJ22" s="31" t="n">
        <v>47.8</v>
      </c>
      <c r="AK22" s="31" t="n">
        <v>0</v>
      </c>
      <c r="AL22" s="30" t="inlineStr">
        <is>
          <t>T-0171</t>
        </is>
      </c>
      <c r="AM22" s="30" t="inlineStr">
        <is>
          <t>F-01-01</t>
        </is>
      </c>
      <c r="AN22" s="30" t="inlineStr">
        <is>
          <t>T-0078</t>
        </is>
      </c>
      <c r="AO22" s="30" t="inlineStr">
        <is>
          <t>F-01-04</t>
        </is>
      </c>
    </row>
    <row r="23">
      <c r="A23" s="30" t="inlineStr">
        <is>
          <t>O0022</t>
        </is>
      </c>
      <c r="B23" s="30" t="inlineStr">
        <is>
          <t>D</t>
        </is>
      </c>
      <c r="C23" s="31" t="n">
        <v>421.7</v>
      </c>
      <c r="D23" s="31" t="n">
        <v>1035.2</v>
      </c>
      <c r="E23" s="31" t="n">
        <v>1035.2</v>
      </c>
      <c r="F23" s="31" t="n">
        <v>1046.5</v>
      </c>
      <c r="G23" s="31" t="n">
        <v>1067.3</v>
      </c>
      <c r="H23" s="31" t="n">
        <v>1079</v>
      </c>
      <c r="I23" s="31" t="n">
        <v>1110.1</v>
      </c>
      <c r="J23" s="31" t="n">
        <v>1138</v>
      </c>
      <c r="K23" s="31" t="n">
        <v>716.3</v>
      </c>
      <c r="L23" s="31" t="n">
        <v>613.5</v>
      </c>
      <c r="M23" s="30" t="inlineStr">
        <is>
          <t>AMR2</t>
        </is>
      </c>
      <c r="N23" s="30" t="inlineStr">
        <is>
          <t>AMR3</t>
        </is>
      </c>
      <c r="O23" s="32" t="n">
        <v>0</v>
      </c>
      <c r="P23" s="32" t="n">
        <v>0</v>
      </c>
      <c r="Q23" s="32" t="n">
        <v>13</v>
      </c>
      <c r="R23" s="31" t="n">
        <v>29.6</v>
      </c>
      <c r="S23" s="31" t="n">
        <v>29.6</v>
      </c>
      <c r="T23" s="30" t="inlineStr">
        <is>
          <t>AMR2</t>
        </is>
      </c>
      <c r="U23" s="31" t="n">
        <v>50.7</v>
      </c>
      <c r="V23" s="31" t="n">
        <v>50.7</v>
      </c>
      <c r="W23" s="30" t="inlineStr">
        <is>
          <t>AMR3</t>
        </is>
      </c>
      <c r="X23" s="32" t="n">
        <v>0</v>
      </c>
      <c r="Y23" s="32" t="n">
        <v>0</v>
      </c>
      <c r="Z23" s="31" t="n">
        <v>0</v>
      </c>
      <c r="AA23" s="32" t="n">
        <v>0</v>
      </c>
      <c r="AB23" s="32" t="n">
        <v>1</v>
      </c>
      <c r="AC23" s="32" t="n">
        <v>1</v>
      </c>
      <c r="AD23" s="32" t="n">
        <v>0</v>
      </c>
      <c r="AE23" s="31" t="n">
        <v>0</v>
      </c>
      <c r="AF23" s="32" t="n">
        <v>0</v>
      </c>
      <c r="AG23" s="31" t="n">
        <v>0</v>
      </c>
      <c r="AH23" s="32" t="n">
        <v>45</v>
      </c>
      <c r="AI23" s="31" t="n">
        <v>50.5</v>
      </c>
      <c r="AJ23" s="31" t="n">
        <v>37.6</v>
      </c>
      <c r="AK23" s="31" t="n">
        <v>3</v>
      </c>
      <c r="AL23" s="30" t="inlineStr">
        <is>
          <t>T-0172</t>
        </is>
      </c>
      <c r="AM23" s="30" t="inlineStr">
        <is>
          <t>D-04-01</t>
        </is>
      </c>
      <c r="AN23" s="30" t="inlineStr">
        <is>
          <t>T-0048</t>
        </is>
      </c>
      <c r="AO23" s="30" t="inlineStr">
        <is>
          <t>D-05-05</t>
        </is>
      </c>
    </row>
    <row r="24">
      <c r="A24" s="30" t="inlineStr">
        <is>
          <t>O0023</t>
        </is>
      </c>
      <c r="B24" s="30" t="inlineStr">
        <is>
          <t>B</t>
        </is>
      </c>
      <c r="C24" s="31" t="n">
        <v>439.4</v>
      </c>
      <c r="D24" s="31" t="n">
        <v>1088.9</v>
      </c>
      <c r="E24" s="31" t="n">
        <v>1088.9</v>
      </c>
      <c r="F24" s="31" t="n">
        <v>1101.9</v>
      </c>
      <c r="G24" s="31" t="n">
        <v>1124.4</v>
      </c>
      <c r="H24" s="31" t="n">
        <v>1140.6</v>
      </c>
      <c r="I24" s="31" t="n">
        <v>1165.5</v>
      </c>
      <c r="J24" s="31" t="n">
        <v>1195.5</v>
      </c>
      <c r="K24" s="31" t="n">
        <v>756.1</v>
      </c>
      <c r="L24" s="31" t="n">
        <v>649.5</v>
      </c>
      <c r="M24" s="30" t="inlineStr">
        <is>
          <t>AMR2</t>
        </is>
      </c>
      <c r="N24" s="30" t="inlineStr">
        <is>
          <t>AMR2</t>
        </is>
      </c>
      <c r="O24" s="32" t="n">
        <v>0</v>
      </c>
      <c r="P24" s="32" t="n">
        <v>0</v>
      </c>
      <c r="Q24" s="32" t="n">
        <v>15</v>
      </c>
      <c r="R24" s="31" t="n">
        <v>33</v>
      </c>
      <c r="S24" s="31" t="n">
        <v>33</v>
      </c>
      <c r="T24" s="30" t="inlineStr">
        <is>
          <t>AMR2</t>
        </is>
      </c>
      <c r="U24" s="31" t="n">
        <v>53.1</v>
      </c>
      <c r="V24" s="31" t="n">
        <v>53.1</v>
      </c>
      <c r="W24" s="30" t="inlineStr">
        <is>
          <t>AMR2</t>
        </is>
      </c>
      <c r="X24" s="32" t="n">
        <v>0</v>
      </c>
      <c r="Y24" s="32" t="n">
        <v>0</v>
      </c>
      <c r="Z24" s="31" t="n">
        <v>0</v>
      </c>
      <c r="AA24" s="32" t="n">
        <v>0</v>
      </c>
      <c r="AB24" s="32" t="n">
        <v>0</v>
      </c>
      <c r="AC24" s="32" t="n">
        <v>0</v>
      </c>
      <c r="AD24" s="32" t="n">
        <v>0</v>
      </c>
      <c r="AE24" s="31" t="n">
        <v>0</v>
      </c>
      <c r="AF24" s="32" t="n">
        <v>0</v>
      </c>
      <c r="AG24" s="31" t="n">
        <v>0</v>
      </c>
      <c r="AH24" s="32" t="n">
        <v>49</v>
      </c>
      <c r="AI24" s="31" t="n">
        <v>51.6</v>
      </c>
      <c r="AJ24" s="31" t="n">
        <v>38.8</v>
      </c>
      <c r="AK24" s="31" t="n">
        <v>0</v>
      </c>
      <c r="AL24" s="30" t="inlineStr">
        <is>
          <t>T-0173</t>
        </is>
      </c>
      <c r="AM24" s="30" t="inlineStr">
        <is>
          <t>B-02-02</t>
        </is>
      </c>
      <c r="AN24" s="30" t="inlineStr">
        <is>
          <t>T-0021</t>
        </is>
      </c>
      <c r="AO24" s="30" t="inlineStr">
        <is>
          <t>B-03-04</t>
        </is>
      </c>
    </row>
    <row r="25">
      <c r="A25" s="30" t="inlineStr">
        <is>
          <t>O0024</t>
        </is>
      </c>
      <c r="B25" s="30" t="inlineStr">
        <is>
          <t>I</t>
        </is>
      </c>
      <c r="C25" s="31" t="n">
        <v>460.8</v>
      </c>
      <c r="D25" s="31" t="n">
        <v>1114.6</v>
      </c>
      <c r="E25" s="31" t="n">
        <v>1114.6</v>
      </c>
      <c r="F25" s="31" t="n">
        <v>1128.5</v>
      </c>
      <c r="G25" s="31" t="n">
        <v>1155.3</v>
      </c>
      <c r="H25" s="31" t="n">
        <v>1161.7</v>
      </c>
      <c r="I25" s="31" t="n">
        <v>1187.4</v>
      </c>
      <c r="J25" s="31" t="n">
        <v>1212.8</v>
      </c>
      <c r="K25" s="31" t="n">
        <v>752</v>
      </c>
      <c r="L25" s="31" t="n">
        <v>653.8</v>
      </c>
      <c r="M25" s="30" t="inlineStr">
        <is>
          <t>AMR1</t>
        </is>
      </c>
      <c r="N25" s="30" t="inlineStr">
        <is>
          <t>AMR3</t>
        </is>
      </c>
      <c r="O25" s="32" t="n">
        <v>0</v>
      </c>
      <c r="P25" s="32" t="n">
        <v>0</v>
      </c>
      <c r="Q25" s="32" t="n">
        <v>15</v>
      </c>
      <c r="R25" s="31" t="n">
        <v>39</v>
      </c>
      <c r="S25" s="31" t="n">
        <v>39</v>
      </c>
      <c r="T25" s="30" t="inlineStr">
        <is>
          <t>AMR1</t>
        </is>
      </c>
      <c r="U25" s="31" t="n">
        <v>47.8</v>
      </c>
      <c r="V25" s="31" t="n">
        <v>47.8</v>
      </c>
      <c r="W25" s="30" t="inlineStr">
        <is>
          <t>AMR3</t>
        </is>
      </c>
      <c r="X25" s="32" t="n">
        <v>0</v>
      </c>
      <c r="Y25" s="32" t="n">
        <v>0</v>
      </c>
      <c r="Z25" s="31" t="n">
        <v>0</v>
      </c>
      <c r="AA25" s="32" t="n">
        <v>0</v>
      </c>
      <c r="AB25" s="32" t="n">
        <v>0</v>
      </c>
      <c r="AC25" s="32" t="n">
        <v>0</v>
      </c>
      <c r="AD25" s="32" t="n">
        <v>0</v>
      </c>
      <c r="AE25" s="31" t="n">
        <v>0</v>
      </c>
      <c r="AF25" s="32" t="n">
        <v>0</v>
      </c>
      <c r="AG25" s="31" t="n">
        <v>0</v>
      </c>
      <c r="AH25" s="32" t="n">
        <v>46</v>
      </c>
      <c r="AI25" s="31" t="n">
        <v>50.8</v>
      </c>
      <c r="AJ25" s="31" t="n">
        <v>41</v>
      </c>
      <c r="AK25" s="31" t="n">
        <v>0</v>
      </c>
      <c r="AL25" s="30" t="inlineStr">
        <is>
          <t>T-0174</t>
        </is>
      </c>
      <c r="AM25" s="30" t="inlineStr">
        <is>
          <t>I-03-01</t>
        </is>
      </c>
      <c r="AN25" s="30" t="inlineStr">
        <is>
          <t>T-0124</t>
        </is>
      </c>
      <c r="AO25" s="30" t="inlineStr">
        <is>
          <t>I-05-03</t>
        </is>
      </c>
    </row>
    <row r="26">
      <c r="A26" s="30" t="inlineStr">
        <is>
          <t>O0025</t>
        </is>
      </c>
      <c r="B26" s="30" t="inlineStr">
        <is>
          <t>H</t>
        </is>
      </c>
      <c r="C26" s="31" t="n">
        <v>478.2</v>
      </c>
      <c r="D26" s="31" t="n">
        <v>1171.4</v>
      </c>
      <c r="E26" s="31" t="n">
        <v>1171.4</v>
      </c>
      <c r="F26" s="31" t="n">
        <v>1183.4</v>
      </c>
      <c r="G26" s="31" t="n">
        <v>1210.9</v>
      </c>
      <c r="H26" s="31" t="n">
        <v>1219.2</v>
      </c>
      <c r="I26" s="31" t="n">
        <v>1242.4</v>
      </c>
      <c r="J26" s="31" t="n">
        <v>1269.5</v>
      </c>
      <c r="K26" s="31" t="n">
        <v>791.3</v>
      </c>
      <c r="L26" s="31" t="n">
        <v>693.2</v>
      </c>
      <c r="M26" s="30" t="inlineStr">
        <is>
          <t>AMR1</t>
        </is>
      </c>
      <c r="N26" s="30" t="inlineStr">
        <is>
          <t>AMR2</t>
        </is>
      </c>
      <c r="O26" s="32" t="n">
        <v>0</v>
      </c>
      <c r="P26" s="32" t="n">
        <v>0</v>
      </c>
      <c r="Q26" s="32" t="n">
        <v>15</v>
      </c>
      <c r="R26" s="31" t="n">
        <v>36.8</v>
      </c>
      <c r="S26" s="31" t="n">
        <v>36.8</v>
      </c>
      <c r="T26" s="30" t="inlineStr">
        <is>
          <t>AMR1</t>
        </is>
      </c>
      <c r="U26" s="31" t="n">
        <v>50.4</v>
      </c>
      <c r="V26" s="31" t="n">
        <v>50.4</v>
      </c>
      <c r="W26" s="30" t="inlineStr">
        <is>
          <t>AMR2</t>
        </is>
      </c>
      <c r="X26" s="32" t="n">
        <v>0</v>
      </c>
      <c r="Y26" s="32" t="n">
        <v>0</v>
      </c>
      <c r="Z26" s="31" t="n">
        <v>0</v>
      </c>
      <c r="AA26" s="32" t="n">
        <v>0</v>
      </c>
      <c r="AB26" s="32" t="n">
        <v>0</v>
      </c>
      <c r="AC26" s="32" t="n">
        <v>0</v>
      </c>
      <c r="AD26" s="32" t="n">
        <v>0</v>
      </c>
      <c r="AE26" s="31" t="n">
        <v>0</v>
      </c>
      <c r="AF26" s="32" t="n">
        <v>0</v>
      </c>
      <c r="AG26" s="31" t="n">
        <v>0</v>
      </c>
      <c r="AH26" s="32" t="n">
        <v>43</v>
      </c>
      <c r="AI26" s="31" t="n">
        <v>46.1</v>
      </c>
      <c r="AJ26" s="31" t="n">
        <v>41.9</v>
      </c>
      <c r="AK26" s="31" t="n">
        <v>1.8</v>
      </c>
      <c r="AL26" s="30" t="inlineStr">
        <is>
          <t>T-0175</t>
        </is>
      </c>
      <c r="AM26" s="30" t="inlineStr">
        <is>
          <t>H-05-01</t>
        </is>
      </c>
      <c r="AN26" s="30" t="inlineStr">
        <is>
          <t>T-0107</t>
        </is>
      </c>
      <c r="AO26" s="30" t="inlineStr">
        <is>
          <t>H-03-04</t>
        </is>
      </c>
    </row>
    <row r="27">
      <c r="A27" s="30" t="inlineStr">
        <is>
          <t>O0026</t>
        </is>
      </c>
      <c r="B27" s="30" t="inlineStr">
        <is>
          <t>I</t>
        </is>
      </c>
      <c r="C27" s="31" t="n">
        <v>495.9</v>
      </c>
      <c r="D27" s="31" t="n">
        <v>1225.7</v>
      </c>
      <c r="E27" s="31" t="n">
        <v>1225.7</v>
      </c>
      <c r="F27" s="31" t="n">
        <v>1240.5</v>
      </c>
      <c r="G27" s="31" t="n">
        <v>1266.8</v>
      </c>
      <c r="H27" s="31" t="n">
        <v>1283.6</v>
      </c>
      <c r="I27" s="31" t="n">
        <v>1316.9</v>
      </c>
      <c r="J27" s="31" t="n">
        <v>1341.6</v>
      </c>
      <c r="K27" s="31" t="n">
        <v>845.7</v>
      </c>
      <c r="L27" s="31" t="n">
        <v>729.8</v>
      </c>
      <c r="M27" s="30" t="inlineStr">
        <is>
          <t>AMR1</t>
        </is>
      </c>
      <c r="N27" s="30" t="inlineStr">
        <is>
          <t>AMR1</t>
        </is>
      </c>
      <c r="O27" s="32" t="n">
        <v>0</v>
      </c>
      <c r="P27" s="32" t="n">
        <v>0</v>
      </c>
      <c r="Q27" s="32" t="n">
        <v>15</v>
      </c>
      <c r="R27" s="31" t="n">
        <v>38.6</v>
      </c>
      <c r="S27" s="31" t="n">
        <v>38.6</v>
      </c>
      <c r="T27" s="30" t="inlineStr">
        <is>
          <t>AMR1</t>
        </is>
      </c>
      <c r="U27" s="31" t="n">
        <v>51.8</v>
      </c>
      <c r="V27" s="31" t="n">
        <v>51.8</v>
      </c>
      <c r="W27" s="30" t="inlineStr">
        <is>
          <t>AMR1</t>
        </is>
      </c>
      <c r="X27" s="32" t="n">
        <v>0</v>
      </c>
      <c r="Y27" s="32" t="n">
        <v>0</v>
      </c>
      <c r="Z27" s="31" t="n">
        <v>0</v>
      </c>
      <c r="AA27" s="32" t="n">
        <v>0</v>
      </c>
      <c r="AB27" s="32" t="n">
        <v>1</v>
      </c>
      <c r="AC27" s="32" t="n">
        <v>1</v>
      </c>
      <c r="AD27" s="32" t="n">
        <v>0</v>
      </c>
      <c r="AE27" s="31" t="n">
        <v>0</v>
      </c>
      <c r="AF27" s="32" t="n">
        <v>0</v>
      </c>
      <c r="AG27" s="31" t="n">
        <v>0</v>
      </c>
      <c r="AH27" s="32" t="n">
        <v>45</v>
      </c>
      <c r="AI27" s="31" t="n">
        <v>51.5</v>
      </c>
      <c r="AJ27" s="31" t="n">
        <v>44.6</v>
      </c>
      <c r="AK27" s="31" t="n">
        <v>3</v>
      </c>
      <c r="AL27" s="30" t="inlineStr">
        <is>
          <t>T-0176</t>
        </is>
      </c>
      <c r="AM27" s="30" t="inlineStr">
        <is>
          <t>I-05-01</t>
        </is>
      </c>
      <c r="AN27" s="30" t="inlineStr">
        <is>
          <t>T-0125</t>
        </is>
      </c>
      <c r="AO27" s="30" t="inlineStr">
        <is>
          <t>I-01-05</t>
        </is>
      </c>
    </row>
    <row r="28">
      <c r="A28" s="30" t="inlineStr">
        <is>
          <t>O0027</t>
        </is>
      </c>
      <c r="B28" s="30" t="inlineStr">
        <is>
          <t>A</t>
        </is>
      </c>
      <c r="C28" s="31" t="n">
        <v>517.8</v>
      </c>
      <c r="D28" s="31" t="n">
        <v>1240.5</v>
      </c>
      <c r="E28" s="31" t="n">
        <v>1240.5</v>
      </c>
      <c r="F28" s="31" t="n">
        <v>1253.8</v>
      </c>
      <c r="G28" s="31" t="n">
        <v>1282.1</v>
      </c>
      <c r="H28" s="31" t="n">
        <v>1298.6</v>
      </c>
      <c r="I28" s="31" t="n">
        <v>1335.3</v>
      </c>
      <c r="J28" s="31" t="n">
        <v>1374.1</v>
      </c>
      <c r="K28" s="31" t="n">
        <v>856.3</v>
      </c>
      <c r="L28" s="31" t="n">
        <v>722.7</v>
      </c>
      <c r="M28" s="30" t="inlineStr">
        <is>
          <t>AMR3</t>
        </is>
      </c>
      <c r="N28" s="30" t="inlineStr">
        <is>
          <t>AMR2</t>
        </is>
      </c>
      <c r="O28" s="32" t="n">
        <v>0</v>
      </c>
      <c r="P28" s="32" t="n">
        <v>0</v>
      </c>
      <c r="Q28" s="32" t="n">
        <v>21</v>
      </c>
      <c r="R28" s="31" t="n">
        <v>40.7</v>
      </c>
      <c r="S28" s="31" t="n">
        <v>40.7</v>
      </c>
      <c r="T28" s="30" t="inlineStr">
        <is>
          <t>AMR3</t>
        </is>
      </c>
      <c r="U28" s="31" t="n">
        <v>68.8</v>
      </c>
      <c r="V28" s="31" t="n">
        <v>68.8</v>
      </c>
      <c r="W28" s="30" t="inlineStr">
        <is>
          <t>AMR2</t>
        </is>
      </c>
      <c r="X28" s="32" t="n">
        <v>0</v>
      </c>
      <c r="Y28" s="32" t="n">
        <v>0</v>
      </c>
      <c r="Z28" s="31" t="n">
        <v>0</v>
      </c>
      <c r="AA28" s="32" t="n">
        <v>0</v>
      </c>
      <c r="AB28" s="32" t="n">
        <v>2</v>
      </c>
      <c r="AC28" s="32" t="n">
        <v>1</v>
      </c>
      <c r="AD28" s="32" t="n">
        <v>0</v>
      </c>
      <c r="AE28" s="31" t="n">
        <v>0</v>
      </c>
      <c r="AF28" s="32" t="n">
        <v>0</v>
      </c>
      <c r="AG28" s="31" t="n">
        <v>0</v>
      </c>
      <c r="AH28" s="32" t="n">
        <v>61</v>
      </c>
      <c r="AI28" s="31" t="n">
        <v>64.09999999999999</v>
      </c>
      <c r="AJ28" s="31" t="n">
        <v>47.4</v>
      </c>
      <c r="AK28" s="31" t="n">
        <v>5.6</v>
      </c>
      <c r="AL28" s="30" t="inlineStr">
        <is>
          <t>T-0177</t>
        </is>
      </c>
      <c r="AM28" s="30" t="inlineStr">
        <is>
          <t>A-05-01</t>
        </is>
      </c>
      <c r="AN28" s="30" t="inlineStr">
        <is>
          <t>T-0003</t>
        </is>
      </c>
      <c r="AO28" s="30" t="inlineStr">
        <is>
          <t>A-06-03</t>
        </is>
      </c>
    </row>
    <row r="29">
      <c r="A29" s="30" t="inlineStr">
        <is>
          <t>O0028</t>
        </is>
      </c>
      <c r="B29" s="30" t="inlineStr">
        <is>
          <t>F</t>
        </is>
      </c>
      <c r="C29" s="31" t="n">
        <v>541</v>
      </c>
      <c r="D29" s="31" t="n">
        <v>1306.4</v>
      </c>
      <c r="E29" s="31" t="n">
        <v>1306.4</v>
      </c>
      <c r="F29" s="31" t="n">
        <v>1320.5</v>
      </c>
      <c r="G29" s="31" t="n">
        <v>1353</v>
      </c>
      <c r="H29" s="31" t="n">
        <v>1365.3</v>
      </c>
      <c r="I29" s="31" t="n">
        <v>1397.5</v>
      </c>
      <c r="J29" s="31" t="n">
        <v>1433.5</v>
      </c>
      <c r="K29" s="31" t="n">
        <v>892.5</v>
      </c>
      <c r="L29" s="31" t="n">
        <v>765.4</v>
      </c>
      <c r="M29" s="30" t="inlineStr">
        <is>
          <t>AMR3</t>
        </is>
      </c>
      <c r="N29" s="30" t="inlineStr">
        <is>
          <t>AMR1</t>
        </is>
      </c>
      <c r="O29" s="32" t="n">
        <v>0</v>
      </c>
      <c r="P29" s="32" t="n">
        <v>0</v>
      </c>
      <c r="Q29" s="32" t="n">
        <v>23</v>
      </c>
      <c r="R29" s="31" t="n">
        <v>45.7</v>
      </c>
      <c r="S29" s="31" t="n">
        <v>45.7</v>
      </c>
      <c r="T29" s="30" t="inlineStr">
        <is>
          <t>AMR3</t>
        </is>
      </c>
      <c r="U29" s="31" t="n">
        <v>65.90000000000001</v>
      </c>
      <c r="V29" s="31" t="n">
        <v>65.90000000000001</v>
      </c>
      <c r="W29" s="30" t="inlineStr">
        <is>
          <t>AMR1</t>
        </is>
      </c>
      <c r="X29" s="32" t="n">
        <v>0</v>
      </c>
      <c r="Y29" s="32" t="n">
        <v>0</v>
      </c>
      <c r="Z29" s="31" t="n">
        <v>0</v>
      </c>
      <c r="AA29" s="32" t="n">
        <v>0</v>
      </c>
      <c r="AB29" s="32" t="n">
        <v>1</v>
      </c>
      <c r="AC29" s="32" t="n">
        <v>0</v>
      </c>
      <c r="AD29" s="32" t="n">
        <v>0</v>
      </c>
      <c r="AE29" s="31" t="n">
        <v>0</v>
      </c>
      <c r="AF29" s="32" t="n">
        <v>0</v>
      </c>
      <c r="AG29" s="31" t="n">
        <v>0</v>
      </c>
      <c r="AH29" s="32" t="n">
        <v>69</v>
      </c>
      <c r="AI29" s="31" t="n">
        <v>68.40000000000001</v>
      </c>
      <c r="AJ29" s="31" t="n">
        <v>46.4</v>
      </c>
      <c r="AK29" s="31" t="n">
        <v>0</v>
      </c>
      <c r="AL29" s="30" t="inlineStr">
        <is>
          <t>T-0178</t>
        </is>
      </c>
      <c r="AM29" s="30" t="inlineStr">
        <is>
          <t>F-05-01</t>
        </is>
      </c>
      <c r="AN29" s="30" t="inlineStr">
        <is>
          <t>T-0079</t>
        </is>
      </c>
      <c r="AO29" s="30" t="inlineStr">
        <is>
          <t>F-01-05</t>
        </is>
      </c>
    </row>
    <row r="30">
      <c r="A30" s="30" t="inlineStr">
        <is>
          <t>O0029</t>
        </is>
      </c>
      <c r="B30" s="30" t="inlineStr">
        <is>
          <t>D</t>
        </is>
      </c>
      <c r="C30" s="31" t="n">
        <v>558.6</v>
      </c>
      <c r="D30" s="31" t="n">
        <v>1375.2</v>
      </c>
      <c r="E30" s="31" t="n">
        <v>1375.2</v>
      </c>
      <c r="F30" s="31" t="n">
        <v>1389.4</v>
      </c>
      <c r="G30" s="31" t="n">
        <v>1421.2</v>
      </c>
      <c r="H30" s="31" t="n">
        <v>1436.7</v>
      </c>
      <c r="I30" s="31" t="n">
        <v>1462.2</v>
      </c>
      <c r="J30" s="31" t="n">
        <v>1489.5</v>
      </c>
      <c r="K30" s="31" t="n">
        <v>930.9</v>
      </c>
      <c r="L30" s="31" t="n">
        <v>816.6</v>
      </c>
      <c r="M30" s="30" t="inlineStr">
        <is>
          <t>AMR3</t>
        </is>
      </c>
      <c r="N30" s="30" t="inlineStr">
        <is>
          <t>AMR3</t>
        </is>
      </c>
      <c r="O30" s="32" t="n">
        <v>0</v>
      </c>
      <c r="P30" s="32" t="n">
        <v>0</v>
      </c>
      <c r="Q30" s="32" t="n">
        <v>13</v>
      </c>
      <c r="R30" s="31" t="n">
        <v>37.4</v>
      </c>
      <c r="S30" s="31" t="n">
        <v>37.4</v>
      </c>
      <c r="T30" s="30" t="inlineStr">
        <is>
          <t>AMR3</t>
        </is>
      </c>
      <c r="U30" s="31" t="n">
        <v>49.5</v>
      </c>
      <c r="V30" s="31" t="n">
        <v>49.5</v>
      </c>
      <c r="W30" s="30" t="inlineStr">
        <is>
          <t>AMR3</t>
        </is>
      </c>
      <c r="X30" s="32" t="n">
        <v>0</v>
      </c>
      <c r="Y30" s="32" t="n">
        <v>0</v>
      </c>
      <c r="Z30" s="31" t="n">
        <v>0</v>
      </c>
      <c r="AA30" s="32" t="n">
        <v>0</v>
      </c>
      <c r="AB30" s="32" t="n">
        <v>2</v>
      </c>
      <c r="AC30" s="32" t="n">
        <v>1</v>
      </c>
      <c r="AD30" s="32" t="n">
        <v>0</v>
      </c>
      <c r="AE30" s="31" t="n">
        <v>0</v>
      </c>
      <c r="AF30" s="32" t="n">
        <v>1</v>
      </c>
      <c r="AG30" s="31" t="n">
        <v>0.3</v>
      </c>
      <c r="AH30" s="32" t="n">
        <v>46</v>
      </c>
      <c r="AI30" s="31" t="n">
        <v>49.3</v>
      </c>
      <c r="AJ30" s="31" t="n">
        <v>44.2</v>
      </c>
      <c r="AK30" s="31" t="n">
        <v>5.3</v>
      </c>
      <c r="AL30" s="30" t="inlineStr">
        <is>
          <t>T-0179</t>
        </is>
      </c>
      <c r="AM30" s="30" t="inlineStr">
        <is>
          <t>D-06-01</t>
        </is>
      </c>
      <c r="AN30" s="30" t="inlineStr">
        <is>
          <t>T-0049</t>
        </is>
      </c>
      <c r="AO30" s="30" t="inlineStr">
        <is>
          <t>D-05-01</t>
        </is>
      </c>
    </row>
    <row r="31">
      <c r="A31" s="30" t="inlineStr">
        <is>
          <t>O0030</t>
        </is>
      </c>
      <c r="B31" s="30" t="inlineStr">
        <is>
          <t>F</t>
        </is>
      </c>
      <c r="C31" s="31" t="n">
        <v>582.4</v>
      </c>
      <c r="D31" s="31" t="n">
        <v>1401.8</v>
      </c>
      <c r="E31" s="31" t="n">
        <v>1401.8</v>
      </c>
      <c r="F31" s="31" t="n">
        <v>1416.4</v>
      </c>
      <c r="G31" s="31" t="n">
        <v>1449.2</v>
      </c>
      <c r="H31" s="31" t="n">
        <v>1461</v>
      </c>
      <c r="I31" s="31" t="n">
        <v>1495.5</v>
      </c>
      <c r="J31" s="31" t="n">
        <v>1531.4</v>
      </c>
      <c r="K31" s="31" t="n">
        <v>949</v>
      </c>
      <c r="L31" s="31" t="n">
        <v>819.4</v>
      </c>
      <c r="M31" s="30" t="inlineStr">
        <is>
          <t>AMR2</t>
        </is>
      </c>
      <c r="N31" s="30" t="inlineStr">
        <is>
          <t>AMR1</t>
        </is>
      </c>
      <c r="O31" s="32" t="n">
        <v>0</v>
      </c>
      <c r="P31" s="32" t="n">
        <v>0</v>
      </c>
      <c r="Q31" s="32" t="n">
        <v>23</v>
      </c>
      <c r="R31" s="31" t="n">
        <v>47.3</v>
      </c>
      <c r="S31" s="31" t="n">
        <v>47.3</v>
      </c>
      <c r="T31" s="30" t="inlineStr">
        <is>
          <t>AMR2</t>
        </is>
      </c>
      <c r="U31" s="31" t="n">
        <v>66.09999999999999</v>
      </c>
      <c r="V31" s="31" t="n">
        <v>66.09999999999999</v>
      </c>
      <c r="W31" s="30" t="inlineStr">
        <is>
          <t>AMR1</t>
        </is>
      </c>
      <c r="X31" s="32" t="n">
        <v>0</v>
      </c>
      <c r="Y31" s="32" t="n">
        <v>0</v>
      </c>
      <c r="Z31" s="31" t="n">
        <v>0</v>
      </c>
      <c r="AA31" s="32" t="n">
        <v>0</v>
      </c>
      <c r="AB31" s="32" t="n">
        <v>1</v>
      </c>
      <c r="AC31" s="32" t="n">
        <v>0</v>
      </c>
      <c r="AD31" s="32" t="n">
        <v>0</v>
      </c>
      <c r="AE31" s="31" t="n">
        <v>0</v>
      </c>
      <c r="AF31" s="32" t="n">
        <v>0</v>
      </c>
      <c r="AG31" s="31" t="n">
        <v>0</v>
      </c>
      <c r="AH31" s="32" t="n">
        <v>68</v>
      </c>
      <c r="AI31" s="31" t="n">
        <v>66.59999999999999</v>
      </c>
      <c r="AJ31" s="31" t="n">
        <v>48.2</v>
      </c>
      <c r="AK31" s="31" t="n">
        <v>3</v>
      </c>
      <c r="AL31" s="30" t="inlineStr">
        <is>
          <t>T-0180</t>
        </is>
      </c>
      <c r="AM31" s="30" t="inlineStr">
        <is>
          <t>F-06-01</t>
        </is>
      </c>
      <c r="AN31" s="30" t="inlineStr">
        <is>
          <t>T-0080</t>
        </is>
      </c>
      <c r="AO31" s="30" t="inlineStr">
        <is>
          <t>F-02-04</t>
        </is>
      </c>
    </row>
    <row r="32">
      <c r="A32" s="30" t="inlineStr">
        <is>
          <t>O0031</t>
        </is>
      </c>
      <c r="B32" s="30" t="inlineStr">
        <is>
          <t>G</t>
        </is>
      </c>
      <c r="C32" s="31" t="n">
        <v>604</v>
      </c>
      <c r="D32" s="31" t="n">
        <v>1470.1</v>
      </c>
      <c r="E32" s="31" t="n">
        <v>1470.1</v>
      </c>
      <c r="F32" s="31" t="n">
        <v>1484.9</v>
      </c>
      <c r="G32" s="31" t="n">
        <v>1513</v>
      </c>
      <c r="H32" s="31" t="n">
        <v>1513.2</v>
      </c>
      <c r="I32" s="31" t="n">
        <v>1538.2</v>
      </c>
      <c r="J32" s="31" t="n">
        <v>1566.2</v>
      </c>
      <c r="K32" s="31" t="n">
        <v>962.2</v>
      </c>
      <c r="L32" s="31" t="n">
        <v>866.1</v>
      </c>
      <c r="M32" s="30" t="inlineStr">
        <is>
          <t>AMR2</t>
        </is>
      </c>
      <c r="N32" s="30" t="inlineStr">
        <is>
          <t>AMR3</t>
        </is>
      </c>
      <c r="O32" s="32" t="n">
        <v>0</v>
      </c>
      <c r="P32" s="32" t="n">
        <v>0</v>
      </c>
      <c r="Q32" s="32" t="n">
        <v>17</v>
      </c>
      <c r="R32" s="31" t="n">
        <v>40.4</v>
      </c>
      <c r="S32" s="31" t="n">
        <v>40.4</v>
      </c>
      <c r="T32" s="30" t="inlineStr">
        <is>
          <t>AMR2</t>
        </is>
      </c>
      <c r="U32" s="31" t="n">
        <v>53.7</v>
      </c>
      <c r="V32" s="31" t="n">
        <v>53.7</v>
      </c>
      <c r="W32" s="30" t="inlineStr">
        <is>
          <t>AMR3</t>
        </is>
      </c>
      <c r="X32" s="32" t="n">
        <v>0</v>
      </c>
      <c r="Y32" s="32" t="n">
        <v>0</v>
      </c>
      <c r="Z32" s="31" t="n">
        <v>0</v>
      </c>
      <c r="AA32" s="32" t="n">
        <v>0</v>
      </c>
      <c r="AB32" s="32" t="n">
        <v>1</v>
      </c>
      <c r="AC32" s="32" t="n">
        <v>0</v>
      </c>
      <c r="AD32" s="32" t="n">
        <v>0</v>
      </c>
      <c r="AE32" s="31" t="n">
        <v>0</v>
      </c>
      <c r="AF32" s="32" t="n">
        <v>0</v>
      </c>
      <c r="AG32" s="31" t="n">
        <v>0</v>
      </c>
      <c r="AH32" s="32" t="n">
        <v>49</v>
      </c>
      <c r="AI32" s="31" t="n">
        <v>52.2</v>
      </c>
      <c r="AJ32" s="31" t="n">
        <v>43.7</v>
      </c>
      <c r="AK32" s="31" t="n">
        <v>0</v>
      </c>
      <c r="AL32" s="30" t="inlineStr">
        <is>
          <t>T-0181</t>
        </is>
      </c>
      <c r="AM32" s="30" t="inlineStr">
        <is>
          <t>G-01-02</t>
        </is>
      </c>
      <c r="AN32" s="30" t="inlineStr">
        <is>
          <t>T-0092</t>
        </is>
      </c>
      <c r="AO32" s="30" t="inlineStr">
        <is>
          <t>G-04-01</t>
        </is>
      </c>
    </row>
    <row r="33">
      <c r="A33" s="30" t="inlineStr">
        <is>
          <t>O0032</t>
        </is>
      </c>
      <c r="B33" s="30" t="inlineStr">
        <is>
          <t>E</t>
        </is>
      </c>
      <c r="C33" s="31" t="n">
        <v>623.5</v>
      </c>
      <c r="D33" s="31" t="n">
        <v>1531.2</v>
      </c>
      <c r="E33" s="31" t="n">
        <v>1531.2</v>
      </c>
      <c r="F33" s="31" t="n">
        <v>1543.7</v>
      </c>
      <c r="G33" s="31" t="n">
        <v>1572</v>
      </c>
      <c r="H33" s="31" t="n">
        <v>1592.2</v>
      </c>
      <c r="I33" s="31" t="n">
        <v>1623.3</v>
      </c>
      <c r="J33" s="31" t="n">
        <v>1667.2</v>
      </c>
      <c r="K33" s="31" t="n">
        <v>1043.7</v>
      </c>
      <c r="L33" s="31" t="n">
        <v>907.7</v>
      </c>
      <c r="M33" s="30" t="inlineStr">
        <is>
          <t>AMR2</t>
        </is>
      </c>
      <c r="N33" s="30" t="inlineStr">
        <is>
          <t>AMR2</t>
        </is>
      </c>
      <c r="O33" s="32" t="n">
        <v>0</v>
      </c>
      <c r="P33" s="32" t="n">
        <v>0</v>
      </c>
      <c r="Q33" s="32" t="n">
        <v>19</v>
      </c>
      <c r="R33" s="31" t="n">
        <v>38.3</v>
      </c>
      <c r="S33" s="31" t="n">
        <v>38.3</v>
      </c>
      <c r="T33" s="30" t="inlineStr">
        <is>
          <t>AMR2</t>
        </is>
      </c>
      <c r="U33" s="31" t="n">
        <v>58.2</v>
      </c>
      <c r="V33" s="31" t="n">
        <v>58.2</v>
      </c>
      <c r="W33" s="30" t="inlineStr">
        <is>
          <t>AMR2</t>
        </is>
      </c>
      <c r="X33" s="32" t="n">
        <v>0</v>
      </c>
      <c r="Y33" s="32" t="n">
        <v>0</v>
      </c>
      <c r="Z33" s="31" t="n">
        <v>0</v>
      </c>
      <c r="AA33" s="32" t="n">
        <v>0</v>
      </c>
      <c r="AB33" s="32" t="n">
        <v>1</v>
      </c>
      <c r="AC33" s="32" t="n">
        <v>1</v>
      </c>
      <c r="AD33" s="32" t="n">
        <v>2</v>
      </c>
      <c r="AE33" s="31" t="n">
        <v>11.1</v>
      </c>
      <c r="AF33" s="32" t="n">
        <v>1</v>
      </c>
      <c r="AG33" s="31" t="n">
        <v>4.9</v>
      </c>
      <c r="AH33" s="32" t="n">
        <v>59</v>
      </c>
      <c r="AI33" s="31" t="n">
        <v>59.8</v>
      </c>
      <c r="AJ33" s="31" t="n">
        <v>39</v>
      </c>
      <c r="AK33" s="31" t="n">
        <v>17</v>
      </c>
      <c r="AL33" s="30" t="inlineStr">
        <is>
          <t>T-0182</t>
        </is>
      </c>
      <c r="AM33" s="30" t="inlineStr">
        <is>
          <t>E-04-01</t>
        </is>
      </c>
      <c r="AN33" s="30" t="inlineStr">
        <is>
          <t>T-0062</t>
        </is>
      </c>
      <c r="AO33" s="30" t="inlineStr">
        <is>
          <t>E-02-05</t>
        </is>
      </c>
    </row>
    <row r="34">
      <c r="A34" s="30" t="inlineStr">
        <is>
          <t>O0033</t>
        </is>
      </c>
      <c r="B34" s="30" t="inlineStr">
        <is>
          <t>I</t>
        </is>
      </c>
      <c r="C34" s="31" t="n">
        <v>641</v>
      </c>
      <c r="D34" s="31" t="n">
        <v>1555.1</v>
      </c>
      <c r="E34" s="31" t="n">
        <v>1555.1</v>
      </c>
      <c r="F34" s="31" t="n">
        <v>1567.7</v>
      </c>
      <c r="G34" s="31" t="n">
        <v>1601.6</v>
      </c>
      <c r="H34" s="31" t="n">
        <v>1601.9</v>
      </c>
      <c r="I34" s="31" t="n">
        <v>1629.2</v>
      </c>
      <c r="J34" s="31" t="n">
        <v>1654.9</v>
      </c>
      <c r="K34" s="31" t="n">
        <v>1013.9</v>
      </c>
      <c r="L34" s="31" t="n">
        <v>914.1</v>
      </c>
      <c r="M34" s="30" t="inlineStr">
        <is>
          <t>AMR1</t>
        </is>
      </c>
      <c r="N34" s="30" t="inlineStr">
        <is>
          <t>AMR3</t>
        </is>
      </c>
      <c r="O34" s="32" t="n">
        <v>0</v>
      </c>
      <c r="P34" s="32" t="n">
        <v>0</v>
      </c>
      <c r="Q34" s="32" t="n">
        <v>15</v>
      </c>
      <c r="R34" s="31" t="n">
        <v>38.2</v>
      </c>
      <c r="S34" s="31" t="n">
        <v>38.2</v>
      </c>
      <c r="T34" s="30" t="inlineStr">
        <is>
          <t>AMR1</t>
        </is>
      </c>
      <c r="U34" s="31" t="n">
        <v>53.2</v>
      </c>
      <c r="V34" s="31" t="n">
        <v>53.2</v>
      </c>
      <c r="W34" s="30" t="inlineStr">
        <is>
          <t>AMR3</t>
        </is>
      </c>
      <c r="X34" s="32" t="n">
        <v>0</v>
      </c>
      <c r="Y34" s="32" t="n">
        <v>0</v>
      </c>
      <c r="Z34" s="31" t="n">
        <v>0</v>
      </c>
      <c r="AA34" s="32" t="n">
        <v>0</v>
      </c>
      <c r="AB34" s="32" t="n">
        <v>1</v>
      </c>
      <c r="AC34" s="32" t="n">
        <v>1</v>
      </c>
      <c r="AD34" s="32" t="n">
        <v>0</v>
      </c>
      <c r="AE34" s="31" t="n">
        <v>0</v>
      </c>
      <c r="AF34" s="32" t="n">
        <v>0</v>
      </c>
      <c r="AG34" s="31" t="n">
        <v>0</v>
      </c>
      <c r="AH34" s="32" t="n">
        <v>44</v>
      </c>
      <c r="AI34" s="31" t="n">
        <v>48.9</v>
      </c>
      <c r="AJ34" s="31" t="n">
        <v>45.6</v>
      </c>
      <c r="AK34" s="31" t="n">
        <v>5</v>
      </c>
      <c r="AL34" s="30" t="inlineStr">
        <is>
          <t>T-0183</t>
        </is>
      </c>
      <c r="AM34" s="30" t="inlineStr">
        <is>
          <t>I-06-01</t>
        </is>
      </c>
      <c r="AN34" s="30" t="inlineStr">
        <is>
          <t>T-0126</t>
        </is>
      </c>
      <c r="AO34" s="30" t="inlineStr">
        <is>
          <t>I-02-04</t>
        </is>
      </c>
    </row>
    <row r="35">
      <c r="A35" s="30" t="inlineStr">
        <is>
          <t>O0034</t>
        </is>
      </c>
      <c r="B35" s="30" t="inlineStr">
        <is>
          <t>J</t>
        </is>
      </c>
      <c r="C35" s="31" t="n">
        <v>658.6</v>
      </c>
      <c r="D35" s="31" t="n">
        <v>1619.1</v>
      </c>
      <c r="E35" s="31" t="n">
        <v>1619.1</v>
      </c>
      <c r="F35" s="31" t="n">
        <v>1630.9</v>
      </c>
      <c r="G35" s="31" t="n">
        <v>1662.7</v>
      </c>
      <c r="H35" s="31" t="n">
        <v>1678.6</v>
      </c>
      <c r="I35" s="31" t="n">
        <v>1708.8</v>
      </c>
      <c r="J35" s="31" t="n">
        <v>1744.9</v>
      </c>
      <c r="K35" s="31" t="n">
        <v>1086.3</v>
      </c>
      <c r="L35" s="31" t="n">
        <v>960.5</v>
      </c>
      <c r="M35" s="30" t="inlineStr">
        <is>
          <t>AMR1</t>
        </is>
      </c>
      <c r="N35" s="30" t="inlineStr">
        <is>
          <t>AMR3</t>
        </is>
      </c>
      <c r="O35" s="32" t="n">
        <v>0</v>
      </c>
      <c r="P35" s="32" t="n">
        <v>0</v>
      </c>
      <c r="Q35" s="32" t="n">
        <v>21</v>
      </c>
      <c r="R35" s="31" t="n">
        <v>40.3</v>
      </c>
      <c r="S35" s="31" t="n">
        <v>40.3</v>
      </c>
      <c r="T35" s="30" t="inlineStr">
        <is>
          <t>AMR1</t>
        </is>
      </c>
      <c r="U35" s="31" t="n">
        <v>64.5</v>
      </c>
      <c r="V35" s="31" t="n">
        <v>64.5</v>
      </c>
      <c r="W35" s="30" t="inlineStr">
        <is>
          <t>AMR3</t>
        </is>
      </c>
      <c r="X35" s="32" t="n">
        <v>0</v>
      </c>
      <c r="Y35" s="32" t="n">
        <v>0</v>
      </c>
      <c r="Z35" s="31" t="n">
        <v>0</v>
      </c>
      <c r="AA35" s="32" t="n">
        <v>0</v>
      </c>
      <c r="AB35" s="32" t="n">
        <v>0</v>
      </c>
      <c r="AC35" s="32" t="n">
        <v>0</v>
      </c>
      <c r="AD35" s="32" t="n">
        <v>0</v>
      </c>
      <c r="AE35" s="31" t="n">
        <v>0</v>
      </c>
      <c r="AF35" s="32" t="n">
        <v>0</v>
      </c>
      <c r="AG35" s="31" t="n">
        <v>0</v>
      </c>
      <c r="AH35" s="32" t="n">
        <v>64</v>
      </c>
      <c r="AI35" s="31" t="n">
        <v>65.7</v>
      </c>
      <c r="AJ35" s="31" t="n">
        <v>44.2</v>
      </c>
      <c r="AK35" s="31" t="n">
        <v>0</v>
      </c>
      <c r="AL35" s="30" t="inlineStr">
        <is>
          <t>T-0184</t>
        </is>
      </c>
      <c r="AM35" s="30" t="inlineStr">
        <is>
          <t>J-06-01</t>
        </is>
      </c>
      <c r="AN35" s="30" t="inlineStr">
        <is>
          <t>T-0139</t>
        </is>
      </c>
      <c r="AO35" s="30" t="inlineStr">
        <is>
          <t>J-03-01</t>
        </is>
      </c>
    </row>
    <row r="36">
      <c r="A36" s="30" t="inlineStr">
        <is>
          <t>O0035</t>
        </is>
      </c>
      <c r="B36" s="30" t="inlineStr">
        <is>
          <t>G</t>
        </is>
      </c>
      <c r="C36" s="31" t="n">
        <v>682.6</v>
      </c>
      <c r="D36" s="31" t="n">
        <v>1685.6</v>
      </c>
      <c r="E36" s="31" t="n">
        <v>1685.6</v>
      </c>
      <c r="F36" s="31" t="n">
        <v>1699.2</v>
      </c>
      <c r="G36" s="31" t="n">
        <v>1722.9</v>
      </c>
      <c r="H36" s="31" t="n">
        <v>1739.7</v>
      </c>
      <c r="I36" s="31" t="n">
        <v>1766</v>
      </c>
      <c r="J36" s="31" t="n">
        <v>1797.2</v>
      </c>
      <c r="K36" s="31" t="n">
        <v>1114.6</v>
      </c>
      <c r="L36" s="31" t="n">
        <v>1003</v>
      </c>
      <c r="M36" s="30" t="inlineStr">
        <is>
          <t>AMR1</t>
        </is>
      </c>
      <c r="N36" s="30" t="inlineStr">
        <is>
          <t>AMR1</t>
        </is>
      </c>
      <c r="O36" s="32" t="n">
        <v>0</v>
      </c>
      <c r="P36" s="32" t="n">
        <v>0</v>
      </c>
      <c r="Q36" s="32" t="n">
        <v>17</v>
      </c>
      <c r="R36" s="31" t="n">
        <v>36.4</v>
      </c>
      <c r="S36" s="31" t="n">
        <v>36.4</v>
      </c>
      <c r="T36" s="30" t="inlineStr">
        <is>
          <t>AMR1</t>
        </is>
      </c>
      <c r="U36" s="31" t="n">
        <v>55.7</v>
      </c>
      <c r="V36" s="31" t="n">
        <v>55.7</v>
      </c>
      <c r="W36" s="30" t="inlineStr">
        <is>
          <t>AMR1</t>
        </is>
      </c>
      <c r="X36" s="32" t="n">
        <v>0</v>
      </c>
      <c r="Y36" s="32" t="n">
        <v>0</v>
      </c>
      <c r="Z36" s="31" t="n">
        <v>0</v>
      </c>
      <c r="AA36" s="32" t="n">
        <v>0</v>
      </c>
      <c r="AB36" s="32" t="n">
        <v>0</v>
      </c>
      <c r="AC36" s="32" t="n">
        <v>0</v>
      </c>
      <c r="AD36" s="32" t="n">
        <v>0</v>
      </c>
      <c r="AE36" s="31" t="n">
        <v>0</v>
      </c>
      <c r="AF36" s="32" t="n">
        <v>0</v>
      </c>
      <c r="AG36" s="31" t="n">
        <v>0</v>
      </c>
      <c r="AH36" s="32" t="n">
        <v>49</v>
      </c>
      <c r="AI36" s="31" t="n">
        <v>53.1</v>
      </c>
      <c r="AJ36" s="31" t="n">
        <v>41.7</v>
      </c>
      <c r="AK36" s="31" t="n">
        <v>0</v>
      </c>
      <c r="AL36" s="30" t="inlineStr">
        <is>
          <t>T-0185</t>
        </is>
      </c>
      <c r="AM36" s="30" t="inlineStr">
        <is>
          <t>G-04-01</t>
        </is>
      </c>
      <c r="AN36" s="30" t="inlineStr">
        <is>
          <t>T-0093</t>
        </is>
      </c>
      <c r="AO36" s="30" t="inlineStr">
        <is>
          <t>G-03-05</t>
        </is>
      </c>
    </row>
    <row r="37">
      <c r="A37" s="30" t="inlineStr">
        <is>
          <t>O0036</t>
        </is>
      </c>
      <c r="B37" s="30" t="inlineStr">
        <is>
          <t>C</t>
        </is>
      </c>
      <c r="C37" s="31" t="n">
        <v>699.8</v>
      </c>
      <c r="D37" s="31" t="n">
        <v>1699.2</v>
      </c>
      <c r="E37" s="31" t="n">
        <v>1699.2</v>
      </c>
      <c r="F37" s="31" t="n">
        <v>1710.7</v>
      </c>
      <c r="G37" s="31" t="n">
        <v>1735.5</v>
      </c>
      <c r="H37" s="31" t="n">
        <v>1747.7</v>
      </c>
      <c r="I37" s="31" t="n">
        <v>1770.7</v>
      </c>
      <c r="J37" s="31" t="n">
        <v>1812.9</v>
      </c>
      <c r="K37" s="31" t="n">
        <v>1113.1</v>
      </c>
      <c r="L37" s="31" t="n">
        <v>999.4</v>
      </c>
      <c r="M37" s="30" t="inlineStr">
        <is>
          <t>AMR2</t>
        </is>
      </c>
      <c r="N37" s="30" t="inlineStr">
        <is>
          <t>AMR2</t>
        </is>
      </c>
      <c r="O37" s="32" t="n">
        <v>0</v>
      </c>
      <c r="P37" s="32" t="n">
        <v>0</v>
      </c>
      <c r="Q37" s="32" t="n">
        <v>13</v>
      </c>
      <c r="R37" s="31" t="n">
        <v>35.4</v>
      </c>
      <c r="S37" s="31" t="n">
        <v>35.4</v>
      </c>
      <c r="T37" s="30" t="inlineStr">
        <is>
          <t>AMR2</t>
        </is>
      </c>
      <c r="U37" s="31" t="n">
        <v>53.1</v>
      </c>
      <c r="V37" s="31" t="n">
        <v>53.1</v>
      </c>
      <c r="W37" s="30" t="inlineStr">
        <is>
          <t>AMR2</t>
        </is>
      </c>
      <c r="X37" s="32" t="n">
        <v>0</v>
      </c>
      <c r="Y37" s="32" t="n">
        <v>0</v>
      </c>
      <c r="Z37" s="31" t="n">
        <v>0</v>
      </c>
      <c r="AA37" s="32" t="n">
        <v>0</v>
      </c>
      <c r="AB37" s="32" t="n">
        <v>0</v>
      </c>
      <c r="AC37" s="32" t="n">
        <v>0</v>
      </c>
      <c r="AD37" s="32" t="n">
        <v>1</v>
      </c>
      <c r="AE37" s="31" t="n">
        <v>12.8</v>
      </c>
      <c r="AF37" s="32" t="n">
        <v>1</v>
      </c>
      <c r="AG37" s="31" t="n">
        <v>7.8</v>
      </c>
      <c r="AH37" s="32" t="n">
        <v>39</v>
      </c>
      <c r="AI37" s="31" t="n">
        <v>42.4</v>
      </c>
      <c r="AJ37" s="31" t="n">
        <v>46.3</v>
      </c>
      <c r="AK37" s="31" t="n">
        <v>12.8</v>
      </c>
      <c r="AL37" s="30" t="inlineStr">
        <is>
          <t>T-0186</t>
        </is>
      </c>
      <c r="AM37" s="30" t="inlineStr">
        <is>
          <t>C-01-01</t>
        </is>
      </c>
      <c r="AN37" s="30" t="inlineStr">
        <is>
          <t>T-0031</t>
        </is>
      </c>
      <c r="AO37" s="30" t="inlineStr">
        <is>
          <t>C-04-01</t>
        </is>
      </c>
    </row>
    <row r="38">
      <c r="A38" s="30" t="inlineStr">
        <is>
          <t>O0037</t>
        </is>
      </c>
      <c r="B38" s="30" t="inlineStr">
        <is>
          <t>A</t>
        </is>
      </c>
      <c r="C38" s="31" t="n">
        <v>719.8</v>
      </c>
      <c r="D38" s="31" t="n">
        <v>1768.6</v>
      </c>
      <c r="E38" s="31" t="n">
        <v>1768.6</v>
      </c>
      <c r="F38" s="31" t="n">
        <v>1782</v>
      </c>
      <c r="G38" s="31" t="n">
        <v>1814.7</v>
      </c>
      <c r="H38" s="31" t="n">
        <v>1820.9</v>
      </c>
      <c r="I38" s="31" t="n">
        <v>1847.1</v>
      </c>
      <c r="J38" s="31" t="n">
        <v>1881.6</v>
      </c>
      <c r="K38" s="31" t="n">
        <v>1161.8</v>
      </c>
      <c r="L38" s="31" t="n">
        <v>1048.8</v>
      </c>
      <c r="M38" s="30" t="inlineStr">
        <is>
          <t>AMR3</t>
        </is>
      </c>
      <c r="N38" s="30" t="inlineStr">
        <is>
          <t>AMR1</t>
        </is>
      </c>
      <c r="O38" s="32" t="n">
        <v>0</v>
      </c>
      <c r="P38" s="32" t="n">
        <v>0</v>
      </c>
      <c r="Q38" s="32" t="n">
        <v>21</v>
      </c>
      <c r="R38" s="31" t="n">
        <v>43.6</v>
      </c>
      <c r="S38" s="31" t="n">
        <v>43.6</v>
      </c>
      <c r="T38" s="30" t="inlineStr">
        <is>
          <t>AMR3</t>
        </is>
      </c>
      <c r="U38" s="31" t="n">
        <v>61.4</v>
      </c>
      <c r="V38" s="31" t="n">
        <v>61.4</v>
      </c>
      <c r="W38" s="30" t="inlineStr">
        <is>
          <t>AMR1</t>
        </is>
      </c>
      <c r="X38" s="32" t="n">
        <v>0</v>
      </c>
      <c r="Y38" s="32" t="n">
        <v>0</v>
      </c>
      <c r="Z38" s="31" t="n">
        <v>0</v>
      </c>
      <c r="AA38" s="32" t="n">
        <v>0</v>
      </c>
      <c r="AB38" s="32" t="n">
        <v>0</v>
      </c>
      <c r="AC38" s="32" t="n">
        <v>0</v>
      </c>
      <c r="AD38" s="32" t="n">
        <v>0</v>
      </c>
      <c r="AE38" s="31" t="n">
        <v>0</v>
      </c>
      <c r="AF38" s="32" t="n">
        <v>0</v>
      </c>
      <c r="AG38" s="31" t="n">
        <v>0</v>
      </c>
      <c r="AH38" s="32" t="n">
        <v>65</v>
      </c>
      <c r="AI38" s="31" t="n">
        <v>63.9</v>
      </c>
      <c r="AJ38" s="31" t="n">
        <v>42.9</v>
      </c>
      <c r="AK38" s="31" t="n">
        <v>0</v>
      </c>
      <c r="AL38" s="30" t="inlineStr">
        <is>
          <t>T-0187</t>
        </is>
      </c>
      <c r="AM38" s="30" t="inlineStr">
        <is>
          <t>A-01-02</t>
        </is>
      </c>
      <c r="AN38" s="30" t="inlineStr">
        <is>
          <t>T-0004</t>
        </is>
      </c>
      <c r="AO38" s="30" t="inlineStr">
        <is>
          <t>A-05-04</t>
        </is>
      </c>
    </row>
    <row r="39">
      <c r="A39" s="30" t="inlineStr">
        <is>
          <t>O0038</t>
        </is>
      </c>
      <c r="B39" s="30" t="inlineStr">
        <is>
          <t>C</t>
        </is>
      </c>
      <c r="C39" s="31" t="n">
        <v>736.3</v>
      </c>
      <c r="D39" s="31" t="n">
        <v>1836.3</v>
      </c>
      <c r="E39" s="31" t="n">
        <v>1836.3</v>
      </c>
      <c r="F39" s="31" t="n">
        <v>1849.8</v>
      </c>
      <c r="G39" s="31" t="n">
        <v>1869.8</v>
      </c>
      <c r="H39" s="31" t="n">
        <v>1882.6</v>
      </c>
      <c r="I39" s="31" t="n">
        <v>1908.1</v>
      </c>
      <c r="J39" s="31" t="n">
        <v>1935.1</v>
      </c>
      <c r="K39" s="31" t="n">
        <v>1198.8</v>
      </c>
      <c r="L39" s="31" t="n">
        <v>1100</v>
      </c>
      <c r="M39" s="30" t="inlineStr">
        <is>
          <t>AMR3</t>
        </is>
      </c>
      <c r="N39" s="30" t="inlineStr">
        <is>
          <t>AMR3</t>
        </is>
      </c>
      <c r="O39" s="32" t="n">
        <v>0</v>
      </c>
      <c r="P39" s="32" t="n">
        <v>0</v>
      </c>
      <c r="Q39" s="32" t="n">
        <v>13</v>
      </c>
      <c r="R39" s="31" t="n">
        <v>32.6</v>
      </c>
      <c r="S39" s="31" t="n">
        <v>32.6</v>
      </c>
      <c r="T39" s="30" t="inlineStr">
        <is>
          <t>AMR3</t>
        </is>
      </c>
      <c r="U39" s="31" t="n">
        <v>52.2</v>
      </c>
      <c r="V39" s="31" t="n">
        <v>52.2</v>
      </c>
      <c r="W39" s="30" t="inlineStr">
        <is>
          <t>AMR3</t>
        </is>
      </c>
      <c r="X39" s="32" t="n">
        <v>0</v>
      </c>
      <c r="Y39" s="32" t="n">
        <v>0</v>
      </c>
      <c r="Z39" s="31" t="n">
        <v>0</v>
      </c>
      <c r="AA39" s="32" t="n">
        <v>0</v>
      </c>
      <c r="AB39" s="32" t="n">
        <v>0</v>
      </c>
      <c r="AC39" s="32" t="n">
        <v>0</v>
      </c>
      <c r="AD39" s="32" t="n">
        <v>0</v>
      </c>
      <c r="AE39" s="31" t="n">
        <v>0</v>
      </c>
      <c r="AF39" s="32" t="n">
        <v>0</v>
      </c>
      <c r="AG39" s="31" t="n">
        <v>0</v>
      </c>
      <c r="AH39" s="32" t="n">
        <v>39</v>
      </c>
      <c r="AI39" s="31" t="n">
        <v>43.4</v>
      </c>
      <c r="AJ39" s="31" t="n">
        <v>42.6</v>
      </c>
      <c r="AK39" s="31" t="n">
        <v>0</v>
      </c>
      <c r="AL39" s="30" t="inlineStr">
        <is>
          <t>T-0188</t>
        </is>
      </c>
      <c r="AM39" s="30" t="inlineStr">
        <is>
          <t>C-04-01</t>
        </is>
      </c>
      <c r="AN39" s="30" t="inlineStr">
        <is>
          <t>T-0032</t>
        </is>
      </c>
      <c r="AO39" s="30" t="inlineStr">
        <is>
          <t>C-05-03</t>
        </is>
      </c>
    </row>
    <row r="40">
      <c r="A40" s="30" t="inlineStr">
        <is>
          <t>O0039</t>
        </is>
      </c>
      <c r="B40" s="30" t="inlineStr">
        <is>
          <t>B</t>
        </is>
      </c>
      <c r="C40" s="31" t="n">
        <v>755.5</v>
      </c>
      <c r="D40" s="31" t="n">
        <v>1849.9</v>
      </c>
      <c r="E40" s="31" t="n">
        <v>1849.9</v>
      </c>
      <c r="F40" s="31" t="n">
        <v>1861.2</v>
      </c>
      <c r="G40" s="31" t="n">
        <v>1887</v>
      </c>
      <c r="H40" s="31" t="n">
        <v>1902.5</v>
      </c>
      <c r="I40" s="31" t="n">
        <v>1928.2</v>
      </c>
      <c r="J40" s="31" t="n">
        <v>1959.3</v>
      </c>
      <c r="K40" s="31" t="n">
        <v>1203.8</v>
      </c>
      <c r="L40" s="31" t="n">
        <v>1094.4</v>
      </c>
      <c r="M40" s="30" t="inlineStr">
        <is>
          <t>AMR2</t>
        </is>
      </c>
      <c r="N40" s="30" t="inlineStr">
        <is>
          <t>AMR2</t>
        </is>
      </c>
      <c r="O40" s="32" t="n">
        <v>0</v>
      </c>
      <c r="P40" s="32" t="n">
        <v>0</v>
      </c>
      <c r="Q40" s="32" t="n">
        <v>15</v>
      </c>
      <c r="R40" s="31" t="n">
        <v>35.4</v>
      </c>
      <c r="S40" s="31" t="n">
        <v>35.4</v>
      </c>
      <c r="T40" s="30" t="inlineStr">
        <is>
          <t>AMR2</t>
        </is>
      </c>
      <c r="U40" s="31" t="n">
        <v>53.5</v>
      </c>
      <c r="V40" s="31" t="n">
        <v>53.5</v>
      </c>
      <c r="W40" s="30" t="inlineStr">
        <is>
          <t>AMR2</t>
        </is>
      </c>
      <c r="X40" s="32" t="n">
        <v>0</v>
      </c>
      <c r="Y40" s="32" t="n">
        <v>0</v>
      </c>
      <c r="Z40" s="31" t="n">
        <v>0</v>
      </c>
      <c r="AA40" s="32" t="n">
        <v>0</v>
      </c>
      <c r="AB40" s="32" t="n">
        <v>0</v>
      </c>
      <c r="AC40" s="32" t="n">
        <v>0</v>
      </c>
      <c r="AD40" s="32" t="n">
        <v>0</v>
      </c>
      <c r="AE40" s="31" t="n">
        <v>0</v>
      </c>
      <c r="AF40" s="32" t="n">
        <v>0</v>
      </c>
      <c r="AG40" s="31" t="n">
        <v>0</v>
      </c>
      <c r="AH40" s="32" t="n">
        <v>50</v>
      </c>
      <c r="AI40" s="31" t="n">
        <v>52.3</v>
      </c>
      <c r="AJ40" s="31" t="n">
        <v>41.6</v>
      </c>
      <c r="AK40" s="31" t="n">
        <v>0</v>
      </c>
      <c r="AL40" s="30" t="inlineStr">
        <is>
          <t>T-0189</t>
        </is>
      </c>
      <c r="AM40" s="30" t="inlineStr">
        <is>
          <t>B-03-02</t>
        </is>
      </c>
      <c r="AN40" s="30" t="inlineStr">
        <is>
          <t>T-0022</t>
        </is>
      </c>
      <c r="AO40" s="30" t="inlineStr">
        <is>
          <t>B-01-03</t>
        </is>
      </c>
    </row>
    <row r="41">
      <c r="A41" s="30" t="inlineStr">
        <is>
          <t>O0040</t>
        </is>
      </c>
      <c r="B41" s="30" t="inlineStr">
        <is>
          <t>H</t>
        </is>
      </c>
      <c r="C41" s="31" t="n">
        <v>774.3</v>
      </c>
      <c r="D41" s="31" t="n">
        <v>1905.3</v>
      </c>
      <c r="E41" s="31" t="n">
        <v>1905.3</v>
      </c>
      <c r="F41" s="31" t="n">
        <v>1918.5</v>
      </c>
      <c r="G41" s="31" t="n">
        <v>1944.2</v>
      </c>
      <c r="H41" s="31" t="n">
        <v>1958.4</v>
      </c>
      <c r="I41" s="31" t="n">
        <v>1986.1</v>
      </c>
      <c r="J41" s="31" t="n">
        <v>2013.2</v>
      </c>
      <c r="K41" s="31" t="n">
        <v>1238.9</v>
      </c>
      <c r="L41" s="31" t="n">
        <v>1131</v>
      </c>
      <c r="M41" s="30" t="inlineStr">
        <is>
          <t>AMR1</t>
        </is>
      </c>
      <c r="N41" s="30" t="inlineStr">
        <is>
          <t>AMR1</t>
        </is>
      </c>
      <c r="O41" s="32" t="n">
        <v>0</v>
      </c>
      <c r="P41" s="32" t="n">
        <v>0</v>
      </c>
      <c r="Q41" s="32" t="n">
        <v>15</v>
      </c>
      <c r="R41" s="31" t="n">
        <v>38</v>
      </c>
      <c r="S41" s="31" t="n">
        <v>38</v>
      </c>
      <c r="T41" s="30" t="inlineStr">
        <is>
          <t>AMR1</t>
        </is>
      </c>
      <c r="U41" s="31" t="n">
        <v>50.5</v>
      </c>
      <c r="V41" s="31" t="n">
        <v>50.5</v>
      </c>
      <c r="W41" s="30" t="inlineStr">
        <is>
          <t>AMR1</t>
        </is>
      </c>
      <c r="X41" s="32" t="n">
        <v>0</v>
      </c>
      <c r="Y41" s="32" t="n">
        <v>0</v>
      </c>
      <c r="Z41" s="31" t="n">
        <v>0</v>
      </c>
      <c r="AA41" s="32" t="n">
        <v>0</v>
      </c>
      <c r="AB41" s="32" t="n">
        <v>0</v>
      </c>
      <c r="AC41" s="32" t="n">
        <v>1</v>
      </c>
      <c r="AD41" s="32" t="n">
        <v>0</v>
      </c>
      <c r="AE41" s="31" t="n">
        <v>0</v>
      </c>
      <c r="AF41" s="32" t="n">
        <v>0</v>
      </c>
      <c r="AG41" s="31" t="n">
        <v>0</v>
      </c>
      <c r="AH41" s="32" t="n">
        <v>41</v>
      </c>
      <c r="AI41" s="31" t="n">
        <v>47.5</v>
      </c>
      <c r="AJ41" s="31" t="n">
        <v>43.2</v>
      </c>
      <c r="AK41" s="31" t="n">
        <v>3</v>
      </c>
      <c r="AL41" s="30" t="inlineStr">
        <is>
          <t>T-0190</t>
        </is>
      </c>
      <c r="AM41" s="30" t="inlineStr">
        <is>
          <t>H-02-02</t>
        </is>
      </c>
      <c r="AN41" s="30" t="inlineStr">
        <is>
          <t>T-0108</t>
        </is>
      </c>
      <c r="AO41" s="30" t="inlineStr">
        <is>
          <t>H-04-02</t>
        </is>
      </c>
    </row>
    <row r="42">
      <c r="A42" s="30" t="inlineStr">
        <is>
          <t>O0041</t>
        </is>
      </c>
      <c r="B42" s="30" t="inlineStr">
        <is>
          <t>I</t>
        </is>
      </c>
      <c r="C42" s="31" t="n">
        <v>791.8</v>
      </c>
      <c r="D42" s="31" t="n">
        <v>1964.8</v>
      </c>
      <c r="E42" s="31" t="n">
        <v>1964.8</v>
      </c>
      <c r="F42" s="31" t="n">
        <v>1976.9</v>
      </c>
      <c r="G42" s="31" t="n">
        <v>2002.7</v>
      </c>
      <c r="H42" s="31" t="n">
        <v>2017.5</v>
      </c>
      <c r="I42" s="31" t="n">
        <v>2049</v>
      </c>
      <c r="J42" s="31" t="n">
        <v>2078.3</v>
      </c>
      <c r="K42" s="31" t="n">
        <v>1286.5</v>
      </c>
      <c r="L42" s="31" t="n">
        <v>1173</v>
      </c>
      <c r="M42" s="30" t="inlineStr">
        <is>
          <t>AMR3</t>
        </is>
      </c>
      <c r="N42" s="30" t="inlineStr">
        <is>
          <t>AMR3</t>
        </is>
      </c>
      <c r="O42" s="32" t="n">
        <v>0</v>
      </c>
      <c r="P42" s="32" t="n">
        <v>0</v>
      </c>
      <c r="Q42" s="32" t="n">
        <v>15</v>
      </c>
      <c r="R42" s="31" t="n">
        <v>37</v>
      </c>
      <c r="S42" s="31" t="n">
        <v>37</v>
      </c>
      <c r="T42" s="30" t="inlineStr">
        <is>
          <t>AMR3</t>
        </is>
      </c>
      <c r="U42" s="31" t="n">
        <v>51.7</v>
      </c>
      <c r="V42" s="31" t="n">
        <v>51.7</v>
      </c>
      <c r="W42" s="30" t="inlineStr">
        <is>
          <t>AMR3</t>
        </is>
      </c>
      <c r="X42" s="32" t="n">
        <v>0</v>
      </c>
      <c r="Y42" s="32" t="n">
        <v>0</v>
      </c>
      <c r="Z42" s="31" t="n">
        <v>0</v>
      </c>
      <c r="AA42" s="32" t="n">
        <v>0</v>
      </c>
      <c r="AB42" s="32" t="n">
        <v>1</v>
      </c>
      <c r="AC42" s="32" t="n">
        <v>1</v>
      </c>
      <c r="AD42" s="32" t="n">
        <v>1</v>
      </c>
      <c r="AE42" s="31" t="n">
        <v>2</v>
      </c>
      <c r="AF42" s="32" t="n">
        <v>0</v>
      </c>
      <c r="AG42" s="31" t="n">
        <v>0</v>
      </c>
      <c r="AH42" s="32" t="n">
        <v>47</v>
      </c>
      <c r="AI42" s="31" t="n">
        <v>52.8</v>
      </c>
      <c r="AJ42" s="31" t="n">
        <v>42.9</v>
      </c>
      <c r="AK42" s="31" t="n">
        <v>3</v>
      </c>
      <c r="AL42" s="30" t="inlineStr">
        <is>
          <t>T-0191</t>
        </is>
      </c>
      <c r="AM42" s="30" t="inlineStr">
        <is>
          <t>I-01-02</t>
        </is>
      </c>
      <c r="AN42" s="30" t="inlineStr">
        <is>
          <t>T-0127</t>
        </is>
      </c>
      <c r="AO42" s="30" t="inlineStr">
        <is>
          <t>I-05-02</t>
        </is>
      </c>
    </row>
    <row r="43">
      <c r="A43" s="30" t="inlineStr">
        <is>
          <t>O0042</t>
        </is>
      </c>
      <c r="B43" s="30" t="inlineStr">
        <is>
          <t>B</t>
        </is>
      </c>
      <c r="C43" s="31" t="n">
        <v>813.6</v>
      </c>
      <c r="D43" s="31" t="n">
        <v>1983</v>
      </c>
      <c r="E43" s="31" t="n">
        <v>1983</v>
      </c>
      <c r="F43" s="31" t="n">
        <v>1996.3</v>
      </c>
      <c r="G43" s="31" t="n">
        <v>2022.8</v>
      </c>
      <c r="H43" s="31" t="n">
        <v>2037.6</v>
      </c>
      <c r="I43" s="31" t="n">
        <v>2063.1</v>
      </c>
      <c r="J43" s="31" t="n">
        <v>2092.4</v>
      </c>
      <c r="K43" s="31" t="n">
        <v>1278.8</v>
      </c>
      <c r="L43" s="31" t="n">
        <v>1169.4</v>
      </c>
      <c r="M43" s="30" t="inlineStr">
        <is>
          <t>AMR2</t>
        </is>
      </c>
      <c r="N43" s="30" t="inlineStr">
        <is>
          <t>AMR2</t>
        </is>
      </c>
      <c r="O43" s="32" t="n">
        <v>0</v>
      </c>
      <c r="P43" s="32" t="n">
        <v>0</v>
      </c>
      <c r="Q43" s="32" t="n">
        <v>15</v>
      </c>
      <c r="R43" s="31" t="n">
        <v>38.9</v>
      </c>
      <c r="S43" s="31" t="n">
        <v>38.9</v>
      </c>
      <c r="T43" s="30" t="inlineStr">
        <is>
          <t>AMR2</t>
        </is>
      </c>
      <c r="U43" s="31" t="n">
        <v>51.5</v>
      </c>
      <c r="V43" s="31" t="n">
        <v>51.5</v>
      </c>
      <c r="W43" s="30" t="inlineStr">
        <is>
          <t>AMR2</t>
        </is>
      </c>
      <c r="X43" s="32" t="n">
        <v>0</v>
      </c>
      <c r="Y43" s="32" t="n">
        <v>0</v>
      </c>
      <c r="Z43" s="31" t="n">
        <v>0</v>
      </c>
      <c r="AA43" s="32" t="n">
        <v>0</v>
      </c>
      <c r="AB43" s="32" t="n">
        <v>0</v>
      </c>
      <c r="AC43" s="32" t="n">
        <v>0</v>
      </c>
      <c r="AD43" s="32" t="n">
        <v>0</v>
      </c>
      <c r="AE43" s="31" t="n">
        <v>0</v>
      </c>
      <c r="AF43" s="32" t="n">
        <v>0</v>
      </c>
      <c r="AG43" s="31" t="n">
        <v>0</v>
      </c>
      <c r="AH43" s="32" t="n">
        <v>49</v>
      </c>
      <c r="AI43" s="31" t="n">
        <v>51.5</v>
      </c>
      <c r="AJ43" s="31" t="n">
        <v>43.1</v>
      </c>
      <c r="AK43" s="31" t="n">
        <v>0</v>
      </c>
      <c r="AL43" s="30" t="inlineStr">
        <is>
          <t>T-0192</t>
        </is>
      </c>
      <c r="AM43" s="30" t="inlineStr">
        <is>
          <t>B-04-02</t>
        </is>
      </c>
      <c r="AN43" s="30" t="inlineStr">
        <is>
          <t>T-0023</t>
        </is>
      </c>
      <c r="AO43" s="30" t="inlineStr">
        <is>
          <t>B-01-04</t>
        </is>
      </c>
    </row>
    <row r="44">
      <c r="A44" s="30" t="inlineStr">
        <is>
          <t>O0043</t>
        </is>
      </c>
      <c r="B44" s="30" t="inlineStr">
        <is>
          <t>E</t>
        </is>
      </c>
      <c r="C44" s="31" t="n">
        <v>837.5</v>
      </c>
      <c r="D44" s="31" t="n">
        <v>2042.2</v>
      </c>
      <c r="E44" s="31" t="n">
        <v>2042.2</v>
      </c>
      <c r="F44" s="31" t="n">
        <v>2057.9</v>
      </c>
      <c r="G44" s="31" t="n">
        <v>2086.9</v>
      </c>
      <c r="H44" s="31" t="n">
        <v>2102</v>
      </c>
      <c r="I44" s="31" t="n">
        <v>2136.1</v>
      </c>
      <c r="J44" s="31" t="n">
        <v>2178.6</v>
      </c>
      <c r="K44" s="31" t="n">
        <v>1341.1</v>
      </c>
      <c r="L44" s="31" t="n">
        <v>1204.7</v>
      </c>
      <c r="M44" s="30" t="inlineStr">
        <is>
          <t>AMR1</t>
        </is>
      </c>
      <c r="N44" s="30" t="inlineStr">
        <is>
          <t>AMR3</t>
        </is>
      </c>
      <c r="O44" s="32" t="n">
        <v>0</v>
      </c>
      <c r="P44" s="32" t="n">
        <v>0</v>
      </c>
      <c r="Q44" s="32" t="n">
        <v>19</v>
      </c>
      <c r="R44" s="31" t="n">
        <v>43.8</v>
      </c>
      <c r="S44" s="31" t="n">
        <v>43.8</v>
      </c>
      <c r="T44" s="30" t="inlineStr">
        <is>
          <t>AMR1</t>
        </is>
      </c>
      <c r="U44" s="31" t="n">
        <v>60.7</v>
      </c>
      <c r="V44" s="31" t="n">
        <v>60.7</v>
      </c>
      <c r="W44" s="30" t="inlineStr">
        <is>
          <t>AMR3</t>
        </is>
      </c>
      <c r="X44" s="32" t="n">
        <v>0</v>
      </c>
      <c r="Y44" s="32" t="n">
        <v>0</v>
      </c>
      <c r="Z44" s="31" t="n">
        <v>0</v>
      </c>
      <c r="AA44" s="32" t="n">
        <v>0</v>
      </c>
      <c r="AB44" s="32" t="n">
        <v>2</v>
      </c>
      <c r="AC44" s="32" t="n">
        <v>2</v>
      </c>
      <c r="AD44" s="32" t="n">
        <v>0</v>
      </c>
      <c r="AE44" s="31" t="n">
        <v>0</v>
      </c>
      <c r="AF44" s="32" t="n">
        <v>0</v>
      </c>
      <c r="AG44" s="31" t="n">
        <v>0</v>
      </c>
      <c r="AH44" s="32" t="n">
        <v>63</v>
      </c>
      <c r="AI44" s="31" t="n">
        <v>66.40000000000001</v>
      </c>
      <c r="AJ44" s="31" t="n">
        <v>47</v>
      </c>
      <c r="AK44" s="31" t="n">
        <v>7.9</v>
      </c>
      <c r="AL44" s="30" t="inlineStr">
        <is>
          <t>T-0193</t>
        </is>
      </c>
      <c r="AM44" s="30" t="inlineStr">
        <is>
          <t>E-01-02</t>
        </is>
      </c>
      <c r="AN44" s="30" t="inlineStr">
        <is>
          <t>T-0063</t>
        </is>
      </c>
      <c r="AO44" s="30" t="inlineStr">
        <is>
          <t>E-06-03</t>
        </is>
      </c>
    </row>
    <row r="45">
      <c r="A45" s="30" t="inlineStr">
        <is>
          <t>O0044</t>
        </is>
      </c>
      <c r="B45" s="30" t="inlineStr">
        <is>
          <t>E</t>
        </is>
      </c>
      <c r="C45" s="31" t="n">
        <v>855.9</v>
      </c>
      <c r="D45" s="31" t="n">
        <v>2111.9</v>
      </c>
      <c r="E45" s="31" t="n">
        <v>2111.9</v>
      </c>
      <c r="F45" s="31" t="n">
        <v>2124.8</v>
      </c>
      <c r="G45" s="31" t="n">
        <v>2156.8</v>
      </c>
      <c r="H45" s="31" t="n">
        <v>2177</v>
      </c>
      <c r="I45" s="31" t="n">
        <v>2206.9</v>
      </c>
      <c r="J45" s="31" t="n">
        <v>2240.4</v>
      </c>
      <c r="K45" s="31" t="n">
        <v>1384.5</v>
      </c>
      <c r="L45" s="31" t="n">
        <v>1256</v>
      </c>
      <c r="M45" s="30" t="inlineStr">
        <is>
          <t>AMR1</t>
        </is>
      </c>
      <c r="N45" s="30" t="inlineStr">
        <is>
          <t>AMR1</t>
        </is>
      </c>
      <c r="O45" s="32" t="n">
        <v>0</v>
      </c>
      <c r="P45" s="32" t="n">
        <v>0</v>
      </c>
      <c r="Q45" s="32" t="n">
        <v>19</v>
      </c>
      <c r="R45" s="31" t="n">
        <v>36.4</v>
      </c>
      <c r="S45" s="31" t="n">
        <v>36.4</v>
      </c>
      <c r="T45" s="30" t="inlineStr">
        <is>
          <t>AMR1</t>
        </is>
      </c>
      <c r="U45" s="31" t="n">
        <v>60.1</v>
      </c>
      <c r="V45" s="31" t="n">
        <v>60.1</v>
      </c>
      <c r="W45" s="30" t="inlineStr">
        <is>
          <t>AMR1</t>
        </is>
      </c>
      <c r="X45" s="32" t="n">
        <v>0</v>
      </c>
      <c r="Y45" s="32" t="n">
        <v>0</v>
      </c>
      <c r="Z45" s="31" t="n">
        <v>0</v>
      </c>
      <c r="AA45" s="32" t="n">
        <v>0</v>
      </c>
      <c r="AB45" s="32" t="n">
        <v>1</v>
      </c>
      <c r="AC45" s="32" t="n">
        <v>1</v>
      </c>
      <c r="AD45" s="32" t="n">
        <v>0</v>
      </c>
      <c r="AE45" s="31" t="n">
        <v>0</v>
      </c>
      <c r="AF45" s="32" t="n">
        <v>0</v>
      </c>
      <c r="AG45" s="31" t="n">
        <v>0</v>
      </c>
      <c r="AH45" s="32" t="n">
        <v>65</v>
      </c>
      <c r="AI45" s="31" t="n">
        <v>66.3</v>
      </c>
      <c r="AJ45" s="31" t="n">
        <v>39</v>
      </c>
      <c r="AK45" s="31" t="n">
        <v>3</v>
      </c>
      <c r="AL45" s="30" t="inlineStr">
        <is>
          <t>T-0194</t>
        </is>
      </c>
      <c r="AM45" s="30" t="inlineStr">
        <is>
          <t>E-04-02</t>
        </is>
      </c>
      <c r="AN45" s="30" t="inlineStr">
        <is>
          <t>T-0064</t>
        </is>
      </c>
      <c r="AO45" s="30" t="inlineStr">
        <is>
          <t>E-05-01</t>
        </is>
      </c>
    </row>
    <row r="46">
      <c r="A46" s="30" t="inlineStr">
        <is>
          <t>O0045</t>
        </is>
      </c>
      <c r="B46" s="30" t="inlineStr">
        <is>
          <t>A</t>
        </is>
      </c>
      <c r="C46" s="31" t="n">
        <v>872.5</v>
      </c>
      <c r="D46" s="31" t="n">
        <v>2124.8</v>
      </c>
      <c r="E46" s="31" t="n">
        <v>2124.8</v>
      </c>
      <c r="F46" s="31" t="n">
        <v>2138.9</v>
      </c>
      <c r="G46" s="31" t="n">
        <v>2166.8</v>
      </c>
      <c r="H46" s="31" t="n">
        <v>2187.7</v>
      </c>
      <c r="I46" s="31" t="n">
        <v>2218.4</v>
      </c>
      <c r="J46" s="31" t="n">
        <v>2251.6</v>
      </c>
      <c r="K46" s="31" t="n">
        <v>1379.1</v>
      </c>
      <c r="L46" s="31" t="n">
        <v>1252.3</v>
      </c>
      <c r="M46" s="30" t="inlineStr">
        <is>
          <t>AMR2</t>
        </is>
      </c>
      <c r="N46" s="30" t="inlineStr">
        <is>
          <t>AMR2</t>
        </is>
      </c>
      <c r="O46" s="32" t="n">
        <v>0</v>
      </c>
      <c r="P46" s="32" t="n">
        <v>0</v>
      </c>
      <c r="Q46" s="32" t="n">
        <v>21</v>
      </c>
      <c r="R46" s="31" t="n">
        <v>40.3</v>
      </c>
      <c r="S46" s="31" t="n">
        <v>40.3</v>
      </c>
      <c r="T46" s="30" t="inlineStr">
        <is>
          <t>AMR2</t>
        </is>
      </c>
      <c r="U46" s="31" t="n">
        <v>63.6</v>
      </c>
      <c r="V46" s="31" t="n">
        <v>63.6</v>
      </c>
      <c r="W46" s="30" t="inlineStr">
        <is>
          <t>AMR2</t>
        </is>
      </c>
      <c r="X46" s="32" t="n">
        <v>0</v>
      </c>
      <c r="Y46" s="32" t="n">
        <v>0</v>
      </c>
      <c r="Z46" s="31" t="n">
        <v>0</v>
      </c>
      <c r="AA46" s="32" t="n">
        <v>0</v>
      </c>
      <c r="AB46" s="32" t="n">
        <v>0</v>
      </c>
      <c r="AC46" s="32" t="n">
        <v>0</v>
      </c>
      <c r="AD46" s="32" t="n">
        <v>0</v>
      </c>
      <c r="AE46" s="31" t="n">
        <v>0</v>
      </c>
      <c r="AF46" s="32" t="n">
        <v>0</v>
      </c>
      <c r="AG46" s="31" t="n">
        <v>0</v>
      </c>
      <c r="AH46" s="32" t="n">
        <v>64</v>
      </c>
      <c r="AI46" s="31" t="n">
        <v>64.09999999999999</v>
      </c>
      <c r="AJ46" s="31" t="n">
        <v>41.8</v>
      </c>
      <c r="AK46" s="31" t="n">
        <v>0</v>
      </c>
      <c r="AL46" s="30" t="inlineStr">
        <is>
          <t>T-0195</t>
        </is>
      </c>
      <c r="AM46" s="30" t="inlineStr">
        <is>
          <t>A-03-02</t>
        </is>
      </c>
      <c r="AN46" s="30" t="inlineStr">
        <is>
          <t>T-0005</t>
        </is>
      </c>
      <c r="AO46" s="30" t="inlineStr">
        <is>
          <t>A-04-01</t>
        </is>
      </c>
    </row>
    <row r="47">
      <c r="A47" s="30" t="inlineStr">
        <is>
          <t>O0046</t>
        </is>
      </c>
      <c r="B47" s="30" t="inlineStr">
        <is>
          <t>C</t>
        </is>
      </c>
      <c r="C47" s="31" t="n">
        <v>897.2</v>
      </c>
      <c r="D47" s="31" t="n">
        <v>2202.3</v>
      </c>
      <c r="E47" s="31" t="n">
        <v>2202.3</v>
      </c>
      <c r="F47" s="31" t="n">
        <v>2213.1</v>
      </c>
      <c r="G47" s="31" t="n">
        <v>2237.5</v>
      </c>
      <c r="H47" s="31" t="n">
        <v>2250.3</v>
      </c>
      <c r="I47" s="31" t="n">
        <v>2274.5</v>
      </c>
      <c r="J47" s="31" t="n">
        <v>2304.3</v>
      </c>
      <c r="K47" s="31" t="n">
        <v>1407.1</v>
      </c>
      <c r="L47" s="31" t="n">
        <v>1305.1</v>
      </c>
      <c r="M47" s="30" t="inlineStr">
        <is>
          <t>AMR3</t>
        </is>
      </c>
      <c r="N47" s="30" t="inlineStr">
        <is>
          <t>AMR3</t>
        </is>
      </c>
      <c r="O47" s="32" t="n">
        <v>0</v>
      </c>
      <c r="P47" s="32" t="n">
        <v>0</v>
      </c>
      <c r="Q47" s="32" t="n">
        <v>13</v>
      </c>
      <c r="R47" s="31" t="n">
        <v>34.3</v>
      </c>
      <c r="S47" s="31" t="n">
        <v>34.3</v>
      </c>
      <c r="T47" s="30" t="inlineStr">
        <is>
          <t>AMR3</t>
        </is>
      </c>
      <c r="U47" s="31" t="n">
        <v>54.1</v>
      </c>
      <c r="V47" s="31" t="n">
        <v>54.1</v>
      </c>
      <c r="W47" s="30" t="inlineStr">
        <is>
          <t>AMR3</t>
        </is>
      </c>
      <c r="X47" s="32" t="n">
        <v>0</v>
      </c>
      <c r="Y47" s="32" t="n">
        <v>0</v>
      </c>
      <c r="Z47" s="31" t="n">
        <v>0</v>
      </c>
      <c r="AA47" s="32" t="n">
        <v>0</v>
      </c>
      <c r="AB47" s="32" t="n">
        <v>0</v>
      </c>
      <c r="AC47" s="32" t="n">
        <v>0</v>
      </c>
      <c r="AD47" s="32" t="n">
        <v>0</v>
      </c>
      <c r="AE47" s="31" t="n">
        <v>0</v>
      </c>
      <c r="AF47" s="32" t="n">
        <v>0</v>
      </c>
      <c r="AG47" s="31" t="n">
        <v>0</v>
      </c>
      <c r="AH47" s="32" t="n">
        <v>41</v>
      </c>
      <c r="AI47" s="31" t="n">
        <v>43</v>
      </c>
      <c r="AJ47" s="31" t="n">
        <v>46.2</v>
      </c>
      <c r="AK47" s="31" t="n">
        <v>0</v>
      </c>
      <c r="AL47" s="30" t="inlineStr">
        <is>
          <t>T-0196</t>
        </is>
      </c>
      <c r="AM47" s="30" t="inlineStr">
        <is>
          <t>C-05-01</t>
        </is>
      </c>
      <c r="AN47" s="30" t="inlineStr">
        <is>
          <t>T-0033</t>
        </is>
      </c>
      <c r="AO47" s="30" t="inlineStr">
        <is>
          <t>C-03-01</t>
        </is>
      </c>
    </row>
    <row r="48">
      <c r="A48" s="30" t="inlineStr">
        <is>
          <t>O0047</t>
        </is>
      </c>
      <c r="B48" s="30" t="inlineStr">
        <is>
          <t>E</t>
        </is>
      </c>
      <c r="C48" s="31" t="n">
        <v>921.3</v>
      </c>
      <c r="D48" s="31" t="n">
        <v>2264.1</v>
      </c>
      <c r="E48" s="31" t="n">
        <v>2264.1</v>
      </c>
      <c r="F48" s="31" t="n">
        <v>2276.2</v>
      </c>
      <c r="G48" s="31" t="n">
        <v>2305.4</v>
      </c>
      <c r="H48" s="31" t="n">
        <v>2327.6</v>
      </c>
      <c r="I48" s="31" t="n">
        <v>2363.2</v>
      </c>
      <c r="J48" s="31" t="n">
        <v>2413.8</v>
      </c>
      <c r="K48" s="31" t="n">
        <v>1492.5</v>
      </c>
      <c r="L48" s="31" t="n">
        <v>1342.8</v>
      </c>
      <c r="M48" s="30" t="inlineStr">
        <is>
          <t>AMR1</t>
        </is>
      </c>
      <c r="N48" s="30" t="inlineStr">
        <is>
          <t>AMR2</t>
        </is>
      </c>
      <c r="O48" s="32" t="n">
        <v>0</v>
      </c>
      <c r="P48" s="32" t="n">
        <v>0</v>
      </c>
      <c r="Q48" s="32" t="n">
        <v>19</v>
      </c>
      <c r="R48" s="31" t="n">
        <v>38.8</v>
      </c>
      <c r="S48" s="31" t="n">
        <v>38.8</v>
      </c>
      <c r="T48" s="30" t="inlineStr">
        <is>
          <t>AMR1</t>
        </is>
      </c>
      <c r="U48" s="31" t="n">
        <v>64.3</v>
      </c>
      <c r="V48" s="31" t="n">
        <v>64.3</v>
      </c>
      <c r="W48" s="30" t="inlineStr">
        <is>
          <t>AMR2</t>
        </is>
      </c>
      <c r="X48" s="32" t="n">
        <v>0</v>
      </c>
      <c r="Y48" s="32" t="n">
        <v>0</v>
      </c>
      <c r="Z48" s="31" t="n">
        <v>0</v>
      </c>
      <c r="AA48" s="32" t="n">
        <v>0</v>
      </c>
      <c r="AB48" s="32" t="n">
        <v>0</v>
      </c>
      <c r="AC48" s="32" t="n">
        <v>1</v>
      </c>
      <c r="AD48" s="32" t="n">
        <v>1</v>
      </c>
      <c r="AE48" s="31" t="n">
        <v>11.5</v>
      </c>
      <c r="AF48" s="32" t="n">
        <v>1</v>
      </c>
      <c r="AG48" s="31" t="n">
        <v>6.5</v>
      </c>
      <c r="AH48" s="32" t="n">
        <v>59</v>
      </c>
      <c r="AI48" s="31" t="n">
        <v>63</v>
      </c>
      <c r="AJ48" s="31" t="n">
        <v>45.6</v>
      </c>
      <c r="AK48" s="31" t="n">
        <v>18.9</v>
      </c>
      <c r="AL48" s="30" t="inlineStr">
        <is>
          <t>T-0197</t>
        </is>
      </c>
      <c r="AM48" s="30" t="inlineStr">
        <is>
          <t>E-05-01</t>
        </is>
      </c>
      <c r="AN48" s="30" t="inlineStr">
        <is>
          <t>T-0065</t>
        </is>
      </c>
      <c r="AO48" s="30" t="inlineStr">
        <is>
          <t>E-02-02</t>
        </is>
      </c>
    </row>
    <row r="49">
      <c r="A49" s="30" t="inlineStr">
        <is>
          <t>O0048</t>
        </is>
      </c>
      <c r="B49" s="30" t="inlineStr">
        <is>
          <t>D</t>
        </is>
      </c>
      <c r="C49" s="31" t="n">
        <v>941.4</v>
      </c>
      <c r="D49" s="31" t="n">
        <v>2275.3</v>
      </c>
      <c r="E49" s="31" t="n">
        <v>2275.3</v>
      </c>
      <c r="F49" s="31" t="n">
        <v>2288.2</v>
      </c>
      <c r="G49" s="31" t="n">
        <v>2312.8</v>
      </c>
      <c r="H49" s="31" t="n">
        <v>2336.4</v>
      </c>
      <c r="I49" s="31" t="n">
        <v>2368.1</v>
      </c>
      <c r="J49" s="31" t="n">
        <v>2398.5</v>
      </c>
      <c r="K49" s="31" t="n">
        <v>1457.1</v>
      </c>
      <c r="L49" s="31" t="n">
        <v>1333.9</v>
      </c>
      <c r="M49" s="30" t="inlineStr">
        <is>
          <t>AMR2</t>
        </is>
      </c>
      <c r="N49" s="30" t="inlineStr">
        <is>
          <t>AMR3</t>
        </is>
      </c>
      <c r="O49" s="32" t="n">
        <v>0</v>
      </c>
      <c r="P49" s="32" t="n">
        <v>0</v>
      </c>
      <c r="Q49" s="32" t="n">
        <v>13</v>
      </c>
      <c r="R49" s="31" t="n">
        <v>35</v>
      </c>
      <c r="S49" s="31" t="n">
        <v>35</v>
      </c>
      <c r="T49" s="30" t="inlineStr">
        <is>
          <t>AMR2</t>
        </is>
      </c>
      <c r="U49" s="31" t="n">
        <v>54.9</v>
      </c>
      <c r="V49" s="31" t="n">
        <v>54.9</v>
      </c>
      <c r="W49" s="30" t="inlineStr">
        <is>
          <t>AMR3</t>
        </is>
      </c>
      <c r="X49" s="32" t="n">
        <v>0</v>
      </c>
      <c r="Y49" s="32" t="n">
        <v>0</v>
      </c>
      <c r="Z49" s="31" t="n">
        <v>0</v>
      </c>
      <c r="AA49" s="32" t="n">
        <v>0</v>
      </c>
      <c r="AB49" s="32" t="n">
        <v>1</v>
      </c>
      <c r="AC49" s="32" t="n">
        <v>1</v>
      </c>
      <c r="AD49" s="32" t="n">
        <v>0</v>
      </c>
      <c r="AE49" s="31" t="n">
        <v>0</v>
      </c>
      <c r="AF49" s="32" t="n">
        <v>1</v>
      </c>
      <c r="AG49" s="31" t="n">
        <v>0.4</v>
      </c>
      <c r="AH49" s="32" t="n">
        <v>43</v>
      </c>
      <c r="AI49" s="31" t="n">
        <v>47</v>
      </c>
      <c r="AJ49" s="31" t="n">
        <v>47.2</v>
      </c>
      <c r="AK49" s="31" t="n">
        <v>5.4</v>
      </c>
      <c r="AL49" s="30" t="inlineStr">
        <is>
          <t>T-0198</t>
        </is>
      </c>
      <c r="AM49" s="30" t="inlineStr">
        <is>
          <t>D-05-01</t>
        </is>
      </c>
      <c r="AN49" s="30" t="inlineStr">
        <is>
          <t>T-0050</t>
        </is>
      </c>
      <c r="AO49" s="30" t="inlineStr">
        <is>
          <t>D-03-02</t>
        </is>
      </c>
    </row>
    <row r="50">
      <c r="A50" s="30" t="inlineStr">
        <is>
          <t>O0049</t>
        </is>
      </c>
      <c r="B50" s="30" t="inlineStr">
        <is>
          <t>C</t>
        </is>
      </c>
      <c r="C50" s="31" t="n">
        <v>960.1</v>
      </c>
      <c r="D50" s="31" t="n">
        <v>2346.8</v>
      </c>
      <c r="E50" s="31" t="n">
        <v>2346.8</v>
      </c>
      <c r="F50" s="31" t="n">
        <v>2358.4</v>
      </c>
      <c r="G50" s="31" t="n">
        <v>2381</v>
      </c>
      <c r="H50" s="31" t="n">
        <v>2393.5</v>
      </c>
      <c r="I50" s="31" t="n">
        <v>2418</v>
      </c>
      <c r="J50" s="31" t="n">
        <v>2445.5</v>
      </c>
      <c r="K50" s="31" t="n">
        <v>1485.4</v>
      </c>
      <c r="L50" s="31" t="n">
        <v>1386.7</v>
      </c>
      <c r="M50" s="30" t="inlineStr">
        <is>
          <t>AMR1</t>
        </is>
      </c>
      <c r="N50" s="30" t="inlineStr">
        <is>
          <t>AMR1</t>
        </is>
      </c>
      <c r="O50" s="32" t="n">
        <v>0</v>
      </c>
      <c r="P50" s="32" t="n">
        <v>0</v>
      </c>
      <c r="Q50" s="32" t="n">
        <v>13</v>
      </c>
      <c r="R50" s="31" t="n">
        <v>32.5</v>
      </c>
      <c r="S50" s="31" t="n">
        <v>32.5</v>
      </c>
      <c r="T50" s="30" t="inlineStr">
        <is>
          <t>AMR1</t>
        </is>
      </c>
      <c r="U50" s="31" t="n">
        <v>53.2</v>
      </c>
      <c r="V50" s="31" t="n">
        <v>53.2</v>
      </c>
      <c r="W50" s="30" t="inlineStr">
        <is>
          <t>AMR1</t>
        </is>
      </c>
      <c r="X50" s="32" t="n">
        <v>0</v>
      </c>
      <c r="Y50" s="32" t="n">
        <v>0</v>
      </c>
      <c r="Z50" s="31" t="n">
        <v>0</v>
      </c>
      <c r="AA50" s="32" t="n">
        <v>0</v>
      </c>
      <c r="AB50" s="32" t="n">
        <v>0</v>
      </c>
      <c r="AC50" s="32" t="n">
        <v>0</v>
      </c>
      <c r="AD50" s="32" t="n">
        <v>0</v>
      </c>
      <c r="AE50" s="31" t="n">
        <v>0</v>
      </c>
      <c r="AF50" s="32" t="n">
        <v>0</v>
      </c>
      <c r="AG50" s="31" t="n">
        <v>0</v>
      </c>
      <c r="AH50" s="32" t="n">
        <v>40</v>
      </c>
      <c r="AI50" s="31" t="n">
        <v>42.7</v>
      </c>
      <c r="AJ50" s="31" t="n">
        <v>43.5</v>
      </c>
      <c r="AK50" s="31" t="n">
        <v>0</v>
      </c>
      <c r="AL50" s="30" t="inlineStr">
        <is>
          <t>T-0199</t>
        </is>
      </c>
      <c r="AM50" s="30" t="inlineStr">
        <is>
          <t>C-03-01</t>
        </is>
      </c>
      <c r="AN50" s="30" t="inlineStr">
        <is>
          <t>T-0034</t>
        </is>
      </c>
      <c r="AO50" s="30" t="inlineStr">
        <is>
          <t>C-01-04</t>
        </is>
      </c>
    </row>
    <row r="51">
      <c r="A51" s="30" t="inlineStr">
        <is>
          <t>O0050</t>
        </is>
      </c>
      <c r="B51" s="30" t="inlineStr">
        <is>
          <t>I</t>
        </is>
      </c>
      <c r="C51" s="31" t="n">
        <v>984.7</v>
      </c>
      <c r="D51" s="31" t="n">
        <v>2422.2</v>
      </c>
      <c r="E51" s="31" t="n">
        <v>2422.2</v>
      </c>
      <c r="F51" s="31" t="n">
        <v>2433.5</v>
      </c>
      <c r="G51" s="31" t="n">
        <v>2455.5</v>
      </c>
      <c r="H51" s="31" t="n">
        <v>2472.9</v>
      </c>
      <c r="I51" s="31" t="n">
        <v>2506.4</v>
      </c>
      <c r="J51" s="31" t="n">
        <v>2536.9</v>
      </c>
      <c r="K51" s="31" t="n">
        <v>1552.2</v>
      </c>
      <c r="L51" s="31" t="n">
        <v>1437.5</v>
      </c>
      <c r="M51" s="30" t="inlineStr">
        <is>
          <t>AMR3</t>
        </is>
      </c>
      <c r="N51" s="30" t="inlineStr">
        <is>
          <t>AMR1</t>
        </is>
      </c>
      <c r="O51" s="32" t="n">
        <v>0</v>
      </c>
      <c r="P51" s="32" t="n">
        <v>0</v>
      </c>
      <c r="Q51" s="32" t="n">
        <v>15</v>
      </c>
      <c r="R51" s="31" t="n">
        <v>32.4</v>
      </c>
      <c r="S51" s="31" t="n">
        <v>32.4</v>
      </c>
      <c r="T51" s="30" t="inlineStr">
        <is>
          <t>AMR3</t>
        </is>
      </c>
      <c r="U51" s="31" t="n">
        <v>54.4</v>
      </c>
      <c r="V51" s="31" t="n">
        <v>54.4</v>
      </c>
      <c r="W51" s="30" t="inlineStr">
        <is>
          <t>AMR1</t>
        </is>
      </c>
      <c r="X51" s="32" t="n">
        <v>0</v>
      </c>
      <c r="Y51" s="32" t="n">
        <v>0</v>
      </c>
      <c r="Z51" s="31" t="n">
        <v>0</v>
      </c>
      <c r="AA51" s="32" t="n">
        <v>0</v>
      </c>
      <c r="AB51" s="32" t="n">
        <v>1</v>
      </c>
      <c r="AC51" s="32" t="n">
        <v>1</v>
      </c>
      <c r="AD51" s="32" t="n">
        <v>0</v>
      </c>
      <c r="AE51" s="31" t="n">
        <v>0</v>
      </c>
      <c r="AF51" s="32" t="n">
        <v>0</v>
      </c>
      <c r="AG51" s="31" t="n">
        <v>0</v>
      </c>
      <c r="AH51" s="32" t="n">
        <v>47</v>
      </c>
      <c r="AI51" s="31" t="n">
        <v>51.5</v>
      </c>
      <c r="AJ51" s="31" t="n">
        <v>41</v>
      </c>
      <c r="AK51" s="31" t="n">
        <v>4.8</v>
      </c>
      <c r="AL51" s="30" t="inlineStr">
        <is>
          <t>T-0200</t>
        </is>
      </c>
      <c r="AM51" s="30" t="inlineStr">
        <is>
          <t>I-02-02</t>
        </is>
      </c>
      <c r="AN51" s="30" t="inlineStr">
        <is>
          <t>T-0128</t>
        </is>
      </c>
      <c r="AO51" s="30" t="inlineStr">
        <is>
          <t>I-06-03</t>
        </is>
      </c>
    </row>
    <row r="52">
      <c r="A52" s="30" t="inlineStr">
        <is>
          <t>O0051</t>
        </is>
      </c>
      <c r="B52" s="30" t="inlineStr">
        <is>
          <t>H</t>
        </is>
      </c>
      <c r="C52" s="31" t="n">
        <v>1005.7</v>
      </c>
      <c r="D52" s="31" t="n">
        <v>2437.5</v>
      </c>
      <c r="E52" s="31" t="n">
        <v>2437.5</v>
      </c>
      <c r="F52" s="31" t="n">
        <v>2450.7</v>
      </c>
      <c r="G52" s="31" t="n">
        <v>2476.1</v>
      </c>
      <c r="H52" s="31" t="n">
        <v>2482.6</v>
      </c>
      <c r="I52" s="31" t="n">
        <v>2517.3</v>
      </c>
      <c r="J52" s="31" t="n">
        <v>2549.8</v>
      </c>
      <c r="K52" s="31" t="n">
        <v>1544.1</v>
      </c>
      <c r="L52" s="31" t="n">
        <v>1431.8</v>
      </c>
      <c r="M52" s="30" t="inlineStr">
        <is>
          <t>AMR2</t>
        </is>
      </c>
      <c r="N52" s="30" t="inlineStr">
        <is>
          <t>AMR3</t>
        </is>
      </c>
      <c r="O52" s="32" t="n">
        <v>0</v>
      </c>
      <c r="P52" s="32" t="n">
        <v>0</v>
      </c>
      <c r="Q52" s="32" t="n">
        <v>15</v>
      </c>
      <c r="R52" s="31" t="n">
        <v>34.8</v>
      </c>
      <c r="S52" s="31" t="n">
        <v>34.8</v>
      </c>
      <c r="T52" s="30" t="inlineStr">
        <is>
          <t>AMR2</t>
        </is>
      </c>
      <c r="U52" s="31" t="n">
        <v>51.1</v>
      </c>
      <c r="V52" s="31" t="n">
        <v>51.1</v>
      </c>
      <c r="W52" s="30" t="inlineStr">
        <is>
          <t>AMR3</t>
        </is>
      </c>
      <c r="X52" s="32" t="n">
        <v>0</v>
      </c>
      <c r="Y52" s="32" t="n">
        <v>0</v>
      </c>
      <c r="Z52" s="31" t="n">
        <v>0</v>
      </c>
      <c r="AA52" s="32" t="n">
        <v>0</v>
      </c>
      <c r="AB52" s="32" t="n">
        <v>2</v>
      </c>
      <c r="AC52" s="32" t="n">
        <v>2</v>
      </c>
      <c r="AD52" s="32" t="n">
        <v>1</v>
      </c>
      <c r="AE52" s="31" t="n">
        <v>8</v>
      </c>
      <c r="AF52" s="32" t="n">
        <v>1</v>
      </c>
      <c r="AG52" s="31" t="n">
        <v>3</v>
      </c>
      <c r="AH52" s="32" t="n">
        <v>43</v>
      </c>
      <c r="AI52" s="31" t="n">
        <v>51.2</v>
      </c>
      <c r="AJ52" s="31" t="n">
        <v>40.6</v>
      </c>
      <c r="AK52" s="31" t="n">
        <v>14</v>
      </c>
      <c r="AL52" s="30" t="inlineStr">
        <is>
          <t>T-0201</t>
        </is>
      </c>
      <c r="AM52" s="30" t="inlineStr">
        <is>
          <t>H-04-02</t>
        </is>
      </c>
      <c r="AN52" s="30" t="inlineStr">
        <is>
          <t>T-0109</t>
        </is>
      </c>
      <c r="AO52" s="30" t="inlineStr">
        <is>
          <t>H-05-05</t>
        </is>
      </c>
    </row>
    <row r="53">
      <c r="A53" s="30" t="inlineStr">
        <is>
          <t>O0052</t>
        </is>
      </c>
      <c r="B53" s="30" t="inlineStr">
        <is>
          <t>F</t>
        </is>
      </c>
      <c r="C53" s="31" t="n">
        <v>1021.8</v>
      </c>
      <c r="D53" s="31" t="n">
        <v>2496.3</v>
      </c>
      <c r="E53" s="31" t="n">
        <v>2496.3</v>
      </c>
      <c r="F53" s="31" t="n">
        <v>2509.8</v>
      </c>
      <c r="G53" s="31" t="n">
        <v>2541</v>
      </c>
      <c r="H53" s="31" t="n">
        <v>2560.6</v>
      </c>
      <c r="I53" s="31" t="n">
        <v>2598.7</v>
      </c>
      <c r="J53" s="31" t="n">
        <v>2630.5</v>
      </c>
      <c r="K53" s="31" t="n">
        <v>1608.7</v>
      </c>
      <c r="L53" s="31" t="n">
        <v>1474.5</v>
      </c>
      <c r="M53" s="30" t="inlineStr">
        <is>
          <t>AMR2</t>
        </is>
      </c>
      <c r="N53" s="30" t="inlineStr">
        <is>
          <t>AMR1</t>
        </is>
      </c>
      <c r="O53" s="32" t="n">
        <v>0</v>
      </c>
      <c r="P53" s="32" t="n">
        <v>0</v>
      </c>
      <c r="Q53" s="32" t="n">
        <v>23</v>
      </c>
      <c r="R53" s="31" t="n">
        <v>42.2</v>
      </c>
      <c r="S53" s="31" t="n">
        <v>42.2</v>
      </c>
      <c r="T53" s="30" t="inlineStr">
        <is>
          <t>AMR2</t>
        </is>
      </c>
      <c r="U53" s="31" t="n">
        <v>64</v>
      </c>
      <c r="V53" s="31" t="n">
        <v>64</v>
      </c>
      <c r="W53" s="30" t="inlineStr">
        <is>
          <t>AMR1</t>
        </is>
      </c>
      <c r="X53" s="32" t="n">
        <v>0</v>
      </c>
      <c r="Y53" s="32" t="n">
        <v>0</v>
      </c>
      <c r="Z53" s="31" t="n">
        <v>0</v>
      </c>
      <c r="AA53" s="32" t="n">
        <v>0</v>
      </c>
      <c r="AB53" s="32" t="n">
        <v>1</v>
      </c>
      <c r="AC53" s="32" t="n">
        <v>1</v>
      </c>
      <c r="AD53" s="32" t="n">
        <v>0</v>
      </c>
      <c r="AE53" s="31" t="n">
        <v>0</v>
      </c>
      <c r="AF53" s="32" t="n">
        <v>1</v>
      </c>
      <c r="AG53" s="31" t="n">
        <v>0.1</v>
      </c>
      <c r="AH53" s="32" t="n">
        <v>69</v>
      </c>
      <c r="AI53" s="31" t="n">
        <v>68.5</v>
      </c>
      <c r="AJ53" s="31" t="n">
        <v>41</v>
      </c>
      <c r="AK53" s="31" t="n">
        <v>5.1</v>
      </c>
      <c r="AL53" s="30" t="inlineStr">
        <is>
          <t>T-0202</t>
        </is>
      </c>
      <c r="AM53" s="30" t="inlineStr">
        <is>
          <t>F-02-02</t>
        </is>
      </c>
      <c r="AN53" s="30" t="inlineStr">
        <is>
          <t>T-0081</t>
        </is>
      </c>
      <c r="AO53" s="30" t="inlineStr">
        <is>
          <t>F-03-04</t>
        </is>
      </c>
    </row>
    <row r="54">
      <c r="A54" s="30" t="inlineStr">
        <is>
          <t>O0053</t>
        </is>
      </c>
      <c r="B54" s="30" t="inlineStr">
        <is>
          <t>D</t>
        </is>
      </c>
      <c r="C54" s="31" t="n">
        <v>1039.2</v>
      </c>
      <c r="D54" s="31" t="n">
        <v>2571</v>
      </c>
      <c r="E54" s="31" t="n">
        <v>2571</v>
      </c>
      <c r="F54" s="31" t="n">
        <v>2581.9</v>
      </c>
      <c r="G54" s="31" t="n">
        <v>2601.2</v>
      </c>
      <c r="H54" s="31" t="n">
        <v>2614</v>
      </c>
      <c r="I54" s="31" t="n">
        <v>2639.7</v>
      </c>
      <c r="J54" s="31" t="n">
        <v>2668.1</v>
      </c>
      <c r="K54" s="31" t="n">
        <v>1628.9</v>
      </c>
      <c r="L54" s="31" t="n">
        <v>1531.8</v>
      </c>
      <c r="M54" s="30" t="inlineStr">
        <is>
          <t>AMR2</t>
        </is>
      </c>
      <c r="N54" s="30" t="inlineStr">
        <is>
          <t>AMR2</t>
        </is>
      </c>
      <c r="O54" s="32" t="n">
        <v>0</v>
      </c>
      <c r="P54" s="32" t="n">
        <v>0</v>
      </c>
      <c r="Q54" s="32" t="n">
        <v>13</v>
      </c>
      <c r="R54" s="31" t="n">
        <v>29.3</v>
      </c>
      <c r="S54" s="31" t="n">
        <v>29.3</v>
      </c>
      <c r="T54" s="30" t="inlineStr">
        <is>
          <t>AMR2</t>
        </is>
      </c>
      <c r="U54" s="31" t="n">
        <v>49.3</v>
      </c>
      <c r="V54" s="31" t="n">
        <v>49.3</v>
      </c>
      <c r="W54" s="30" t="inlineStr">
        <is>
          <t>AMR2</t>
        </is>
      </c>
      <c r="X54" s="32" t="n">
        <v>0</v>
      </c>
      <c r="Y54" s="32" t="n">
        <v>0</v>
      </c>
      <c r="Z54" s="31" t="n">
        <v>0</v>
      </c>
      <c r="AA54" s="32" t="n">
        <v>0</v>
      </c>
      <c r="AB54" s="32" t="n">
        <v>1</v>
      </c>
      <c r="AC54" s="32" t="n">
        <v>0</v>
      </c>
      <c r="AD54" s="32" t="n">
        <v>0</v>
      </c>
      <c r="AE54" s="31" t="n">
        <v>0</v>
      </c>
      <c r="AF54" s="32" t="n">
        <v>0</v>
      </c>
      <c r="AG54" s="31" t="n">
        <v>0</v>
      </c>
      <c r="AH54" s="32" t="n">
        <v>45</v>
      </c>
      <c r="AI54" s="31" t="n">
        <v>48.4</v>
      </c>
      <c r="AJ54" s="31" t="n">
        <v>35.9</v>
      </c>
      <c r="AK54" s="31" t="n">
        <v>0</v>
      </c>
      <c r="AL54" s="30" t="inlineStr">
        <is>
          <t>T-0203</t>
        </is>
      </c>
      <c r="AM54" s="30" t="inlineStr">
        <is>
          <t>D-01-02</t>
        </is>
      </c>
      <c r="AN54" s="30" t="inlineStr">
        <is>
          <t>T-0051</t>
        </is>
      </c>
      <c r="AO54" s="30" t="inlineStr">
        <is>
          <t>D-06-04</t>
        </is>
      </c>
    </row>
    <row r="55">
      <c r="A55" s="30" t="inlineStr">
        <is>
          <t>O0054</t>
        </is>
      </c>
      <c r="B55" s="30" t="inlineStr">
        <is>
          <t>B</t>
        </is>
      </c>
      <c r="C55" s="31" t="n">
        <v>1063.6</v>
      </c>
      <c r="D55" s="31" t="n">
        <v>2581.9</v>
      </c>
      <c r="E55" s="31" t="n">
        <v>2581.9</v>
      </c>
      <c r="F55" s="31" t="n">
        <v>2596.4</v>
      </c>
      <c r="G55" s="31" t="n">
        <v>2620</v>
      </c>
      <c r="H55" s="31" t="n">
        <v>2636.2</v>
      </c>
      <c r="I55" s="31" t="n">
        <v>2661.3</v>
      </c>
      <c r="J55" s="31" t="n">
        <v>2690.5</v>
      </c>
      <c r="K55" s="31" t="n">
        <v>1626.9</v>
      </c>
      <c r="L55" s="31" t="n">
        <v>1518.3</v>
      </c>
      <c r="M55" s="30" t="inlineStr">
        <is>
          <t>AMR3</t>
        </is>
      </c>
      <c r="N55" s="30" t="inlineStr">
        <is>
          <t>AMR3</t>
        </is>
      </c>
      <c r="O55" s="32" t="n">
        <v>0</v>
      </c>
      <c r="P55" s="32" t="n">
        <v>0</v>
      </c>
      <c r="Q55" s="32" t="n">
        <v>15</v>
      </c>
      <c r="R55" s="31" t="n">
        <v>35.6</v>
      </c>
      <c r="S55" s="31" t="n">
        <v>35.6</v>
      </c>
      <c r="T55" s="30" t="inlineStr">
        <is>
          <t>AMR3</t>
        </is>
      </c>
      <c r="U55" s="31" t="n">
        <v>56</v>
      </c>
      <c r="V55" s="31" t="n">
        <v>56</v>
      </c>
      <c r="W55" s="30" t="inlineStr">
        <is>
          <t>AMR3</t>
        </is>
      </c>
      <c r="X55" s="32" t="n">
        <v>0</v>
      </c>
      <c r="Y55" s="32" t="n">
        <v>0</v>
      </c>
      <c r="Z55" s="31" t="n">
        <v>0</v>
      </c>
      <c r="AA55" s="32" t="n">
        <v>0</v>
      </c>
      <c r="AB55" s="32" t="n">
        <v>0</v>
      </c>
      <c r="AC55" s="32" t="n">
        <v>0</v>
      </c>
      <c r="AD55" s="32" t="n">
        <v>0</v>
      </c>
      <c r="AE55" s="31" t="n">
        <v>0</v>
      </c>
      <c r="AF55" s="32" t="n">
        <v>0</v>
      </c>
      <c r="AG55" s="31" t="n">
        <v>0</v>
      </c>
      <c r="AH55" s="32" t="n">
        <v>45</v>
      </c>
      <c r="AI55" s="31" t="n">
        <v>48.1</v>
      </c>
      <c r="AJ55" s="31" t="n">
        <v>44.3</v>
      </c>
      <c r="AK55" s="31" t="n">
        <v>0</v>
      </c>
      <c r="AL55" s="30" t="inlineStr">
        <is>
          <t>T-0204</t>
        </is>
      </c>
      <c r="AM55" s="30" t="inlineStr">
        <is>
          <t>B-01-03</t>
        </is>
      </c>
      <c r="AN55" s="30" t="inlineStr">
        <is>
          <t>T-0024</t>
        </is>
      </c>
      <c r="AO55" s="30" t="inlineStr">
        <is>
          <t>B-06-04</t>
        </is>
      </c>
    </row>
    <row r="56">
      <c r="A56" s="30" t="inlineStr">
        <is>
          <t>O0055</t>
        </is>
      </c>
      <c r="B56" s="30" t="inlineStr">
        <is>
          <t>B</t>
        </is>
      </c>
      <c r="C56" s="31" t="n">
        <v>1083.5</v>
      </c>
      <c r="D56" s="31" t="n">
        <v>2657.4</v>
      </c>
      <c r="E56" s="31" t="n">
        <v>2657.4</v>
      </c>
      <c r="F56" s="31" t="n">
        <v>2673.7</v>
      </c>
      <c r="G56" s="31" t="n">
        <v>2698.2</v>
      </c>
      <c r="H56" s="31" t="n">
        <v>2714.2</v>
      </c>
      <c r="I56" s="31" t="n">
        <v>2746</v>
      </c>
      <c r="J56" s="31" t="n">
        <v>2775.1</v>
      </c>
      <c r="K56" s="31" t="n">
        <v>1691.6</v>
      </c>
      <c r="L56" s="31" t="n">
        <v>1573.9</v>
      </c>
      <c r="M56" s="30" t="inlineStr">
        <is>
          <t>AMR1</t>
        </is>
      </c>
      <c r="N56" s="30" t="inlineStr">
        <is>
          <t>AMR3</t>
        </is>
      </c>
      <c r="O56" s="32" t="n">
        <v>0</v>
      </c>
      <c r="P56" s="32" t="n">
        <v>0</v>
      </c>
      <c r="Q56" s="32" t="n">
        <v>15</v>
      </c>
      <c r="R56" s="31" t="n">
        <v>38.3</v>
      </c>
      <c r="S56" s="31" t="n">
        <v>38.3</v>
      </c>
      <c r="T56" s="30" t="inlineStr">
        <is>
          <t>AMR1</t>
        </is>
      </c>
      <c r="U56" s="31" t="n">
        <v>56</v>
      </c>
      <c r="V56" s="31" t="n">
        <v>56</v>
      </c>
      <c r="W56" s="30" t="inlineStr">
        <is>
          <t>AMR3</t>
        </is>
      </c>
      <c r="X56" s="32" t="n">
        <v>0</v>
      </c>
      <c r="Y56" s="32" t="n">
        <v>0</v>
      </c>
      <c r="Z56" s="31" t="n">
        <v>0</v>
      </c>
      <c r="AA56" s="32" t="n">
        <v>0</v>
      </c>
      <c r="AB56" s="32" t="n">
        <v>0</v>
      </c>
      <c r="AC56" s="32" t="n">
        <v>1</v>
      </c>
      <c r="AD56" s="32" t="n">
        <v>0</v>
      </c>
      <c r="AE56" s="31" t="n">
        <v>0</v>
      </c>
      <c r="AF56" s="32" t="n">
        <v>0</v>
      </c>
      <c r="AG56" s="31" t="n">
        <v>0</v>
      </c>
      <c r="AH56" s="32" t="n">
        <v>47</v>
      </c>
      <c r="AI56" s="31" t="n">
        <v>51.7</v>
      </c>
      <c r="AJ56" s="31" t="n">
        <v>47</v>
      </c>
      <c r="AK56" s="31" t="n">
        <v>3</v>
      </c>
      <c r="AL56" s="30" t="inlineStr">
        <is>
          <t>T-0205</t>
        </is>
      </c>
      <c r="AM56" s="30" t="inlineStr">
        <is>
          <t>B-02-03</t>
        </is>
      </c>
      <c r="AN56" s="30" t="inlineStr">
        <is>
          <t>T-0025</t>
        </is>
      </c>
      <c r="AO56" s="30" t="inlineStr">
        <is>
          <t>B-05-02</t>
        </is>
      </c>
    </row>
    <row r="57">
      <c r="A57" s="30" t="inlineStr">
        <is>
          <t>O0056</t>
        </is>
      </c>
      <c r="B57" s="30" t="inlineStr">
        <is>
          <t>C</t>
        </is>
      </c>
      <c r="C57" s="31" t="n">
        <v>1106.2</v>
      </c>
      <c r="D57" s="31" t="n">
        <v>2691.8</v>
      </c>
      <c r="E57" s="31" t="n">
        <v>2691.8</v>
      </c>
      <c r="F57" s="31" t="n">
        <v>2702.3</v>
      </c>
      <c r="G57" s="31" t="n">
        <v>2725</v>
      </c>
      <c r="H57" s="31" t="n">
        <v>2736.5</v>
      </c>
      <c r="I57" s="31" t="n">
        <v>2756.8</v>
      </c>
      <c r="J57" s="31" t="n">
        <v>2790.3</v>
      </c>
      <c r="K57" s="31" t="n">
        <v>1684.1</v>
      </c>
      <c r="L57" s="31" t="n">
        <v>1585.6</v>
      </c>
      <c r="M57" s="30" t="inlineStr">
        <is>
          <t>AMR2</t>
        </is>
      </c>
      <c r="N57" s="30" t="inlineStr">
        <is>
          <t>AMR2</t>
        </is>
      </c>
      <c r="O57" s="32" t="n">
        <v>0</v>
      </c>
      <c r="P57" s="32" t="n">
        <v>0</v>
      </c>
      <c r="Q57" s="32" t="n">
        <v>13</v>
      </c>
      <c r="R57" s="31" t="n">
        <v>33.1</v>
      </c>
      <c r="S57" s="31" t="n">
        <v>33.1</v>
      </c>
      <c r="T57" s="30" t="inlineStr">
        <is>
          <t>AMR2</t>
        </is>
      </c>
      <c r="U57" s="31" t="n">
        <v>49.5</v>
      </c>
      <c r="V57" s="31" t="n">
        <v>49.5</v>
      </c>
      <c r="W57" s="30" t="inlineStr">
        <is>
          <t>AMR2</t>
        </is>
      </c>
      <c r="X57" s="32" t="n">
        <v>0</v>
      </c>
      <c r="Y57" s="32" t="n">
        <v>0</v>
      </c>
      <c r="Z57" s="31" t="n">
        <v>0</v>
      </c>
      <c r="AA57" s="32" t="n">
        <v>0</v>
      </c>
      <c r="AB57" s="32" t="n">
        <v>0</v>
      </c>
      <c r="AC57" s="32" t="n">
        <v>0</v>
      </c>
      <c r="AD57" s="32" t="n">
        <v>1</v>
      </c>
      <c r="AE57" s="31" t="n">
        <v>6</v>
      </c>
      <c r="AF57" s="32" t="n">
        <v>1</v>
      </c>
      <c r="AG57" s="31" t="n">
        <v>1</v>
      </c>
      <c r="AH57" s="32" t="n">
        <v>36</v>
      </c>
      <c r="AI57" s="31" t="n">
        <v>40.6</v>
      </c>
      <c r="AJ57" s="31" t="n">
        <v>40.4</v>
      </c>
      <c r="AK57" s="31" t="n">
        <v>6</v>
      </c>
      <c r="AL57" s="30" t="inlineStr">
        <is>
          <t>T-0206</t>
        </is>
      </c>
      <c r="AM57" s="30" t="inlineStr">
        <is>
          <t>C-06-01</t>
        </is>
      </c>
      <c r="AN57" s="30" t="inlineStr">
        <is>
          <t>T-0035</t>
        </is>
      </c>
      <c r="AO57" s="30" t="inlineStr">
        <is>
          <t>C-06-05</t>
        </is>
      </c>
    </row>
    <row r="58">
      <c r="A58" s="30" t="inlineStr">
        <is>
          <t>O0057</t>
        </is>
      </c>
      <c r="B58" s="30" t="inlineStr">
        <is>
          <t>I</t>
        </is>
      </c>
      <c r="C58" s="31" t="n">
        <v>1125.9</v>
      </c>
      <c r="D58" s="31" t="n">
        <v>2720.7</v>
      </c>
      <c r="E58" s="31" t="n">
        <v>2720.7</v>
      </c>
      <c r="F58" s="31" t="n">
        <v>2732.6</v>
      </c>
      <c r="G58" s="31" t="n">
        <v>2760.9</v>
      </c>
      <c r="H58" s="31" t="n">
        <v>2777</v>
      </c>
      <c r="I58" s="31" t="n">
        <v>2806.8</v>
      </c>
      <c r="J58" s="31" t="n">
        <v>2834.8</v>
      </c>
      <c r="K58" s="31" t="n">
        <v>1708.9</v>
      </c>
      <c r="L58" s="31" t="n">
        <v>1594.8</v>
      </c>
      <c r="M58" s="30" t="inlineStr">
        <is>
          <t>AMR1</t>
        </is>
      </c>
      <c r="N58" s="30" t="inlineStr">
        <is>
          <t>AMR1</t>
        </is>
      </c>
      <c r="O58" s="32" t="n">
        <v>0</v>
      </c>
      <c r="P58" s="32" t="n">
        <v>0</v>
      </c>
      <c r="Q58" s="32" t="n">
        <v>15</v>
      </c>
      <c r="R58" s="31" t="n">
        <v>38.5</v>
      </c>
      <c r="S58" s="31" t="n">
        <v>38.5</v>
      </c>
      <c r="T58" s="30" t="inlineStr">
        <is>
          <t>AMR1</t>
        </is>
      </c>
      <c r="U58" s="31" t="n">
        <v>50.2</v>
      </c>
      <c r="V58" s="31" t="n">
        <v>50.2</v>
      </c>
      <c r="W58" s="30" t="inlineStr">
        <is>
          <t>AMR1</t>
        </is>
      </c>
      <c r="X58" s="32" t="n">
        <v>0</v>
      </c>
      <c r="Y58" s="32" t="n">
        <v>0</v>
      </c>
      <c r="Z58" s="31" t="n">
        <v>0</v>
      </c>
      <c r="AA58" s="32" t="n">
        <v>0</v>
      </c>
      <c r="AB58" s="32" t="n">
        <v>1</v>
      </c>
      <c r="AC58" s="32" t="n">
        <v>1</v>
      </c>
      <c r="AD58" s="32" t="n">
        <v>0</v>
      </c>
      <c r="AE58" s="31" t="n">
        <v>0</v>
      </c>
      <c r="AF58" s="32" t="n">
        <v>0</v>
      </c>
      <c r="AG58" s="31" t="n">
        <v>0</v>
      </c>
      <c r="AH58" s="32" t="n">
        <v>48</v>
      </c>
      <c r="AI58" s="31" t="n">
        <v>52.1</v>
      </c>
      <c r="AJ58" s="31" t="n">
        <v>42.9</v>
      </c>
      <c r="AK58" s="31" t="n">
        <v>3</v>
      </c>
      <c r="AL58" s="30" t="inlineStr">
        <is>
          <t>T-0207</t>
        </is>
      </c>
      <c r="AM58" s="30" t="inlineStr">
        <is>
          <t>I-03-02</t>
        </is>
      </c>
      <c r="AN58" s="30" t="inlineStr">
        <is>
          <t>T-0129</t>
        </is>
      </c>
      <c r="AO58" s="30" t="inlineStr">
        <is>
          <t>I-06-05</t>
        </is>
      </c>
    </row>
    <row r="59">
      <c r="A59" s="30" t="inlineStr">
        <is>
          <t>O0058</t>
        </is>
      </c>
      <c r="B59" s="30" t="inlineStr">
        <is>
          <t>J</t>
        </is>
      </c>
      <c r="C59" s="31" t="n">
        <v>1143.6</v>
      </c>
      <c r="D59" s="31" t="n">
        <v>2804.2</v>
      </c>
      <c r="E59" s="31" t="n">
        <v>2804.2</v>
      </c>
      <c r="F59" s="31" t="n">
        <v>2818.5</v>
      </c>
      <c r="G59" s="31" t="n">
        <v>2847.7</v>
      </c>
      <c r="H59" s="31" t="n">
        <v>2858.5</v>
      </c>
      <c r="I59" s="31" t="n">
        <v>2888.8</v>
      </c>
      <c r="J59" s="31" t="n">
        <v>2926.1</v>
      </c>
      <c r="K59" s="31" t="n">
        <v>1782.5</v>
      </c>
      <c r="L59" s="31" t="n">
        <v>1660.6</v>
      </c>
      <c r="M59" s="30" t="inlineStr">
        <is>
          <t>AMR3</t>
        </is>
      </c>
      <c r="N59" s="30" t="inlineStr">
        <is>
          <t>AMR1</t>
        </is>
      </c>
      <c r="O59" s="32" t="n">
        <v>0</v>
      </c>
      <c r="P59" s="32" t="n">
        <v>0</v>
      </c>
      <c r="Q59" s="32" t="n">
        <v>21</v>
      </c>
      <c r="R59" s="31" t="n">
        <v>41.8</v>
      </c>
      <c r="S59" s="31" t="n">
        <v>41.8</v>
      </c>
      <c r="T59" s="30" t="inlineStr">
        <is>
          <t>AMR3</t>
        </is>
      </c>
      <c r="U59" s="31" t="n">
        <v>59.8</v>
      </c>
      <c r="V59" s="31" t="n">
        <v>59.8</v>
      </c>
      <c r="W59" s="30" t="inlineStr">
        <is>
          <t>AMR1</t>
        </is>
      </c>
      <c r="X59" s="32" t="n">
        <v>0</v>
      </c>
      <c r="Y59" s="32" t="n">
        <v>0</v>
      </c>
      <c r="Z59" s="31" t="n">
        <v>0</v>
      </c>
      <c r="AA59" s="32" t="n">
        <v>0</v>
      </c>
      <c r="AB59" s="32" t="n">
        <v>0</v>
      </c>
      <c r="AC59" s="32" t="n">
        <v>0</v>
      </c>
      <c r="AD59" s="32" t="n">
        <v>0</v>
      </c>
      <c r="AE59" s="31" t="n">
        <v>0</v>
      </c>
      <c r="AF59" s="32" t="n">
        <v>0</v>
      </c>
      <c r="AG59" s="31" t="n">
        <v>0</v>
      </c>
      <c r="AH59" s="32" t="n">
        <v>66</v>
      </c>
      <c r="AI59" s="31" t="n">
        <v>67.09999999999999</v>
      </c>
      <c r="AJ59" s="31" t="n">
        <v>41</v>
      </c>
      <c r="AK59" s="31" t="n">
        <v>3</v>
      </c>
      <c r="AL59" s="30" t="inlineStr">
        <is>
          <t>T-0208</t>
        </is>
      </c>
      <c r="AM59" s="30" t="inlineStr">
        <is>
          <t>J-03-01</t>
        </is>
      </c>
      <c r="AN59" s="30" t="inlineStr">
        <is>
          <t>T-0140</t>
        </is>
      </c>
      <c r="AO59" s="30" t="inlineStr">
        <is>
          <t>J-05-02</t>
        </is>
      </c>
    </row>
    <row r="60">
      <c r="A60" s="30" t="inlineStr">
        <is>
          <t>O0059</t>
        </is>
      </c>
      <c r="B60" s="30" t="inlineStr">
        <is>
          <t>I</t>
        </is>
      </c>
      <c r="C60" s="31" t="n">
        <v>1168.2</v>
      </c>
      <c r="D60" s="31" t="n">
        <v>2818.6</v>
      </c>
      <c r="E60" s="31" t="n">
        <v>2818.6</v>
      </c>
      <c r="F60" s="31" t="n">
        <v>2830.3</v>
      </c>
      <c r="G60" s="31" t="n">
        <v>2854.4</v>
      </c>
      <c r="H60" s="31" t="n">
        <v>2871.2</v>
      </c>
      <c r="I60" s="31" t="n">
        <v>2902.7</v>
      </c>
      <c r="J60" s="31" t="n">
        <v>2940.9</v>
      </c>
      <c r="K60" s="31" t="n">
        <v>1772.7</v>
      </c>
      <c r="L60" s="31" t="n">
        <v>1650.4</v>
      </c>
      <c r="M60" s="30" t="inlineStr">
        <is>
          <t>AMR2</t>
        </is>
      </c>
      <c r="N60" s="30" t="inlineStr">
        <is>
          <t>AMR2</t>
        </is>
      </c>
      <c r="O60" s="32" t="n">
        <v>0</v>
      </c>
      <c r="P60" s="32" t="n">
        <v>0</v>
      </c>
      <c r="Q60" s="32" t="n">
        <v>15</v>
      </c>
      <c r="R60" s="31" t="n">
        <v>33.3</v>
      </c>
      <c r="S60" s="31" t="n">
        <v>33.3</v>
      </c>
      <c r="T60" s="30" t="inlineStr">
        <is>
          <t>AMR2</t>
        </is>
      </c>
      <c r="U60" s="31" t="n">
        <v>51.7</v>
      </c>
      <c r="V60" s="31" t="n">
        <v>51.7</v>
      </c>
      <c r="W60" s="30" t="inlineStr">
        <is>
          <t>AMR2</t>
        </is>
      </c>
      <c r="X60" s="32" t="n">
        <v>0</v>
      </c>
      <c r="Y60" s="32" t="n">
        <v>0</v>
      </c>
      <c r="Z60" s="31" t="n">
        <v>0</v>
      </c>
      <c r="AA60" s="32" t="n">
        <v>0</v>
      </c>
      <c r="AB60" s="32" t="n">
        <v>1</v>
      </c>
      <c r="AC60" s="32" t="n">
        <v>1</v>
      </c>
      <c r="AD60" s="32" t="n">
        <v>1</v>
      </c>
      <c r="AE60" s="31" t="n">
        <v>9.699999999999999</v>
      </c>
      <c r="AF60" s="32" t="n">
        <v>1</v>
      </c>
      <c r="AG60" s="31" t="n">
        <v>4.7</v>
      </c>
      <c r="AH60" s="32" t="n">
        <v>47</v>
      </c>
      <c r="AI60" s="31" t="n">
        <v>51.6</v>
      </c>
      <c r="AJ60" s="31" t="n">
        <v>39.2</v>
      </c>
      <c r="AK60" s="31" t="n">
        <v>14.7</v>
      </c>
      <c r="AL60" s="30" t="inlineStr">
        <is>
          <t>T-0209</t>
        </is>
      </c>
      <c r="AM60" s="30" t="inlineStr">
        <is>
          <t>I-05-02</t>
        </is>
      </c>
      <c r="AN60" s="30" t="inlineStr">
        <is>
          <t>T-0130</t>
        </is>
      </c>
      <c r="AO60" s="30" t="inlineStr">
        <is>
          <t>I-04-05</t>
        </is>
      </c>
    </row>
    <row r="61">
      <c r="A61" s="30" t="inlineStr">
        <is>
          <t>O0060</t>
        </is>
      </c>
      <c r="B61" s="30" t="inlineStr">
        <is>
          <t>E</t>
        </is>
      </c>
      <c r="C61" s="31" t="n">
        <v>1190.1</v>
      </c>
      <c r="D61" s="31" t="n">
        <v>2881.1</v>
      </c>
      <c r="E61" s="31" t="n">
        <v>2881.1</v>
      </c>
      <c r="F61" s="31" t="n">
        <v>2893.6</v>
      </c>
      <c r="G61" s="31" t="n">
        <v>2923.4</v>
      </c>
      <c r="H61" s="31" t="n">
        <v>2941.6</v>
      </c>
      <c r="I61" s="31" t="n">
        <v>2973.1</v>
      </c>
      <c r="J61" s="31" t="n">
        <v>3008.8</v>
      </c>
      <c r="K61" s="31" t="n">
        <v>1818.7</v>
      </c>
      <c r="L61" s="31" t="n">
        <v>1691</v>
      </c>
      <c r="M61" s="30" t="inlineStr">
        <is>
          <t>AMR3</t>
        </is>
      </c>
      <c r="N61" s="30" t="inlineStr">
        <is>
          <t>AMR3</t>
        </is>
      </c>
      <c r="O61" s="32" t="n">
        <v>0</v>
      </c>
      <c r="P61" s="32" t="n">
        <v>0</v>
      </c>
      <c r="Q61" s="32" t="n">
        <v>19</v>
      </c>
      <c r="R61" s="31" t="n">
        <v>41.4</v>
      </c>
      <c r="S61" s="31" t="n">
        <v>41.4</v>
      </c>
      <c r="T61" s="30" t="inlineStr">
        <is>
          <t>AMR3</t>
        </is>
      </c>
      <c r="U61" s="31" t="n">
        <v>63.9</v>
      </c>
      <c r="V61" s="31" t="n">
        <v>63.9</v>
      </c>
      <c r="W61" s="30" t="inlineStr">
        <is>
          <t>AMR3</t>
        </is>
      </c>
      <c r="X61" s="32" t="n">
        <v>0</v>
      </c>
      <c r="Y61" s="32" t="n">
        <v>0</v>
      </c>
      <c r="Z61" s="31" t="n">
        <v>0</v>
      </c>
      <c r="AA61" s="32" t="n">
        <v>0</v>
      </c>
      <c r="AB61" s="32" t="n">
        <v>0</v>
      </c>
      <c r="AC61" s="32" t="n">
        <v>0</v>
      </c>
      <c r="AD61" s="32" t="n">
        <v>0</v>
      </c>
      <c r="AE61" s="31" t="n">
        <v>0</v>
      </c>
      <c r="AF61" s="32" t="n">
        <v>0</v>
      </c>
      <c r="AG61" s="31" t="n">
        <v>0</v>
      </c>
      <c r="AH61" s="32" t="n">
        <v>61</v>
      </c>
      <c r="AI61" s="31" t="n">
        <v>61.7</v>
      </c>
      <c r="AJ61" s="31" t="n">
        <v>47.8</v>
      </c>
      <c r="AK61" s="31" t="n">
        <v>0</v>
      </c>
      <c r="AL61" s="30" t="inlineStr">
        <is>
          <t>T-0210</t>
        </is>
      </c>
      <c r="AM61" s="30" t="inlineStr">
        <is>
          <t>E-02-02</t>
        </is>
      </c>
      <c r="AN61" s="30" t="inlineStr">
        <is>
          <t>T-0066</t>
        </is>
      </c>
      <c r="AO61" s="30" t="inlineStr">
        <is>
          <t>E-04-03</t>
        </is>
      </c>
    </row>
    <row r="62">
      <c r="A62" s="30" t="inlineStr">
        <is>
          <t>O0061</t>
        </is>
      </c>
      <c r="B62" s="30" t="inlineStr">
        <is>
          <t>F</t>
        </is>
      </c>
      <c r="C62" s="31" t="n">
        <v>1215</v>
      </c>
      <c r="D62" s="31" t="n">
        <v>2949.8</v>
      </c>
      <c r="E62" s="31" t="n">
        <v>2949.8</v>
      </c>
      <c r="F62" s="31" t="n">
        <v>2964.2</v>
      </c>
      <c r="G62" s="31" t="n">
        <v>2997.5</v>
      </c>
      <c r="H62" s="31" t="n">
        <v>3020.4</v>
      </c>
      <c r="I62" s="31" t="n">
        <v>3050</v>
      </c>
      <c r="J62" s="31" t="n">
        <v>3091.6</v>
      </c>
      <c r="K62" s="31" t="n">
        <v>1876.6</v>
      </c>
      <c r="L62" s="31" t="n">
        <v>1734.8</v>
      </c>
      <c r="M62" s="30" t="inlineStr">
        <is>
          <t>AMR1</t>
        </is>
      </c>
      <c r="N62" s="30" t="inlineStr">
        <is>
          <t>AMR1</t>
        </is>
      </c>
      <c r="O62" s="32" t="n">
        <v>0</v>
      </c>
      <c r="P62" s="32" t="n">
        <v>0</v>
      </c>
      <c r="Q62" s="32" t="n">
        <v>23</v>
      </c>
      <c r="R62" s="31" t="n">
        <v>46</v>
      </c>
      <c r="S62" s="31" t="n">
        <v>46</v>
      </c>
      <c r="T62" s="30" t="inlineStr">
        <is>
          <t>AMR1</t>
        </is>
      </c>
      <c r="U62" s="31" t="n">
        <v>64.7</v>
      </c>
      <c r="V62" s="31" t="n">
        <v>64.7</v>
      </c>
      <c r="W62" s="30" t="inlineStr">
        <is>
          <t>AMR1</t>
        </is>
      </c>
      <c r="X62" s="32" t="n">
        <v>0</v>
      </c>
      <c r="Y62" s="32" t="n">
        <v>0</v>
      </c>
      <c r="Z62" s="31" t="n">
        <v>0</v>
      </c>
      <c r="AA62" s="32" t="n">
        <v>0</v>
      </c>
      <c r="AB62" s="32" t="n">
        <v>0</v>
      </c>
      <c r="AC62" s="32" t="n">
        <v>0</v>
      </c>
      <c r="AD62" s="32" t="n">
        <v>1</v>
      </c>
      <c r="AE62" s="31" t="n">
        <v>8.199999999999999</v>
      </c>
      <c r="AF62" s="32" t="n">
        <v>1</v>
      </c>
      <c r="AG62" s="31" t="n">
        <v>3.2</v>
      </c>
      <c r="AH62" s="32" t="n">
        <v>64</v>
      </c>
      <c r="AI62" s="31" t="n">
        <v>65.2</v>
      </c>
      <c r="AJ62" s="31" t="n">
        <v>45.5</v>
      </c>
      <c r="AK62" s="31" t="n">
        <v>8.199999999999999</v>
      </c>
      <c r="AL62" s="30" t="inlineStr">
        <is>
          <t>T-0211</t>
        </is>
      </c>
      <c r="AM62" s="30" t="inlineStr">
        <is>
          <t>F-03-02</t>
        </is>
      </c>
      <c r="AN62" s="30" t="inlineStr">
        <is>
          <t>T-0082</t>
        </is>
      </c>
      <c r="AO62" s="30" t="inlineStr">
        <is>
          <t>F-06-03</t>
        </is>
      </c>
    </row>
    <row r="63">
      <c r="A63" s="30" t="inlineStr">
        <is>
          <t>O0062</t>
        </is>
      </c>
      <c r="B63" s="30" t="inlineStr">
        <is>
          <t>H</t>
        </is>
      </c>
      <c r="C63" s="31" t="n">
        <v>1239</v>
      </c>
      <c r="D63" s="31" t="n">
        <v>2964.6</v>
      </c>
      <c r="E63" s="31" t="n">
        <v>2964.6</v>
      </c>
      <c r="F63" s="31" t="n">
        <v>2976.7</v>
      </c>
      <c r="G63" s="31" t="n">
        <v>3005.9</v>
      </c>
      <c r="H63" s="31" t="n">
        <v>3023.8</v>
      </c>
      <c r="I63" s="31" t="n">
        <v>3050.3</v>
      </c>
      <c r="J63" s="31" t="n">
        <v>3076.3</v>
      </c>
      <c r="K63" s="31" t="n">
        <v>1837.3</v>
      </c>
      <c r="L63" s="31" t="n">
        <v>1725.6</v>
      </c>
      <c r="M63" s="30" t="inlineStr">
        <is>
          <t>AMR2</t>
        </is>
      </c>
      <c r="N63" s="30" t="inlineStr">
        <is>
          <t>AMR2</t>
        </is>
      </c>
      <c r="O63" s="32" t="n">
        <v>0</v>
      </c>
      <c r="P63" s="32" t="n">
        <v>0</v>
      </c>
      <c r="Q63" s="32" t="n">
        <v>15</v>
      </c>
      <c r="R63" s="31" t="n">
        <v>37.8</v>
      </c>
      <c r="S63" s="31" t="n">
        <v>37.8</v>
      </c>
      <c r="T63" s="30" t="inlineStr">
        <is>
          <t>AMR2</t>
        </is>
      </c>
      <c r="U63" s="31" t="n">
        <v>52.6</v>
      </c>
      <c r="V63" s="31" t="n">
        <v>52.6</v>
      </c>
      <c r="W63" s="30" t="inlineStr">
        <is>
          <t>AMR2</t>
        </is>
      </c>
      <c r="X63" s="32" t="n">
        <v>0</v>
      </c>
      <c r="Y63" s="32" t="n">
        <v>0</v>
      </c>
      <c r="Z63" s="31" t="n">
        <v>0</v>
      </c>
      <c r="AA63" s="32" t="n">
        <v>0</v>
      </c>
      <c r="AB63" s="32" t="n">
        <v>0</v>
      </c>
      <c r="AC63" s="32" t="n">
        <v>0</v>
      </c>
      <c r="AD63" s="32" t="n">
        <v>1</v>
      </c>
      <c r="AE63" s="31" t="n">
        <v>2.6</v>
      </c>
      <c r="AF63" s="32" t="n">
        <v>0</v>
      </c>
      <c r="AG63" s="31" t="n">
        <v>0</v>
      </c>
      <c r="AH63" s="32" t="n">
        <v>43</v>
      </c>
      <c r="AI63" s="31" t="n">
        <v>46.1</v>
      </c>
      <c r="AJ63" s="31" t="n">
        <v>45.1</v>
      </c>
      <c r="AK63" s="31" t="n">
        <v>2.6</v>
      </c>
      <c r="AL63" s="30" t="inlineStr">
        <is>
          <t>T-0212</t>
        </is>
      </c>
      <c r="AM63" s="30" t="inlineStr">
        <is>
          <t>H-05-02</t>
        </is>
      </c>
      <c r="AN63" s="30" t="inlineStr">
        <is>
          <t>T-0110</t>
        </is>
      </c>
      <c r="AO63" s="30" t="inlineStr">
        <is>
          <t>H-03-01</t>
        </is>
      </c>
    </row>
    <row r="64">
      <c r="A64" s="30" t="inlineStr">
        <is>
          <t>O0063</t>
        </is>
      </c>
      <c r="B64" s="30" t="inlineStr">
        <is>
          <t>B</t>
        </is>
      </c>
      <c r="C64" s="31" t="n">
        <v>1256.5</v>
      </c>
      <c r="D64" s="31" t="n">
        <v>3032.5</v>
      </c>
      <c r="E64" s="31" t="n">
        <v>3032.5</v>
      </c>
      <c r="F64" s="31" t="n">
        <v>3045.8</v>
      </c>
      <c r="G64" s="31" t="n">
        <v>3068.1</v>
      </c>
      <c r="H64" s="31" t="n">
        <v>3082.9</v>
      </c>
      <c r="I64" s="31" t="n">
        <v>3109.1</v>
      </c>
      <c r="J64" s="31" t="n">
        <v>3139.8</v>
      </c>
      <c r="K64" s="31" t="n">
        <v>1883.3</v>
      </c>
      <c r="L64" s="31" t="n">
        <v>1776</v>
      </c>
      <c r="M64" s="30" t="inlineStr">
        <is>
          <t>AMR3</t>
        </is>
      </c>
      <c r="N64" s="30" t="inlineStr">
        <is>
          <t>AMR3</t>
        </is>
      </c>
      <c r="O64" s="32" t="n">
        <v>0</v>
      </c>
      <c r="P64" s="32" t="n">
        <v>0</v>
      </c>
      <c r="Q64" s="32" t="n">
        <v>15</v>
      </c>
      <c r="R64" s="31" t="n">
        <v>34.7</v>
      </c>
      <c r="S64" s="31" t="n">
        <v>34.7</v>
      </c>
      <c r="T64" s="30" t="inlineStr">
        <is>
          <t>AMR3</t>
        </is>
      </c>
      <c r="U64" s="31" t="n">
        <v>58.6</v>
      </c>
      <c r="V64" s="31" t="n">
        <v>58.6</v>
      </c>
      <c r="W64" s="30" t="inlineStr">
        <is>
          <t>AMR3</t>
        </is>
      </c>
      <c r="X64" s="32" t="n">
        <v>0</v>
      </c>
      <c r="Y64" s="32" t="n">
        <v>0</v>
      </c>
      <c r="Z64" s="31" t="n">
        <v>0</v>
      </c>
      <c r="AA64" s="32" t="n">
        <v>0</v>
      </c>
      <c r="AB64" s="32" t="n">
        <v>0</v>
      </c>
      <c r="AC64" s="32" t="n">
        <v>0</v>
      </c>
      <c r="AD64" s="32" t="n">
        <v>0</v>
      </c>
      <c r="AE64" s="31" t="n">
        <v>0</v>
      </c>
      <c r="AF64" s="32" t="n">
        <v>0</v>
      </c>
      <c r="AG64" s="31" t="n">
        <v>0</v>
      </c>
      <c r="AH64" s="32" t="n">
        <v>43</v>
      </c>
      <c r="AI64" s="31" t="n">
        <v>46.5</v>
      </c>
      <c r="AJ64" s="31" t="n">
        <v>46</v>
      </c>
      <c r="AK64" s="31" t="n">
        <v>0</v>
      </c>
      <c r="AL64" s="30" t="inlineStr">
        <is>
          <t>T-0213</t>
        </is>
      </c>
      <c r="AM64" s="30" t="inlineStr">
        <is>
          <t>B-05-02</t>
        </is>
      </c>
      <c r="AN64" s="30" t="inlineStr">
        <is>
          <t>T-0026</t>
        </is>
      </c>
      <c r="AO64" s="30" t="inlineStr">
        <is>
          <t>B-06-02</t>
        </is>
      </c>
    </row>
    <row r="65">
      <c r="A65" s="30" t="inlineStr">
        <is>
          <t>O0064</t>
        </is>
      </c>
      <c r="B65" s="30" t="inlineStr">
        <is>
          <t>I</t>
        </is>
      </c>
      <c r="C65" s="31" t="n">
        <v>1271.7</v>
      </c>
      <c r="D65" s="31" t="n">
        <v>3100</v>
      </c>
      <c r="E65" s="31" t="n">
        <v>3100</v>
      </c>
      <c r="F65" s="31" t="n">
        <v>3116</v>
      </c>
      <c r="G65" s="31" t="n">
        <v>3140.3</v>
      </c>
      <c r="H65" s="31" t="n">
        <v>3157.8</v>
      </c>
      <c r="I65" s="31" t="n">
        <v>3189.9</v>
      </c>
      <c r="J65" s="31" t="n">
        <v>3216</v>
      </c>
      <c r="K65" s="31" t="n">
        <v>1944.3</v>
      </c>
      <c r="L65" s="31" t="n">
        <v>1828.3</v>
      </c>
      <c r="M65" s="30" t="inlineStr">
        <is>
          <t>AMR2</t>
        </is>
      </c>
      <c r="N65" s="30" t="inlineStr">
        <is>
          <t>AMR2</t>
        </is>
      </c>
      <c r="O65" s="32" t="n">
        <v>0</v>
      </c>
      <c r="P65" s="32" t="n">
        <v>0</v>
      </c>
      <c r="Q65" s="32" t="n">
        <v>15</v>
      </c>
      <c r="R65" s="31" t="n">
        <v>37</v>
      </c>
      <c r="S65" s="31" t="n">
        <v>37</v>
      </c>
      <c r="T65" s="30" t="inlineStr">
        <is>
          <t>AMR2</t>
        </is>
      </c>
      <c r="U65" s="31" t="n">
        <v>51.9</v>
      </c>
      <c r="V65" s="31" t="n">
        <v>51.9</v>
      </c>
      <c r="W65" s="30" t="inlineStr">
        <is>
          <t>AMR2</t>
        </is>
      </c>
      <c r="X65" s="32" t="n">
        <v>0</v>
      </c>
      <c r="Y65" s="32" t="n">
        <v>0</v>
      </c>
      <c r="Z65" s="31" t="n">
        <v>0</v>
      </c>
      <c r="AA65" s="32" t="n">
        <v>0</v>
      </c>
      <c r="AB65" s="32" t="n">
        <v>0</v>
      </c>
      <c r="AC65" s="32" t="n">
        <v>1</v>
      </c>
      <c r="AD65" s="32" t="n">
        <v>0</v>
      </c>
      <c r="AE65" s="31" t="n">
        <v>0</v>
      </c>
      <c r="AF65" s="32" t="n">
        <v>0</v>
      </c>
      <c r="AG65" s="31" t="n">
        <v>0</v>
      </c>
      <c r="AH65" s="32" t="n">
        <v>48</v>
      </c>
      <c r="AI65" s="31" t="n">
        <v>52.4</v>
      </c>
      <c r="AJ65" s="31" t="n">
        <v>43.1</v>
      </c>
      <c r="AK65" s="31" t="n">
        <v>3</v>
      </c>
      <c r="AL65" s="30" t="inlineStr">
        <is>
          <t>T-0214</t>
        </is>
      </c>
      <c r="AM65" s="30" t="inlineStr">
        <is>
          <t>I-06-02</t>
        </is>
      </c>
      <c r="AN65" s="30" t="inlineStr">
        <is>
          <t>T-0131</t>
        </is>
      </c>
      <c r="AO65" s="30" t="inlineStr">
        <is>
          <t>I-04-02</t>
        </is>
      </c>
    </row>
    <row r="66">
      <c r="A66" s="30" t="inlineStr">
        <is>
          <t>O0065</t>
        </is>
      </c>
      <c r="B66" s="30" t="inlineStr">
        <is>
          <t>A</t>
        </is>
      </c>
      <c r="C66" s="31" t="n">
        <v>1292.6</v>
      </c>
      <c r="D66" s="31" t="n">
        <v>3115.3</v>
      </c>
      <c r="E66" s="31" t="n">
        <v>3115.3</v>
      </c>
      <c r="F66" s="31" t="n">
        <v>3129.4</v>
      </c>
      <c r="G66" s="31" t="n">
        <v>3156.9</v>
      </c>
      <c r="H66" s="31" t="n">
        <v>3169</v>
      </c>
      <c r="I66" s="31" t="n">
        <v>3196.5</v>
      </c>
      <c r="J66" s="31" t="n">
        <v>3231.3</v>
      </c>
      <c r="K66" s="31" t="n">
        <v>1938.7</v>
      </c>
      <c r="L66" s="31" t="n">
        <v>1822.7</v>
      </c>
      <c r="M66" s="30" t="inlineStr">
        <is>
          <t>AMR1</t>
        </is>
      </c>
      <c r="N66" s="30" t="inlineStr">
        <is>
          <t>AMR3</t>
        </is>
      </c>
      <c r="O66" s="32" t="n">
        <v>0</v>
      </c>
      <c r="P66" s="32" t="n">
        <v>0</v>
      </c>
      <c r="Q66" s="32" t="n">
        <v>21</v>
      </c>
      <c r="R66" s="31" t="n">
        <v>40.7</v>
      </c>
      <c r="S66" s="31" t="n">
        <v>40.7</v>
      </c>
      <c r="T66" s="30" t="inlineStr">
        <is>
          <t>AMR1</t>
        </is>
      </c>
      <c r="U66" s="31" t="n">
        <v>65</v>
      </c>
      <c r="V66" s="31" t="n">
        <v>65</v>
      </c>
      <c r="W66" s="30" t="inlineStr">
        <is>
          <t>AMR3</t>
        </is>
      </c>
      <c r="X66" s="32" t="n">
        <v>0</v>
      </c>
      <c r="Y66" s="32" t="n">
        <v>0</v>
      </c>
      <c r="Z66" s="31" t="n">
        <v>0</v>
      </c>
      <c r="AA66" s="32" t="n">
        <v>0</v>
      </c>
      <c r="AB66" s="32" t="n">
        <v>0</v>
      </c>
      <c r="AC66" s="32" t="n">
        <v>0</v>
      </c>
      <c r="AD66" s="32" t="n">
        <v>0</v>
      </c>
      <c r="AE66" s="31" t="n">
        <v>0</v>
      </c>
      <c r="AF66" s="32" t="n">
        <v>0</v>
      </c>
      <c r="AG66" s="31" t="n">
        <v>0</v>
      </c>
      <c r="AH66" s="32" t="n">
        <v>61</v>
      </c>
      <c r="AI66" s="31" t="n">
        <v>60.3</v>
      </c>
      <c r="AJ66" s="31" t="n">
        <v>43.6</v>
      </c>
      <c r="AK66" s="31" t="n">
        <v>0</v>
      </c>
      <c r="AL66" s="30" t="inlineStr">
        <is>
          <t>T-0215</t>
        </is>
      </c>
      <c r="AM66" s="30" t="inlineStr">
        <is>
          <t>A-04-01</t>
        </is>
      </c>
      <c r="AN66" s="30" t="inlineStr">
        <is>
          <t>T-0006</t>
        </is>
      </c>
      <c r="AO66" s="30" t="inlineStr">
        <is>
          <t>A-06-01</t>
        </is>
      </c>
    </row>
    <row r="67">
      <c r="A67" s="30" t="inlineStr">
        <is>
          <t>O0066</t>
        </is>
      </c>
      <c r="B67" s="30" t="inlineStr">
        <is>
          <t>A</t>
        </is>
      </c>
      <c r="C67" s="31" t="n">
        <v>1314.7</v>
      </c>
      <c r="D67" s="31" t="n">
        <v>3177.1</v>
      </c>
      <c r="E67" s="31" t="n">
        <v>3177.1</v>
      </c>
      <c r="F67" s="31" t="n">
        <v>3189.1</v>
      </c>
      <c r="G67" s="31" t="n">
        <v>3218.5</v>
      </c>
      <c r="H67" s="31" t="n">
        <v>3238.7</v>
      </c>
      <c r="I67" s="31" t="n">
        <v>3269.5</v>
      </c>
      <c r="J67" s="31" t="n">
        <v>3309.7</v>
      </c>
      <c r="K67" s="31" t="n">
        <v>1995</v>
      </c>
      <c r="L67" s="31" t="n">
        <v>1862.4</v>
      </c>
      <c r="M67" s="30" t="inlineStr">
        <is>
          <t>AMR1</t>
        </is>
      </c>
      <c r="N67" s="30" t="inlineStr">
        <is>
          <t>AMR1</t>
        </is>
      </c>
      <c r="O67" s="32" t="n">
        <v>0</v>
      </c>
      <c r="P67" s="32" t="n">
        <v>0</v>
      </c>
      <c r="Q67" s="32" t="n">
        <v>21</v>
      </c>
      <c r="R67" s="31" t="n">
        <v>40.5</v>
      </c>
      <c r="S67" s="31" t="n">
        <v>40.5</v>
      </c>
      <c r="T67" s="30" t="inlineStr">
        <is>
          <t>AMR1</t>
        </is>
      </c>
      <c r="U67" s="31" t="n">
        <v>63.9</v>
      </c>
      <c r="V67" s="31" t="n">
        <v>63.9</v>
      </c>
      <c r="W67" s="30" t="inlineStr">
        <is>
          <t>AMR1</t>
        </is>
      </c>
      <c r="X67" s="32" t="n">
        <v>0</v>
      </c>
      <c r="Y67" s="32" t="n">
        <v>0</v>
      </c>
      <c r="Z67" s="31" t="n">
        <v>0</v>
      </c>
      <c r="AA67" s="32" t="n">
        <v>0</v>
      </c>
      <c r="AB67" s="32" t="n">
        <v>1</v>
      </c>
      <c r="AC67" s="32" t="n">
        <v>1</v>
      </c>
      <c r="AD67" s="32" t="n">
        <v>0</v>
      </c>
      <c r="AE67" s="31" t="n">
        <v>0</v>
      </c>
      <c r="AF67" s="32" t="n">
        <v>0</v>
      </c>
      <c r="AG67" s="31" t="n">
        <v>0</v>
      </c>
      <c r="AH67" s="32" t="n">
        <v>67</v>
      </c>
      <c r="AI67" s="31" t="n">
        <v>67.09999999999999</v>
      </c>
      <c r="AJ67" s="31" t="n">
        <v>42.3</v>
      </c>
      <c r="AK67" s="31" t="n">
        <v>3</v>
      </c>
      <c r="AL67" s="30" t="inlineStr">
        <is>
          <t>T-0216</t>
        </is>
      </c>
      <c r="AM67" s="30" t="inlineStr">
        <is>
          <t>A-05-02</t>
        </is>
      </c>
      <c r="AN67" s="30" t="inlineStr">
        <is>
          <t>T-0007</t>
        </is>
      </c>
      <c r="AO67" s="30" t="inlineStr">
        <is>
          <t>A-01-03</t>
        </is>
      </c>
    </row>
    <row r="68">
      <c r="A68" s="30" t="inlineStr">
        <is>
          <t>O0067</t>
        </is>
      </c>
      <c r="B68" s="30" t="inlineStr">
        <is>
          <t>A</t>
        </is>
      </c>
      <c r="C68" s="31" t="n">
        <v>1330.4</v>
      </c>
      <c r="D68" s="31" t="n">
        <v>3242.1</v>
      </c>
      <c r="E68" s="31" t="n">
        <v>3242.1</v>
      </c>
      <c r="F68" s="31" t="n">
        <v>3258.4</v>
      </c>
      <c r="G68" s="31" t="n">
        <v>3293.3</v>
      </c>
      <c r="H68" s="31" t="n">
        <v>3310.1</v>
      </c>
      <c r="I68" s="31" t="n">
        <v>3342.5</v>
      </c>
      <c r="J68" s="31" t="n">
        <v>3392.7</v>
      </c>
      <c r="K68" s="31" t="n">
        <v>2062.3</v>
      </c>
      <c r="L68" s="31" t="n">
        <v>1911.7</v>
      </c>
      <c r="M68" s="30" t="inlineStr">
        <is>
          <t>AMR2</t>
        </is>
      </c>
      <c r="N68" s="30" t="inlineStr">
        <is>
          <t>AMR3</t>
        </is>
      </c>
      <c r="O68" s="32" t="n">
        <v>0</v>
      </c>
      <c r="P68" s="32" t="n">
        <v>0</v>
      </c>
      <c r="Q68" s="32" t="n">
        <v>21</v>
      </c>
      <c r="R68" s="31" t="n">
        <v>46.2</v>
      </c>
      <c r="S68" s="31" t="n">
        <v>46.2</v>
      </c>
      <c r="T68" s="30" t="inlineStr">
        <is>
          <t>AMR2</t>
        </is>
      </c>
      <c r="U68" s="31" t="n">
        <v>63.5</v>
      </c>
      <c r="V68" s="31" t="n">
        <v>63.5</v>
      </c>
      <c r="W68" s="30" t="inlineStr">
        <is>
          <t>AMR3</t>
        </is>
      </c>
      <c r="X68" s="32" t="n">
        <v>0</v>
      </c>
      <c r="Y68" s="32" t="n">
        <v>0</v>
      </c>
      <c r="Z68" s="31" t="n">
        <v>0</v>
      </c>
      <c r="AA68" s="32" t="n">
        <v>0</v>
      </c>
      <c r="AB68" s="32" t="n">
        <v>1</v>
      </c>
      <c r="AC68" s="32" t="n">
        <v>2</v>
      </c>
      <c r="AD68" s="32" t="n">
        <v>1</v>
      </c>
      <c r="AE68" s="31" t="n">
        <v>11.3</v>
      </c>
      <c r="AF68" s="32" t="n">
        <v>2</v>
      </c>
      <c r="AG68" s="31" t="n">
        <v>6.8</v>
      </c>
      <c r="AH68" s="32" t="n">
        <v>66</v>
      </c>
      <c r="AI68" s="31" t="n">
        <v>64.5</v>
      </c>
      <c r="AJ68" s="31" t="n">
        <v>47.6</v>
      </c>
      <c r="AK68" s="31" t="n">
        <v>21.7</v>
      </c>
      <c r="AL68" s="30" t="inlineStr">
        <is>
          <t>T-0217</t>
        </is>
      </c>
      <c r="AM68" s="30" t="inlineStr">
        <is>
          <t>A-06-01</t>
        </is>
      </c>
      <c r="AN68" s="30" t="inlineStr">
        <is>
          <t>T-0008</t>
        </is>
      </c>
      <c r="AO68" s="30" t="inlineStr">
        <is>
          <t>A-02-02</t>
        </is>
      </c>
    </row>
    <row r="69">
      <c r="A69" s="30" t="inlineStr">
        <is>
          <t>O0068</t>
        </is>
      </c>
      <c r="B69" s="30" t="inlineStr">
        <is>
          <t>D</t>
        </is>
      </c>
      <c r="C69" s="31" t="n">
        <v>1346.1</v>
      </c>
      <c r="D69" s="31" t="n">
        <v>3258.4</v>
      </c>
      <c r="E69" s="31" t="n">
        <v>3258.4</v>
      </c>
      <c r="F69" s="31" t="n">
        <v>3271.5</v>
      </c>
      <c r="G69" s="31" t="n">
        <v>3296</v>
      </c>
      <c r="H69" s="31" t="n">
        <v>3319.6</v>
      </c>
      <c r="I69" s="31" t="n">
        <v>3348</v>
      </c>
      <c r="J69" s="31" t="n">
        <v>3377</v>
      </c>
      <c r="K69" s="31" t="n">
        <v>2030.9</v>
      </c>
      <c r="L69" s="31" t="n">
        <v>1912.3</v>
      </c>
      <c r="M69" s="30" t="inlineStr">
        <is>
          <t>AMR3</t>
        </is>
      </c>
      <c r="N69" s="30" t="inlineStr">
        <is>
          <t>AMR2</t>
        </is>
      </c>
      <c r="O69" s="32" t="n">
        <v>0</v>
      </c>
      <c r="P69" s="32" t="n">
        <v>0</v>
      </c>
      <c r="Q69" s="32" t="n">
        <v>13</v>
      </c>
      <c r="R69" s="31" t="n">
        <v>35.9</v>
      </c>
      <c r="S69" s="31" t="n">
        <v>35.9</v>
      </c>
      <c r="T69" s="30" t="inlineStr">
        <is>
          <t>AMR3</t>
        </is>
      </c>
      <c r="U69" s="31" t="n">
        <v>51.2</v>
      </c>
      <c r="V69" s="31" t="n">
        <v>51.2</v>
      </c>
      <c r="W69" s="30" t="inlineStr">
        <is>
          <t>AMR2</t>
        </is>
      </c>
      <c r="X69" s="32" t="n">
        <v>0</v>
      </c>
      <c r="Y69" s="32" t="n">
        <v>0</v>
      </c>
      <c r="Z69" s="31" t="n">
        <v>0</v>
      </c>
      <c r="AA69" s="32" t="n">
        <v>0</v>
      </c>
      <c r="AB69" s="32" t="n">
        <v>1</v>
      </c>
      <c r="AC69" s="32" t="n">
        <v>1</v>
      </c>
      <c r="AD69" s="32" t="n">
        <v>0</v>
      </c>
      <c r="AE69" s="31" t="n">
        <v>0</v>
      </c>
      <c r="AF69" s="32" t="n">
        <v>0</v>
      </c>
      <c r="AG69" s="31" t="n">
        <v>0</v>
      </c>
      <c r="AH69" s="32" t="n">
        <v>42</v>
      </c>
      <c r="AI69" s="31" t="n">
        <v>47.6</v>
      </c>
      <c r="AJ69" s="31" t="n">
        <v>44.4</v>
      </c>
      <c r="AK69" s="31" t="n">
        <v>3</v>
      </c>
      <c r="AL69" s="30" t="inlineStr">
        <is>
          <t>T-0218</t>
        </is>
      </c>
      <c r="AM69" s="30" t="inlineStr">
        <is>
          <t>D-03-02</t>
        </is>
      </c>
      <c r="AN69" s="30" t="inlineStr">
        <is>
          <t>T-0052</t>
        </is>
      </c>
      <c r="AO69" s="30" t="inlineStr">
        <is>
          <t>D-02-02</t>
        </is>
      </c>
    </row>
    <row r="70">
      <c r="A70" s="30" t="inlineStr">
        <is>
          <t>O0069</t>
        </is>
      </c>
      <c r="B70" s="30" t="inlineStr">
        <is>
          <t>D</t>
        </is>
      </c>
      <c r="C70" s="31" t="n">
        <v>1367.8</v>
      </c>
      <c r="D70" s="31" t="n">
        <v>3338.7</v>
      </c>
      <c r="E70" s="31" t="n">
        <v>3338.7</v>
      </c>
      <c r="F70" s="31" t="n">
        <v>3350.7</v>
      </c>
      <c r="G70" s="31" t="n">
        <v>3370.9</v>
      </c>
      <c r="H70" s="31" t="n">
        <v>3383.7</v>
      </c>
      <c r="I70" s="31" t="n">
        <v>3411.9</v>
      </c>
      <c r="J70" s="31" t="n">
        <v>3440</v>
      </c>
      <c r="K70" s="31" t="n">
        <v>2072.2</v>
      </c>
      <c r="L70" s="31" t="n">
        <v>1970.9</v>
      </c>
      <c r="M70" s="30" t="inlineStr">
        <is>
          <t>AMR1</t>
        </is>
      </c>
      <c r="N70" s="30" t="inlineStr">
        <is>
          <t>AMR1</t>
        </is>
      </c>
      <c r="O70" s="32" t="n">
        <v>0</v>
      </c>
      <c r="P70" s="32" t="n">
        <v>0</v>
      </c>
      <c r="Q70" s="32" t="n">
        <v>13</v>
      </c>
      <c r="R70" s="31" t="n">
        <v>31.3</v>
      </c>
      <c r="S70" s="31" t="n">
        <v>31.3</v>
      </c>
      <c r="T70" s="30" t="inlineStr">
        <is>
          <t>AMR1</t>
        </is>
      </c>
      <c r="U70" s="31" t="n">
        <v>51.4</v>
      </c>
      <c r="V70" s="31" t="n">
        <v>51.4</v>
      </c>
      <c r="W70" s="30" t="inlineStr">
        <is>
          <t>AMR1</t>
        </is>
      </c>
      <c r="X70" s="32" t="n">
        <v>0</v>
      </c>
      <c r="Y70" s="32" t="n">
        <v>0</v>
      </c>
      <c r="Z70" s="31" t="n">
        <v>0</v>
      </c>
      <c r="AA70" s="32" t="n">
        <v>0</v>
      </c>
      <c r="AB70" s="32" t="n">
        <v>1</v>
      </c>
      <c r="AC70" s="32" t="n">
        <v>1</v>
      </c>
      <c r="AD70" s="32" t="n">
        <v>0</v>
      </c>
      <c r="AE70" s="31" t="n">
        <v>0</v>
      </c>
      <c r="AF70" s="32" t="n">
        <v>1</v>
      </c>
      <c r="AG70" s="31" t="n">
        <v>0.1</v>
      </c>
      <c r="AH70" s="32" t="n">
        <v>39</v>
      </c>
      <c r="AI70" s="31" t="n">
        <v>43.4</v>
      </c>
      <c r="AJ70" s="31" t="n">
        <v>40</v>
      </c>
      <c r="AK70" s="31" t="n">
        <v>5.1</v>
      </c>
      <c r="AL70" s="30" t="inlineStr">
        <is>
          <t>T-0219</t>
        </is>
      </c>
      <c r="AM70" s="30" t="inlineStr">
        <is>
          <t>D-02-02</t>
        </is>
      </c>
      <c r="AN70" s="30" t="inlineStr">
        <is>
          <t>T-0053</t>
        </is>
      </c>
      <c r="AO70" s="30" t="inlineStr">
        <is>
          <t>D-02-01</t>
        </is>
      </c>
    </row>
    <row r="71">
      <c r="A71" s="30" t="inlineStr">
        <is>
          <t>O0070</t>
        </is>
      </c>
      <c r="B71" s="30" t="inlineStr">
        <is>
          <t>J</t>
        </is>
      </c>
      <c r="C71" s="31" t="n">
        <v>1384.1</v>
      </c>
      <c r="D71" s="31" t="n">
        <v>3405.7</v>
      </c>
      <c r="E71" s="31" t="n">
        <v>3405.7</v>
      </c>
      <c r="F71" s="31" t="n">
        <v>3418.4</v>
      </c>
      <c r="G71" s="31" t="n">
        <v>3448.3</v>
      </c>
      <c r="H71" s="31" t="n">
        <v>3463.7</v>
      </c>
      <c r="I71" s="31" t="n">
        <v>3502.1</v>
      </c>
      <c r="J71" s="31" t="n">
        <v>3536.4</v>
      </c>
      <c r="K71" s="31" t="n">
        <v>2152.3</v>
      </c>
      <c r="L71" s="31" t="n">
        <v>2021.6</v>
      </c>
      <c r="M71" s="30" t="inlineStr">
        <is>
          <t>AMR2</t>
        </is>
      </c>
      <c r="N71" s="30" t="inlineStr">
        <is>
          <t>AMR1</t>
        </is>
      </c>
      <c r="O71" s="32" t="n">
        <v>0</v>
      </c>
      <c r="P71" s="32" t="n">
        <v>0</v>
      </c>
      <c r="Q71" s="32" t="n">
        <v>21</v>
      </c>
      <c r="R71" s="31" t="n">
        <v>41.7</v>
      </c>
      <c r="S71" s="31" t="n">
        <v>41.7</v>
      </c>
      <c r="T71" s="30" t="inlineStr">
        <is>
          <t>AMR2</t>
        </is>
      </c>
      <c r="U71" s="31" t="n">
        <v>61.3</v>
      </c>
      <c r="V71" s="31" t="n">
        <v>61.3</v>
      </c>
      <c r="W71" s="30" t="inlineStr">
        <is>
          <t>AMR1</t>
        </is>
      </c>
      <c r="X71" s="32" t="n">
        <v>0</v>
      </c>
      <c r="Y71" s="32" t="n">
        <v>0</v>
      </c>
      <c r="Z71" s="31" t="n">
        <v>0</v>
      </c>
      <c r="AA71" s="32" t="n">
        <v>0</v>
      </c>
      <c r="AB71" s="32" t="n">
        <v>1</v>
      </c>
      <c r="AC71" s="32" t="n">
        <v>1</v>
      </c>
      <c r="AD71" s="32" t="n">
        <v>1</v>
      </c>
      <c r="AE71" s="31" t="n">
        <v>3.4</v>
      </c>
      <c r="AF71" s="32" t="n">
        <v>0</v>
      </c>
      <c r="AG71" s="31" t="n">
        <v>0</v>
      </c>
      <c r="AH71" s="32" t="n">
        <v>61</v>
      </c>
      <c r="AI71" s="31" t="n">
        <v>66.5</v>
      </c>
      <c r="AJ71" s="31" t="n">
        <v>42.4</v>
      </c>
      <c r="AK71" s="31" t="n">
        <v>6.4</v>
      </c>
      <c r="AL71" s="30" t="inlineStr">
        <is>
          <t>T-0220</t>
        </is>
      </c>
      <c r="AM71" s="30" t="inlineStr">
        <is>
          <t>J-01-02</t>
        </is>
      </c>
      <c r="AN71" s="30" t="inlineStr">
        <is>
          <t>T-0141</t>
        </is>
      </c>
      <c r="AO71" s="30" t="inlineStr">
        <is>
          <t>J-03-02</t>
        </is>
      </c>
    </row>
    <row r="72">
      <c r="A72" s="30" t="inlineStr">
        <is>
          <t>O0071</t>
        </is>
      </c>
      <c r="B72" s="30" t="inlineStr">
        <is>
          <t>H</t>
        </is>
      </c>
      <c r="C72" s="31" t="n">
        <v>1403.8</v>
      </c>
      <c r="D72" s="31" t="n">
        <v>3418.4</v>
      </c>
      <c r="E72" s="31" t="n">
        <v>3418.4</v>
      </c>
      <c r="F72" s="31" t="n">
        <v>3434.7</v>
      </c>
      <c r="G72" s="31" t="n">
        <v>3459.5</v>
      </c>
      <c r="H72" s="31" t="n">
        <v>3473.5</v>
      </c>
      <c r="I72" s="31" t="n">
        <v>3499</v>
      </c>
      <c r="J72" s="31" t="n">
        <v>3524.1</v>
      </c>
      <c r="K72" s="31" t="n">
        <v>2120.3</v>
      </c>
      <c r="L72" s="31" t="n">
        <v>2014.6</v>
      </c>
      <c r="M72" s="30" t="inlineStr">
        <is>
          <t>AMR3</t>
        </is>
      </c>
      <c r="N72" s="30" t="inlineStr">
        <is>
          <t>AMR2</t>
        </is>
      </c>
      <c r="O72" s="32" t="n">
        <v>0</v>
      </c>
      <c r="P72" s="32" t="n">
        <v>0</v>
      </c>
      <c r="Q72" s="32" t="n">
        <v>15</v>
      </c>
      <c r="R72" s="31" t="n">
        <v>39.4</v>
      </c>
      <c r="S72" s="31" t="n">
        <v>39.4</v>
      </c>
      <c r="T72" s="30" t="inlineStr">
        <is>
          <t>AMR3</t>
        </is>
      </c>
      <c r="U72" s="31" t="n">
        <v>50.7</v>
      </c>
      <c r="V72" s="31" t="n">
        <v>50.7</v>
      </c>
      <c r="W72" s="30" t="inlineStr">
        <is>
          <t>AMR2</t>
        </is>
      </c>
      <c r="X72" s="32" t="n">
        <v>0</v>
      </c>
      <c r="Y72" s="32" t="n">
        <v>0</v>
      </c>
      <c r="Z72" s="31" t="n">
        <v>0</v>
      </c>
      <c r="AA72" s="32" t="n">
        <v>0</v>
      </c>
      <c r="AB72" s="32" t="n">
        <v>0</v>
      </c>
      <c r="AC72" s="32" t="n">
        <v>0</v>
      </c>
      <c r="AD72" s="32" t="n">
        <v>0</v>
      </c>
      <c r="AE72" s="31" t="n">
        <v>0</v>
      </c>
      <c r="AF72" s="32" t="n">
        <v>0</v>
      </c>
      <c r="AG72" s="31" t="n">
        <v>0</v>
      </c>
      <c r="AH72" s="32" t="n">
        <v>44</v>
      </c>
      <c r="AI72" s="31" t="n">
        <v>46.9</v>
      </c>
      <c r="AJ72" s="31" t="n">
        <v>44.8</v>
      </c>
      <c r="AK72" s="31" t="n">
        <v>0</v>
      </c>
      <c r="AL72" s="30" t="inlineStr">
        <is>
          <t>T-0221</t>
        </is>
      </c>
      <c r="AM72" s="30" t="inlineStr">
        <is>
          <t>H-03-01</t>
        </is>
      </c>
      <c r="AN72" s="30" t="inlineStr">
        <is>
          <t>T-0111</t>
        </is>
      </c>
      <c r="AO72" s="30" t="inlineStr">
        <is>
          <t>H-03-02</t>
        </is>
      </c>
    </row>
    <row r="73">
      <c r="A73" s="30" t="inlineStr">
        <is>
          <t>O0072</t>
        </is>
      </c>
      <c r="B73" s="30" t="inlineStr">
        <is>
          <t>B</t>
        </is>
      </c>
      <c r="C73" s="31" t="n">
        <v>1420.7</v>
      </c>
      <c r="D73" s="31" t="n">
        <v>3476.8</v>
      </c>
      <c r="E73" s="31" t="n">
        <v>3476.8</v>
      </c>
      <c r="F73" s="31" t="n">
        <v>3490.7</v>
      </c>
      <c r="G73" s="31" t="n">
        <v>3515.2</v>
      </c>
      <c r="H73" s="31" t="n">
        <v>3528.7</v>
      </c>
      <c r="I73" s="31" t="n">
        <v>3552.2</v>
      </c>
      <c r="J73" s="31" t="n">
        <v>3583.1</v>
      </c>
      <c r="K73" s="31" t="n">
        <v>2162.4</v>
      </c>
      <c r="L73" s="31" t="n">
        <v>2056.1</v>
      </c>
      <c r="M73" s="30" t="inlineStr">
        <is>
          <t>AMR3</t>
        </is>
      </c>
      <c r="N73" s="30" t="inlineStr">
        <is>
          <t>AMR3</t>
        </is>
      </c>
      <c r="O73" s="32" t="n">
        <v>0</v>
      </c>
      <c r="P73" s="32" t="n">
        <v>0</v>
      </c>
      <c r="Q73" s="32" t="n">
        <v>15</v>
      </c>
      <c r="R73" s="31" t="n">
        <v>38.3</v>
      </c>
      <c r="S73" s="31" t="n">
        <v>38.3</v>
      </c>
      <c r="T73" s="30" t="inlineStr">
        <is>
          <t>AMR3</t>
        </is>
      </c>
      <c r="U73" s="31" t="n">
        <v>52.6</v>
      </c>
      <c r="V73" s="31" t="n">
        <v>52.6</v>
      </c>
      <c r="W73" s="30" t="inlineStr">
        <is>
          <t>AMR3</t>
        </is>
      </c>
      <c r="X73" s="32" t="n">
        <v>0</v>
      </c>
      <c r="Y73" s="32" t="n">
        <v>0</v>
      </c>
      <c r="Z73" s="31" t="n">
        <v>0</v>
      </c>
      <c r="AA73" s="32" t="n">
        <v>0</v>
      </c>
      <c r="AB73" s="32" t="n">
        <v>0</v>
      </c>
      <c r="AC73" s="32" t="n">
        <v>0</v>
      </c>
      <c r="AD73" s="32" t="n">
        <v>0</v>
      </c>
      <c r="AE73" s="31" t="n">
        <v>0</v>
      </c>
      <c r="AF73" s="32" t="n">
        <v>0</v>
      </c>
      <c r="AG73" s="31" t="n">
        <v>0</v>
      </c>
      <c r="AH73" s="32" t="n">
        <v>46</v>
      </c>
      <c r="AI73" s="31" t="n">
        <v>49.2</v>
      </c>
      <c r="AJ73" s="31" t="n">
        <v>43.6</v>
      </c>
      <c r="AK73" s="31" t="n">
        <v>0</v>
      </c>
      <c r="AL73" s="30" t="inlineStr">
        <is>
          <t>T-0222</t>
        </is>
      </c>
      <c r="AM73" s="30" t="inlineStr">
        <is>
          <t>B-06-02</t>
        </is>
      </c>
      <c r="AN73" s="30" t="inlineStr">
        <is>
          <t>T-0027</t>
        </is>
      </c>
      <c r="AO73" s="30" t="inlineStr">
        <is>
          <t>B-03-01</t>
        </is>
      </c>
    </row>
    <row r="74">
      <c r="A74" s="30" t="inlineStr">
        <is>
          <t>O0073</t>
        </is>
      </c>
      <c r="B74" s="30" t="inlineStr">
        <is>
          <t>G</t>
        </is>
      </c>
      <c r="C74" s="31" t="n">
        <v>1440</v>
      </c>
      <c r="D74" s="31" t="n">
        <v>3547.8</v>
      </c>
      <c r="E74" s="31" t="n">
        <v>3547.8</v>
      </c>
      <c r="F74" s="31" t="n">
        <v>3560.6</v>
      </c>
      <c r="G74" s="31" t="n">
        <v>3588.6</v>
      </c>
      <c r="H74" s="31" t="n">
        <v>3606.1</v>
      </c>
      <c r="I74" s="31" t="n">
        <v>3634.7</v>
      </c>
      <c r="J74" s="31" t="n">
        <v>3665.6</v>
      </c>
      <c r="K74" s="31" t="n">
        <v>2225.6</v>
      </c>
      <c r="L74" s="31" t="n">
        <v>2107.8</v>
      </c>
      <c r="M74" s="30" t="inlineStr">
        <is>
          <t>AMR2</t>
        </is>
      </c>
      <c r="N74" s="30" t="inlineStr">
        <is>
          <t>AMR2</t>
        </is>
      </c>
      <c r="O74" s="32" t="n">
        <v>0</v>
      </c>
      <c r="P74" s="32" t="n">
        <v>0</v>
      </c>
      <c r="Q74" s="32" t="n">
        <v>17</v>
      </c>
      <c r="R74" s="31" t="n">
        <v>39.1</v>
      </c>
      <c r="S74" s="31" t="n">
        <v>39.1</v>
      </c>
      <c r="T74" s="30" t="inlineStr">
        <is>
          <t>AMR2</t>
        </is>
      </c>
      <c r="U74" s="31" t="n">
        <v>56.2</v>
      </c>
      <c r="V74" s="31" t="n">
        <v>56.2</v>
      </c>
      <c r="W74" s="30" t="inlineStr">
        <is>
          <t>AMR2</t>
        </is>
      </c>
      <c r="X74" s="32" t="n">
        <v>0</v>
      </c>
      <c r="Y74" s="32" t="n">
        <v>0</v>
      </c>
      <c r="Z74" s="31" t="n">
        <v>0</v>
      </c>
      <c r="AA74" s="32" t="n">
        <v>0</v>
      </c>
      <c r="AB74" s="32" t="n">
        <v>1</v>
      </c>
      <c r="AC74" s="32" t="n">
        <v>0</v>
      </c>
      <c r="AD74" s="32" t="n">
        <v>0</v>
      </c>
      <c r="AE74" s="31" t="n">
        <v>0</v>
      </c>
      <c r="AF74" s="32" t="n">
        <v>0</v>
      </c>
      <c r="AG74" s="31" t="n">
        <v>0</v>
      </c>
      <c r="AH74" s="32" t="n">
        <v>52</v>
      </c>
      <c r="AI74" s="31" t="n">
        <v>55.4</v>
      </c>
      <c r="AJ74" s="31" t="n">
        <v>44.9</v>
      </c>
      <c r="AK74" s="31" t="n">
        <v>0</v>
      </c>
      <c r="AL74" s="30" t="inlineStr">
        <is>
          <t>T-0223</t>
        </is>
      </c>
      <c r="AM74" s="30" t="inlineStr">
        <is>
          <t>G-03-02</t>
        </is>
      </c>
      <c r="AN74" s="30" t="inlineStr">
        <is>
          <t>T-0094</t>
        </is>
      </c>
      <c r="AO74" s="30" t="inlineStr">
        <is>
          <t>G-02-02</t>
        </is>
      </c>
    </row>
    <row r="75">
      <c r="A75" s="30" t="inlineStr">
        <is>
          <t>O0074</t>
        </is>
      </c>
      <c r="B75" s="30" t="inlineStr">
        <is>
          <t>A</t>
        </is>
      </c>
      <c r="C75" s="31" t="n">
        <v>1459.7</v>
      </c>
      <c r="D75" s="31" t="n">
        <v>3560.1</v>
      </c>
      <c r="E75" s="31" t="n">
        <v>3560.1</v>
      </c>
      <c r="F75" s="31" t="n">
        <v>3575.3</v>
      </c>
      <c r="G75" s="31" t="n">
        <v>3608.2</v>
      </c>
      <c r="H75" s="31" t="n">
        <v>3609.5</v>
      </c>
      <c r="I75" s="31" t="n">
        <v>3640.4</v>
      </c>
      <c r="J75" s="31" t="n">
        <v>3679.1</v>
      </c>
      <c r="K75" s="31" t="n">
        <v>2219.4</v>
      </c>
      <c r="L75" s="31" t="n">
        <v>2100.4</v>
      </c>
      <c r="M75" s="30" t="inlineStr">
        <is>
          <t>AMR1</t>
        </is>
      </c>
      <c r="N75" s="30" t="inlineStr">
        <is>
          <t>AMR3</t>
        </is>
      </c>
      <c r="O75" s="32" t="n">
        <v>0</v>
      </c>
      <c r="P75" s="32" t="n">
        <v>0</v>
      </c>
      <c r="Q75" s="32" t="n">
        <v>21</v>
      </c>
      <c r="R75" s="31" t="n">
        <v>45.6</v>
      </c>
      <c r="S75" s="31" t="n">
        <v>45.6</v>
      </c>
      <c r="T75" s="30" t="inlineStr">
        <is>
          <t>AMR1</t>
        </is>
      </c>
      <c r="U75" s="31" t="n">
        <v>66.7</v>
      </c>
      <c r="V75" s="31" t="n">
        <v>66.7</v>
      </c>
      <c r="W75" s="30" t="inlineStr">
        <is>
          <t>AMR3</t>
        </is>
      </c>
      <c r="X75" s="32" t="n">
        <v>0</v>
      </c>
      <c r="Y75" s="32" t="n">
        <v>0</v>
      </c>
      <c r="Z75" s="31" t="n">
        <v>0</v>
      </c>
      <c r="AA75" s="32" t="n">
        <v>0</v>
      </c>
      <c r="AB75" s="32" t="n">
        <v>0</v>
      </c>
      <c r="AC75" s="32" t="n">
        <v>0</v>
      </c>
      <c r="AD75" s="32" t="n">
        <v>1</v>
      </c>
      <c r="AE75" s="31" t="n">
        <v>3.6</v>
      </c>
      <c r="AF75" s="32" t="n">
        <v>0</v>
      </c>
      <c r="AG75" s="31" t="n">
        <v>0</v>
      </c>
      <c r="AH75" s="32" t="n">
        <v>65</v>
      </c>
      <c r="AI75" s="31" t="n">
        <v>63.9</v>
      </c>
      <c r="AJ75" s="31" t="n">
        <v>50.2</v>
      </c>
      <c r="AK75" s="31" t="n">
        <v>3.6</v>
      </c>
      <c r="AL75" s="30" t="inlineStr">
        <is>
          <t>T-0224</t>
        </is>
      </c>
      <c r="AM75" s="30" t="inlineStr">
        <is>
          <t>A-02-02</t>
        </is>
      </c>
      <c r="AN75" s="30" t="inlineStr">
        <is>
          <t>T-0009</t>
        </is>
      </c>
      <c r="AO75" s="30" t="inlineStr">
        <is>
          <t>A-04-02</t>
        </is>
      </c>
    </row>
    <row r="76">
      <c r="A76" s="30" t="inlineStr">
        <is>
          <t>O0075</t>
        </is>
      </c>
      <c r="B76" s="30" t="inlineStr">
        <is>
          <t>F</t>
        </is>
      </c>
      <c r="C76" s="31" t="n">
        <v>1475.3</v>
      </c>
      <c r="D76" s="31" t="n">
        <v>3633</v>
      </c>
      <c r="E76" s="31" t="n">
        <v>3633</v>
      </c>
      <c r="F76" s="31" t="n">
        <v>3643.5</v>
      </c>
      <c r="G76" s="31" t="n">
        <v>3676.6</v>
      </c>
      <c r="H76" s="31" t="n">
        <v>3689.3</v>
      </c>
      <c r="I76" s="31" t="n">
        <v>3721.7</v>
      </c>
      <c r="J76" s="31" t="n">
        <v>3756.7</v>
      </c>
      <c r="K76" s="31" t="n">
        <v>2281.4</v>
      </c>
      <c r="L76" s="31" t="n">
        <v>2157.7</v>
      </c>
      <c r="M76" s="30" t="inlineStr">
        <is>
          <t>AMR1</t>
        </is>
      </c>
      <c r="N76" s="30" t="inlineStr">
        <is>
          <t>AMR2</t>
        </is>
      </c>
      <c r="O76" s="32" t="n">
        <v>0</v>
      </c>
      <c r="P76" s="32" t="n">
        <v>0</v>
      </c>
      <c r="Q76" s="32" t="n">
        <v>23</v>
      </c>
      <c r="R76" s="31" t="n">
        <v>42.7</v>
      </c>
      <c r="S76" s="31" t="n">
        <v>42.7</v>
      </c>
      <c r="T76" s="30" t="inlineStr">
        <is>
          <t>AMR1</t>
        </is>
      </c>
      <c r="U76" s="31" t="n">
        <v>70.09999999999999</v>
      </c>
      <c r="V76" s="31" t="n">
        <v>70.09999999999999</v>
      </c>
      <c r="W76" s="30" t="inlineStr">
        <is>
          <t>AMR2</t>
        </is>
      </c>
      <c r="X76" s="32" t="n">
        <v>0</v>
      </c>
      <c r="Y76" s="32" t="n">
        <v>0</v>
      </c>
      <c r="Z76" s="31" t="n">
        <v>0</v>
      </c>
      <c r="AA76" s="32" t="n">
        <v>0</v>
      </c>
      <c r="AB76" s="32" t="n">
        <v>0</v>
      </c>
      <c r="AC76" s="32" t="n">
        <v>0</v>
      </c>
      <c r="AD76" s="32" t="n">
        <v>0</v>
      </c>
      <c r="AE76" s="31" t="n">
        <v>0</v>
      </c>
      <c r="AF76" s="32" t="n">
        <v>0</v>
      </c>
      <c r="AG76" s="31" t="n">
        <v>0</v>
      </c>
      <c r="AH76" s="32" t="n">
        <v>63</v>
      </c>
      <c r="AI76" s="31" t="n">
        <v>63.4</v>
      </c>
      <c r="AJ76" s="31" t="n">
        <v>47.6</v>
      </c>
      <c r="AK76" s="31" t="n">
        <v>0</v>
      </c>
      <c r="AL76" s="30" t="inlineStr">
        <is>
          <t>T-0225</t>
        </is>
      </c>
      <c r="AM76" s="30" t="inlineStr">
        <is>
          <t>F-05-02</t>
        </is>
      </c>
      <c r="AN76" s="30" t="inlineStr">
        <is>
          <t>T-0083</t>
        </is>
      </c>
      <c r="AO76" s="30" t="inlineStr">
        <is>
          <t>F-06-04</t>
        </is>
      </c>
    </row>
    <row r="77">
      <c r="A77" s="30" t="inlineStr">
        <is>
          <t>O0076</t>
        </is>
      </c>
      <c r="B77" s="30" t="inlineStr">
        <is>
          <t>D</t>
        </is>
      </c>
      <c r="C77" s="31" t="n">
        <v>1492.8</v>
      </c>
      <c r="D77" s="31" t="n">
        <v>3698.8</v>
      </c>
      <c r="E77" s="31" t="n">
        <v>3698.8</v>
      </c>
      <c r="F77" s="31" t="n">
        <v>3714.2</v>
      </c>
      <c r="G77" s="31" t="n">
        <v>3736.1</v>
      </c>
      <c r="H77" s="31" t="n">
        <v>3748.9</v>
      </c>
      <c r="I77" s="31" t="n">
        <v>3774.6</v>
      </c>
      <c r="J77" s="31" t="n">
        <v>3804.1</v>
      </c>
      <c r="K77" s="31" t="n">
        <v>2311.3</v>
      </c>
      <c r="L77" s="31" t="n">
        <v>2206</v>
      </c>
      <c r="M77" s="30" t="inlineStr">
        <is>
          <t>AMR1</t>
        </is>
      </c>
      <c r="N77" s="30" t="inlineStr">
        <is>
          <t>AMR1</t>
        </is>
      </c>
      <c r="O77" s="32" t="n">
        <v>0</v>
      </c>
      <c r="P77" s="32" t="n">
        <v>0</v>
      </c>
      <c r="Q77" s="32" t="n">
        <v>13</v>
      </c>
      <c r="R77" s="31" t="n">
        <v>36.4</v>
      </c>
      <c r="S77" s="31" t="n">
        <v>36.4</v>
      </c>
      <c r="T77" s="30" t="inlineStr">
        <is>
          <t>AMR1</t>
        </is>
      </c>
      <c r="U77" s="31" t="n">
        <v>51.9</v>
      </c>
      <c r="V77" s="31" t="n">
        <v>51.9</v>
      </c>
      <c r="W77" s="30" t="inlineStr">
        <is>
          <t>AMR1</t>
        </is>
      </c>
      <c r="X77" s="32" t="n">
        <v>0</v>
      </c>
      <c r="Y77" s="32" t="n">
        <v>0</v>
      </c>
      <c r="Z77" s="31" t="n">
        <v>0</v>
      </c>
      <c r="AA77" s="32" t="n">
        <v>0</v>
      </c>
      <c r="AB77" s="32" t="n">
        <v>0</v>
      </c>
      <c r="AC77" s="32" t="n">
        <v>0</v>
      </c>
      <c r="AD77" s="32" t="n">
        <v>0</v>
      </c>
      <c r="AE77" s="31" t="n">
        <v>0</v>
      </c>
      <c r="AF77" s="32" t="n">
        <v>0</v>
      </c>
      <c r="AG77" s="31" t="n">
        <v>0</v>
      </c>
      <c r="AH77" s="32" t="n">
        <v>43</v>
      </c>
      <c r="AI77" s="31" t="n">
        <v>46.9</v>
      </c>
      <c r="AJ77" s="31" t="n">
        <v>45.6</v>
      </c>
      <c r="AK77" s="31" t="n">
        <v>0</v>
      </c>
      <c r="AL77" s="30" t="inlineStr">
        <is>
          <t>T-0226</t>
        </is>
      </c>
      <c r="AM77" s="30" t="inlineStr">
        <is>
          <t>D-02-01</t>
        </is>
      </c>
      <c r="AN77" s="30" t="inlineStr">
        <is>
          <t>T-0054</t>
        </is>
      </c>
      <c r="AO77" s="30" t="inlineStr">
        <is>
          <t>D-05-04</t>
        </is>
      </c>
    </row>
    <row r="78">
      <c r="A78" s="30" t="inlineStr">
        <is>
          <t>O0077</t>
        </is>
      </c>
      <c r="B78" s="30" t="inlineStr">
        <is>
          <t>G</t>
        </is>
      </c>
      <c r="C78" s="31" t="n">
        <v>1512.3</v>
      </c>
      <c r="D78" s="31" t="n">
        <v>3714.2</v>
      </c>
      <c r="E78" s="31" t="n">
        <v>3714.2</v>
      </c>
      <c r="F78" s="31" t="n">
        <v>3726.1</v>
      </c>
      <c r="G78" s="31" t="n">
        <v>3753.7</v>
      </c>
      <c r="H78" s="31" t="n">
        <v>3771.9</v>
      </c>
      <c r="I78" s="31" t="n">
        <v>3801.3</v>
      </c>
      <c r="J78" s="31" t="n">
        <v>3830.3</v>
      </c>
      <c r="K78" s="31" t="n">
        <v>2318</v>
      </c>
      <c r="L78" s="31" t="n">
        <v>2201.9</v>
      </c>
      <c r="M78" s="30" t="inlineStr">
        <is>
          <t>AMR3</t>
        </is>
      </c>
      <c r="N78" s="30" t="inlineStr">
        <is>
          <t>AMR3</t>
        </is>
      </c>
      <c r="O78" s="32" t="n">
        <v>0</v>
      </c>
      <c r="P78" s="32" t="n">
        <v>0</v>
      </c>
      <c r="Q78" s="32" t="n">
        <v>17</v>
      </c>
      <c r="R78" s="31" t="n">
        <v>37</v>
      </c>
      <c r="S78" s="31" t="n">
        <v>37</v>
      </c>
      <c r="T78" s="30" t="inlineStr">
        <is>
          <t>AMR3</t>
        </is>
      </c>
      <c r="U78" s="31" t="n">
        <v>55.1</v>
      </c>
      <c r="V78" s="31" t="n">
        <v>55.1</v>
      </c>
      <c r="W78" s="30" t="inlineStr">
        <is>
          <t>AMR3</t>
        </is>
      </c>
      <c r="X78" s="32" t="n">
        <v>0</v>
      </c>
      <c r="Y78" s="32" t="n">
        <v>0</v>
      </c>
      <c r="Z78" s="31" t="n">
        <v>0</v>
      </c>
      <c r="AA78" s="32" t="n">
        <v>0</v>
      </c>
      <c r="AB78" s="32" t="n">
        <v>0</v>
      </c>
      <c r="AC78" s="32" t="n">
        <v>0</v>
      </c>
      <c r="AD78" s="32" t="n">
        <v>0</v>
      </c>
      <c r="AE78" s="31" t="n">
        <v>0</v>
      </c>
      <c r="AF78" s="32" t="n">
        <v>0</v>
      </c>
      <c r="AG78" s="31" t="n">
        <v>0</v>
      </c>
      <c r="AH78" s="32" t="n">
        <v>53</v>
      </c>
      <c r="AI78" s="31" t="n">
        <v>56.2</v>
      </c>
      <c r="AJ78" s="31" t="n">
        <v>41.7</v>
      </c>
      <c r="AK78" s="31" t="n">
        <v>0</v>
      </c>
      <c r="AL78" s="30" t="inlineStr">
        <is>
          <t>T-0227</t>
        </is>
      </c>
      <c r="AM78" s="30" t="inlineStr">
        <is>
          <t>G-02-02</t>
        </is>
      </c>
      <c r="AN78" s="30" t="inlineStr">
        <is>
          <t>T-0095</t>
        </is>
      </c>
      <c r="AO78" s="30" t="inlineStr">
        <is>
          <t>G-02-04</t>
        </is>
      </c>
    </row>
    <row r="79">
      <c r="A79" s="30" t="inlineStr">
        <is>
          <t>O0078</t>
        </is>
      </c>
      <c r="B79" s="30" t="inlineStr">
        <is>
          <t>D</t>
        </is>
      </c>
      <c r="C79" s="31" t="n">
        <v>1530.1</v>
      </c>
      <c r="D79" s="31" t="n">
        <v>3780.4</v>
      </c>
      <c r="E79" s="31" t="n">
        <v>3780.4</v>
      </c>
      <c r="F79" s="31" t="n">
        <v>3792.7</v>
      </c>
      <c r="G79" s="31" t="n">
        <v>3816.4</v>
      </c>
      <c r="H79" s="31" t="n">
        <v>3827.8</v>
      </c>
      <c r="I79" s="31" t="n">
        <v>3853.8</v>
      </c>
      <c r="J79" s="31" t="n">
        <v>3880.8</v>
      </c>
      <c r="K79" s="31" t="n">
        <v>2350.7</v>
      </c>
      <c r="L79" s="31" t="n">
        <v>2250.3</v>
      </c>
      <c r="M79" s="30" t="inlineStr">
        <is>
          <t>AMR2</t>
        </is>
      </c>
      <c r="N79" s="30" t="inlineStr">
        <is>
          <t>AMR1</t>
        </is>
      </c>
      <c r="O79" s="32" t="n">
        <v>0</v>
      </c>
      <c r="P79" s="32" t="n">
        <v>0</v>
      </c>
      <c r="Q79" s="32" t="n">
        <v>13</v>
      </c>
      <c r="R79" s="31" t="n">
        <v>33.5</v>
      </c>
      <c r="S79" s="31" t="n">
        <v>33.5</v>
      </c>
      <c r="T79" s="30" t="inlineStr">
        <is>
          <t>AMR2</t>
        </is>
      </c>
      <c r="U79" s="31" t="n">
        <v>48.2</v>
      </c>
      <c r="V79" s="31" t="n">
        <v>48.2</v>
      </c>
      <c r="W79" s="30" t="inlineStr">
        <is>
          <t>AMR1</t>
        </is>
      </c>
      <c r="X79" s="32" t="n">
        <v>0</v>
      </c>
      <c r="Y79" s="32" t="n">
        <v>0</v>
      </c>
      <c r="Z79" s="31" t="n">
        <v>0</v>
      </c>
      <c r="AA79" s="32" t="n">
        <v>0</v>
      </c>
      <c r="AB79" s="32" t="n">
        <v>2</v>
      </c>
      <c r="AC79" s="32" t="n">
        <v>1</v>
      </c>
      <c r="AD79" s="32" t="n">
        <v>0</v>
      </c>
      <c r="AE79" s="31" t="n">
        <v>0</v>
      </c>
      <c r="AF79" s="32" t="n">
        <v>0</v>
      </c>
      <c r="AG79" s="31" t="n">
        <v>0</v>
      </c>
      <c r="AH79" s="32" t="n">
        <v>41</v>
      </c>
      <c r="AI79" s="31" t="n">
        <v>47</v>
      </c>
      <c r="AJ79" s="31" t="n">
        <v>39</v>
      </c>
      <c r="AK79" s="31" t="n">
        <v>3</v>
      </c>
      <c r="AL79" s="30" t="inlineStr">
        <is>
          <t>T-0228</t>
        </is>
      </c>
      <c r="AM79" s="30" t="inlineStr">
        <is>
          <t>D-04-02</t>
        </is>
      </c>
      <c r="AN79" s="30" t="inlineStr">
        <is>
          <t>T-0055</t>
        </is>
      </c>
      <c r="AO79" s="30" t="inlineStr">
        <is>
          <t>D-02-03</t>
        </is>
      </c>
    </row>
    <row r="80">
      <c r="A80" s="30" t="inlineStr">
        <is>
          <t>O0079</t>
        </is>
      </c>
      <c r="B80" s="30" t="inlineStr">
        <is>
          <t>I</t>
        </is>
      </c>
      <c r="C80" s="31" t="n">
        <v>1549.5</v>
      </c>
      <c r="D80" s="31" t="n">
        <v>3837.6</v>
      </c>
      <c r="E80" s="31" t="n">
        <v>3837.6</v>
      </c>
      <c r="F80" s="31" t="n">
        <v>3850</v>
      </c>
      <c r="G80" s="31" t="n">
        <v>3877.2</v>
      </c>
      <c r="H80" s="31" t="n">
        <v>3894</v>
      </c>
      <c r="I80" s="31" t="n">
        <v>3924</v>
      </c>
      <c r="J80" s="31" t="n">
        <v>3960.9</v>
      </c>
      <c r="K80" s="31" t="n">
        <v>2411.4</v>
      </c>
      <c r="L80" s="31" t="n">
        <v>2288.1</v>
      </c>
      <c r="M80" s="30" t="inlineStr">
        <is>
          <t>AMR2</t>
        </is>
      </c>
      <c r="N80" s="30" t="inlineStr">
        <is>
          <t>AMR2</t>
        </is>
      </c>
      <c r="O80" s="32" t="n">
        <v>0</v>
      </c>
      <c r="P80" s="32" t="n">
        <v>0</v>
      </c>
      <c r="Q80" s="32" t="n">
        <v>15</v>
      </c>
      <c r="R80" s="31" t="n">
        <v>35.6</v>
      </c>
      <c r="S80" s="31" t="n">
        <v>35.6</v>
      </c>
      <c r="T80" s="30" t="inlineStr">
        <is>
          <t>AMR2</t>
        </is>
      </c>
      <c r="U80" s="31" t="n">
        <v>52.4</v>
      </c>
      <c r="V80" s="31" t="n">
        <v>52.4</v>
      </c>
      <c r="W80" s="30" t="inlineStr">
        <is>
          <t>AMR2</t>
        </is>
      </c>
      <c r="X80" s="32" t="n">
        <v>0</v>
      </c>
      <c r="Y80" s="32" t="n">
        <v>0</v>
      </c>
      <c r="Z80" s="31" t="n">
        <v>0</v>
      </c>
      <c r="AA80" s="32" t="n">
        <v>0</v>
      </c>
      <c r="AB80" s="32" t="n">
        <v>2</v>
      </c>
      <c r="AC80" s="32" t="n">
        <v>2</v>
      </c>
      <c r="AD80" s="32" t="n">
        <v>1</v>
      </c>
      <c r="AE80" s="31" t="n">
        <v>2</v>
      </c>
      <c r="AF80" s="32" t="n">
        <v>1</v>
      </c>
      <c r="AG80" s="31" t="n">
        <v>0.3</v>
      </c>
      <c r="AH80" s="32" t="n">
        <v>49</v>
      </c>
      <c r="AI80" s="31" t="n">
        <v>54.5</v>
      </c>
      <c r="AJ80" s="31" t="n">
        <v>42.2</v>
      </c>
      <c r="AK80" s="31" t="n">
        <v>9.800000000000001</v>
      </c>
      <c r="AL80" s="30" t="inlineStr">
        <is>
          <t>T-0229</t>
        </is>
      </c>
      <c r="AM80" s="30" t="inlineStr">
        <is>
          <t>I-04-02</t>
        </is>
      </c>
      <c r="AN80" s="30" t="inlineStr">
        <is>
          <t>T-0132</t>
        </is>
      </c>
      <c r="AO80" s="30" t="inlineStr">
        <is>
          <t>I-04-04</t>
        </is>
      </c>
    </row>
    <row r="81">
      <c r="A81" s="30" t="inlineStr">
        <is>
          <t>O0080</t>
        </is>
      </c>
      <c r="B81" s="30" t="inlineStr">
        <is>
          <t>I</t>
        </is>
      </c>
      <c r="C81" s="31" t="n">
        <v>1565</v>
      </c>
      <c r="D81" s="31" t="n">
        <v>3857</v>
      </c>
      <c r="E81" s="31" t="n">
        <v>3857</v>
      </c>
      <c r="F81" s="31" t="n">
        <v>3870.9</v>
      </c>
      <c r="G81" s="31" t="n">
        <v>3894.3</v>
      </c>
      <c r="H81" s="31" t="n">
        <v>3908.5</v>
      </c>
      <c r="I81" s="31" t="n">
        <v>3945.3</v>
      </c>
      <c r="J81" s="31" t="n">
        <v>3977.9</v>
      </c>
      <c r="K81" s="31" t="n">
        <v>2412.9</v>
      </c>
      <c r="L81" s="31" t="n">
        <v>2292</v>
      </c>
      <c r="M81" s="30" t="inlineStr">
        <is>
          <t>AMR3</t>
        </is>
      </c>
      <c r="N81" s="30" t="inlineStr">
        <is>
          <t>AMR1</t>
        </is>
      </c>
      <c r="O81" s="32" t="n">
        <v>0</v>
      </c>
      <c r="P81" s="32" t="n">
        <v>0</v>
      </c>
      <c r="Q81" s="32" t="n">
        <v>15</v>
      </c>
      <c r="R81" s="31" t="n">
        <v>35</v>
      </c>
      <c r="S81" s="31" t="n">
        <v>35</v>
      </c>
      <c r="T81" s="30" t="inlineStr">
        <is>
          <t>AMR3</t>
        </is>
      </c>
      <c r="U81" s="31" t="n">
        <v>55.2</v>
      </c>
      <c r="V81" s="31" t="n">
        <v>55.2</v>
      </c>
      <c r="W81" s="30" t="inlineStr">
        <is>
          <t>AMR1</t>
        </is>
      </c>
      <c r="X81" s="32" t="n">
        <v>0</v>
      </c>
      <c r="Y81" s="32" t="n">
        <v>0</v>
      </c>
      <c r="Z81" s="31" t="n">
        <v>0</v>
      </c>
      <c r="AA81" s="32" t="n">
        <v>0</v>
      </c>
      <c r="AB81" s="32" t="n">
        <v>2</v>
      </c>
      <c r="AC81" s="32" t="n">
        <v>2</v>
      </c>
      <c r="AD81" s="32" t="n">
        <v>1</v>
      </c>
      <c r="AE81" s="31" t="n">
        <v>4.1</v>
      </c>
      <c r="AF81" s="32" t="n">
        <v>1</v>
      </c>
      <c r="AG81" s="31" t="n">
        <v>0.9</v>
      </c>
      <c r="AH81" s="32" t="n">
        <v>41</v>
      </c>
      <c r="AI81" s="31" t="n">
        <v>46.5</v>
      </c>
      <c r="AJ81" s="31" t="n">
        <v>44.4</v>
      </c>
      <c r="AK81" s="31" t="n">
        <v>15.8</v>
      </c>
      <c r="AL81" s="30" t="inlineStr">
        <is>
          <t>T-0230</t>
        </is>
      </c>
      <c r="AM81" s="30" t="inlineStr">
        <is>
          <t>I-02-03</t>
        </is>
      </c>
      <c r="AN81" s="30" t="inlineStr">
        <is>
          <t>T-0133</t>
        </is>
      </c>
      <c r="AO81" s="30" t="inlineStr">
        <is>
          <t>I-02-05</t>
        </is>
      </c>
    </row>
    <row r="82">
      <c r="A82" s="30" t="inlineStr">
        <is>
          <t>O0081</t>
        </is>
      </c>
      <c r="B82" s="30" t="inlineStr">
        <is>
          <t>D</t>
        </is>
      </c>
      <c r="C82" s="31" t="n">
        <v>1589.7</v>
      </c>
      <c r="D82" s="31" t="n">
        <v>3917.8</v>
      </c>
      <c r="E82" s="31" t="n">
        <v>3917.8</v>
      </c>
      <c r="F82" s="31" t="n">
        <v>3933.2</v>
      </c>
      <c r="G82" s="31" t="n">
        <v>3953.8</v>
      </c>
      <c r="H82" s="31" t="n">
        <v>3966.6</v>
      </c>
      <c r="I82" s="31" t="n">
        <v>3995.7</v>
      </c>
      <c r="J82" s="31" t="n">
        <v>4023.2</v>
      </c>
      <c r="K82" s="31" t="n">
        <v>2433.5</v>
      </c>
      <c r="L82" s="31" t="n">
        <v>2328.1</v>
      </c>
      <c r="M82" s="30" t="inlineStr">
        <is>
          <t>AMR3</t>
        </is>
      </c>
      <c r="N82" s="30" t="inlineStr">
        <is>
          <t>AMR3</t>
        </is>
      </c>
      <c r="O82" s="32" t="n">
        <v>0</v>
      </c>
      <c r="P82" s="32" t="n">
        <v>0</v>
      </c>
      <c r="Q82" s="32" t="n">
        <v>13</v>
      </c>
      <c r="R82" s="31" t="n">
        <v>35.1</v>
      </c>
      <c r="S82" s="31" t="n">
        <v>35.1</v>
      </c>
      <c r="T82" s="30" t="inlineStr">
        <is>
          <t>AMR3</t>
        </is>
      </c>
      <c r="U82" s="31" t="n">
        <v>46.9</v>
      </c>
      <c r="V82" s="31" t="n">
        <v>46.9</v>
      </c>
      <c r="W82" s="30" t="inlineStr">
        <is>
          <t>AMR3</t>
        </is>
      </c>
      <c r="X82" s="32" t="n">
        <v>0</v>
      </c>
      <c r="Y82" s="32" t="n">
        <v>0</v>
      </c>
      <c r="Z82" s="31" t="n">
        <v>0</v>
      </c>
      <c r="AA82" s="32" t="n">
        <v>0</v>
      </c>
      <c r="AB82" s="32" t="n">
        <v>1</v>
      </c>
      <c r="AC82" s="32" t="n">
        <v>1</v>
      </c>
      <c r="AD82" s="32" t="n">
        <v>0</v>
      </c>
      <c r="AE82" s="31" t="n">
        <v>0</v>
      </c>
      <c r="AF82" s="32" t="n">
        <v>0</v>
      </c>
      <c r="AG82" s="31" t="n">
        <v>0</v>
      </c>
      <c r="AH82" s="32" t="n">
        <v>45</v>
      </c>
      <c r="AI82" s="31" t="n">
        <v>50.3</v>
      </c>
      <c r="AJ82" s="31" t="n">
        <v>39.3</v>
      </c>
      <c r="AK82" s="31" t="n">
        <v>3</v>
      </c>
      <c r="AL82" s="30" t="inlineStr">
        <is>
          <t>T-0231</t>
        </is>
      </c>
      <c r="AM82" s="30" t="inlineStr">
        <is>
          <t>D-01-03</t>
        </is>
      </c>
      <c r="AN82" s="30" t="inlineStr">
        <is>
          <t>T-0056</t>
        </is>
      </c>
      <c r="AO82" s="30" t="inlineStr">
        <is>
          <t>D-04-04</t>
        </is>
      </c>
    </row>
    <row r="83">
      <c r="A83" s="30" t="inlineStr">
        <is>
          <t>O0082</t>
        </is>
      </c>
      <c r="B83" s="30" t="inlineStr">
        <is>
          <t>H</t>
        </is>
      </c>
      <c r="C83" s="31" t="n">
        <v>1608.8</v>
      </c>
      <c r="D83" s="31" t="n">
        <v>3989.9</v>
      </c>
      <c r="E83" s="31" t="n">
        <v>3989.9</v>
      </c>
      <c r="F83" s="31" t="n">
        <v>4002.9</v>
      </c>
      <c r="G83" s="31" t="n">
        <v>4027.6</v>
      </c>
      <c r="H83" s="31" t="n">
        <v>4042.1</v>
      </c>
      <c r="I83" s="31" t="n">
        <v>4070.1</v>
      </c>
      <c r="J83" s="31" t="n">
        <v>4094.1</v>
      </c>
      <c r="K83" s="31" t="n">
        <v>2485.3</v>
      </c>
      <c r="L83" s="31" t="n">
        <v>2381.1</v>
      </c>
      <c r="M83" s="30" t="inlineStr">
        <is>
          <t>AMR2</t>
        </is>
      </c>
      <c r="N83" s="30" t="inlineStr">
        <is>
          <t>AMR2</t>
        </is>
      </c>
      <c r="O83" s="32" t="n">
        <v>0</v>
      </c>
      <c r="P83" s="32" t="n">
        <v>0</v>
      </c>
      <c r="Q83" s="32" t="n">
        <v>15</v>
      </c>
      <c r="R83" s="31" t="n">
        <v>36</v>
      </c>
      <c r="S83" s="31" t="n">
        <v>36</v>
      </c>
      <c r="T83" s="30" t="inlineStr">
        <is>
          <t>AMR2</t>
        </is>
      </c>
      <c r="U83" s="31" t="n">
        <v>53.2</v>
      </c>
      <c r="V83" s="31" t="n">
        <v>53.2</v>
      </c>
      <c r="W83" s="30" t="inlineStr">
        <is>
          <t>AMR2</t>
        </is>
      </c>
      <c r="X83" s="32" t="n">
        <v>0</v>
      </c>
      <c r="Y83" s="32" t="n">
        <v>0</v>
      </c>
      <c r="Z83" s="31" t="n">
        <v>0</v>
      </c>
      <c r="AA83" s="32" t="n">
        <v>0</v>
      </c>
      <c r="AB83" s="32" t="n">
        <v>0</v>
      </c>
      <c r="AC83" s="32" t="n">
        <v>0</v>
      </c>
      <c r="AD83" s="32" t="n">
        <v>0</v>
      </c>
      <c r="AE83" s="31" t="n">
        <v>0</v>
      </c>
      <c r="AF83" s="32" t="n">
        <v>0</v>
      </c>
      <c r="AG83" s="31" t="n">
        <v>0</v>
      </c>
      <c r="AH83" s="32" t="n">
        <v>42</v>
      </c>
      <c r="AI83" s="31" t="n">
        <v>45.8</v>
      </c>
      <c r="AJ83" s="31" t="n">
        <v>43.9</v>
      </c>
      <c r="AK83" s="31" t="n">
        <v>0</v>
      </c>
      <c r="AL83" s="30" t="inlineStr">
        <is>
          <t>T-0232</t>
        </is>
      </c>
      <c r="AM83" s="30" t="inlineStr">
        <is>
          <t>H-03-02</t>
        </is>
      </c>
      <c r="AN83" s="30" t="inlineStr">
        <is>
          <t>T-0112</t>
        </is>
      </c>
      <c r="AO83" s="30" t="inlineStr">
        <is>
          <t>H-02-05</t>
        </is>
      </c>
    </row>
    <row r="84">
      <c r="A84" s="30" t="inlineStr">
        <is>
          <t>O0083</t>
        </is>
      </c>
      <c r="B84" s="30" t="inlineStr">
        <is>
          <t>A</t>
        </is>
      </c>
      <c r="C84" s="31" t="n">
        <v>1632.4</v>
      </c>
      <c r="D84" s="31" t="n">
        <v>4003</v>
      </c>
      <c r="E84" s="31" t="n">
        <v>4003</v>
      </c>
      <c r="F84" s="31" t="n">
        <v>4016.1</v>
      </c>
      <c r="G84" s="31" t="n">
        <v>4046.4</v>
      </c>
      <c r="H84" s="31" t="n">
        <v>4046.9</v>
      </c>
      <c r="I84" s="31" t="n">
        <v>4075.4</v>
      </c>
      <c r="J84" s="31" t="n">
        <v>4115.4</v>
      </c>
      <c r="K84" s="31" t="n">
        <v>2483</v>
      </c>
      <c r="L84" s="31" t="n">
        <v>2370.6</v>
      </c>
      <c r="M84" s="30" t="inlineStr">
        <is>
          <t>AMR1</t>
        </is>
      </c>
      <c r="N84" s="30" t="inlineStr">
        <is>
          <t>AMR3</t>
        </is>
      </c>
      <c r="O84" s="32" t="n">
        <v>0</v>
      </c>
      <c r="P84" s="32" t="n">
        <v>0</v>
      </c>
      <c r="Q84" s="32" t="n">
        <v>21</v>
      </c>
      <c r="R84" s="31" t="n">
        <v>42.5</v>
      </c>
      <c r="S84" s="31" t="n">
        <v>42.5</v>
      </c>
      <c r="T84" s="30" t="inlineStr">
        <is>
          <t>AMR1</t>
        </is>
      </c>
      <c r="U84" s="31" t="n">
        <v>66.2</v>
      </c>
      <c r="V84" s="31" t="n">
        <v>66.2</v>
      </c>
      <c r="W84" s="30" t="inlineStr">
        <is>
          <t>AMR3</t>
        </is>
      </c>
      <c r="X84" s="32" t="n">
        <v>0</v>
      </c>
      <c r="Y84" s="32" t="n">
        <v>0</v>
      </c>
      <c r="Z84" s="31" t="n">
        <v>0</v>
      </c>
      <c r="AA84" s="32" t="n">
        <v>0</v>
      </c>
      <c r="AB84" s="32" t="n">
        <v>0</v>
      </c>
      <c r="AC84" s="32" t="n">
        <v>0</v>
      </c>
      <c r="AD84" s="32" t="n">
        <v>0</v>
      </c>
      <c r="AE84" s="31" t="n">
        <v>0</v>
      </c>
      <c r="AF84" s="32" t="n">
        <v>0</v>
      </c>
      <c r="AG84" s="31" t="n">
        <v>0</v>
      </c>
      <c r="AH84" s="32" t="n">
        <v>67</v>
      </c>
      <c r="AI84" s="31" t="n">
        <v>65.3</v>
      </c>
      <c r="AJ84" s="31" t="n">
        <v>46.6</v>
      </c>
      <c r="AK84" s="31" t="n">
        <v>0</v>
      </c>
      <c r="AL84" s="30" t="inlineStr">
        <is>
          <t>T-0233</t>
        </is>
      </c>
      <c r="AM84" s="30" t="inlineStr">
        <is>
          <t>A-04-02</t>
        </is>
      </c>
      <c r="AN84" s="30" t="inlineStr">
        <is>
          <t>T-0010</t>
        </is>
      </c>
      <c r="AO84" s="30" t="inlineStr">
        <is>
          <t>A-01-01</t>
        </is>
      </c>
    </row>
    <row r="85">
      <c r="A85" s="30" t="inlineStr">
        <is>
          <t>O0084</t>
        </is>
      </c>
      <c r="B85" s="30" t="inlineStr">
        <is>
          <t>G</t>
        </is>
      </c>
      <c r="C85" s="31" t="n">
        <v>1651.2</v>
      </c>
      <c r="D85" s="31" t="n">
        <v>4066.6</v>
      </c>
      <c r="E85" s="31" t="n">
        <v>4066.6</v>
      </c>
      <c r="F85" s="31" t="n">
        <v>4082</v>
      </c>
      <c r="G85" s="31" t="n">
        <v>4109.4</v>
      </c>
      <c r="H85" s="31" t="n">
        <v>4117.8</v>
      </c>
      <c r="I85" s="31" t="n">
        <v>4146.5</v>
      </c>
      <c r="J85" s="31" t="n">
        <v>4173.7</v>
      </c>
      <c r="K85" s="31" t="n">
        <v>2522.5</v>
      </c>
      <c r="L85" s="31" t="n">
        <v>2415.4</v>
      </c>
      <c r="M85" s="30" t="inlineStr">
        <is>
          <t>AMR1</t>
        </is>
      </c>
      <c r="N85" s="30" t="inlineStr">
        <is>
          <t>AMR2</t>
        </is>
      </c>
      <c r="O85" s="32" t="n">
        <v>0</v>
      </c>
      <c r="P85" s="32" t="n">
        <v>0</v>
      </c>
      <c r="Q85" s="32" t="n">
        <v>17</v>
      </c>
      <c r="R85" s="31" t="n">
        <v>41.9</v>
      </c>
      <c r="S85" s="31" t="n">
        <v>41.9</v>
      </c>
      <c r="T85" s="30" t="inlineStr">
        <is>
          <t>AMR1</t>
        </is>
      </c>
      <c r="U85" s="31" t="n">
        <v>56.6</v>
      </c>
      <c r="V85" s="31" t="n">
        <v>56.6</v>
      </c>
      <c r="W85" s="30" t="inlineStr">
        <is>
          <t>AMR2</t>
        </is>
      </c>
      <c r="X85" s="32" t="n">
        <v>0</v>
      </c>
      <c r="Y85" s="32" t="n">
        <v>0</v>
      </c>
      <c r="Z85" s="31" t="n">
        <v>0</v>
      </c>
      <c r="AA85" s="32" t="n">
        <v>0</v>
      </c>
      <c r="AB85" s="32" t="n">
        <v>0</v>
      </c>
      <c r="AC85" s="32" t="n">
        <v>0</v>
      </c>
      <c r="AD85" s="32" t="n">
        <v>0</v>
      </c>
      <c r="AE85" s="31" t="n">
        <v>0</v>
      </c>
      <c r="AF85" s="32" t="n">
        <v>0</v>
      </c>
      <c r="AG85" s="31" t="n">
        <v>0</v>
      </c>
      <c r="AH85" s="32" t="n">
        <v>47</v>
      </c>
      <c r="AI85" s="31" t="n">
        <v>50.6</v>
      </c>
      <c r="AJ85" s="31" t="n">
        <v>48.1</v>
      </c>
      <c r="AK85" s="31" t="n">
        <v>0</v>
      </c>
      <c r="AL85" s="30" t="inlineStr">
        <is>
          <t>T-0234</t>
        </is>
      </c>
      <c r="AM85" s="30" t="inlineStr">
        <is>
          <t>G-04-02</t>
        </is>
      </c>
      <c r="AN85" s="30" t="inlineStr">
        <is>
          <t>T-0096</t>
        </is>
      </c>
      <c r="AO85" s="30" t="inlineStr">
        <is>
          <t>G-05-04</t>
        </is>
      </c>
    </row>
    <row r="86">
      <c r="A86" s="30" t="inlineStr">
        <is>
          <t>O0085</t>
        </is>
      </c>
      <c r="B86" s="30" t="inlineStr">
        <is>
          <t>H</t>
        </is>
      </c>
      <c r="C86" s="31" t="n">
        <v>1675.5</v>
      </c>
      <c r="D86" s="31" t="n">
        <v>4126.2</v>
      </c>
      <c r="E86" s="31" t="n">
        <v>4126.2</v>
      </c>
      <c r="F86" s="31" t="n">
        <v>4139.2</v>
      </c>
      <c r="G86" s="31" t="n">
        <v>4162.1</v>
      </c>
      <c r="H86" s="31" t="n">
        <v>4175.6</v>
      </c>
      <c r="I86" s="31" t="n">
        <v>4202.5</v>
      </c>
      <c r="J86" s="31" t="n">
        <v>4227.1</v>
      </c>
      <c r="K86" s="31" t="n">
        <v>2551.6</v>
      </c>
      <c r="L86" s="31" t="n">
        <v>2450.7</v>
      </c>
      <c r="M86" s="30" t="inlineStr">
        <is>
          <t>AMR1</t>
        </is>
      </c>
      <c r="N86" s="30" t="inlineStr">
        <is>
          <t>AMR1</t>
        </is>
      </c>
      <c r="O86" s="32" t="n">
        <v>0</v>
      </c>
      <c r="P86" s="32" t="n">
        <v>0</v>
      </c>
      <c r="Q86" s="32" t="n">
        <v>15</v>
      </c>
      <c r="R86" s="31" t="n">
        <v>35.8</v>
      </c>
      <c r="S86" s="31" t="n">
        <v>35.8</v>
      </c>
      <c r="T86" s="30" t="inlineStr">
        <is>
          <t>AMR1</t>
        </is>
      </c>
      <c r="U86" s="31" t="n">
        <v>52.7</v>
      </c>
      <c r="V86" s="31" t="n">
        <v>52.7</v>
      </c>
      <c r="W86" s="30" t="inlineStr">
        <is>
          <t>AMR1</t>
        </is>
      </c>
      <c r="X86" s="32" t="n">
        <v>0</v>
      </c>
      <c r="Y86" s="32" t="n">
        <v>0</v>
      </c>
      <c r="Z86" s="31" t="n">
        <v>0</v>
      </c>
      <c r="AA86" s="32" t="n">
        <v>0</v>
      </c>
      <c r="AB86" s="32" t="n">
        <v>0</v>
      </c>
      <c r="AC86" s="32" t="n">
        <v>0</v>
      </c>
      <c r="AD86" s="32" t="n">
        <v>0</v>
      </c>
      <c r="AE86" s="31" t="n">
        <v>0</v>
      </c>
      <c r="AF86" s="32" t="n">
        <v>0</v>
      </c>
      <c r="AG86" s="31" t="n">
        <v>0</v>
      </c>
      <c r="AH86" s="32" t="n">
        <v>40</v>
      </c>
      <c r="AI86" s="31" t="n">
        <v>44.2</v>
      </c>
      <c r="AJ86" s="31" t="n">
        <v>43.2</v>
      </c>
      <c r="AK86" s="31" t="n">
        <v>0</v>
      </c>
      <c r="AL86" s="30" t="inlineStr">
        <is>
          <t>T-0235</t>
        </is>
      </c>
      <c r="AM86" s="30" t="inlineStr">
        <is>
          <t>H-06-02</t>
        </is>
      </c>
      <c r="AN86" s="30" t="inlineStr">
        <is>
          <t>T-0113</t>
        </is>
      </c>
      <c r="AO86" s="30" t="inlineStr">
        <is>
          <t>H-01-01</t>
        </is>
      </c>
    </row>
    <row r="87">
      <c r="A87" s="30" t="inlineStr">
        <is>
          <t>O0086</t>
        </is>
      </c>
      <c r="B87" s="30" t="inlineStr">
        <is>
          <t>I</t>
        </is>
      </c>
      <c r="C87" s="31" t="n">
        <v>1694.7</v>
      </c>
      <c r="D87" s="31" t="n">
        <v>4139.1</v>
      </c>
      <c r="E87" s="31" t="n">
        <v>4139.1</v>
      </c>
      <c r="F87" s="31" t="n">
        <v>4150</v>
      </c>
      <c r="G87" s="31" t="n">
        <v>4177.6</v>
      </c>
      <c r="H87" s="31" t="n">
        <v>4193.7</v>
      </c>
      <c r="I87" s="31" t="n">
        <v>4225.5</v>
      </c>
      <c r="J87" s="31" t="n">
        <v>4248.8</v>
      </c>
      <c r="K87" s="31" t="n">
        <v>2554.1</v>
      </c>
      <c r="L87" s="31" t="n">
        <v>2444.4</v>
      </c>
      <c r="M87" s="30" t="inlineStr">
        <is>
          <t>AMR3</t>
        </is>
      </c>
      <c r="N87" s="30" t="inlineStr">
        <is>
          <t>AMR3</t>
        </is>
      </c>
      <c r="O87" s="32" t="n">
        <v>0</v>
      </c>
      <c r="P87" s="32" t="n">
        <v>0</v>
      </c>
      <c r="Q87" s="32" t="n">
        <v>15</v>
      </c>
      <c r="R87" s="31" t="n">
        <v>36.8</v>
      </c>
      <c r="S87" s="31" t="n">
        <v>36.8</v>
      </c>
      <c r="T87" s="30" t="inlineStr">
        <is>
          <t>AMR3</t>
        </is>
      </c>
      <c r="U87" s="31" t="n">
        <v>50.3</v>
      </c>
      <c r="V87" s="31" t="n">
        <v>50.3</v>
      </c>
      <c r="W87" s="30" t="inlineStr">
        <is>
          <t>AMR3</t>
        </is>
      </c>
      <c r="X87" s="32" t="n">
        <v>0</v>
      </c>
      <c r="Y87" s="32" t="n">
        <v>0</v>
      </c>
      <c r="Z87" s="31" t="n">
        <v>0</v>
      </c>
      <c r="AA87" s="32" t="n">
        <v>0</v>
      </c>
      <c r="AB87" s="32" t="n">
        <v>1</v>
      </c>
      <c r="AC87" s="32" t="n">
        <v>1</v>
      </c>
      <c r="AD87" s="32" t="n">
        <v>0</v>
      </c>
      <c r="AE87" s="31" t="n">
        <v>0</v>
      </c>
      <c r="AF87" s="32" t="n">
        <v>0</v>
      </c>
      <c r="AG87" s="31" t="n">
        <v>0</v>
      </c>
      <c r="AH87" s="32" t="n">
        <v>42</v>
      </c>
      <c r="AI87" s="31" t="n">
        <v>49.3</v>
      </c>
      <c r="AJ87" s="31" t="n">
        <v>41.3</v>
      </c>
      <c r="AK87" s="31" t="n">
        <v>3</v>
      </c>
      <c r="AL87" s="30" t="inlineStr">
        <is>
          <t>T-0236</t>
        </is>
      </c>
      <c r="AM87" s="30" t="inlineStr">
        <is>
          <t>I-03-03</t>
        </is>
      </c>
      <c r="AN87" s="30" t="inlineStr">
        <is>
          <t>T-0134</t>
        </is>
      </c>
      <c r="AO87" s="30" t="inlineStr">
        <is>
          <t>I-01-03</t>
        </is>
      </c>
    </row>
    <row r="88">
      <c r="A88" s="30" t="inlineStr">
        <is>
          <t>O0087</t>
        </is>
      </c>
      <c r="B88" s="30" t="inlineStr">
        <is>
          <t>C</t>
        </is>
      </c>
      <c r="C88" s="31" t="n">
        <v>1716.9</v>
      </c>
      <c r="D88" s="31" t="n">
        <v>4202.6</v>
      </c>
      <c r="E88" s="31" t="n">
        <v>4202.6</v>
      </c>
      <c r="F88" s="31" t="n">
        <v>4215.6</v>
      </c>
      <c r="G88" s="31" t="n">
        <v>4239.6</v>
      </c>
      <c r="H88" s="31" t="n">
        <v>4250.8</v>
      </c>
      <c r="I88" s="31" t="n">
        <v>4279.8</v>
      </c>
      <c r="J88" s="31" t="n">
        <v>4310.1</v>
      </c>
      <c r="K88" s="31" t="n">
        <v>2593.2</v>
      </c>
      <c r="L88" s="31" t="n">
        <v>2485.7</v>
      </c>
      <c r="M88" s="30" t="inlineStr">
        <is>
          <t>AMR2</t>
        </is>
      </c>
      <c r="N88" s="30" t="inlineStr">
        <is>
          <t>AMR1</t>
        </is>
      </c>
      <c r="O88" s="32" t="n">
        <v>0</v>
      </c>
      <c r="P88" s="32" t="n">
        <v>0</v>
      </c>
      <c r="Q88" s="32" t="n">
        <v>13</v>
      </c>
      <c r="R88" s="31" t="n">
        <v>36.1</v>
      </c>
      <c r="S88" s="31" t="n">
        <v>36.1</v>
      </c>
      <c r="T88" s="30" t="inlineStr">
        <is>
          <t>AMR2</t>
        </is>
      </c>
      <c r="U88" s="31" t="n">
        <v>54.5</v>
      </c>
      <c r="V88" s="31" t="n">
        <v>54.5</v>
      </c>
      <c r="W88" s="30" t="inlineStr">
        <is>
          <t>AMR1</t>
        </is>
      </c>
      <c r="X88" s="32" t="n">
        <v>0</v>
      </c>
      <c r="Y88" s="32" t="n">
        <v>0</v>
      </c>
      <c r="Z88" s="31" t="n">
        <v>0</v>
      </c>
      <c r="AA88" s="32" t="n">
        <v>0</v>
      </c>
      <c r="AB88" s="32" t="n">
        <v>1</v>
      </c>
      <c r="AC88" s="32" t="n">
        <v>1</v>
      </c>
      <c r="AD88" s="32" t="n">
        <v>0</v>
      </c>
      <c r="AE88" s="31" t="n">
        <v>0</v>
      </c>
      <c r="AF88" s="32" t="n">
        <v>0</v>
      </c>
      <c r="AG88" s="31" t="n">
        <v>0</v>
      </c>
      <c r="AH88" s="32" t="n">
        <v>41</v>
      </c>
      <c r="AI88" s="31" t="n">
        <v>44.9</v>
      </c>
      <c r="AJ88" s="31" t="n">
        <v>48.4</v>
      </c>
      <c r="AK88" s="31" t="n">
        <v>3</v>
      </c>
      <c r="AL88" s="30" t="inlineStr">
        <is>
          <t>T-0237</t>
        </is>
      </c>
      <c r="AM88" s="30" t="inlineStr">
        <is>
          <t>C-01-02</t>
        </is>
      </c>
      <c r="AN88" s="30" t="inlineStr">
        <is>
          <t>T-0036</t>
        </is>
      </c>
      <c r="AO88" s="30" t="inlineStr">
        <is>
          <t>C-03-02</t>
        </is>
      </c>
    </row>
    <row r="89">
      <c r="A89" s="30" t="inlineStr">
        <is>
          <t>O0088</t>
        </is>
      </c>
      <c r="B89" s="30" t="inlineStr">
        <is>
          <t>A</t>
        </is>
      </c>
      <c r="C89" s="31" t="n">
        <v>1734.8</v>
      </c>
      <c r="D89" s="31" t="n">
        <v>4257.2</v>
      </c>
      <c r="E89" s="31" t="n">
        <v>4257.2</v>
      </c>
      <c r="F89" s="31" t="n">
        <v>4268.1</v>
      </c>
      <c r="G89" s="31" t="n">
        <v>4297.4</v>
      </c>
      <c r="H89" s="31" t="n">
        <v>4324.8</v>
      </c>
      <c r="I89" s="31" t="n">
        <v>4356.1</v>
      </c>
      <c r="J89" s="31" t="n">
        <v>4394.3</v>
      </c>
      <c r="K89" s="31" t="n">
        <v>2659.5</v>
      </c>
      <c r="L89" s="31" t="n">
        <v>2522.4</v>
      </c>
      <c r="M89" s="30" t="inlineStr">
        <is>
          <t>AMR2</t>
        </is>
      </c>
      <c r="N89" s="30" t="inlineStr">
        <is>
          <t>AMR2</t>
        </is>
      </c>
      <c r="O89" s="32" t="n">
        <v>0</v>
      </c>
      <c r="P89" s="32" t="n">
        <v>0</v>
      </c>
      <c r="Q89" s="32" t="n">
        <v>21</v>
      </c>
      <c r="R89" s="31" t="n">
        <v>37.7</v>
      </c>
      <c r="S89" s="31" t="n">
        <v>37.7</v>
      </c>
      <c r="T89" s="30" t="inlineStr">
        <is>
          <t>AMR2</t>
        </is>
      </c>
      <c r="U89" s="31" t="n">
        <v>63.5</v>
      </c>
      <c r="V89" s="31" t="n">
        <v>63.5</v>
      </c>
      <c r="W89" s="30" t="inlineStr">
        <is>
          <t>AMR2</t>
        </is>
      </c>
      <c r="X89" s="32" t="n">
        <v>0</v>
      </c>
      <c r="Y89" s="32" t="n">
        <v>0</v>
      </c>
      <c r="Z89" s="31" t="n">
        <v>0</v>
      </c>
      <c r="AA89" s="32" t="n">
        <v>0</v>
      </c>
      <c r="AB89" s="32" t="n">
        <v>1</v>
      </c>
      <c r="AC89" s="32" t="n">
        <v>1</v>
      </c>
      <c r="AD89" s="32" t="n">
        <v>0</v>
      </c>
      <c r="AE89" s="31" t="n">
        <v>0</v>
      </c>
      <c r="AF89" s="32" t="n">
        <v>0</v>
      </c>
      <c r="AG89" s="31" t="n">
        <v>0</v>
      </c>
      <c r="AH89" s="32" t="n">
        <v>67</v>
      </c>
      <c r="AI89" s="31" t="n">
        <v>66.40000000000001</v>
      </c>
      <c r="AJ89" s="31" t="n">
        <v>39.1</v>
      </c>
      <c r="AK89" s="31" t="n">
        <v>4.2</v>
      </c>
      <c r="AL89" s="30" t="inlineStr">
        <is>
          <t>T-0238</t>
        </is>
      </c>
      <c r="AM89" s="30" t="inlineStr">
        <is>
          <t>A-01-01</t>
        </is>
      </c>
      <c r="AN89" s="30" t="inlineStr">
        <is>
          <t>T-0011</t>
        </is>
      </c>
      <c r="AO89" s="30" t="inlineStr">
        <is>
          <t>A-03-05</t>
        </is>
      </c>
    </row>
    <row r="90">
      <c r="A90" s="30" t="inlineStr">
        <is>
          <t>O0089</t>
        </is>
      </c>
      <c r="B90" s="30" t="inlineStr">
        <is>
          <t>A</t>
        </is>
      </c>
      <c r="C90" s="31" t="n">
        <v>1757.3</v>
      </c>
      <c r="D90" s="31" t="n">
        <v>4272.5</v>
      </c>
      <c r="E90" s="31" t="n">
        <v>4272.5</v>
      </c>
      <c r="F90" s="31" t="n">
        <v>4284.9</v>
      </c>
      <c r="G90" s="31" t="n">
        <v>4317.7</v>
      </c>
      <c r="H90" s="31" t="n">
        <v>4333.8</v>
      </c>
      <c r="I90" s="31" t="n">
        <v>4376.8</v>
      </c>
      <c r="J90" s="31" t="n">
        <v>4412.5</v>
      </c>
      <c r="K90" s="31" t="n">
        <v>2655.2</v>
      </c>
      <c r="L90" s="31" t="n">
        <v>2515.2</v>
      </c>
      <c r="M90" s="30" t="inlineStr">
        <is>
          <t>AMR3</t>
        </is>
      </c>
      <c r="N90" s="30" t="inlineStr">
        <is>
          <t>AMR1</t>
        </is>
      </c>
      <c r="O90" s="32" t="n">
        <v>0</v>
      </c>
      <c r="P90" s="32" t="n">
        <v>0</v>
      </c>
      <c r="Q90" s="32" t="n">
        <v>21</v>
      </c>
      <c r="R90" s="31" t="n">
        <v>39</v>
      </c>
      <c r="S90" s="31" t="n">
        <v>39</v>
      </c>
      <c r="T90" s="30" t="inlineStr">
        <is>
          <t>AMR3</t>
        </is>
      </c>
      <c r="U90" s="31" t="n">
        <v>62.8</v>
      </c>
      <c r="V90" s="31" t="n">
        <v>62.8</v>
      </c>
      <c r="W90" s="30" t="inlineStr">
        <is>
          <t>AMR1</t>
        </is>
      </c>
      <c r="X90" s="32" t="n">
        <v>0</v>
      </c>
      <c r="Y90" s="32" t="n">
        <v>0</v>
      </c>
      <c r="Z90" s="31" t="n">
        <v>0</v>
      </c>
      <c r="AA90" s="32" t="n">
        <v>0</v>
      </c>
      <c r="AB90" s="32" t="n">
        <v>3</v>
      </c>
      <c r="AC90" s="32" t="n">
        <v>3</v>
      </c>
      <c r="AD90" s="32" t="n">
        <v>0</v>
      </c>
      <c r="AE90" s="31" t="n">
        <v>0</v>
      </c>
      <c r="AF90" s="32" t="n">
        <v>1</v>
      </c>
      <c r="AG90" s="31" t="n">
        <v>1.1</v>
      </c>
      <c r="AH90" s="32" t="n">
        <v>68</v>
      </c>
      <c r="AI90" s="31" t="n">
        <v>72.09999999999999</v>
      </c>
      <c r="AJ90" s="31" t="n">
        <v>39.7</v>
      </c>
      <c r="AK90" s="31" t="n">
        <v>12.1</v>
      </c>
      <c r="AL90" s="30" t="inlineStr">
        <is>
          <t>T-0239</t>
        </is>
      </c>
      <c r="AM90" s="30" t="inlineStr">
        <is>
          <t>A-06-02</t>
        </is>
      </c>
      <c r="AN90" s="30" t="inlineStr">
        <is>
          <t>T-0012</t>
        </is>
      </c>
      <c r="AO90" s="30" t="inlineStr">
        <is>
          <t>A-02-05</t>
        </is>
      </c>
    </row>
    <row r="91">
      <c r="A91" s="30" t="inlineStr">
        <is>
          <t>O0090</t>
        </is>
      </c>
      <c r="B91" s="30" t="inlineStr">
        <is>
          <t>I</t>
        </is>
      </c>
      <c r="C91" s="31" t="n">
        <v>1778.2</v>
      </c>
      <c r="D91" s="31" t="n">
        <v>4341.6</v>
      </c>
      <c r="E91" s="31" t="n">
        <v>4341.6</v>
      </c>
      <c r="F91" s="31" t="n">
        <v>4356.7</v>
      </c>
      <c r="G91" s="31" t="n">
        <v>4383.5</v>
      </c>
      <c r="H91" s="31" t="n">
        <v>4398.3</v>
      </c>
      <c r="I91" s="31" t="n">
        <v>4430.4</v>
      </c>
      <c r="J91" s="31" t="n">
        <v>4460</v>
      </c>
      <c r="K91" s="31" t="n">
        <v>2681.8</v>
      </c>
      <c r="L91" s="31" t="n">
        <v>2563.4</v>
      </c>
      <c r="M91" s="30" t="inlineStr">
        <is>
          <t>AMR3</t>
        </is>
      </c>
      <c r="N91" s="30" t="inlineStr">
        <is>
          <t>AMR3</t>
        </is>
      </c>
      <c r="O91" s="32" t="n">
        <v>0</v>
      </c>
      <c r="P91" s="32" t="n">
        <v>0</v>
      </c>
      <c r="Q91" s="32" t="n">
        <v>15</v>
      </c>
      <c r="R91" s="31" t="n">
        <v>41</v>
      </c>
      <c r="S91" s="31" t="n">
        <v>41</v>
      </c>
      <c r="T91" s="30" t="inlineStr">
        <is>
          <t>AMR3</t>
        </is>
      </c>
      <c r="U91" s="31" t="n">
        <v>54.1</v>
      </c>
      <c r="V91" s="31" t="n">
        <v>54.1</v>
      </c>
      <c r="W91" s="30" t="inlineStr">
        <is>
          <t>AMR3</t>
        </is>
      </c>
      <c r="X91" s="32" t="n">
        <v>0</v>
      </c>
      <c r="Y91" s="32" t="n">
        <v>0</v>
      </c>
      <c r="Z91" s="31" t="n">
        <v>0</v>
      </c>
      <c r="AA91" s="32" t="n">
        <v>0</v>
      </c>
      <c r="AB91" s="32" t="n">
        <v>1</v>
      </c>
      <c r="AC91" s="32" t="n">
        <v>1</v>
      </c>
      <c r="AD91" s="32" t="n">
        <v>1</v>
      </c>
      <c r="AE91" s="31" t="n">
        <v>2</v>
      </c>
      <c r="AF91" s="32" t="n">
        <v>0</v>
      </c>
      <c r="AG91" s="31" t="n">
        <v>0</v>
      </c>
      <c r="AH91" s="32" t="n">
        <v>45</v>
      </c>
      <c r="AI91" s="31" t="n">
        <v>51.3</v>
      </c>
      <c r="AJ91" s="31" t="n">
        <v>49.3</v>
      </c>
      <c r="AK91" s="31" t="n">
        <v>3</v>
      </c>
      <c r="AL91" s="30" t="inlineStr">
        <is>
          <t>T-0240</t>
        </is>
      </c>
      <c r="AM91" s="30" t="inlineStr">
        <is>
          <t>I-01-03</t>
        </is>
      </c>
      <c r="AN91" s="30" t="inlineStr">
        <is>
          <t>T-0135</t>
        </is>
      </c>
      <c r="AO91" s="30" t="inlineStr">
        <is>
          <t>I-03-05</t>
        </is>
      </c>
    </row>
    <row r="92">
      <c r="A92" s="30" t="inlineStr">
        <is>
          <t>O0091</t>
        </is>
      </c>
      <c r="B92" s="30" t="inlineStr">
        <is>
          <t>I</t>
        </is>
      </c>
      <c r="C92" s="31" t="n">
        <v>1794.7</v>
      </c>
      <c r="D92" s="31" t="n">
        <v>4423</v>
      </c>
      <c r="E92" s="31" t="n">
        <v>4423</v>
      </c>
      <c r="F92" s="31" t="n">
        <v>4437.2</v>
      </c>
      <c r="G92" s="31" t="n">
        <v>4463.3</v>
      </c>
      <c r="H92" s="31" t="n">
        <v>4480.1</v>
      </c>
      <c r="I92" s="31" t="n">
        <v>4509</v>
      </c>
      <c r="J92" s="31" t="n">
        <v>4537.4</v>
      </c>
      <c r="K92" s="31" t="n">
        <v>2742.7</v>
      </c>
      <c r="L92" s="31" t="n">
        <v>2628.3</v>
      </c>
      <c r="M92" s="30" t="inlineStr">
        <is>
          <t>AMR2</t>
        </is>
      </c>
      <c r="N92" s="30" t="inlineStr">
        <is>
          <t>AMR2</t>
        </is>
      </c>
      <c r="O92" s="32" t="n">
        <v>0</v>
      </c>
      <c r="P92" s="32" t="n">
        <v>0</v>
      </c>
      <c r="Q92" s="32" t="n">
        <v>15</v>
      </c>
      <c r="R92" s="31" t="n">
        <v>37.8</v>
      </c>
      <c r="S92" s="31" t="n">
        <v>37.8</v>
      </c>
      <c r="T92" s="30" t="inlineStr">
        <is>
          <t>AMR2</t>
        </is>
      </c>
      <c r="U92" s="31" t="n">
        <v>52.5</v>
      </c>
      <c r="V92" s="31" t="n">
        <v>52.5</v>
      </c>
      <c r="W92" s="30" t="inlineStr">
        <is>
          <t>AMR2</t>
        </is>
      </c>
      <c r="X92" s="32" t="n">
        <v>0</v>
      </c>
      <c r="Y92" s="32" t="n">
        <v>0</v>
      </c>
      <c r="Z92" s="31" t="n">
        <v>0</v>
      </c>
      <c r="AA92" s="32" t="n">
        <v>0</v>
      </c>
      <c r="AB92" s="32" t="n">
        <v>1</v>
      </c>
      <c r="AC92" s="32" t="n">
        <v>1</v>
      </c>
      <c r="AD92" s="32" t="n">
        <v>0</v>
      </c>
      <c r="AE92" s="31" t="n">
        <v>0</v>
      </c>
      <c r="AF92" s="32" t="n">
        <v>0</v>
      </c>
      <c r="AG92" s="31" t="n">
        <v>0</v>
      </c>
      <c r="AH92" s="32" t="n">
        <v>43</v>
      </c>
      <c r="AI92" s="31" t="n">
        <v>50.1</v>
      </c>
      <c r="AJ92" s="31" t="n">
        <v>44.5</v>
      </c>
      <c r="AK92" s="31" t="n">
        <v>3</v>
      </c>
      <c r="AL92" s="30" t="inlineStr">
        <is>
          <t>T-0241</t>
        </is>
      </c>
      <c r="AM92" s="30" t="inlineStr">
        <is>
          <t>I-04-03</t>
        </is>
      </c>
      <c r="AN92" s="30" t="inlineStr">
        <is>
          <t>T-0154</t>
        </is>
      </c>
      <c r="AO92" s="30" t="inlineStr">
        <is>
          <t>I-01-01</t>
        </is>
      </c>
    </row>
    <row r="93">
      <c r="A93" s="30" t="inlineStr">
        <is>
          <t>O0092</t>
        </is>
      </c>
      <c r="B93" s="30" t="inlineStr">
        <is>
          <t>B</t>
        </is>
      </c>
      <c r="C93" s="31" t="n">
        <v>1818.3</v>
      </c>
      <c r="D93" s="31" t="n">
        <v>4437.3</v>
      </c>
      <c r="E93" s="31" t="n">
        <v>4437.3</v>
      </c>
      <c r="F93" s="31" t="n">
        <v>4450</v>
      </c>
      <c r="G93" s="31" t="n">
        <v>4474.9</v>
      </c>
      <c r="H93" s="31" t="n">
        <v>4488.9</v>
      </c>
      <c r="I93" s="31" t="n">
        <v>4518.4</v>
      </c>
      <c r="J93" s="31" t="n">
        <v>4551</v>
      </c>
      <c r="K93" s="31" t="n">
        <v>2732.7</v>
      </c>
      <c r="L93" s="31" t="n">
        <v>2619</v>
      </c>
      <c r="M93" s="30" t="inlineStr">
        <is>
          <t>AMR1</t>
        </is>
      </c>
      <c r="N93" s="30" t="inlineStr">
        <is>
          <t>AMR3</t>
        </is>
      </c>
      <c r="O93" s="32" t="n">
        <v>0</v>
      </c>
      <c r="P93" s="32" t="n">
        <v>0</v>
      </c>
      <c r="Q93" s="32" t="n">
        <v>15</v>
      </c>
      <c r="R93" s="31" t="n">
        <v>35.9</v>
      </c>
      <c r="S93" s="31" t="n">
        <v>35.9</v>
      </c>
      <c r="T93" s="30" t="inlineStr">
        <is>
          <t>AMR1</t>
        </is>
      </c>
      <c r="U93" s="31" t="n">
        <v>54.7</v>
      </c>
      <c r="V93" s="31" t="n">
        <v>54.7</v>
      </c>
      <c r="W93" s="30" t="inlineStr">
        <is>
          <t>AMR3</t>
        </is>
      </c>
      <c r="X93" s="32" t="n">
        <v>0</v>
      </c>
      <c r="Y93" s="32" t="n">
        <v>0</v>
      </c>
      <c r="Z93" s="31" t="n">
        <v>0</v>
      </c>
      <c r="AA93" s="32" t="n">
        <v>0</v>
      </c>
      <c r="AB93" s="32" t="n">
        <v>1</v>
      </c>
      <c r="AC93" s="32" t="n">
        <v>1</v>
      </c>
      <c r="AD93" s="32" t="n">
        <v>1</v>
      </c>
      <c r="AE93" s="31" t="n">
        <v>4.5</v>
      </c>
      <c r="AF93" s="32" t="n">
        <v>0</v>
      </c>
      <c r="AG93" s="31" t="n">
        <v>0</v>
      </c>
      <c r="AH93" s="32" t="n">
        <v>44</v>
      </c>
      <c r="AI93" s="31" t="n">
        <v>48.9</v>
      </c>
      <c r="AJ93" s="31" t="n">
        <v>43.3</v>
      </c>
      <c r="AK93" s="31" t="n">
        <v>7.5</v>
      </c>
      <c r="AL93" s="30" t="inlineStr">
        <is>
          <t>T-0242</t>
        </is>
      </c>
      <c r="AM93" s="30" t="inlineStr">
        <is>
          <t>B-03-01</t>
        </is>
      </c>
      <c r="AN93" s="30" t="inlineStr">
        <is>
          <t>T-0028</t>
        </is>
      </c>
      <c r="AO93" s="30" t="inlineStr">
        <is>
          <t>B-06-05</t>
        </is>
      </c>
    </row>
    <row r="94">
      <c r="A94" s="30" t="inlineStr">
        <is>
          <t>O0093</t>
        </is>
      </c>
      <c r="B94" s="30" t="inlineStr">
        <is>
          <t>D</t>
        </is>
      </c>
      <c r="C94" s="31" t="n">
        <v>1833.9</v>
      </c>
      <c r="D94" s="31" t="n">
        <v>4495.4</v>
      </c>
      <c r="E94" s="31" t="n">
        <v>4495.4</v>
      </c>
      <c r="F94" s="31" t="n">
        <v>4508.1</v>
      </c>
      <c r="G94" s="31" t="n">
        <v>4529.3</v>
      </c>
      <c r="H94" s="31" t="n">
        <v>4542.1</v>
      </c>
      <c r="I94" s="31" t="n">
        <v>4578.1</v>
      </c>
      <c r="J94" s="31" t="n">
        <v>4610.9</v>
      </c>
      <c r="K94" s="31" t="n">
        <v>2777</v>
      </c>
      <c r="L94" s="31" t="n">
        <v>2661.5</v>
      </c>
      <c r="M94" s="30" t="inlineStr">
        <is>
          <t>AMR1</t>
        </is>
      </c>
      <c r="N94" s="30" t="inlineStr">
        <is>
          <t>AMR1</t>
        </is>
      </c>
      <c r="O94" s="32" t="n">
        <v>0</v>
      </c>
      <c r="P94" s="32" t="n">
        <v>0</v>
      </c>
      <c r="Q94" s="32" t="n">
        <v>13</v>
      </c>
      <c r="R94" s="31" t="n">
        <v>33</v>
      </c>
      <c r="S94" s="31" t="n">
        <v>33</v>
      </c>
      <c r="T94" s="30" t="inlineStr">
        <is>
          <t>AMR1</t>
        </is>
      </c>
      <c r="U94" s="31" t="n">
        <v>56.7</v>
      </c>
      <c r="V94" s="31" t="n">
        <v>56.7</v>
      </c>
      <c r="W94" s="30" t="inlineStr">
        <is>
          <t>AMR1</t>
        </is>
      </c>
      <c r="X94" s="32" t="n">
        <v>0</v>
      </c>
      <c r="Y94" s="32" t="n">
        <v>0</v>
      </c>
      <c r="Z94" s="31" t="n">
        <v>0</v>
      </c>
      <c r="AA94" s="32" t="n">
        <v>0</v>
      </c>
      <c r="AB94" s="32" t="n">
        <v>0</v>
      </c>
      <c r="AC94" s="32" t="n">
        <v>1</v>
      </c>
      <c r="AD94" s="32" t="n">
        <v>1</v>
      </c>
      <c r="AE94" s="31" t="n">
        <v>2</v>
      </c>
      <c r="AF94" s="32" t="n">
        <v>0</v>
      </c>
      <c r="AG94" s="31" t="n">
        <v>0</v>
      </c>
      <c r="AH94" s="32" t="n">
        <v>47</v>
      </c>
      <c r="AI94" s="31" t="n">
        <v>52.7</v>
      </c>
      <c r="AJ94" s="31" t="n">
        <v>47</v>
      </c>
      <c r="AK94" s="31" t="n">
        <v>3</v>
      </c>
      <c r="AL94" s="30" t="inlineStr">
        <is>
          <t>T-0243</t>
        </is>
      </c>
      <c r="AM94" s="30" t="inlineStr">
        <is>
          <t>D-02-03</t>
        </is>
      </c>
      <c r="AN94" s="30" t="inlineStr">
        <is>
          <t>T-0057</t>
        </is>
      </c>
      <c r="AO94" s="30" t="inlineStr">
        <is>
          <t>D-05-02</t>
        </is>
      </c>
    </row>
    <row r="95">
      <c r="A95" s="30" t="inlineStr">
        <is>
          <t>O0094</t>
        </is>
      </c>
      <c r="B95" s="30" t="inlineStr">
        <is>
          <t>J</t>
        </is>
      </c>
      <c r="C95" s="31" t="n">
        <v>1850.1</v>
      </c>
      <c r="D95" s="31" t="n">
        <v>4566.7</v>
      </c>
      <c r="E95" s="31" t="n">
        <v>4566.7</v>
      </c>
      <c r="F95" s="31" t="n">
        <v>4580.3</v>
      </c>
      <c r="G95" s="31" t="n">
        <v>4609.7</v>
      </c>
      <c r="H95" s="31" t="n">
        <v>4629.9</v>
      </c>
      <c r="I95" s="31" t="n">
        <v>4667.5</v>
      </c>
      <c r="J95" s="31" t="n">
        <v>4716.8</v>
      </c>
      <c r="K95" s="31" t="n">
        <v>2866.7</v>
      </c>
      <c r="L95" s="31" t="n">
        <v>2716.6</v>
      </c>
      <c r="M95" s="30" t="inlineStr">
        <is>
          <t>AMR2</t>
        </is>
      </c>
      <c r="N95" s="30" t="inlineStr">
        <is>
          <t>AMR2</t>
        </is>
      </c>
      <c r="O95" s="32" t="n">
        <v>0</v>
      </c>
      <c r="P95" s="32" t="n">
        <v>0</v>
      </c>
      <c r="Q95" s="32" t="n">
        <v>21</v>
      </c>
      <c r="R95" s="31" t="n">
        <v>42.1</v>
      </c>
      <c r="S95" s="31" t="n">
        <v>42.1</v>
      </c>
      <c r="T95" s="30" t="inlineStr">
        <is>
          <t>AMR2</t>
        </is>
      </c>
      <c r="U95" s="31" t="n">
        <v>62.6</v>
      </c>
      <c r="V95" s="31" t="n">
        <v>62.6</v>
      </c>
      <c r="W95" s="30" t="inlineStr">
        <is>
          <t>AMR2</t>
        </is>
      </c>
      <c r="X95" s="32" t="n">
        <v>0</v>
      </c>
      <c r="Y95" s="32" t="n">
        <v>0</v>
      </c>
      <c r="Z95" s="31" t="n">
        <v>0</v>
      </c>
      <c r="AA95" s="32" t="n">
        <v>0</v>
      </c>
      <c r="AB95" s="32" t="n">
        <v>2</v>
      </c>
      <c r="AC95" s="32" t="n">
        <v>1</v>
      </c>
      <c r="AD95" s="32" t="n">
        <v>1</v>
      </c>
      <c r="AE95" s="31" t="n">
        <v>11.4</v>
      </c>
      <c r="AF95" s="32" t="n">
        <v>1</v>
      </c>
      <c r="AG95" s="31" t="n">
        <v>6.4</v>
      </c>
      <c r="AH95" s="32" t="n">
        <v>63</v>
      </c>
      <c r="AI95" s="31" t="n">
        <v>68</v>
      </c>
      <c r="AJ95" s="31" t="n">
        <v>44.1</v>
      </c>
      <c r="AK95" s="31" t="n">
        <v>17.8</v>
      </c>
      <c r="AL95" s="30" t="inlineStr">
        <is>
          <t>T-0244</t>
        </is>
      </c>
      <c r="AM95" s="30" t="inlineStr">
        <is>
          <t>J-02-02</t>
        </is>
      </c>
      <c r="AN95" s="30" t="inlineStr">
        <is>
          <t>T-0142</t>
        </is>
      </c>
      <c r="AO95" s="30" t="inlineStr">
        <is>
          <t>J-05-01</t>
        </is>
      </c>
    </row>
    <row r="96">
      <c r="A96" s="30" t="inlineStr">
        <is>
          <t>O0095</t>
        </is>
      </c>
      <c r="B96" s="30" t="inlineStr">
        <is>
          <t>A</t>
        </is>
      </c>
      <c r="C96" s="31" t="n">
        <v>1870.9</v>
      </c>
      <c r="D96" s="31" t="n">
        <v>4580.3</v>
      </c>
      <c r="E96" s="31" t="n">
        <v>4580.3</v>
      </c>
      <c r="F96" s="31" t="n">
        <v>4594.8</v>
      </c>
      <c r="G96" s="31" t="n">
        <v>4625.3</v>
      </c>
      <c r="H96" s="31" t="n">
        <v>4638.8</v>
      </c>
      <c r="I96" s="31" t="n">
        <v>4664.6</v>
      </c>
      <c r="J96" s="31" t="n">
        <v>4701.8</v>
      </c>
      <c r="K96" s="31" t="n">
        <v>2830.9</v>
      </c>
      <c r="L96" s="31" t="n">
        <v>2709.4</v>
      </c>
      <c r="M96" s="30" t="inlineStr">
        <is>
          <t>AMR3</t>
        </is>
      </c>
      <c r="N96" s="30" t="inlineStr">
        <is>
          <t>AMR1</t>
        </is>
      </c>
      <c r="O96" s="32" t="n">
        <v>0</v>
      </c>
      <c r="P96" s="32" t="n">
        <v>0</v>
      </c>
      <c r="Q96" s="32" t="n">
        <v>21</v>
      </c>
      <c r="R96" s="31" t="n">
        <v>42.5</v>
      </c>
      <c r="S96" s="31" t="n">
        <v>42.5</v>
      </c>
      <c r="T96" s="30" t="inlineStr">
        <is>
          <t>AMR3</t>
        </is>
      </c>
      <c r="U96" s="31" t="n">
        <v>62.2</v>
      </c>
      <c r="V96" s="31" t="n">
        <v>62.2</v>
      </c>
      <c r="W96" s="30" t="inlineStr">
        <is>
          <t>AMR1</t>
        </is>
      </c>
      <c r="X96" s="32" t="n">
        <v>0</v>
      </c>
      <c r="Y96" s="32" t="n">
        <v>0</v>
      </c>
      <c r="Z96" s="31" t="n">
        <v>0</v>
      </c>
      <c r="AA96" s="32" t="n">
        <v>0</v>
      </c>
      <c r="AB96" s="32" t="n">
        <v>1</v>
      </c>
      <c r="AC96" s="32" t="n">
        <v>0</v>
      </c>
      <c r="AD96" s="32" t="n">
        <v>0</v>
      </c>
      <c r="AE96" s="31" t="n">
        <v>0</v>
      </c>
      <c r="AF96" s="32" t="n">
        <v>0</v>
      </c>
      <c r="AG96" s="31" t="n">
        <v>0</v>
      </c>
      <c r="AH96" s="32" t="n">
        <v>67</v>
      </c>
      <c r="AI96" s="31" t="n">
        <v>65.40000000000001</v>
      </c>
      <c r="AJ96" s="31" t="n">
        <v>42.6</v>
      </c>
      <c r="AK96" s="31" t="n">
        <v>0</v>
      </c>
      <c r="AL96" s="30" t="inlineStr">
        <is>
          <t>T-0245</t>
        </is>
      </c>
      <c r="AM96" s="30" t="inlineStr">
        <is>
          <t>A-01-03</t>
        </is>
      </c>
      <c r="AN96" s="30" t="inlineStr">
        <is>
          <t>T-0013</t>
        </is>
      </c>
      <c r="AO96" s="30" t="inlineStr">
        <is>
          <t>A-03-04</t>
        </is>
      </c>
    </row>
    <row r="97">
      <c r="A97" s="30" t="inlineStr">
        <is>
          <t>O0096</t>
        </is>
      </c>
      <c r="B97" s="30" t="inlineStr">
        <is>
          <t>J</t>
        </is>
      </c>
      <c r="C97" s="31" t="n">
        <v>1890.1</v>
      </c>
      <c r="D97" s="31" t="n">
        <v>4646.9</v>
      </c>
      <c r="E97" s="31" t="n">
        <v>4646.9</v>
      </c>
      <c r="F97" s="31" t="n">
        <v>4660.4</v>
      </c>
      <c r="G97" s="31" t="n">
        <v>4690.1</v>
      </c>
      <c r="H97" s="31" t="n">
        <v>4711.6</v>
      </c>
      <c r="I97" s="31" t="n">
        <v>4742.3</v>
      </c>
      <c r="J97" s="31" t="n">
        <v>4776.7</v>
      </c>
      <c r="K97" s="31" t="n">
        <v>2886.6</v>
      </c>
      <c r="L97" s="31" t="n">
        <v>2756.8</v>
      </c>
      <c r="M97" s="30" t="inlineStr">
        <is>
          <t>AMR3</t>
        </is>
      </c>
      <c r="N97" s="30" t="inlineStr">
        <is>
          <t>AMR3</t>
        </is>
      </c>
      <c r="O97" s="32" t="n">
        <v>0</v>
      </c>
      <c r="P97" s="32" t="n">
        <v>0</v>
      </c>
      <c r="Q97" s="32" t="n">
        <v>21</v>
      </c>
      <c r="R97" s="31" t="n">
        <v>41.5</v>
      </c>
      <c r="S97" s="31" t="n">
        <v>41.5</v>
      </c>
      <c r="T97" s="30" t="inlineStr">
        <is>
          <t>AMR3</t>
        </is>
      </c>
      <c r="U97" s="31" t="n">
        <v>60.3</v>
      </c>
      <c r="V97" s="31" t="n">
        <v>60.3</v>
      </c>
      <c r="W97" s="30" t="inlineStr">
        <is>
          <t>AMR3</t>
        </is>
      </c>
      <c r="X97" s="32" t="n">
        <v>0</v>
      </c>
      <c r="Y97" s="32" t="n">
        <v>0</v>
      </c>
      <c r="Z97" s="31" t="n">
        <v>0</v>
      </c>
      <c r="AA97" s="32" t="n">
        <v>0</v>
      </c>
      <c r="AB97" s="32" t="n">
        <v>0</v>
      </c>
      <c r="AC97" s="32" t="n">
        <v>0</v>
      </c>
      <c r="AD97" s="32" t="n">
        <v>0</v>
      </c>
      <c r="AE97" s="31" t="n">
        <v>0</v>
      </c>
      <c r="AF97" s="32" t="n">
        <v>0</v>
      </c>
      <c r="AG97" s="31" t="n">
        <v>0</v>
      </c>
      <c r="AH97" s="32" t="n">
        <v>66</v>
      </c>
      <c r="AI97" s="31" t="n">
        <v>67.09999999999999</v>
      </c>
      <c r="AJ97" s="31" t="n">
        <v>41.2</v>
      </c>
      <c r="AK97" s="31" t="n">
        <v>0</v>
      </c>
      <c r="AL97" s="30" t="inlineStr">
        <is>
          <t>T-0246</t>
        </is>
      </c>
      <c r="AM97" s="30" t="inlineStr">
        <is>
          <t>J-03-02</t>
        </is>
      </c>
      <c r="AN97" s="30" t="inlineStr">
        <is>
          <t>T-0143</t>
        </is>
      </c>
      <c r="AO97" s="30" t="inlineStr">
        <is>
          <t>J-06-04</t>
        </is>
      </c>
    </row>
    <row r="98">
      <c r="A98" s="30" t="inlineStr">
        <is>
          <t>O0097</t>
        </is>
      </c>
      <c r="B98" s="30" t="inlineStr">
        <is>
          <t>E</t>
        </is>
      </c>
      <c r="C98" s="31" t="n">
        <v>1910.3</v>
      </c>
      <c r="D98" s="31" t="n">
        <v>4725.5</v>
      </c>
      <c r="E98" s="31" t="n">
        <v>4725.5</v>
      </c>
      <c r="F98" s="31" t="n">
        <v>4739.6</v>
      </c>
      <c r="G98" s="31" t="n">
        <v>4768.3</v>
      </c>
      <c r="H98" s="31" t="n">
        <v>4788.5</v>
      </c>
      <c r="I98" s="31" t="n">
        <v>4814.4</v>
      </c>
      <c r="J98" s="31" t="n">
        <v>4848.1</v>
      </c>
      <c r="K98" s="31" t="n">
        <v>2937.8</v>
      </c>
      <c r="L98" s="31" t="n">
        <v>2815.2</v>
      </c>
      <c r="M98" s="30" t="inlineStr">
        <is>
          <t>AMR1</t>
        </is>
      </c>
      <c r="N98" s="30" t="inlineStr">
        <is>
          <t>AMR1</t>
        </is>
      </c>
      <c r="O98" s="32" t="n">
        <v>0</v>
      </c>
      <c r="P98" s="32" t="n">
        <v>0</v>
      </c>
      <c r="Q98" s="32" t="n">
        <v>19</v>
      </c>
      <c r="R98" s="31" t="n">
        <v>40.3</v>
      </c>
      <c r="S98" s="31" t="n">
        <v>40.3</v>
      </c>
      <c r="T98" s="30" t="inlineStr">
        <is>
          <t>AMR1</t>
        </is>
      </c>
      <c r="U98" s="31" t="n">
        <v>57.8</v>
      </c>
      <c r="V98" s="31" t="n">
        <v>57.8</v>
      </c>
      <c r="W98" s="30" t="inlineStr">
        <is>
          <t>AMR1</t>
        </is>
      </c>
      <c r="X98" s="32" t="n">
        <v>0</v>
      </c>
      <c r="Y98" s="32" t="n">
        <v>0</v>
      </c>
      <c r="Z98" s="31" t="n">
        <v>0</v>
      </c>
      <c r="AA98" s="32" t="n">
        <v>0</v>
      </c>
      <c r="AB98" s="32" t="n">
        <v>0</v>
      </c>
      <c r="AC98" s="32" t="n">
        <v>0</v>
      </c>
      <c r="AD98" s="32" t="n">
        <v>0</v>
      </c>
      <c r="AE98" s="31" t="n">
        <v>0</v>
      </c>
      <c r="AF98" s="32" t="n">
        <v>0</v>
      </c>
      <c r="AG98" s="31" t="n">
        <v>0</v>
      </c>
      <c r="AH98" s="32" t="n">
        <v>61</v>
      </c>
      <c r="AI98" s="31" t="n">
        <v>61.8</v>
      </c>
      <c r="AJ98" s="31" t="n">
        <v>40.6</v>
      </c>
      <c r="AK98" s="31" t="n">
        <v>0</v>
      </c>
      <c r="AL98" s="30" t="inlineStr">
        <is>
          <t>T-0247</t>
        </is>
      </c>
      <c r="AM98" s="30" t="inlineStr">
        <is>
          <t>E-05-02</t>
        </is>
      </c>
      <c r="AN98" s="30" t="inlineStr">
        <is>
          <t>T-0067</t>
        </is>
      </c>
      <c r="AO98" s="30" t="inlineStr">
        <is>
          <t>E-03-03</t>
        </is>
      </c>
    </row>
    <row r="99">
      <c r="A99" s="30" t="inlineStr">
        <is>
          <t>O0098</t>
        </is>
      </c>
      <c r="B99" s="30" t="inlineStr">
        <is>
          <t>F</t>
        </is>
      </c>
      <c r="C99" s="31" t="n">
        <v>1932</v>
      </c>
      <c r="D99" s="31" t="n">
        <v>4740.5</v>
      </c>
      <c r="E99" s="31" t="n">
        <v>4740.5</v>
      </c>
      <c r="F99" s="31" t="n">
        <v>4751.5</v>
      </c>
      <c r="G99" s="31" t="n">
        <v>4786.3</v>
      </c>
      <c r="H99" s="31" t="n">
        <v>4800.4</v>
      </c>
      <c r="I99" s="31" t="n">
        <v>4830</v>
      </c>
      <c r="J99" s="31" t="n">
        <v>4864.9</v>
      </c>
      <c r="K99" s="31" t="n">
        <v>2932.9</v>
      </c>
      <c r="L99" s="31" t="n">
        <v>2808.5</v>
      </c>
      <c r="M99" s="30" t="inlineStr">
        <is>
          <t>AMR2</t>
        </is>
      </c>
      <c r="N99" s="30" t="inlineStr">
        <is>
          <t>AMR3</t>
        </is>
      </c>
      <c r="O99" s="32" t="n">
        <v>0</v>
      </c>
      <c r="P99" s="32" t="n">
        <v>0</v>
      </c>
      <c r="Q99" s="32" t="n">
        <v>23</v>
      </c>
      <c r="R99" s="31" t="n">
        <v>43.3</v>
      </c>
      <c r="S99" s="31" t="n">
        <v>43.3</v>
      </c>
      <c r="T99" s="30" t="inlineStr">
        <is>
          <t>AMR2</t>
        </is>
      </c>
      <c r="U99" s="31" t="n">
        <v>65.2</v>
      </c>
      <c r="V99" s="31" t="n">
        <v>65.2</v>
      </c>
      <c r="W99" s="30" t="inlineStr">
        <is>
          <t>AMR3</t>
        </is>
      </c>
      <c r="X99" s="32" t="n">
        <v>0</v>
      </c>
      <c r="Y99" s="32" t="n">
        <v>0</v>
      </c>
      <c r="Z99" s="31" t="n">
        <v>0</v>
      </c>
      <c r="AA99" s="32" t="n">
        <v>0</v>
      </c>
      <c r="AB99" s="32" t="n">
        <v>0</v>
      </c>
      <c r="AC99" s="32" t="n">
        <v>0</v>
      </c>
      <c r="AD99" s="32" t="n">
        <v>0</v>
      </c>
      <c r="AE99" s="31" t="n">
        <v>0</v>
      </c>
      <c r="AF99" s="32" t="n">
        <v>0</v>
      </c>
      <c r="AG99" s="31" t="n">
        <v>0</v>
      </c>
      <c r="AH99" s="32" t="n">
        <v>67</v>
      </c>
      <c r="AI99" s="31" t="n">
        <v>67</v>
      </c>
      <c r="AJ99" s="31" t="n">
        <v>43.3</v>
      </c>
      <c r="AK99" s="31" t="n">
        <v>0</v>
      </c>
      <c r="AL99" s="30" t="inlineStr">
        <is>
          <t>T-0248</t>
        </is>
      </c>
      <c r="AM99" s="30" t="inlineStr">
        <is>
          <t>F-02-03</t>
        </is>
      </c>
      <c r="AN99" s="30" t="inlineStr">
        <is>
          <t>T-0084</t>
        </is>
      </c>
      <c r="AO99" s="30" t="inlineStr">
        <is>
          <t>F-04-02</t>
        </is>
      </c>
    </row>
    <row r="100">
      <c r="A100" s="30" t="inlineStr">
        <is>
          <t>O0099</t>
        </is>
      </c>
      <c r="B100" s="30" t="inlineStr">
        <is>
          <t>C</t>
        </is>
      </c>
      <c r="C100" s="31" t="n">
        <v>1949.7</v>
      </c>
      <c r="D100" s="31" t="n">
        <v>4809.9</v>
      </c>
      <c r="E100" s="31" t="n">
        <v>4809.9</v>
      </c>
      <c r="F100" s="31" t="n">
        <v>4823</v>
      </c>
      <c r="G100" s="31" t="n">
        <v>4842.4</v>
      </c>
      <c r="H100" s="31" t="n">
        <v>4854.6</v>
      </c>
      <c r="I100" s="31" t="n">
        <v>4874.5</v>
      </c>
      <c r="J100" s="31" t="n">
        <v>4900.3</v>
      </c>
      <c r="K100" s="31" t="n">
        <v>2950.6</v>
      </c>
      <c r="L100" s="31" t="n">
        <v>2860.2</v>
      </c>
      <c r="M100" s="30" t="inlineStr">
        <is>
          <t>AMR2</t>
        </is>
      </c>
      <c r="N100" s="30" t="inlineStr">
        <is>
          <t>AMR2</t>
        </is>
      </c>
      <c r="O100" s="32" t="n">
        <v>0</v>
      </c>
      <c r="P100" s="32" t="n">
        <v>0</v>
      </c>
      <c r="Q100" s="32" t="n">
        <v>13</v>
      </c>
      <c r="R100" s="31" t="n">
        <v>31.6</v>
      </c>
      <c r="S100" s="31" t="n">
        <v>31.6</v>
      </c>
      <c r="T100" s="30" t="inlineStr">
        <is>
          <t>AMR2</t>
        </is>
      </c>
      <c r="U100" s="31" t="n">
        <v>46.4</v>
      </c>
      <c r="V100" s="31" t="n">
        <v>46.4</v>
      </c>
      <c r="W100" s="30" t="inlineStr">
        <is>
          <t>AMR2</t>
        </is>
      </c>
      <c r="X100" s="32" t="n">
        <v>0</v>
      </c>
      <c r="Y100" s="32" t="n">
        <v>0</v>
      </c>
      <c r="Z100" s="31" t="n">
        <v>0</v>
      </c>
      <c r="AA100" s="32" t="n">
        <v>0</v>
      </c>
      <c r="AB100" s="32" t="n">
        <v>0</v>
      </c>
      <c r="AC100" s="32" t="n">
        <v>0</v>
      </c>
      <c r="AD100" s="32" t="n">
        <v>0</v>
      </c>
      <c r="AE100" s="31" t="n">
        <v>0</v>
      </c>
      <c r="AF100" s="32" t="n">
        <v>0</v>
      </c>
      <c r="AG100" s="31" t="n">
        <v>0</v>
      </c>
      <c r="AH100" s="32" t="n">
        <v>39</v>
      </c>
      <c r="AI100" s="31" t="n">
        <v>42.4</v>
      </c>
      <c r="AJ100" s="31" t="n">
        <v>35.8</v>
      </c>
      <c r="AK100" s="31" t="n">
        <v>0</v>
      </c>
      <c r="AL100" s="30" t="inlineStr">
        <is>
          <t>T-0249</t>
        </is>
      </c>
      <c r="AM100" s="30" t="inlineStr">
        <is>
          <t>C-02-02</t>
        </is>
      </c>
      <c r="AN100" s="30" t="inlineStr">
        <is>
          <t>T-0037</t>
        </is>
      </c>
      <c r="AO100" s="30" t="inlineStr">
        <is>
          <t>C-05-02</t>
        </is>
      </c>
    </row>
    <row r="101">
      <c r="A101" s="30" t="inlineStr">
        <is>
          <t>O0100</t>
        </is>
      </c>
      <c r="B101" s="30" t="inlineStr">
        <is>
          <t>H</t>
        </is>
      </c>
      <c r="C101" s="31" t="n">
        <v>1971.2</v>
      </c>
      <c r="D101" s="31" t="n">
        <v>4871.8</v>
      </c>
      <c r="E101" s="31" t="n">
        <v>4871.8</v>
      </c>
      <c r="F101" s="31" t="n">
        <v>4888</v>
      </c>
      <c r="G101" s="31" t="n">
        <v>4913.9</v>
      </c>
      <c r="H101" s="31" t="n">
        <v>4924</v>
      </c>
      <c r="I101" s="31" t="n">
        <v>4959</v>
      </c>
      <c r="J101" s="31" t="n">
        <v>4985</v>
      </c>
      <c r="K101" s="31" t="n">
        <v>3013.8</v>
      </c>
      <c r="L101" s="31" t="n">
        <v>2900.6</v>
      </c>
      <c r="M101" s="30" t="inlineStr">
        <is>
          <t>AMR1</t>
        </is>
      </c>
      <c r="N101" s="30" t="inlineStr">
        <is>
          <t>AMR2</t>
        </is>
      </c>
      <c r="O101" s="32" t="n">
        <v>0</v>
      </c>
      <c r="P101" s="32" t="n">
        <v>0</v>
      </c>
      <c r="Q101" s="32" t="n">
        <v>15</v>
      </c>
      <c r="R101" s="31" t="n">
        <v>41.2</v>
      </c>
      <c r="S101" s="31" t="n">
        <v>41.2</v>
      </c>
      <c r="T101" s="30" t="inlineStr">
        <is>
          <t>AMR1</t>
        </is>
      </c>
      <c r="U101" s="31" t="n">
        <v>50.7</v>
      </c>
      <c r="V101" s="31" t="n">
        <v>50.7</v>
      </c>
      <c r="W101" s="30" t="inlineStr">
        <is>
          <t>AMR2</t>
        </is>
      </c>
      <c r="X101" s="32" t="n">
        <v>0</v>
      </c>
      <c r="Y101" s="32" t="n">
        <v>0</v>
      </c>
      <c r="Z101" s="31" t="n">
        <v>0</v>
      </c>
      <c r="AA101" s="32" t="n">
        <v>0</v>
      </c>
      <c r="AB101" s="32" t="n">
        <v>2</v>
      </c>
      <c r="AC101" s="32" t="n">
        <v>2</v>
      </c>
      <c r="AD101" s="32" t="n">
        <v>0</v>
      </c>
      <c r="AE101" s="31" t="n">
        <v>0</v>
      </c>
      <c r="AF101" s="32" t="n">
        <v>1</v>
      </c>
      <c r="AG101" s="31" t="n">
        <v>0.1</v>
      </c>
      <c r="AH101" s="32" t="n">
        <v>43</v>
      </c>
      <c r="AI101" s="31" t="n">
        <v>48.4</v>
      </c>
      <c r="AJ101" s="31" t="n">
        <v>46.6</v>
      </c>
      <c r="AK101" s="31" t="n">
        <v>8.1</v>
      </c>
      <c r="AL101" s="30" t="inlineStr">
        <is>
          <t>T-0250</t>
        </is>
      </c>
      <c r="AM101" s="30" t="inlineStr">
        <is>
          <t>H-01-01</t>
        </is>
      </c>
      <c r="AN101" s="30" t="inlineStr">
        <is>
          <t>T-0114</t>
        </is>
      </c>
      <c r="AO101" s="30" t="inlineStr">
        <is>
          <t>H-02-03</t>
        </is>
      </c>
    </row>
    <row r="102">
      <c r="A102" s="30" t="inlineStr">
        <is>
          <t>O0101</t>
        </is>
      </c>
      <c r="B102" s="30" t="inlineStr">
        <is>
          <t>B</t>
        </is>
      </c>
      <c r="C102" s="31" t="n">
        <v>1995.4</v>
      </c>
      <c r="D102" s="31" t="n">
        <v>4888.6</v>
      </c>
      <c r="E102" s="31" t="n">
        <v>4888.6</v>
      </c>
      <c r="F102" s="31" t="n">
        <v>4901.5</v>
      </c>
      <c r="G102" s="31" t="n">
        <v>4927.9</v>
      </c>
      <c r="H102" s="31" t="n">
        <v>4934.5</v>
      </c>
      <c r="I102" s="31" t="n">
        <v>4959.9</v>
      </c>
      <c r="J102" s="31" t="n">
        <v>4996.7</v>
      </c>
      <c r="K102" s="31" t="n">
        <v>3001.3</v>
      </c>
      <c r="L102" s="31" t="n">
        <v>2893.2</v>
      </c>
      <c r="M102" s="30" t="inlineStr">
        <is>
          <t>AMR3</t>
        </is>
      </c>
      <c r="N102" s="30" t="inlineStr">
        <is>
          <t>AMR1</t>
        </is>
      </c>
      <c r="O102" s="32" t="n">
        <v>0</v>
      </c>
      <c r="P102" s="32" t="n">
        <v>0</v>
      </c>
      <c r="Q102" s="32" t="n">
        <v>15</v>
      </c>
      <c r="R102" s="31" t="n">
        <v>37.6</v>
      </c>
      <c r="S102" s="31" t="n">
        <v>37.6</v>
      </c>
      <c r="T102" s="30" t="inlineStr">
        <is>
          <t>AMR3</t>
        </is>
      </c>
      <c r="U102" s="31" t="n">
        <v>50.2</v>
      </c>
      <c r="V102" s="31" t="n">
        <v>50.2</v>
      </c>
      <c r="W102" s="30" t="inlineStr">
        <is>
          <t>AMR1</t>
        </is>
      </c>
      <c r="X102" s="32" t="n">
        <v>0</v>
      </c>
      <c r="Y102" s="32" t="n">
        <v>0</v>
      </c>
      <c r="Z102" s="31" t="n">
        <v>0</v>
      </c>
      <c r="AA102" s="32" t="n">
        <v>0</v>
      </c>
      <c r="AB102" s="32" t="n">
        <v>0</v>
      </c>
      <c r="AC102" s="32" t="n">
        <v>0</v>
      </c>
      <c r="AD102" s="32" t="n">
        <v>1</v>
      </c>
      <c r="AE102" s="31" t="n">
        <v>8.6</v>
      </c>
      <c r="AF102" s="32" t="n">
        <v>1</v>
      </c>
      <c r="AG102" s="31" t="n">
        <v>3.6</v>
      </c>
      <c r="AH102" s="32" t="n">
        <v>48</v>
      </c>
      <c r="AI102" s="31" t="n">
        <v>50.8</v>
      </c>
      <c r="AJ102" s="31" t="n">
        <v>40.5</v>
      </c>
      <c r="AK102" s="31" t="n">
        <v>10.2</v>
      </c>
      <c r="AL102" s="30" t="inlineStr">
        <is>
          <t>T-0251</t>
        </is>
      </c>
      <c r="AM102" s="30" t="inlineStr">
        <is>
          <t>B-03-03</t>
        </is>
      </c>
      <c r="AN102" s="30" t="inlineStr">
        <is>
          <t>T-0029</t>
        </is>
      </c>
      <c r="AO102" s="30" t="inlineStr">
        <is>
          <t>B-03-05</t>
        </is>
      </c>
    </row>
    <row r="103">
      <c r="A103" s="30" t="inlineStr">
        <is>
          <t>O0102</t>
        </is>
      </c>
      <c r="B103" s="30" t="inlineStr">
        <is>
          <t>J</t>
        </is>
      </c>
      <c r="C103" s="31" t="n">
        <v>2015</v>
      </c>
      <c r="D103" s="31" t="n">
        <v>4948.5</v>
      </c>
      <c r="E103" s="31" t="n">
        <v>4948.5</v>
      </c>
      <c r="F103" s="31" t="n">
        <v>4962.5</v>
      </c>
      <c r="G103" s="31" t="n">
        <v>4996.5</v>
      </c>
      <c r="H103" s="31" t="n">
        <v>5008.7</v>
      </c>
      <c r="I103" s="31" t="n">
        <v>5038.6</v>
      </c>
      <c r="J103" s="31" t="n">
        <v>5071.1</v>
      </c>
      <c r="K103" s="31" t="n">
        <v>3056.1</v>
      </c>
      <c r="L103" s="31" t="n">
        <v>2933.5</v>
      </c>
      <c r="M103" s="30" t="inlineStr">
        <is>
          <t>AMR3</t>
        </is>
      </c>
      <c r="N103" s="30" t="inlineStr">
        <is>
          <t>AMR2</t>
        </is>
      </c>
      <c r="O103" s="32" t="n">
        <v>0</v>
      </c>
      <c r="P103" s="32" t="n">
        <v>0</v>
      </c>
      <c r="Q103" s="32" t="n">
        <v>21</v>
      </c>
      <c r="R103" s="31" t="n">
        <v>45.5</v>
      </c>
      <c r="S103" s="31" t="n">
        <v>45.5</v>
      </c>
      <c r="T103" s="30" t="inlineStr">
        <is>
          <t>AMR3</t>
        </is>
      </c>
      <c r="U103" s="31" t="n">
        <v>59.1</v>
      </c>
      <c r="V103" s="31" t="n">
        <v>59.1</v>
      </c>
      <c r="W103" s="30" t="inlineStr">
        <is>
          <t>AMR2</t>
        </is>
      </c>
      <c r="X103" s="32" t="n">
        <v>0</v>
      </c>
      <c r="Y103" s="32" t="n">
        <v>0</v>
      </c>
      <c r="Z103" s="31" t="n">
        <v>0</v>
      </c>
      <c r="AA103" s="32" t="n">
        <v>0</v>
      </c>
      <c r="AB103" s="32" t="n">
        <v>0</v>
      </c>
      <c r="AC103" s="32" t="n">
        <v>0</v>
      </c>
      <c r="AD103" s="32" t="n">
        <v>0</v>
      </c>
      <c r="AE103" s="31" t="n">
        <v>0</v>
      </c>
      <c r="AF103" s="32" t="n">
        <v>0</v>
      </c>
      <c r="AG103" s="31" t="n">
        <v>0</v>
      </c>
      <c r="AH103" s="32" t="n">
        <v>65</v>
      </c>
      <c r="AI103" s="31" t="n">
        <v>66.40000000000001</v>
      </c>
      <c r="AJ103" s="31" t="n">
        <v>44</v>
      </c>
      <c r="AK103" s="31" t="n">
        <v>0</v>
      </c>
      <c r="AL103" s="30" t="inlineStr">
        <is>
          <t>T-0252</t>
        </is>
      </c>
      <c r="AM103" s="30" t="inlineStr">
        <is>
          <t>J-05-01</t>
        </is>
      </c>
      <c r="AN103" s="30" t="inlineStr">
        <is>
          <t>T-0144</t>
        </is>
      </c>
      <c r="AO103" s="30" t="inlineStr">
        <is>
          <t>J-04-04</t>
        </is>
      </c>
    </row>
    <row r="104">
      <c r="A104" s="30" t="inlineStr">
        <is>
          <t>O0103</t>
        </is>
      </c>
      <c r="B104" s="30" t="inlineStr">
        <is>
          <t>D</t>
        </is>
      </c>
      <c r="C104" s="31" t="n">
        <v>2030.8</v>
      </c>
      <c r="D104" s="31" t="n">
        <v>5018.7</v>
      </c>
      <c r="E104" s="31" t="n">
        <v>5018.7</v>
      </c>
      <c r="F104" s="31" t="n">
        <v>5032.1</v>
      </c>
      <c r="G104" s="31" t="n">
        <v>5053</v>
      </c>
      <c r="H104" s="31" t="n">
        <v>5067.8</v>
      </c>
      <c r="I104" s="31" t="n">
        <v>5095.2</v>
      </c>
      <c r="J104" s="31" t="n">
        <v>5129.2</v>
      </c>
      <c r="K104" s="31" t="n">
        <v>3098.4</v>
      </c>
      <c r="L104" s="31" t="n">
        <v>2987.9</v>
      </c>
      <c r="M104" s="30" t="inlineStr">
        <is>
          <t>AMR3</t>
        </is>
      </c>
      <c r="N104" s="30" t="inlineStr">
        <is>
          <t>AMR3</t>
        </is>
      </c>
      <c r="O104" s="32" t="n">
        <v>0</v>
      </c>
      <c r="P104" s="32" t="n">
        <v>0</v>
      </c>
      <c r="Q104" s="32" t="n">
        <v>13</v>
      </c>
      <c r="R104" s="31" t="n">
        <v>31.8</v>
      </c>
      <c r="S104" s="31" t="n">
        <v>31.8</v>
      </c>
      <c r="T104" s="30" t="inlineStr">
        <is>
          <t>AMR3</t>
        </is>
      </c>
      <c r="U104" s="31" t="n">
        <v>56.6</v>
      </c>
      <c r="V104" s="31" t="n">
        <v>56.6</v>
      </c>
      <c r="W104" s="30" t="inlineStr">
        <is>
          <t>AMR3</t>
        </is>
      </c>
      <c r="X104" s="32" t="n">
        <v>0</v>
      </c>
      <c r="Y104" s="32" t="n">
        <v>0</v>
      </c>
      <c r="Z104" s="31" t="n">
        <v>0</v>
      </c>
      <c r="AA104" s="32" t="n">
        <v>0</v>
      </c>
      <c r="AB104" s="32" t="n">
        <v>0</v>
      </c>
      <c r="AC104" s="32" t="n">
        <v>0</v>
      </c>
      <c r="AD104" s="32" t="n">
        <v>0</v>
      </c>
      <c r="AE104" s="31" t="n">
        <v>0</v>
      </c>
      <c r="AF104" s="32" t="n">
        <v>0</v>
      </c>
      <c r="AG104" s="31" t="n">
        <v>0</v>
      </c>
      <c r="AH104" s="32" t="n">
        <v>47</v>
      </c>
      <c r="AI104" s="31" t="n">
        <v>50</v>
      </c>
      <c r="AJ104" s="31" t="n">
        <v>45.7</v>
      </c>
      <c r="AK104" s="31" t="n">
        <v>0</v>
      </c>
      <c r="AL104" s="30" t="inlineStr">
        <is>
          <t>T-0253</t>
        </is>
      </c>
      <c r="AM104" s="30" t="inlineStr">
        <is>
          <t>D-05-02</t>
        </is>
      </c>
      <c r="AN104" s="30" t="inlineStr">
        <is>
          <t>T-0058</t>
        </is>
      </c>
      <c r="AO104" s="30" t="inlineStr">
        <is>
          <t>D-06-02</t>
        </is>
      </c>
    </row>
    <row r="105">
      <c r="A105" s="30" t="inlineStr">
        <is>
          <t>O0104</t>
        </is>
      </c>
      <c r="B105" s="30" t="inlineStr">
        <is>
          <t>F</t>
        </is>
      </c>
      <c r="C105" s="31" t="n">
        <v>2048.4</v>
      </c>
      <c r="D105" s="31" t="n">
        <v>5032.2</v>
      </c>
      <c r="E105" s="31" t="n">
        <v>5032.2</v>
      </c>
      <c r="F105" s="31" t="n">
        <v>5044.9</v>
      </c>
      <c r="G105" s="31" t="n">
        <v>5077.3</v>
      </c>
      <c r="H105" s="31" t="n">
        <v>5094.8</v>
      </c>
      <c r="I105" s="31" t="n">
        <v>5130.5</v>
      </c>
      <c r="J105" s="31" t="n">
        <v>5165.3</v>
      </c>
      <c r="K105" s="31" t="n">
        <v>3116.9</v>
      </c>
      <c r="L105" s="31" t="n">
        <v>2983.8</v>
      </c>
      <c r="M105" s="30" t="inlineStr">
        <is>
          <t>AMR1</t>
        </is>
      </c>
      <c r="N105" s="30" t="inlineStr">
        <is>
          <t>AMR2</t>
        </is>
      </c>
      <c r="O105" s="32" t="n">
        <v>0</v>
      </c>
      <c r="P105" s="32" t="n">
        <v>0</v>
      </c>
      <c r="Q105" s="32" t="n">
        <v>23</v>
      </c>
      <c r="R105" s="31" t="n">
        <v>44.2</v>
      </c>
      <c r="S105" s="31" t="n">
        <v>44.2</v>
      </c>
      <c r="T105" s="30" t="inlineStr">
        <is>
          <t>AMR1</t>
        </is>
      </c>
      <c r="U105" s="31" t="n">
        <v>67</v>
      </c>
      <c r="V105" s="31" t="n">
        <v>67</v>
      </c>
      <c r="W105" s="30" t="inlineStr">
        <is>
          <t>AMR2</t>
        </is>
      </c>
      <c r="X105" s="32" t="n">
        <v>0</v>
      </c>
      <c r="Y105" s="32" t="n">
        <v>0</v>
      </c>
      <c r="Z105" s="31" t="n">
        <v>0</v>
      </c>
      <c r="AA105" s="32" t="n">
        <v>0</v>
      </c>
      <c r="AB105" s="32" t="n">
        <v>0</v>
      </c>
      <c r="AC105" s="32" t="n">
        <v>1</v>
      </c>
      <c r="AD105" s="32" t="n">
        <v>0</v>
      </c>
      <c r="AE105" s="31" t="n">
        <v>0</v>
      </c>
      <c r="AF105" s="32" t="n">
        <v>0</v>
      </c>
      <c r="AG105" s="31" t="n">
        <v>0</v>
      </c>
      <c r="AH105" s="32" t="n">
        <v>63</v>
      </c>
      <c r="AI105" s="31" t="n">
        <v>66.59999999999999</v>
      </c>
      <c r="AJ105" s="31" t="n">
        <v>46</v>
      </c>
      <c r="AK105" s="31" t="n">
        <v>3</v>
      </c>
      <c r="AL105" s="30" t="inlineStr">
        <is>
          <t>T-0254</t>
        </is>
      </c>
      <c r="AM105" s="30" t="inlineStr">
        <is>
          <t>F-04-02</t>
        </is>
      </c>
      <c r="AN105" s="30" t="inlineStr">
        <is>
          <t>T-0085</t>
        </is>
      </c>
      <c r="AO105" s="30" t="inlineStr">
        <is>
          <t>F-06-02</t>
        </is>
      </c>
    </row>
    <row r="106">
      <c r="A106" s="30" t="inlineStr">
        <is>
          <t>O0105</t>
        </is>
      </c>
      <c r="B106" s="30" t="inlineStr">
        <is>
          <t>F</t>
        </is>
      </c>
      <c r="C106" s="31" t="n">
        <v>2072.2</v>
      </c>
      <c r="D106" s="31" t="n">
        <v>5105.1</v>
      </c>
      <c r="E106" s="31" t="n">
        <v>5105.1</v>
      </c>
      <c r="F106" s="31" t="n">
        <v>5116.2</v>
      </c>
      <c r="G106" s="31" t="n">
        <v>5150.7</v>
      </c>
      <c r="H106" s="31" t="n">
        <v>5152.9</v>
      </c>
      <c r="I106" s="31" t="n">
        <v>5181</v>
      </c>
      <c r="J106" s="31" t="n">
        <v>5214.4</v>
      </c>
      <c r="K106" s="31" t="n">
        <v>3142.2</v>
      </c>
      <c r="L106" s="31" t="n">
        <v>3032.9</v>
      </c>
      <c r="M106" s="30" t="inlineStr">
        <is>
          <t>AMR1</t>
        </is>
      </c>
      <c r="N106" s="30" t="inlineStr">
        <is>
          <t>AMR3</t>
        </is>
      </c>
      <c r="O106" s="32" t="n">
        <v>0</v>
      </c>
      <c r="P106" s="32" t="n">
        <v>0</v>
      </c>
      <c r="Q106" s="32" t="n">
        <v>23</v>
      </c>
      <c r="R106" s="31" t="n">
        <v>42</v>
      </c>
      <c r="S106" s="31" t="n">
        <v>42</v>
      </c>
      <c r="T106" s="30" t="inlineStr">
        <is>
          <t>AMR1</t>
        </is>
      </c>
      <c r="U106" s="31" t="n">
        <v>62.2</v>
      </c>
      <c r="V106" s="31" t="n">
        <v>62.2</v>
      </c>
      <c r="W106" s="30" t="inlineStr">
        <is>
          <t>AMR3</t>
        </is>
      </c>
      <c r="X106" s="32" t="n">
        <v>0</v>
      </c>
      <c r="Y106" s="32" t="n">
        <v>0</v>
      </c>
      <c r="Z106" s="31" t="n">
        <v>0</v>
      </c>
      <c r="AA106" s="32" t="n">
        <v>0</v>
      </c>
      <c r="AB106" s="32" t="n">
        <v>0</v>
      </c>
      <c r="AC106" s="32" t="n">
        <v>0</v>
      </c>
      <c r="AD106" s="32" t="n">
        <v>0</v>
      </c>
      <c r="AE106" s="31" t="n">
        <v>0</v>
      </c>
      <c r="AF106" s="32" t="n">
        <v>0</v>
      </c>
      <c r="AG106" s="31" t="n">
        <v>0</v>
      </c>
      <c r="AH106" s="32" t="n">
        <v>66</v>
      </c>
      <c r="AI106" s="31" t="n">
        <v>66.2</v>
      </c>
      <c r="AJ106" s="31" t="n">
        <v>39</v>
      </c>
      <c r="AK106" s="31" t="n">
        <v>1.9</v>
      </c>
      <c r="AL106" s="30" t="inlineStr">
        <is>
          <t>T-0255</t>
        </is>
      </c>
      <c r="AM106" s="30" t="inlineStr">
        <is>
          <t>F-03-03</t>
        </is>
      </c>
      <c r="AN106" s="30" t="inlineStr">
        <is>
          <t>T-0086</t>
        </is>
      </c>
      <c r="AO106" s="30" t="inlineStr">
        <is>
          <t>F-04-05</t>
        </is>
      </c>
    </row>
    <row r="107">
      <c r="A107" s="30" t="inlineStr">
        <is>
          <t>O0106</t>
        </is>
      </c>
      <c r="B107" s="30" t="inlineStr">
        <is>
          <t>I</t>
        </is>
      </c>
      <c r="C107" s="31" t="n">
        <v>2088.8</v>
      </c>
      <c r="D107" s="31" t="n">
        <v>5173.6</v>
      </c>
      <c r="E107" s="31" t="n">
        <v>5173.6</v>
      </c>
      <c r="F107" s="31" t="n">
        <v>5186.4</v>
      </c>
      <c r="G107" s="31" t="n">
        <v>5213.2</v>
      </c>
      <c r="H107" s="31" t="n">
        <v>5228</v>
      </c>
      <c r="I107" s="31" t="n">
        <v>5259.7</v>
      </c>
      <c r="J107" s="31" t="n">
        <v>5288.7</v>
      </c>
      <c r="K107" s="31" t="n">
        <v>3199.9</v>
      </c>
      <c r="L107" s="31" t="n">
        <v>3084.8</v>
      </c>
      <c r="M107" s="30" t="inlineStr">
        <is>
          <t>AMR1</t>
        </is>
      </c>
      <c r="N107" s="30" t="inlineStr">
        <is>
          <t>AMR1</t>
        </is>
      </c>
      <c r="O107" s="32" t="n">
        <v>0</v>
      </c>
      <c r="P107" s="32" t="n">
        <v>0</v>
      </c>
      <c r="Q107" s="32" t="n">
        <v>15</v>
      </c>
      <c r="R107" s="31" t="n">
        <v>38.7</v>
      </c>
      <c r="S107" s="31" t="n">
        <v>38.7</v>
      </c>
      <c r="T107" s="30" t="inlineStr">
        <is>
          <t>AMR1</t>
        </is>
      </c>
      <c r="U107" s="31" t="n">
        <v>54.4</v>
      </c>
      <c r="V107" s="31" t="n">
        <v>54.4</v>
      </c>
      <c r="W107" s="30" t="inlineStr">
        <is>
          <t>AMR1</t>
        </is>
      </c>
      <c r="X107" s="32" t="n">
        <v>0</v>
      </c>
      <c r="Y107" s="32" t="n">
        <v>0</v>
      </c>
      <c r="Z107" s="31" t="n">
        <v>0</v>
      </c>
      <c r="AA107" s="32" t="n">
        <v>0</v>
      </c>
      <c r="AB107" s="32" t="n">
        <v>1</v>
      </c>
      <c r="AC107" s="32" t="n">
        <v>1</v>
      </c>
      <c r="AD107" s="32" t="n">
        <v>1</v>
      </c>
      <c r="AE107" s="31" t="n">
        <v>1.5</v>
      </c>
      <c r="AF107" s="32" t="n">
        <v>0</v>
      </c>
      <c r="AG107" s="31" t="n">
        <v>0</v>
      </c>
      <c r="AH107" s="32" t="n">
        <v>41</v>
      </c>
      <c r="AI107" s="31" t="n">
        <v>46.5</v>
      </c>
      <c r="AJ107" s="31" t="n">
        <v>47.3</v>
      </c>
      <c r="AK107" s="31" t="n">
        <v>6.5</v>
      </c>
      <c r="AL107" s="30" t="inlineStr">
        <is>
          <t>T-0256</t>
        </is>
      </c>
      <c r="AM107" s="30" t="inlineStr">
        <is>
          <t>I-01-01</t>
        </is>
      </c>
      <c r="AN107" s="30" t="inlineStr">
        <is>
          <t>T-0157</t>
        </is>
      </c>
      <c r="AO107" s="30" t="inlineStr">
        <is>
          <t>I-02-01</t>
        </is>
      </c>
    </row>
    <row r="108">
      <c r="A108" s="30" t="inlineStr">
        <is>
          <t>O0107</t>
        </is>
      </c>
      <c r="B108" s="30" t="inlineStr">
        <is>
          <t>I</t>
        </is>
      </c>
      <c r="C108" s="31" t="n">
        <v>2106.8</v>
      </c>
      <c r="D108" s="31" t="n">
        <v>5189</v>
      </c>
      <c r="E108" s="31" t="n">
        <v>5189</v>
      </c>
      <c r="F108" s="31" t="n">
        <v>5203.8</v>
      </c>
      <c r="G108" s="31" t="n">
        <v>5234.5</v>
      </c>
      <c r="H108" s="31" t="n">
        <v>5242.1</v>
      </c>
      <c r="I108" s="31" t="n">
        <v>5275.3</v>
      </c>
      <c r="J108" s="31" t="n">
        <v>5307.9</v>
      </c>
      <c r="K108" s="31" t="n">
        <v>3201.1</v>
      </c>
      <c r="L108" s="31" t="n">
        <v>3082.2</v>
      </c>
      <c r="M108" s="30" t="inlineStr">
        <is>
          <t>AMR2</t>
        </is>
      </c>
      <c r="N108" s="30" t="inlineStr">
        <is>
          <t>AMR3</t>
        </is>
      </c>
      <c r="O108" s="32" t="n">
        <v>0</v>
      </c>
      <c r="P108" s="32" t="n">
        <v>0</v>
      </c>
      <c r="Q108" s="32" t="n">
        <v>15</v>
      </c>
      <c r="R108" s="31" t="n">
        <v>40.5</v>
      </c>
      <c r="S108" s="31" t="n">
        <v>40.5</v>
      </c>
      <c r="T108" s="30" t="inlineStr">
        <is>
          <t>AMR2</t>
        </is>
      </c>
      <c r="U108" s="31" t="n">
        <v>49.7</v>
      </c>
      <c r="V108" s="31" t="n">
        <v>49.7</v>
      </c>
      <c r="W108" s="30" t="inlineStr">
        <is>
          <t>AMR3</t>
        </is>
      </c>
      <c r="X108" s="32" t="n">
        <v>0</v>
      </c>
      <c r="Y108" s="32" t="n">
        <v>0</v>
      </c>
      <c r="Z108" s="31" t="n">
        <v>0</v>
      </c>
      <c r="AA108" s="32" t="n">
        <v>0</v>
      </c>
      <c r="AB108" s="32" t="n">
        <v>1</v>
      </c>
      <c r="AC108" s="32" t="n">
        <v>0</v>
      </c>
      <c r="AD108" s="32" t="n">
        <v>0</v>
      </c>
      <c r="AE108" s="31" t="n">
        <v>0</v>
      </c>
      <c r="AF108" s="32" t="n">
        <v>0</v>
      </c>
      <c r="AG108" s="31" t="n">
        <v>0</v>
      </c>
      <c r="AH108" s="32" t="n">
        <v>51</v>
      </c>
      <c r="AI108" s="31" t="n">
        <v>58.4</v>
      </c>
      <c r="AJ108" s="31" t="n">
        <v>44.4</v>
      </c>
      <c r="AK108" s="31" t="n">
        <v>8.5</v>
      </c>
      <c r="AL108" s="30" t="inlineStr">
        <is>
          <t>T-0257</t>
        </is>
      </c>
      <c r="AM108" s="30" t="inlineStr">
        <is>
          <t>I-05-03</t>
        </is>
      </c>
      <c r="AN108" s="30" t="inlineStr">
        <is>
          <t>T-0158</t>
        </is>
      </c>
      <c r="AO108" s="30" t="inlineStr">
        <is>
          <t>I-04-01</t>
        </is>
      </c>
    </row>
    <row r="109">
      <c r="A109" s="30" t="inlineStr">
        <is>
          <t>O0108</t>
        </is>
      </c>
      <c r="B109" s="30" t="inlineStr">
        <is>
          <t>I</t>
        </is>
      </c>
      <c r="C109" s="31" t="n">
        <v>2128.5</v>
      </c>
      <c r="D109" s="31" t="n">
        <v>5251.3</v>
      </c>
      <c r="E109" s="31" t="n">
        <v>5251.3</v>
      </c>
      <c r="F109" s="31" t="n">
        <v>5262.4</v>
      </c>
      <c r="G109" s="31" t="n">
        <v>5288.8</v>
      </c>
      <c r="H109" s="31" t="n">
        <v>5303.6</v>
      </c>
      <c r="I109" s="31" t="n">
        <v>5337.2</v>
      </c>
      <c r="J109" s="31" t="n">
        <v>5361.6</v>
      </c>
      <c r="K109" s="31" t="n">
        <v>3233.1</v>
      </c>
      <c r="L109" s="31" t="n">
        <v>3122.8</v>
      </c>
      <c r="M109" s="30" t="inlineStr">
        <is>
          <t>AMR2</t>
        </is>
      </c>
      <c r="N109" s="30" t="inlineStr">
        <is>
          <t>AMR2</t>
        </is>
      </c>
      <c r="O109" s="32" t="n">
        <v>0</v>
      </c>
      <c r="P109" s="32" t="n">
        <v>0</v>
      </c>
      <c r="Q109" s="32" t="n">
        <v>15</v>
      </c>
      <c r="R109" s="31" t="n">
        <v>36.6</v>
      </c>
      <c r="S109" s="31" t="n">
        <v>36.6</v>
      </c>
      <c r="T109" s="30" t="inlineStr">
        <is>
          <t>AMR2</t>
        </is>
      </c>
      <c r="U109" s="31" t="n">
        <v>46.7</v>
      </c>
      <c r="V109" s="31" t="n">
        <v>46.7</v>
      </c>
      <c r="W109" s="30" t="inlineStr">
        <is>
          <t>AMR2</t>
        </is>
      </c>
      <c r="X109" s="32" t="n">
        <v>0</v>
      </c>
      <c r="Y109" s="32" t="n">
        <v>0</v>
      </c>
      <c r="Z109" s="31" t="n">
        <v>0</v>
      </c>
      <c r="AA109" s="32" t="n">
        <v>0</v>
      </c>
      <c r="AB109" s="32" t="n">
        <v>2</v>
      </c>
      <c r="AC109" s="32" t="n">
        <v>2</v>
      </c>
      <c r="AD109" s="32" t="n">
        <v>0</v>
      </c>
      <c r="AE109" s="31" t="n">
        <v>0</v>
      </c>
      <c r="AF109" s="32" t="n">
        <v>0</v>
      </c>
      <c r="AG109" s="31" t="n">
        <v>0</v>
      </c>
      <c r="AH109" s="32" t="n">
        <v>43</v>
      </c>
      <c r="AI109" s="31" t="n">
        <v>48.5</v>
      </c>
      <c r="AJ109" s="31" t="n">
        <v>37.5</v>
      </c>
      <c r="AK109" s="31" t="n">
        <v>9.5</v>
      </c>
      <c r="AL109" s="30" t="inlineStr">
        <is>
          <t>T-0258</t>
        </is>
      </c>
      <c r="AM109" s="30" t="inlineStr">
        <is>
          <t>I-02-01</t>
        </is>
      </c>
      <c r="AN109" s="30" t="inlineStr">
        <is>
          <t>T-0174</t>
        </is>
      </c>
      <c r="AO109" s="30" t="inlineStr">
        <is>
          <t>I-03-01</t>
        </is>
      </c>
    </row>
    <row r="110">
      <c r="A110" s="30" t="inlineStr">
        <is>
          <t>O0109</t>
        </is>
      </c>
      <c r="B110" s="30" t="inlineStr">
        <is>
          <t>B</t>
        </is>
      </c>
      <c r="C110" s="31" t="n">
        <v>2152.8</v>
      </c>
      <c r="D110" s="31" t="n">
        <v>5316.4</v>
      </c>
      <c r="E110" s="31" t="n">
        <v>5316.4</v>
      </c>
      <c r="F110" s="31" t="n">
        <v>5331.5</v>
      </c>
      <c r="G110" s="31" t="n">
        <v>5354.5</v>
      </c>
      <c r="H110" s="31" t="n">
        <v>5375.1</v>
      </c>
      <c r="I110" s="31" t="n">
        <v>5400.4</v>
      </c>
      <c r="J110" s="31" t="n">
        <v>5430.7</v>
      </c>
      <c r="K110" s="31" t="n">
        <v>3277.9</v>
      </c>
      <c r="L110" s="31" t="n">
        <v>3163.6</v>
      </c>
      <c r="M110" s="30" t="inlineStr">
        <is>
          <t>AMR1</t>
        </is>
      </c>
      <c r="N110" s="30" t="inlineStr">
        <is>
          <t>AMR1</t>
        </is>
      </c>
      <c r="O110" s="32" t="n">
        <v>0</v>
      </c>
      <c r="P110" s="32" t="n">
        <v>0</v>
      </c>
      <c r="Q110" s="32" t="n">
        <v>15</v>
      </c>
      <c r="R110" s="31" t="n">
        <v>37.2</v>
      </c>
      <c r="S110" s="31" t="n">
        <v>37.2</v>
      </c>
      <c r="T110" s="30" t="inlineStr">
        <is>
          <t>AMR1</t>
        </is>
      </c>
      <c r="U110" s="31" t="n">
        <v>57.3</v>
      </c>
      <c r="V110" s="31" t="n">
        <v>57.3</v>
      </c>
      <c r="W110" s="30" t="inlineStr">
        <is>
          <t>AMR1</t>
        </is>
      </c>
      <c r="X110" s="32" t="n">
        <v>0</v>
      </c>
      <c r="Y110" s="32" t="n">
        <v>0</v>
      </c>
      <c r="Z110" s="31" t="n">
        <v>0</v>
      </c>
      <c r="AA110" s="32" t="n">
        <v>0</v>
      </c>
      <c r="AB110" s="32" t="n">
        <v>0</v>
      </c>
      <c r="AC110" s="32" t="n">
        <v>0</v>
      </c>
      <c r="AD110" s="32" t="n">
        <v>0</v>
      </c>
      <c r="AE110" s="31" t="n">
        <v>0</v>
      </c>
      <c r="AF110" s="32" t="n">
        <v>0</v>
      </c>
      <c r="AG110" s="31" t="n">
        <v>0</v>
      </c>
      <c r="AH110" s="32" t="n">
        <v>43</v>
      </c>
      <c r="AI110" s="31" t="n">
        <v>46.5</v>
      </c>
      <c r="AJ110" s="31" t="n">
        <v>47.2</v>
      </c>
      <c r="AK110" s="31" t="n">
        <v>0</v>
      </c>
      <c r="AL110" s="30" t="inlineStr">
        <is>
          <t>T-0259</t>
        </is>
      </c>
      <c r="AM110" s="30" t="inlineStr">
        <is>
          <t>B-04-03</t>
        </is>
      </c>
      <c r="AN110" s="30" t="inlineStr">
        <is>
          <t>T-0030</t>
        </is>
      </c>
      <c r="AO110" s="30" t="inlineStr">
        <is>
          <t>B-06-01</t>
        </is>
      </c>
    </row>
    <row r="111">
      <c r="A111" s="30" t="inlineStr">
        <is>
          <t>O0110</t>
        </is>
      </c>
      <c r="B111" s="30" t="inlineStr">
        <is>
          <t>B</t>
        </is>
      </c>
      <c r="C111" s="31" t="n">
        <v>2170.4</v>
      </c>
      <c r="D111" s="31" t="n">
        <v>5336</v>
      </c>
      <c r="E111" s="31" t="n">
        <v>5336</v>
      </c>
      <c r="F111" s="31" t="n">
        <v>5346.8</v>
      </c>
      <c r="G111" s="31" t="n">
        <v>5374.1</v>
      </c>
      <c r="H111" s="31" t="n">
        <v>5385.3</v>
      </c>
      <c r="I111" s="31" t="n">
        <v>5419.9</v>
      </c>
      <c r="J111" s="31" t="n">
        <v>5449.2</v>
      </c>
      <c r="K111" s="31" t="n">
        <v>3278.8</v>
      </c>
      <c r="L111" s="31" t="n">
        <v>3165.6</v>
      </c>
      <c r="M111" s="30" t="inlineStr">
        <is>
          <t>AMR3</t>
        </is>
      </c>
      <c r="N111" s="30" t="inlineStr">
        <is>
          <t>AMR2</t>
        </is>
      </c>
      <c r="O111" s="32" t="n">
        <v>0</v>
      </c>
      <c r="P111" s="32" t="n">
        <v>0</v>
      </c>
      <c r="Q111" s="32" t="n">
        <v>15</v>
      </c>
      <c r="R111" s="31" t="n">
        <v>32.5</v>
      </c>
      <c r="S111" s="31" t="n">
        <v>32.5</v>
      </c>
      <c r="T111" s="30" t="inlineStr">
        <is>
          <t>AMR3</t>
        </is>
      </c>
      <c r="U111" s="31" t="n">
        <v>54.9</v>
      </c>
      <c r="V111" s="31" t="n">
        <v>54.9</v>
      </c>
      <c r="W111" s="30" t="inlineStr">
        <is>
          <t>AMR2</t>
        </is>
      </c>
      <c r="X111" s="32" t="n">
        <v>0</v>
      </c>
      <c r="Y111" s="32" t="n">
        <v>0</v>
      </c>
      <c r="Z111" s="31" t="n">
        <v>0</v>
      </c>
      <c r="AA111" s="32" t="n">
        <v>0</v>
      </c>
      <c r="AB111" s="32" t="n">
        <v>2</v>
      </c>
      <c r="AC111" s="32" t="n">
        <v>2</v>
      </c>
      <c r="AD111" s="32" t="n">
        <v>0</v>
      </c>
      <c r="AE111" s="31" t="n">
        <v>0</v>
      </c>
      <c r="AF111" s="32" t="n">
        <v>0</v>
      </c>
      <c r="AG111" s="31" t="n">
        <v>0</v>
      </c>
      <c r="AH111" s="32" t="n">
        <v>51</v>
      </c>
      <c r="AI111" s="31" t="n">
        <v>54.2</v>
      </c>
      <c r="AJ111" s="31" t="n">
        <v>40.1</v>
      </c>
      <c r="AK111" s="31" t="n">
        <v>7.7</v>
      </c>
      <c r="AL111" s="30" t="inlineStr">
        <is>
          <t>T-0260</t>
        </is>
      </c>
      <c r="AM111" s="30" t="inlineStr">
        <is>
          <t>B-05-03</t>
        </is>
      </c>
      <c r="AN111" s="30" t="inlineStr">
        <is>
          <t>T-0151</t>
        </is>
      </c>
      <c r="AO111" s="30" t="inlineStr">
        <is>
          <t>B-01-01</t>
        </is>
      </c>
    </row>
    <row r="112">
      <c r="A112" s="30" t="inlineStr">
        <is>
          <t>O0111</t>
        </is>
      </c>
      <c r="B112" s="30" t="inlineStr">
        <is>
          <t>E</t>
        </is>
      </c>
      <c r="C112" s="31" t="n">
        <v>2191</v>
      </c>
      <c r="D112" s="31" t="n">
        <v>5393.1</v>
      </c>
      <c r="E112" s="31" t="n">
        <v>5393.1</v>
      </c>
      <c r="F112" s="31" t="n">
        <v>5409.2</v>
      </c>
      <c r="G112" s="31" t="n">
        <v>5434.8</v>
      </c>
      <c r="H112" s="31" t="n">
        <v>5453</v>
      </c>
      <c r="I112" s="31" t="n">
        <v>5491.1</v>
      </c>
      <c r="J112" s="31" t="n">
        <v>5528.8</v>
      </c>
      <c r="K112" s="31" t="n">
        <v>3337.8</v>
      </c>
      <c r="L112" s="31" t="n">
        <v>3202.1</v>
      </c>
      <c r="M112" s="30" t="inlineStr">
        <is>
          <t>AMR3</t>
        </is>
      </c>
      <c r="N112" s="30" t="inlineStr">
        <is>
          <t>AMR3</t>
        </is>
      </c>
      <c r="O112" s="32" t="n">
        <v>0</v>
      </c>
      <c r="P112" s="32" t="n">
        <v>0</v>
      </c>
      <c r="Q112" s="32" t="n">
        <v>19</v>
      </c>
      <c r="R112" s="31" t="n">
        <v>40.8</v>
      </c>
      <c r="S112" s="31" t="n">
        <v>40.8</v>
      </c>
      <c r="T112" s="30" t="inlineStr">
        <is>
          <t>AMR3</t>
        </is>
      </c>
      <c r="U112" s="31" t="n">
        <v>66.3</v>
      </c>
      <c r="V112" s="31" t="n">
        <v>66.3</v>
      </c>
      <c r="W112" s="30" t="inlineStr">
        <is>
          <t>AMR3</t>
        </is>
      </c>
      <c r="X112" s="32" t="n">
        <v>0</v>
      </c>
      <c r="Y112" s="32" t="n">
        <v>0</v>
      </c>
      <c r="Z112" s="31" t="n">
        <v>0</v>
      </c>
      <c r="AA112" s="32" t="n">
        <v>0</v>
      </c>
      <c r="AB112" s="32" t="n">
        <v>1</v>
      </c>
      <c r="AC112" s="32" t="n">
        <v>1</v>
      </c>
      <c r="AD112" s="32" t="n">
        <v>0</v>
      </c>
      <c r="AE112" s="31" t="n">
        <v>0</v>
      </c>
      <c r="AF112" s="32" t="n">
        <v>0</v>
      </c>
      <c r="AG112" s="31" t="n">
        <v>0</v>
      </c>
      <c r="AH112" s="32" t="n">
        <v>61</v>
      </c>
      <c r="AI112" s="31" t="n">
        <v>64.90000000000001</v>
      </c>
      <c r="AJ112" s="31" t="n">
        <v>49.6</v>
      </c>
      <c r="AK112" s="31" t="n">
        <v>3</v>
      </c>
      <c r="AL112" s="30" t="inlineStr">
        <is>
          <t>T-0261</t>
        </is>
      </c>
      <c r="AM112" s="30" t="inlineStr">
        <is>
          <t>E-01-03</t>
        </is>
      </c>
      <c r="AN112" s="30" t="inlineStr">
        <is>
          <t>T-0068</t>
        </is>
      </c>
      <c r="AO112" s="30" t="inlineStr">
        <is>
          <t>E-04-04</t>
        </is>
      </c>
    </row>
    <row r="113">
      <c r="A113" s="30" t="inlineStr">
        <is>
          <t>O0112</t>
        </is>
      </c>
      <c r="B113" s="30" t="inlineStr">
        <is>
          <t>F</t>
        </is>
      </c>
      <c r="C113" s="31" t="n">
        <v>2212</v>
      </c>
      <c r="D113" s="31" t="n">
        <v>5461.9</v>
      </c>
      <c r="E113" s="31" t="n">
        <v>5461.9</v>
      </c>
      <c r="F113" s="31" t="n">
        <v>5473</v>
      </c>
      <c r="G113" s="31" t="n">
        <v>5502.4</v>
      </c>
      <c r="H113" s="31" t="n">
        <v>5523.3</v>
      </c>
      <c r="I113" s="31" t="n">
        <v>5556.9</v>
      </c>
      <c r="J113" s="31" t="n">
        <v>5595.2</v>
      </c>
      <c r="K113" s="31" t="n">
        <v>3383.2</v>
      </c>
      <c r="L113" s="31" t="n">
        <v>3249.9</v>
      </c>
      <c r="M113" s="30" t="inlineStr">
        <is>
          <t>AMR1</t>
        </is>
      </c>
      <c r="N113" s="30" t="inlineStr">
        <is>
          <t>AMR1</t>
        </is>
      </c>
      <c r="O113" s="32" t="n">
        <v>0</v>
      </c>
      <c r="P113" s="32" t="n">
        <v>0</v>
      </c>
      <c r="Q113" s="32" t="n">
        <v>23</v>
      </c>
      <c r="R113" s="31" t="n">
        <v>40.4</v>
      </c>
      <c r="S113" s="31" t="n">
        <v>40.4</v>
      </c>
      <c r="T113" s="30" t="inlineStr">
        <is>
          <t>AMR1</t>
        </is>
      </c>
      <c r="U113" s="31" t="n">
        <v>68.59999999999999</v>
      </c>
      <c r="V113" s="31" t="n">
        <v>68.59999999999999</v>
      </c>
      <c r="W113" s="30" t="inlineStr">
        <is>
          <t>AMR1</t>
        </is>
      </c>
      <c r="X113" s="32" t="n">
        <v>0</v>
      </c>
      <c r="Y113" s="32" t="n">
        <v>0</v>
      </c>
      <c r="Z113" s="31" t="n">
        <v>0</v>
      </c>
      <c r="AA113" s="32" t="n">
        <v>0</v>
      </c>
      <c r="AB113" s="32" t="n">
        <v>0</v>
      </c>
      <c r="AC113" s="32" t="n">
        <v>0</v>
      </c>
      <c r="AD113" s="32" t="n">
        <v>0</v>
      </c>
      <c r="AE113" s="31" t="n">
        <v>0</v>
      </c>
      <c r="AF113" s="32" t="n">
        <v>0</v>
      </c>
      <c r="AG113" s="31" t="n">
        <v>0</v>
      </c>
      <c r="AH113" s="32" t="n">
        <v>68</v>
      </c>
      <c r="AI113" s="31" t="n">
        <v>68.59999999999999</v>
      </c>
      <c r="AJ113" s="31" t="n">
        <v>43.8</v>
      </c>
      <c r="AK113" s="31" t="n">
        <v>0</v>
      </c>
      <c r="AL113" s="30" t="inlineStr">
        <is>
          <t>T-0262</t>
        </is>
      </c>
      <c r="AM113" s="30" t="inlineStr">
        <is>
          <t>F-06-02</t>
        </is>
      </c>
      <c r="AN113" s="30" t="inlineStr">
        <is>
          <t>T-0087</t>
        </is>
      </c>
      <c r="AO113" s="30" t="inlineStr">
        <is>
          <t>F-01-02</t>
        </is>
      </c>
    </row>
    <row r="114">
      <c r="A114" s="30" t="inlineStr">
        <is>
          <t>O0113</t>
        </is>
      </c>
      <c r="B114" s="30" t="inlineStr">
        <is>
          <t>E</t>
        </is>
      </c>
      <c r="C114" s="31" t="n">
        <v>2233.9</v>
      </c>
      <c r="D114" s="31" t="n">
        <v>5472.9</v>
      </c>
      <c r="E114" s="31" t="n">
        <v>5472.9</v>
      </c>
      <c r="F114" s="31" t="n">
        <v>5486.8</v>
      </c>
      <c r="G114" s="31" t="n">
        <v>5513.8</v>
      </c>
      <c r="H114" s="31" t="n">
        <v>5532</v>
      </c>
      <c r="I114" s="31" t="n">
        <v>5558.9</v>
      </c>
      <c r="J114" s="31" t="n">
        <v>5608.3</v>
      </c>
      <c r="K114" s="31" t="n">
        <v>3374.4</v>
      </c>
      <c r="L114" s="31" t="n">
        <v>3239</v>
      </c>
      <c r="M114" s="30" t="inlineStr">
        <is>
          <t>AMR2</t>
        </is>
      </c>
      <c r="N114" s="30" t="inlineStr">
        <is>
          <t>AMR2</t>
        </is>
      </c>
      <c r="O114" s="32" t="n">
        <v>0</v>
      </c>
      <c r="P114" s="32" t="n">
        <v>0</v>
      </c>
      <c r="Q114" s="32" t="n">
        <v>19</v>
      </c>
      <c r="R114" s="31" t="n">
        <v>40</v>
      </c>
      <c r="S114" s="31" t="n">
        <v>40</v>
      </c>
      <c r="T114" s="30" t="inlineStr">
        <is>
          <t>AMR2</t>
        </is>
      </c>
      <c r="U114" s="31" t="n">
        <v>57.6</v>
      </c>
      <c r="V114" s="31" t="n">
        <v>57.6</v>
      </c>
      <c r="W114" s="30" t="inlineStr">
        <is>
          <t>AMR2</t>
        </is>
      </c>
      <c r="X114" s="32" t="n">
        <v>0</v>
      </c>
      <c r="Y114" s="32" t="n">
        <v>0</v>
      </c>
      <c r="Z114" s="31" t="n">
        <v>0</v>
      </c>
      <c r="AA114" s="32" t="n">
        <v>0</v>
      </c>
      <c r="AB114" s="32" t="n">
        <v>0</v>
      </c>
      <c r="AC114" s="32" t="n">
        <v>0</v>
      </c>
      <c r="AD114" s="32" t="n">
        <v>1</v>
      </c>
      <c r="AE114" s="31" t="n">
        <v>13.9</v>
      </c>
      <c r="AF114" s="32" t="n">
        <v>1</v>
      </c>
      <c r="AG114" s="31" t="n">
        <v>8.9</v>
      </c>
      <c r="AH114" s="32" t="n">
        <v>63</v>
      </c>
      <c r="AI114" s="31" t="n">
        <v>63.2</v>
      </c>
      <c r="AJ114" s="31" t="n">
        <v>40.1</v>
      </c>
      <c r="AK114" s="31" t="n">
        <v>13.9</v>
      </c>
      <c r="AL114" s="30" t="inlineStr">
        <is>
          <t>T-0263</t>
        </is>
      </c>
      <c r="AM114" s="30" t="inlineStr">
        <is>
          <t>E-02-03</t>
        </is>
      </c>
      <c r="AN114" s="30" t="inlineStr">
        <is>
          <t>T-0069</t>
        </is>
      </c>
      <c r="AO114" s="30" t="inlineStr">
        <is>
          <t>E-06-02</t>
        </is>
      </c>
    </row>
    <row r="115">
      <c r="A115" s="30" t="inlineStr">
        <is>
          <t>O0114</t>
        </is>
      </c>
      <c r="B115" s="30" t="inlineStr">
        <is>
          <t>A</t>
        </is>
      </c>
      <c r="C115" s="31" t="n">
        <v>2253.8</v>
      </c>
      <c r="D115" s="31" t="n">
        <v>5552.5</v>
      </c>
      <c r="E115" s="31" t="n">
        <v>5552.5</v>
      </c>
      <c r="F115" s="31" t="n">
        <v>5567.2</v>
      </c>
      <c r="G115" s="31" t="n">
        <v>5596.2</v>
      </c>
      <c r="H115" s="31" t="n">
        <v>5617.8</v>
      </c>
      <c r="I115" s="31" t="n">
        <v>5651.2</v>
      </c>
      <c r="J115" s="31" t="n">
        <v>5691.3</v>
      </c>
      <c r="K115" s="31" t="n">
        <v>3437.5</v>
      </c>
      <c r="L115" s="31" t="n">
        <v>3298.7</v>
      </c>
      <c r="M115" s="30" t="inlineStr">
        <is>
          <t>AMR3</t>
        </is>
      </c>
      <c r="N115" s="30" t="inlineStr">
        <is>
          <t>AMR3</t>
        </is>
      </c>
      <c r="O115" s="32" t="n">
        <v>0</v>
      </c>
      <c r="P115" s="32" t="n">
        <v>0</v>
      </c>
      <c r="Q115" s="32" t="n">
        <v>21</v>
      </c>
      <c r="R115" s="31" t="n">
        <v>41.2</v>
      </c>
      <c r="S115" s="31" t="n">
        <v>41.2</v>
      </c>
      <c r="T115" s="30" t="inlineStr">
        <is>
          <t>AMR3</t>
        </is>
      </c>
      <c r="U115" s="31" t="n">
        <v>70.2</v>
      </c>
      <c r="V115" s="31" t="n">
        <v>70.2</v>
      </c>
      <c r="W115" s="30" t="inlineStr">
        <is>
          <t>AMR3</t>
        </is>
      </c>
      <c r="X115" s="32" t="n">
        <v>0</v>
      </c>
      <c r="Y115" s="32" t="n">
        <v>0</v>
      </c>
      <c r="Z115" s="31" t="n">
        <v>0</v>
      </c>
      <c r="AA115" s="32" t="n">
        <v>0</v>
      </c>
      <c r="AB115" s="32" t="n">
        <v>0</v>
      </c>
      <c r="AC115" s="32" t="n">
        <v>0</v>
      </c>
      <c r="AD115" s="32" t="n">
        <v>0</v>
      </c>
      <c r="AE115" s="31" t="n">
        <v>0</v>
      </c>
      <c r="AF115" s="32" t="n">
        <v>0</v>
      </c>
      <c r="AG115" s="31" t="n">
        <v>0</v>
      </c>
      <c r="AH115" s="32" t="n">
        <v>69</v>
      </c>
      <c r="AI115" s="31" t="n">
        <v>67.90000000000001</v>
      </c>
      <c r="AJ115" s="31" t="n">
        <v>49.3</v>
      </c>
      <c r="AK115" s="31" t="n">
        <v>0</v>
      </c>
      <c r="AL115" s="30" t="inlineStr">
        <is>
          <t>T-0264</t>
        </is>
      </c>
      <c r="AM115" s="30" t="inlineStr">
        <is>
          <t>A-02-03</t>
        </is>
      </c>
      <c r="AN115" s="30" t="inlineStr">
        <is>
          <t>T-0014</t>
        </is>
      </c>
      <c r="AO115" s="30" t="inlineStr">
        <is>
          <t>A-01-04</t>
        </is>
      </c>
    </row>
    <row r="116">
      <c r="A116" s="30" t="inlineStr">
        <is>
          <t>O0115</t>
        </is>
      </c>
      <c r="B116" s="30" t="inlineStr">
        <is>
          <t>E</t>
        </is>
      </c>
      <c r="C116" s="31" t="n">
        <v>2275.1</v>
      </c>
      <c r="D116" s="31" t="n">
        <v>5621.3</v>
      </c>
      <c r="E116" s="31" t="n">
        <v>5621.3</v>
      </c>
      <c r="F116" s="31" t="n">
        <v>5633</v>
      </c>
      <c r="G116" s="31" t="n">
        <v>5661.5</v>
      </c>
      <c r="H116" s="31" t="n">
        <v>5675.8</v>
      </c>
      <c r="I116" s="31" t="n">
        <v>5703.4</v>
      </c>
      <c r="J116" s="31" t="n">
        <v>5746.1</v>
      </c>
      <c r="K116" s="31" t="n">
        <v>3471</v>
      </c>
      <c r="L116" s="31" t="n">
        <v>3346.2</v>
      </c>
      <c r="M116" s="30" t="inlineStr">
        <is>
          <t>AMR1</t>
        </is>
      </c>
      <c r="N116" s="30" t="inlineStr">
        <is>
          <t>AMR2</t>
        </is>
      </c>
      <c r="O116" s="32" t="n">
        <v>0</v>
      </c>
      <c r="P116" s="32" t="n">
        <v>0</v>
      </c>
      <c r="Q116" s="32" t="n">
        <v>19</v>
      </c>
      <c r="R116" s="31" t="n">
        <v>36.9</v>
      </c>
      <c r="S116" s="31" t="n">
        <v>36.9</v>
      </c>
      <c r="T116" s="30" t="inlineStr">
        <is>
          <t>AMR1</t>
        </is>
      </c>
      <c r="U116" s="31" t="n">
        <v>61.3</v>
      </c>
      <c r="V116" s="31" t="n">
        <v>61.3</v>
      </c>
      <c r="W116" s="30" t="inlineStr">
        <is>
          <t>AMR2</t>
        </is>
      </c>
      <c r="X116" s="32" t="n">
        <v>0</v>
      </c>
      <c r="Y116" s="32" t="n">
        <v>0</v>
      </c>
      <c r="Z116" s="31" t="n">
        <v>0</v>
      </c>
      <c r="AA116" s="32" t="n">
        <v>0</v>
      </c>
      <c r="AB116" s="32" t="n">
        <v>0</v>
      </c>
      <c r="AC116" s="32" t="n">
        <v>0</v>
      </c>
      <c r="AD116" s="32" t="n">
        <v>1</v>
      </c>
      <c r="AE116" s="31" t="n">
        <v>9.199999999999999</v>
      </c>
      <c r="AF116" s="32" t="n">
        <v>1</v>
      </c>
      <c r="AG116" s="31" t="n">
        <v>4.2</v>
      </c>
      <c r="AH116" s="32" t="n">
        <v>60</v>
      </c>
      <c r="AI116" s="31" t="n">
        <v>60.6</v>
      </c>
      <c r="AJ116" s="31" t="n">
        <v>40.7</v>
      </c>
      <c r="AK116" s="31" t="n">
        <v>9.199999999999999</v>
      </c>
      <c r="AL116" s="30" t="inlineStr">
        <is>
          <t>T-0265</t>
        </is>
      </c>
      <c r="AM116" s="30" t="inlineStr">
        <is>
          <t>E-06-02</t>
        </is>
      </c>
      <c r="AN116" s="30" t="inlineStr">
        <is>
          <t>T-0070</t>
        </is>
      </c>
      <c r="AO116" s="30" t="inlineStr">
        <is>
          <t>E-02-04</t>
        </is>
      </c>
    </row>
    <row r="117">
      <c r="A117" s="30" t="inlineStr">
        <is>
          <t>O0116</t>
        </is>
      </c>
      <c r="B117" s="30" t="inlineStr">
        <is>
          <t>C</t>
        </is>
      </c>
      <c r="C117" s="31" t="n">
        <v>2290.2</v>
      </c>
      <c r="D117" s="31" t="n">
        <v>5632</v>
      </c>
      <c r="E117" s="31" t="n">
        <v>5632</v>
      </c>
      <c r="F117" s="31" t="n">
        <v>5642.5</v>
      </c>
      <c r="G117" s="31" t="n">
        <v>5663.3</v>
      </c>
      <c r="H117" s="31" t="n">
        <v>5682.4</v>
      </c>
      <c r="I117" s="31" t="n">
        <v>5704.5</v>
      </c>
      <c r="J117" s="31" t="n">
        <v>5732.1</v>
      </c>
      <c r="K117" s="31" t="n">
        <v>3441.9</v>
      </c>
      <c r="L117" s="31" t="n">
        <v>3341.8</v>
      </c>
      <c r="M117" s="30" t="inlineStr">
        <is>
          <t>AMR2</t>
        </is>
      </c>
      <c r="N117" s="30" t="inlineStr">
        <is>
          <t>AMR1</t>
        </is>
      </c>
      <c r="O117" s="32" t="n">
        <v>0</v>
      </c>
      <c r="P117" s="32" t="n">
        <v>0</v>
      </c>
      <c r="Q117" s="32" t="n">
        <v>13</v>
      </c>
      <c r="R117" s="31" t="n">
        <v>29.6</v>
      </c>
      <c r="S117" s="31" t="n">
        <v>29.6</v>
      </c>
      <c r="T117" s="30" t="inlineStr">
        <is>
          <t>AMR2</t>
        </is>
      </c>
      <c r="U117" s="31" t="n">
        <v>50.9</v>
      </c>
      <c r="V117" s="31" t="n">
        <v>50.9</v>
      </c>
      <c r="W117" s="30" t="inlineStr">
        <is>
          <t>AMR1</t>
        </is>
      </c>
      <c r="X117" s="32" t="n">
        <v>0</v>
      </c>
      <c r="Y117" s="32" t="n">
        <v>0</v>
      </c>
      <c r="Z117" s="31" t="n">
        <v>0</v>
      </c>
      <c r="AA117" s="32" t="n">
        <v>0</v>
      </c>
      <c r="AB117" s="32" t="n">
        <v>0</v>
      </c>
      <c r="AC117" s="32" t="n">
        <v>0</v>
      </c>
      <c r="AD117" s="32" t="n">
        <v>0</v>
      </c>
      <c r="AE117" s="31" t="n">
        <v>0</v>
      </c>
      <c r="AF117" s="32" t="n">
        <v>0</v>
      </c>
      <c r="AG117" s="31" t="n">
        <v>0</v>
      </c>
      <c r="AH117" s="32" t="n">
        <v>40</v>
      </c>
      <c r="AI117" s="31" t="n">
        <v>42.7</v>
      </c>
      <c r="AJ117" s="31" t="n">
        <v>38.3</v>
      </c>
      <c r="AK117" s="31" t="n">
        <v>0</v>
      </c>
      <c r="AL117" s="30" t="inlineStr">
        <is>
          <t>T-0266</t>
        </is>
      </c>
      <c r="AM117" s="30" t="inlineStr">
        <is>
          <t>C-03-02</t>
        </is>
      </c>
      <c r="AN117" s="30" t="inlineStr">
        <is>
          <t>T-0038</t>
        </is>
      </c>
      <c r="AO117" s="30" t="inlineStr">
        <is>
          <t>C-02-05</t>
        </is>
      </c>
    </row>
    <row r="118">
      <c r="A118" s="30" t="inlineStr">
        <is>
          <t>O0117</t>
        </is>
      </c>
      <c r="B118" s="30" t="inlineStr">
        <is>
          <t>C</t>
        </is>
      </c>
      <c r="C118" s="31" t="n">
        <v>2315</v>
      </c>
      <c r="D118" s="31" t="n">
        <v>5715</v>
      </c>
      <c r="E118" s="31" t="n">
        <v>5715</v>
      </c>
      <c r="F118" s="31" t="n">
        <v>5727.7</v>
      </c>
      <c r="G118" s="31" t="n">
        <v>5750.7</v>
      </c>
      <c r="H118" s="31" t="n">
        <v>5755.8</v>
      </c>
      <c r="I118" s="31" t="n">
        <v>5777.8</v>
      </c>
      <c r="J118" s="31" t="n">
        <v>5805.9</v>
      </c>
      <c r="K118" s="31" t="n">
        <v>3490.9</v>
      </c>
      <c r="L118" s="31" t="n">
        <v>3400</v>
      </c>
      <c r="M118" s="30" t="inlineStr">
        <is>
          <t>AMR3</t>
        </is>
      </c>
      <c r="N118" s="30" t="inlineStr">
        <is>
          <t>AMR1</t>
        </is>
      </c>
      <c r="O118" s="32" t="n">
        <v>0</v>
      </c>
      <c r="P118" s="32" t="n">
        <v>0</v>
      </c>
      <c r="Q118" s="32" t="n">
        <v>13</v>
      </c>
      <c r="R118" s="31" t="n">
        <v>34.8</v>
      </c>
      <c r="S118" s="31" t="n">
        <v>34.8</v>
      </c>
      <c r="T118" s="30" t="inlineStr">
        <is>
          <t>AMR3</t>
        </is>
      </c>
      <c r="U118" s="31" t="n">
        <v>50.2</v>
      </c>
      <c r="V118" s="31" t="n">
        <v>50.2</v>
      </c>
      <c r="W118" s="30" t="inlineStr">
        <is>
          <t>AMR1</t>
        </is>
      </c>
      <c r="X118" s="32" t="n">
        <v>0</v>
      </c>
      <c r="Y118" s="32" t="n">
        <v>0</v>
      </c>
      <c r="Z118" s="31" t="n">
        <v>0</v>
      </c>
      <c r="AA118" s="32" t="n">
        <v>0</v>
      </c>
      <c r="AB118" s="32" t="n">
        <v>0</v>
      </c>
      <c r="AC118" s="32" t="n">
        <v>0</v>
      </c>
      <c r="AD118" s="32" t="n">
        <v>0</v>
      </c>
      <c r="AE118" s="31" t="n">
        <v>0</v>
      </c>
      <c r="AF118" s="32" t="n">
        <v>0</v>
      </c>
      <c r="AG118" s="31" t="n">
        <v>0</v>
      </c>
      <c r="AH118" s="32" t="n">
        <v>41</v>
      </c>
      <c r="AI118" s="31" t="n">
        <v>43</v>
      </c>
      <c r="AJ118" s="31" t="n">
        <v>42.8</v>
      </c>
      <c r="AK118" s="31" t="n">
        <v>0</v>
      </c>
      <c r="AL118" s="30" t="inlineStr">
        <is>
          <t>T-0267</t>
        </is>
      </c>
      <c r="AM118" s="30" t="inlineStr">
        <is>
          <t>C-05-02</t>
        </is>
      </c>
      <c r="AN118" s="30" t="inlineStr">
        <is>
          <t>T-0039</t>
        </is>
      </c>
      <c r="AO118" s="30" t="inlineStr">
        <is>
          <t>C-03-04</t>
        </is>
      </c>
    </row>
    <row r="119">
      <c r="A119" s="30" t="inlineStr">
        <is>
          <t>O0118</t>
        </is>
      </c>
      <c r="B119" s="30" t="inlineStr">
        <is>
          <t>G</t>
        </is>
      </c>
      <c r="C119" s="31" t="n">
        <v>2334.4</v>
      </c>
      <c r="D119" s="31" t="n">
        <v>5763.5</v>
      </c>
      <c r="E119" s="31" t="n">
        <v>5763.5</v>
      </c>
      <c r="F119" s="31" t="n">
        <v>5774</v>
      </c>
      <c r="G119" s="31" t="n">
        <v>5801.7</v>
      </c>
      <c r="H119" s="31" t="n">
        <v>5818.5</v>
      </c>
      <c r="I119" s="31" t="n">
        <v>5847.9</v>
      </c>
      <c r="J119" s="31" t="n">
        <v>5880</v>
      </c>
      <c r="K119" s="31" t="n">
        <v>3545.6</v>
      </c>
      <c r="L119" s="31" t="n">
        <v>3429.1</v>
      </c>
      <c r="M119" s="30" t="inlineStr">
        <is>
          <t>AMR3</t>
        </is>
      </c>
      <c r="N119" s="30" t="inlineStr">
        <is>
          <t>AMR3</t>
        </is>
      </c>
      <c r="O119" s="32" t="n">
        <v>0</v>
      </c>
      <c r="P119" s="32" t="n">
        <v>0</v>
      </c>
      <c r="Q119" s="32" t="n">
        <v>17</v>
      </c>
      <c r="R119" s="31" t="n">
        <v>37.3</v>
      </c>
      <c r="S119" s="31" t="n">
        <v>37.3</v>
      </c>
      <c r="T119" s="30" t="inlineStr">
        <is>
          <t>AMR3</t>
        </is>
      </c>
      <c r="U119" s="31" t="n">
        <v>58.2</v>
      </c>
      <c r="V119" s="31" t="n">
        <v>58.2</v>
      </c>
      <c r="W119" s="30" t="inlineStr">
        <is>
          <t>AMR3</t>
        </is>
      </c>
      <c r="X119" s="32" t="n">
        <v>0</v>
      </c>
      <c r="Y119" s="32" t="n">
        <v>0</v>
      </c>
      <c r="Z119" s="31" t="n">
        <v>0</v>
      </c>
      <c r="AA119" s="32" t="n">
        <v>0</v>
      </c>
      <c r="AB119" s="32" t="n">
        <v>0</v>
      </c>
      <c r="AC119" s="32" t="n">
        <v>0</v>
      </c>
      <c r="AD119" s="32" t="n">
        <v>0</v>
      </c>
      <c r="AE119" s="31" t="n">
        <v>0</v>
      </c>
      <c r="AF119" s="32" t="n">
        <v>0</v>
      </c>
      <c r="AG119" s="31" t="n">
        <v>0</v>
      </c>
      <c r="AH119" s="32" t="n">
        <v>51</v>
      </c>
      <c r="AI119" s="31" t="n">
        <v>54.6</v>
      </c>
      <c r="AJ119" s="31" t="n">
        <v>45.1</v>
      </c>
      <c r="AK119" s="31" t="n">
        <v>0</v>
      </c>
      <c r="AL119" s="30" t="inlineStr">
        <is>
          <t>T-0268</t>
        </is>
      </c>
      <c r="AM119" s="30" t="inlineStr">
        <is>
          <t>G-05-02</t>
        </is>
      </c>
      <c r="AN119" s="30" t="inlineStr">
        <is>
          <t>T-0097</t>
        </is>
      </c>
      <c r="AO119" s="30" t="inlineStr">
        <is>
          <t>G-02-01</t>
        </is>
      </c>
    </row>
    <row r="120">
      <c r="A120" s="30" t="inlineStr">
        <is>
          <t>O0119</t>
        </is>
      </c>
      <c r="B120" s="30" t="inlineStr">
        <is>
          <t>B</t>
        </is>
      </c>
      <c r="C120" s="31" t="n">
        <v>2349.5</v>
      </c>
      <c r="D120" s="31" t="n">
        <v>5774.1</v>
      </c>
      <c r="E120" s="31" t="n">
        <v>5774.1</v>
      </c>
      <c r="F120" s="31" t="n">
        <v>5786.3</v>
      </c>
      <c r="G120" s="31" t="n">
        <v>5814.6</v>
      </c>
      <c r="H120" s="31" t="n">
        <v>5829.6</v>
      </c>
      <c r="I120" s="31" t="n">
        <v>5859.6</v>
      </c>
      <c r="J120" s="31" t="n">
        <v>5894.8</v>
      </c>
      <c r="K120" s="31" t="n">
        <v>3545.3</v>
      </c>
      <c r="L120" s="31" t="n">
        <v>3424.6</v>
      </c>
      <c r="M120" s="30" t="inlineStr">
        <is>
          <t>AMR2</t>
        </is>
      </c>
      <c r="N120" s="30" t="inlineStr">
        <is>
          <t>AMR1</t>
        </is>
      </c>
      <c r="O120" s="32" t="n">
        <v>0</v>
      </c>
      <c r="P120" s="32" t="n">
        <v>0</v>
      </c>
      <c r="Q120" s="32" t="n">
        <v>15</v>
      </c>
      <c r="R120" s="31" t="n">
        <v>38</v>
      </c>
      <c r="S120" s="31" t="n">
        <v>38</v>
      </c>
      <c r="T120" s="30" t="inlineStr">
        <is>
          <t>AMR2</t>
        </is>
      </c>
      <c r="U120" s="31" t="n">
        <v>54.2</v>
      </c>
      <c r="V120" s="31" t="n">
        <v>54.2</v>
      </c>
      <c r="W120" s="30" t="inlineStr">
        <is>
          <t>AMR1</t>
        </is>
      </c>
      <c r="X120" s="32" t="n">
        <v>0</v>
      </c>
      <c r="Y120" s="32" t="n">
        <v>0</v>
      </c>
      <c r="Z120" s="31" t="n">
        <v>0</v>
      </c>
      <c r="AA120" s="32" t="n">
        <v>0</v>
      </c>
      <c r="AB120" s="32" t="n">
        <v>1</v>
      </c>
      <c r="AC120" s="32" t="n">
        <v>1</v>
      </c>
      <c r="AD120" s="32" t="n">
        <v>1</v>
      </c>
      <c r="AE120" s="31" t="n">
        <v>3.1</v>
      </c>
      <c r="AF120" s="32" t="n">
        <v>0</v>
      </c>
      <c r="AG120" s="31" t="n">
        <v>0</v>
      </c>
      <c r="AH120" s="32" t="n">
        <v>51</v>
      </c>
      <c r="AI120" s="31" t="n">
        <v>54.7</v>
      </c>
      <c r="AJ120" s="31" t="n">
        <v>44.9</v>
      </c>
      <c r="AK120" s="31" t="n">
        <v>6.1</v>
      </c>
      <c r="AL120" s="30" t="inlineStr">
        <is>
          <t>T-0269</t>
        </is>
      </c>
      <c r="AM120" s="30" t="inlineStr">
        <is>
          <t>B-01-01</t>
        </is>
      </c>
      <c r="AN120" s="30" t="inlineStr">
        <is>
          <t>T-0153</t>
        </is>
      </c>
      <c r="AO120" s="30" t="inlineStr">
        <is>
          <t>B-02-01</t>
        </is>
      </c>
    </row>
    <row r="121">
      <c r="A121" s="30" t="inlineStr">
        <is>
          <t>O0120</t>
        </is>
      </c>
      <c r="B121" s="30" t="inlineStr">
        <is>
          <t>I</t>
        </is>
      </c>
      <c r="C121" s="31" t="n">
        <v>2373.5</v>
      </c>
      <c r="D121" s="31" t="n">
        <v>5836</v>
      </c>
      <c r="E121" s="31" t="n">
        <v>5836</v>
      </c>
      <c r="F121" s="31" t="n">
        <v>5851</v>
      </c>
      <c r="G121" s="31" t="n">
        <v>5875.5</v>
      </c>
      <c r="H121" s="31" t="n">
        <v>5891.6</v>
      </c>
      <c r="I121" s="31" t="n">
        <v>5923.8</v>
      </c>
      <c r="J121" s="31" t="n">
        <v>5952.5</v>
      </c>
      <c r="K121" s="31" t="n">
        <v>3579</v>
      </c>
      <c r="L121" s="31" t="n">
        <v>3462.5</v>
      </c>
      <c r="M121" s="30" t="inlineStr">
        <is>
          <t>AMR2</t>
        </is>
      </c>
      <c r="N121" s="30" t="inlineStr">
        <is>
          <t>AMR2</t>
        </is>
      </c>
      <c r="O121" s="32" t="n">
        <v>0</v>
      </c>
      <c r="P121" s="32" t="n">
        <v>0</v>
      </c>
      <c r="Q121" s="32" t="n">
        <v>15</v>
      </c>
      <c r="R121" s="31" t="n">
        <v>37.8</v>
      </c>
      <c r="S121" s="31" t="n">
        <v>37.8</v>
      </c>
      <c r="T121" s="30" t="inlineStr">
        <is>
          <t>AMR2</t>
        </is>
      </c>
      <c r="U121" s="31" t="n">
        <v>50.4</v>
      </c>
      <c r="V121" s="31" t="n">
        <v>50.4</v>
      </c>
      <c r="W121" s="30" t="inlineStr">
        <is>
          <t>AMR2</t>
        </is>
      </c>
      <c r="X121" s="32" t="n">
        <v>0</v>
      </c>
      <c r="Y121" s="32" t="n">
        <v>0</v>
      </c>
      <c r="Z121" s="31" t="n">
        <v>0</v>
      </c>
      <c r="AA121" s="32" t="n">
        <v>0</v>
      </c>
      <c r="AB121" s="32" t="n">
        <v>2</v>
      </c>
      <c r="AC121" s="32" t="n">
        <v>2</v>
      </c>
      <c r="AD121" s="32" t="n">
        <v>0</v>
      </c>
      <c r="AE121" s="31" t="n">
        <v>0</v>
      </c>
      <c r="AF121" s="32" t="n">
        <v>0</v>
      </c>
      <c r="AG121" s="31" t="n">
        <v>0</v>
      </c>
      <c r="AH121" s="32" t="n">
        <v>46</v>
      </c>
      <c r="AI121" s="31" t="n">
        <v>50.6</v>
      </c>
      <c r="AJ121" s="31" t="n">
        <v>42.4</v>
      </c>
      <c r="AK121" s="31" t="n">
        <v>7.4</v>
      </c>
      <c r="AL121" s="30" t="inlineStr">
        <is>
          <t>T-0270</t>
        </is>
      </c>
      <c r="AM121" s="30" t="inlineStr">
        <is>
          <t>I-03-01</t>
        </is>
      </c>
      <c r="AN121" s="30" t="inlineStr">
        <is>
          <t>T-0176</t>
        </is>
      </c>
      <c r="AO121" s="30" t="inlineStr">
        <is>
          <t>I-05-01</t>
        </is>
      </c>
    </row>
    <row r="122">
      <c r="A122" s="30" t="inlineStr">
        <is>
          <t>O0121</t>
        </is>
      </c>
      <c r="B122" s="30" t="inlineStr">
        <is>
          <t>J</t>
        </is>
      </c>
      <c r="C122" s="31" t="n">
        <v>2396.9</v>
      </c>
      <c r="D122" s="31" t="n">
        <v>5908.1</v>
      </c>
      <c r="E122" s="31" t="n">
        <v>5908.1</v>
      </c>
      <c r="F122" s="31" t="n">
        <v>5919.4</v>
      </c>
      <c r="G122" s="31" t="n">
        <v>5949.7</v>
      </c>
      <c r="H122" s="31" t="n">
        <v>5971.1</v>
      </c>
      <c r="I122" s="31" t="n">
        <v>6006.6</v>
      </c>
      <c r="J122" s="31" t="n">
        <v>6043.3</v>
      </c>
      <c r="K122" s="31" t="n">
        <v>3646.4</v>
      </c>
      <c r="L122" s="31" t="n">
        <v>3511.2</v>
      </c>
      <c r="M122" s="30" t="inlineStr">
        <is>
          <t>AMR3</t>
        </is>
      </c>
      <c r="N122" s="30" t="inlineStr">
        <is>
          <t>AMR1</t>
        </is>
      </c>
      <c r="O122" s="32" t="n">
        <v>0</v>
      </c>
      <c r="P122" s="32" t="n">
        <v>0</v>
      </c>
      <c r="Q122" s="32" t="n">
        <v>21</v>
      </c>
      <c r="R122" s="31" t="n">
        <v>39.1</v>
      </c>
      <c r="S122" s="31" t="n">
        <v>39.1</v>
      </c>
      <c r="T122" s="30" t="inlineStr">
        <is>
          <t>AMR3</t>
        </is>
      </c>
      <c r="U122" s="31" t="n">
        <v>63.1</v>
      </c>
      <c r="V122" s="31" t="n">
        <v>63.1</v>
      </c>
      <c r="W122" s="30" t="inlineStr">
        <is>
          <t>AMR1</t>
        </is>
      </c>
      <c r="X122" s="32" t="n">
        <v>0</v>
      </c>
      <c r="Y122" s="32" t="n">
        <v>0</v>
      </c>
      <c r="Z122" s="31" t="n">
        <v>0</v>
      </c>
      <c r="AA122" s="32" t="n">
        <v>0</v>
      </c>
      <c r="AB122" s="32" t="n">
        <v>0</v>
      </c>
      <c r="AC122" s="32" t="n">
        <v>1</v>
      </c>
      <c r="AD122" s="32" t="n">
        <v>0</v>
      </c>
      <c r="AE122" s="31" t="n">
        <v>0</v>
      </c>
      <c r="AF122" s="32" t="n">
        <v>0</v>
      </c>
      <c r="AG122" s="31" t="n">
        <v>0</v>
      </c>
      <c r="AH122" s="32" t="n">
        <v>65</v>
      </c>
      <c r="AI122" s="31" t="n">
        <v>69.2</v>
      </c>
      <c r="AJ122" s="31" t="n">
        <v>41.6</v>
      </c>
      <c r="AK122" s="31" t="n">
        <v>3</v>
      </c>
      <c r="AL122" s="30" t="inlineStr">
        <is>
          <t>T-0271</t>
        </is>
      </c>
      <c r="AM122" s="30" t="inlineStr">
        <is>
          <t>J-04-02</t>
        </is>
      </c>
      <c r="AN122" s="30" t="inlineStr">
        <is>
          <t>T-0145</t>
        </is>
      </c>
      <c r="AO122" s="30" t="inlineStr">
        <is>
          <t>J-05-04</t>
        </is>
      </c>
    </row>
    <row r="123">
      <c r="A123" s="30" t="inlineStr">
        <is>
          <t>O0122</t>
        </is>
      </c>
      <c r="B123" s="30" t="inlineStr">
        <is>
          <t>C</t>
        </is>
      </c>
      <c r="C123" s="31" t="n">
        <v>2413.3</v>
      </c>
      <c r="D123" s="31" t="n">
        <v>5923.3</v>
      </c>
      <c r="E123" s="31" t="n">
        <v>5923.3</v>
      </c>
      <c r="F123" s="31" t="n">
        <v>5937.8</v>
      </c>
      <c r="G123" s="31" t="n">
        <v>5958.9</v>
      </c>
      <c r="H123" s="31" t="n">
        <v>5977.5</v>
      </c>
      <c r="I123" s="31" t="n">
        <v>6001.5</v>
      </c>
      <c r="J123" s="31" t="n">
        <v>6025.8</v>
      </c>
      <c r="K123" s="31" t="n">
        <v>3612.5</v>
      </c>
      <c r="L123" s="31" t="n">
        <v>3510</v>
      </c>
      <c r="M123" s="30" t="inlineStr">
        <is>
          <t>AMR1</t>
        </is>
      </c>
      <c r="N123" s="30" t="inlineStr">
        <is>
          <t>AMR3</t>
        </is>
      </c>
      <c r="O123" s="32" t="n">
        <v>0</v>
      </c>
      <c r="P123" s="32" t="n">
        <v>0</v>
      </c>
      <c r="Q123" s="32" t="n">
        <v>13</v>
      </c>
      <c r="R123" s="31" t="n">
        <v>34.7</v>
      </c>
      <c r="S123" s="31" t="n">
        <v>34.7</v>
      </c>
      <c r="T123" s="30" t="inlineStr">
        <is>
          <t>AMR1</t>
        </is>
      </c>
      <c r="U123" s="31" t="n">
        <v>45.5</v>
      </c>
      <c r="V123" s="31" t="n">
        <v>45.5</v>
      </c>
      <c r="W123" s="30" t="inlineStr">
        <is>
          <t>AMR3</t>
        </is>
      </c>
      <c r="X123" s="32" t="n">
        <v>0</v>
      </c>
      <c r="Y123" s="32" t="n">
        <v>0</v>
      </c>
      <c r="Z123" s="31" t="n">
        <v>0</v>
      </c>
      <c r="AA123" s="32" t="n">
        <v>0</v>
      </c>
      <c r="AB123" s="32" t="n">
        <v>1</v>
      </c>
      <c r="AC123" s="32" t="n">
        <v>1</v>
      </c>
      <c r="AD123" s="32" t="n">
        <v>0</v>
      </c>
      <c r="AE123" s="31" t="n">
        <v>0</v>
      </c>
      <c r="AF123" s="32" t="n">
        <v>0</v>
      </c>
      <c r="AG123" s="31" t="n">
        <v>0</v>
      </c>
      <c r="AH123" s="32" t="n">
        <v>41</v>
      </c>
      <c r="AI123" s="31" t="n">
        <v>42.9</v>
      </c>
      <c r="AJ123" s="31" t="n">
        <v>38</v>
      </c>
      <c r="AK123" s="31" t="n">
        <v>3</v>
      </c>
      <c r="AL123" s="30" t="inlineStr">
        <is>
          <t>T-0272</t>
        </is>
      </c>
      <c r="AM123" s="30" t="inlineStr">
        <is>
          <t>C-02-03</t>
        </is>
      </c>
      <c r="AN123" s="30" t="inlineStr">
        <is>
          <t>T-0040</t>
        </is>
      </c>
      <c r="AO123" s="30" t="inlineStr">
        <is>
          <t>C-04-02</t>
        </is>
      </c>
    </row>
    <row r="124">
      <c r="A124" s="30" t="inlineStr">
        <is>
          <t>O0123</t>
        </is>
      </c>
      <c r="B124" s="30" t="inlineStr">
        <is>
          <t>A</t>
        </is>
      </c>
      <c r="C124" s="31" t="n">
        <v>2431.4</v>
      </c>
      <c r="D124" s="31" t="n">
        <v>5983</v>
      </c>
      <c r="E124" s="31" t="n">
        <v>5983</v>
      </c>
      <c r="F124" s="31" t="n">
        <v>5996.6</v>
      </c>
      <c r="G124" s="31" t="n">
        <v>6027.5</v>
      </c>
      <c r="H124" s="31" t="n">
        <v>6048.4</v>
      </c>
      <c r="I124" s="31" t="n">
        <v>6081.5</v>
      </c>
      <c r="J124" s="31" t="n">
        <v>6121.1</v>
      </c>
      <c r="K124" s="31" t="n">
        <v>3689.7</v>
      </c>
      <c r="L124" s="31" t="n">
        <v>3551.6</v>
      </c>
      <c r="M124" s="30" t="inlineStr">
        <is>
          <t>AMR2</t>
        </is>
      </c>
      <c r="N124" s="30" t="inlineStr">
        <is>
          <t>AMR2</t>
        </is>
      </c>
      <c r="O124" s="32" t="n">
        <v>0</v>
      </c>
      <c r="P124" s="32" t="n">
        <v>0</v>
      </c>
      <c r="Q124" s="32" t="n">
        <v>21</v>
      </c>
      <c r="R124" s="31" t="n">
        <v>42.8</v>
      </c>
      <c r="S124" s="31" t="n">
        <v>42.8</v>
      </c>
      <c r="T124" s="30" t="inlineStr">
        <is>
          <t>AMR2</t>
        </is>
      </c>
      <c r="U124" s="31" t="n">
        <v>69.40000000000001</v>
      </c>
      <c r="V124" s="31" t="n">
        <v>69.40000000000001</v>
      </c>
      <c r="W124" s="30" t="inlineStr">
        <is>
          <t>AMR2</t>
        </is>
      </c>
      <c r="X124" s="32" t="n">
        <v>0</v>
      </c>
      <c r="Y124" s="32" t="n">
        <v>0</v>
      </c>
      <c r="Z124" s="31" t="n">
        <v>0</v>
      </c>
      <c r="AA124" s="32" t="n">
        <v>0</v>
      </c>
      <c r="AB124" s="32" t="n">
        <v>0</v>
      </c>
      <c r="AC124" s="32" t="n">
        <v>0</v>
      </c>
      <c r="AD124" s="32" t="n">
        <v>0</v>
      </c>
      <c r="AE124" s="31" t="n">
        <v>0</v>
      </c>
      <c r="AF124" s="32" t="n">
        <v>0</v>
      </c>
      <c r="AG124" s="31" t="n">
        <v>0</v>
      </c>
      <c r="AH124" s="32" t="n">
        <v>68</v>
      </c>
      <c r="AI124" s="31" t="n">
        <v>67.09999999999999</v>
      </c>
      <c r="AJ124" s="31" t="n">
        <v>50.1</v>
      </c>
      <c r="AK124" s="31" t="n">
        <v>0</v>
      </c>
      <c r="AL124" s="30" t="inlineStr">
        <is>
          <t>T-0273</t>
        </is>
      </c>
      <c r="AM124" s="30" t="inlineStr">
        <is>
          <t>A-03-03</t>
        </is>
      </c>
      <c r="AN124" s="30" t="inlineStr">
        <is>
          <t>T-0015</t>
        </is>
      </c>
      <c r="AO124" s="30" t="inlineStr">
        <is>
          <t>A-01-05</t>
        </is>
      </c>
    </row>
    <row r="125">
      <c r="A125" s="30" t="inlineStr">
        <is>
          <t>O0124</t>
        </is>
      </c>
      <c r="B125" s="30" t="inlineStr">
        <is>
          <t>D</t>
        </is>
      </c>
      <c r="C125" s="31" t="n">
        <v>2448.5</v>
      </c>
      <c r="D125" s="31" t="n">
        <v>6051.8</v>
      </c>
      <c r="E125" s="31" t="n">
        <v>6051.8</v>
      </c>
      <c r="F125" s="31" t="n">
        <v>6067.9</v>
      </c>
      <c r="G125" s="31" t="n">
        <v>6095.1</v>
      </c>
      <c r="H125" s="31" t="n">
        <v>6110.6</v>
      </c>
      <c r="I125" s="31" t="n">
        <v>6137</v>
      </c>
      <c r="J125" s="31" t="n">
        <v>6170.8</v>
      </c>
      <c r="K125" s="31" t="n">
        <v>3722.3</v>
      </c>
      <c r="L125" s="31" t="n">
        <v>3603.3</v>
      </c>
      <c r="M125" s="30" t="inlineStr">
        <is>
          <t>AMR3</t>
        </is>
      </c>
      <c r="N125" s="30" t="inlineStr">
        <is>
          <t>AMR3</t>
        </is>
      </c>
      <c r="O125" s="32" t="n">
        <v>0</v>
      </c>
      <c r="P125" s="32" t="n">
        <v>0</v>
      </c>
      <c r="Q125" s="32" t="n">
        <v>13</v>
      </c>
      <c r="R125" s="31" t="n">
        <v>40</v>
      </c>
      <c r="S125" s="31" t="n">
        <v>40</v>
      </c>
      <c r="T125" s="30" t="inlineStr">
        <is>
          <t>AMR3</t>
        </is>
      </c>
      <c r="U125" s="31" t="n">
        <v>53.8</v>
      </c>
      <c r="V125" s="31" t="n">
        <v>53.8</v>
      </c>
      <c r="W125" s="30" t="inlineStr">
        <is>
          <t>AMR3</t>
        </is>
      </c>
      <c r="X125" s="32" t="n">
        <v>0</v>
      </c>
      <c r="Y125" s="32" t="n">
        <v>0</v>
      </c>
      <c r="Z125" s="31" t="n">
        <v>0</v>
      </c>
      <c r="AA125" s="32" t="n">
        <v>0</v>
      </c>
      <c r="AB125" s="32" t="n">
        <v>0</v>
      </c>
      <c r="AC125" s="32" t="n">
        <v>0</v>
      </c>
      <c r="AD125" s="32" t="n">
        <v>1</v>
      </c>
      <c r="AE125" s="31" t="n">
        <v>1.6</v>
      </c>
      <c r="AF125" s="32" t="n">
        <v>0</v>
      </c>
      <c r="AG125" s="31" t="n">
        <v>0</v>
      </c>
      <c r="AH125" s="32" t="n">
        <v>48</v>
      </c>
      <c r="AI125" s="31" t="n">
        <v>50.8</v>
      </c>
      <c r="AJ125" s="31" t="n">
        <v>51.1</v>
      </c>
      <c r="AK125" s="31" t="n">
        <v>1.6</v>
      </c>
      <c r="AL125" s="30" t="inlineStr">
        <is>
          <t>T-0274</t>
        </is>
      </c>
      <c r="AM125" s="30" t="inlineStr">
        <is>
          <t>D-06-02</t>
        </is>
      </c>
      <c r="AN125" s="30" t="inlineStr">
        <is>
          <t>T-0059</t>
        </is>
      </c>
      <c r="AO125" s="30" t="inlineStr">
        <is>
          <t>D-06-05</t>
        </is>
      </c>
    </row>
    <row r="126">
      <c r="A126" s="30" t="inlineStr">
        <is>
          <t>O0125</t>
        </is>
      </c>
      <c r="B126" s="30" t="inlineStr">
        <is>
          <t>I</t>
        </is>
      </c>
      <c r="C126" s="31" t="n">
        <v>2464.6</v>
      </c>
      <c r="D126" s="31" t="n">
        <v>6067</v>
      </c>
      <c r="E126" s="31" t="n">
        <v>6067</v>
      </c>
      <c r="F126" s="31" t="n">
        <v>6080.6</v>
      </c>
      <c r="G126" s="31" t="n">
        <v>6107.4</v>
      </c>
      <c r="H126" s="31" t="n">
        <v>6124.2</v>
      </c>
      <c r="I126" s="31" t="n">
        <v>6159.9</v>
      </c>
      <c r="J126" s="31" t="n">
        <v>6187.5</v>
      </c>
      <c r="K126" s="31" t="n">
        <v>3722.9</v>
      </c>
      <c r="L126" s="31" t="n">
        <v>3602.4</v>
      </c>
      <c r="M126" s="30" t="inlineStr">
        <is>
          <t>AMR1</t>
        </is>
      </c>
      <c r="N126" s="30" t="inlineStr">
        <is>
          <t>AMR1</t>
        </is>
      </c>
      <c r="O126" s="32" t="n">
        <v>0</v>
      </c>
      <c r="P126" s="32" t="n">
        <v>0</v>
      </c>
      <c r="Q126" s="32" t="n">
        <v>15</v>
      </c>
      <c r="R126" s="31" t="n">
        <v>37.9</v>
      </c>
      <c r="S126" s="31" t="n">
        <v>37.9</v>
      </c>
      <c r="T126" s="30" t="inlineStr">
        <is>
          <t>AMR1</t>
        </is>
      </c>
      <c r="U126" s="31" t="n">
        <v>53.8</v>
      </c>
      <c r="V126" s="31" t="n">
        <v>53.8</v>
      </c>
      <c r="W126" s="30" t="inlineStr">
        <is>
          <t>AMR1</t>
        </is>
      </c>
      <c r="X126" s="32" t="n">
        <v>0</v>
      </c>
      <c r="Y126" s="32" t="n">
        <v>0</v>
      </c>
      <c r="Z126" s="31" t="n">
        <v>0</v>
      </c>
      <c r="AA126" s="32" t="n">
        <v>0</v>
      </c>
      <c r="AB126" s="32" t="n">
        <v>1</v>
      </c>
      <c r="AC126" s="32" t="n">
        <v>1</v>
      </c>
      <c r="AD126" s="32" t="n">
        <v>0</v>
      </c>
      <c r="AE126" s="31" t="n">
        <v>0</v>
      </c>
      <c r="AF126" s="32" t="n">
        <v>0</v>
      </c>
      <c r="AG126" s="31" t="n">
        <v>0</v>
      </c>
      <c r="AH126" s="32" t="n">
        <v>49</v>
      </c>
      <c r="AI126" s="31" t="n">
        <v>53.1</v>
      </c>
      <c r="AJ126" s="31" t="n">
        <v>45.9</v>
      </c>
      <c r="AK126" s="31" t="n">
        <v>4.7</v>
      </c>
      <c r="AL126" s="30" t="inlineStr">
        <is>
          <t>T-0275</t>
        </is>
      </c>
      <c r="AM126" s="30" t="inlineStr">
        <is>
          <t>I-04-01</t>
        </is>
      </c>
      <c r="AN126" s="30" t="inlineStr">
        <is>
          <t>T-0183</t>
        </is>
      </c>
      <c r="AO126" s="30" t="inlineStr">
        <is>
          <t>I-06-01</t>
        </is>
      </c>
    </row>
    <row r="127">
      <c r="A127" s="30" t="inlineStr">
        <is>
          <t>O0126</t>
        </is>
      </c>
      <c r="B127" s="30" t="inlineStr">
        <is>
          <t>C</t>
        </is>
      </c>
      <c r="C127" s="31" t="n">
        <v>2489.3</v>
      </c>
      <c r="D127" s="31" t="n">
        <v>6149.2</v>
      </c>
      <c r="E127" s="31" t="n">
        <v>6149.2</v>
      </c>
      <c r="F127" s="31" t="n">
        <v>6162.7</v>
      </c>
      <c r="G127" s="31" t="n">
        <v>6185.5</v>
      </c>
      <c r="H127" s="31" t="n">
        <v>6194.5</v>
      </c>
      <c r="I127" s="31" t="n">
        <v>6216.3</v>
      </c>
      <c r="J127" s="31" t="n">
        <v>6240.9</v>
      </c>
      <c r="K127" s="31" t="n">
        <v>3751.6</v>
      </c>
      <c r="L127" s="31" t="n">
        <v>3659.9</v>
      </c>
      <c r="M127" s="30" t="inlineStr">
        <is>
          <t>AMR2</t>
        </is>
      </c>
      <c r="N127" s="30" t="inlineStr">
        <is>
          <t>AMR3</t>
        </is>
      </c>
      <c r="O127" s="32" t="n">
        <v>0</v>
      </c>
      <c r="P127" s="32" t="n">
        <v>0</v>
      </c>
      <c r="Q127" s="32" t="n">
        <v>13</v>
      </c>
      <c r="R127" s="31" t="n">
        <v>35.4</v>
      </c>
      <c r="S127" s="31" t="n">
        <v>35.4</v>
      </c>
      <c r="T127" s="30" t="inlineStr">
        <is>
          <t>AMR2</t>
        </is>
      </c>
      <c r="U127" s="31" t="n">
        <v>47.6</v>
      </c>
      <c r="V127" s="31" t="n">
        <v>47.6</v>
      </c>
      <c r="W127" s="30" t="inlineStr">
        <is>
          <t>AMR3</t>
        </is>
      </c>
      <c r="X127" s="32" t="n">
        <v>0</v>
      </c>
      <c r="Y127" s="32" t="n">
        <v>0</v>
      </c>
      <c r="Z127" s="31" t="n">
        <v>0</v>
      </c>
      <c r="AA127" s="32" t="n">
        <v>0</v>
      </c>
      <c r="AB127" s="32" t="n">
        <v>0</v>
      </c>
      <c r="AC127" s="32" t="n">
        <v>0</v>
      </c>
      <c r="AD127" s="32" t="n">
        <v>0</v>
      </c>
      <c r="AE127" s="31" t="n">
        <v>0</v>
      </c>
      <c r="AF127" s="32" t="n">
        <v>0</v>
      </c>
      <c r="AG127" s="31" t="n">
        <v>0</v>
      </c>
      <c r="AH127" s="32" t="n">
        <v>39</v>
      </c>
      <c r="AI127" s="31" t="n">
        <v>41.9</v>
      </c>
      <c r="AJ127" s="31" t="n">
        <v>40.8</v>
      </c>
      <c r="AK127" s="31" t="n">
        <v>0</v>
      </c>
      <c r="AL127" s="30" t="inlineStr">
        <is>
          <t>T-0276</t>
        </is>
      </c>
      <c r="AM127" s="30" t="inlineStr">
        <is>
          <t>C-04-02</t>
        </is>
      </c>
      <c r="AN127" s="30" t="inlineStr">
        <is>
          <t>T-0041</t>
        </is>
      </c>
      <c r="AO127" s="30" t="inlineStr">
        <is>
          <t>C-02-01</t>
        </is>
      </c>
    </row>
    <row r="128">
      <c r="A128" s="30" t="inlineStr">
        <is>
          <t>O0127</t>
        </is>
      </c>
      <c r="B128" s="30" t="inlineStr">
        <is>
          <t>C</t>
        </is>
      </c>
      <c r="C128" s="31" t="n">
        <v>2512.9</v>
      </c>
      <c r="D128" s="31" t="n">
        <v>6198.3</v>
      </c>
      <c r="E128" s="31" t="n">
        <v>6198.3</v>
      </c>
      <c r="F128" s="31" t="n">
        <v>6211.3</v>
      </c>
      <c r="G128" s="31" t="n">
        <v>6233.2</v>
      </c>
      <c r="H128" s="31" t="n">
        <v>6245.7</v>
      </c>
      <c r="I128" s="31" t="n">
        <v>6266</v>
      </c>
      <c r="J128" s="31" t="n">
        <v>6290.1</v>
      </c>
      <c r="K128" s="31" t="n">
        <v>3777.2</v>
      </c>
      <c r="L128" s="31" t="n">
        <v>3685.4</v>
      </c>
      <c r="M128" s="30" t="inlineStr">
        <is>
          <t>AMR2</t>
        </is>
      </c>
      <c r="N128" s="30" t="inlineStr">
        <is>
          <t>AMR2</t>
        </is>
      </c>
      <c r="O128" s="32" t="n">
        <v>0</v>
      </c>
      <c r="P128" s="32" t="n">
        <v>0</v>
      </c>
      <c r="Q128" s="32" t="n">
        <v>13</v>
      </c>
      <c r="R128" s="31" t="n">
        <v>32</v>
      </c>
      <c r="S128" s="31" t="n">
        <v>32</v>
      </c>
      <c r="T128" s="30" t="inlineStr">
        <is>
          <t>AMR2</t>
        </is>
      </c>
      <c r="U128" s="31" t="n">
        <v>46.1</v>
      </c>
      <c r="V128" s="31" t="n">
        <v>46.1</v>
      </c>
      <c r="W128" s="30" t="inlineStr">
        <is>
          <t>AMR2</t>
        </is>
      </c>
      <c r="X128" s="32" t="n">
        <v>0</v>
      </c>
      <c r="Y128" s="32" t="n">
        <v>0</v>
      </c>
      <c r="Z128" s="31" t="n">
        <v>0</v>
      </c>
      <c r="AA128" s="32" t="n">
        <v>0</v>
      </c>
      <c r="AB128" s="32" t="n">
        <v>0</v>
      </c>
      <c r="AC128" s="32" t="n">
        <v>0</v>
      </c>
      <c r="AD128" s="32" t="n">
        <v>1</v>
      </c>
      <c r="AE128" s="31" t="n">
        <v>1.2</v>
      </c>
      <c r="AF128" s="32" t="n">
        <v>0</v>
      </c>
      <c r="AG128" s="31" t="n">
        <v>0</v>
      </c>
      <c r="AH128" s="32" t="n">
        <v>38</v>
      </c>
      <c r="AI128" s="31" t="n">
        <v>42.2</v>
      </c>
      <c r="AJ128" s="31" t="n">
        <v>35.9</v>
      </c>
      <c r="AK128" s="31" t="n">
        <v>1.2</v>
      </c>
      <c r="AL128" s="30" t="inlineStr">
        <is>
          <t>T-0277</t>
        </is>
      </c>
      <c r="AM128" s="30" t="inlineStr">
        <is>
          <t>C-03-03</t>
        </is>
      </c>
      <c r="AN128" s="30" t="inlineStr">
        <is>
          <t>T-0042</t>
        </is>
      </c>
      <c r="AO128" s="30" t="inlineStr">
        <is>
          <t>C-06-02</t>
        </is>
      </c>
    </row>
    <row r="129">
      <c r="A129" s="30" t="inlineStr">
        <is>
          <t>O0128</t>
        </is>
      </c>
      <c r="B129" s="30" t="inlineStr">
        <is>
          <t>F</t>
        </is>
      </c>
      <c r="C129" s="31" t="n">
        <v>2528.2</v>
      </c>
      <c r="D129" s="31" t="n">
        <v>6211.2</v>
      </c>
      <c r="E129" s="31" t="n">
        <v>6211.2</v>
      </c>
      <c r="F129" s="31" t="n">
        <v>6226.4</v>
      </c>
      <c r="G129" s="31" t="n">
        <v>6261.2</v>
      </c>
      <c r="H129" s="31" t="n">
        <v>6264.6</v>
      </c>
      <c r="I129" s="31" t="n">
        <v>6293.9</v>
      </c>
      <c r="J129" s="31" t="n">
        <v>6329.7</v>
      </c>
      <c r="K129" s="31" t="n">
        <v>3801.5</v>
      </c>
      <c r="L129" s="31" t="n">
        <v>3683</v>
      </c>
      <c r="M129" s="30" t="inlineStr">
        <is>
          <t>AMR1</t>
        </is>
      </c>
      <c r="N129" s="30" t="inlineStr">
        <is>
          <t>AMR3</t>
        </is>
      </c>
      <c r="O129" s="32" t="n">
        <v>0</v>
      </c>
      <c r="P129" s="32" t="n">
        <v>0</v>
      </c>
      <c r="Q129" s="32" t="n">
        <v>23</v>
      </c>
      <c r="R129" s="31" t="n">
        <v>47.5</v>
      </c>
      <c r="S129" s="31" t="n">
        <v>47.5</v>
      </c>
      <c r="T129" s="30" t="inlineStr">
        <is>
          <t>AMR1</t>
        </is>
      </c>
      <c r="U129" s="31" t="n">
        <v>62.8</v>
      </c>
      <c r="V129" s="31" t="n">
        <v>62.8</v>
      </c>
      <c r="W129" s="30" t="inlineStr">
        <is>
          <t>AMR3</t>
        </is>
      </c>
      <c r="X129" s="32" t="n">
        <v>0</v>
      </c>
      <c r="Y129" s="32" t="n">
        <v>0</v>
      </c>
      <c r="Z129" s="31" t="n">
        <v>0</v>
      </c>
      <c r="AA129" s="32" t="n">
        <v>0</v>
      </c>
      <c r="AB129" s="32" t="n">
        <v>0</v>
      </c>
      <c r="AC129" s="32" t="n">
        <v>0</v>
      </c>
      <c r="AD129" s="32" t="n">
        <v>0</v>
      </c>
      <c r="AE129" s="31" t="n">
        <v>0</v>
      </c>
      <c r="AF129" s="32" t="n">
        <v>0</v>
      </c>
      <c r="AG129" s="31" t="n">
        <v>0</v>
      </c>
      <c r="AH129" s="32" t="n">
        <v>71</v>
      </c>
      <c r="AI129" s="31" t="n">
        <v>70</v>
      </c>
      <c r="AJ129" s="31" t="n">
        <v>45.1</v>
      </c>
      <c r="AK129" s="31" t="n">
        <v>0</v>
      </c>
      <c r="AL129" s="30" t="inlineStr">
        <is>
          <t>T-0278</t>
        </is>
      </c>
      <c r="AM129" s="30" t="inlineStr">
        <is>
          <t>F-01-02</t>
        </is>
      </c>
      <c r="AN129" s="30" t="inlineStr">
        <is>
          <t>T-0088</t>
        </is>
      </c>
      <c r="AO129" s="30" t="inlineStr">
        <is>
          <t>F-01-03</t>
        </is>
      </c>
    </row>
    <row r="130">
      <c r="A130" s="30" t="inlineStr">
        <is>
          <t>O0129</t>
        </is>
      </c>
      <c r="B130" s="30" t="inlineStr">
        <is>
          <t>D</t>
        </is>
      </c>
      <c r="C130" s="31" t="n">
        <v>2551.2</v>
      </c>
      <c r="D130" s="31" t="n">
        <v>6284.8</v>
      </c>
      <c r="E130" s="31" t="n">
        <v>6284.8</v>
      </c>
      <c r="F130" s="31" t="n">
        <v>6296.3</v>
      </c>
      <c r="G130" s="31" t="n">
        <v>6325.7</v>
      </c>
      <c r="H130" s="31" t="n">
        <v>6340.5</v>
      </c>
      <c r="I130" s="31" t="n">
        <v>6368.8</v>
      </c>
      <c r="J130" s="31" t="n">
        <v>6395.7</v>
      </c>
      <c r="K130" s="31" t="n">
        <v>3844.5</v>
      </c>
      <c r="L130" s="31" t="n">
        <v>3733.6</v>
      </c>
      <c r="M130" s="30" t="inlineStr">
        <is>
          <t>AMR1</t>
        </is>
      </c>
      <c r="N130" s="30" t="inlineStr">
        <is>
          <t>AMR1</t>
        </is>
      </c>
      <c r="O130" s="32" t="n">
        <v>0</v>
      </c>
      <c r="P130" s="32" t="n">
        <v>0</v>
      </c>
      <c r="Q130" s="32" t="n">
        <v>13</v>
      </c>
      <c r="R130" s="31" t="n">
        <v>32.9</v>
      </c>
      <c r="S130" s="31" t="n">
        <v>32.9</v>
      </c>
      <c r="T130" s="30" t="inlineStr">
        <is>
          <t>AMR1</t>
        </is>
      </c>
      <c r="U130" s="31" t="n">
        <v>48.2</v>
      </c>
      <c r="V130" s="31" t="n">
        <v>48.2</v>
      </c>
      <c r="W130" s="30" t="inlineStr">
        <is>
          <t>AMR1</t>
        </is>
      </c>
      <c r="X130" s="32" t="n">
        <v>0</v>
      </c>
      <c r="Y130" s="32" t="n">
        <v>0</v>
      </c>
      <c r="Z130" s="31" t="n">
        <v>0</v>
      </c>
      <c r="AA130" s="32" t="n">
        <v>0</v>
      </c>
      <c r="AB130" s="32" t="n">
        <v>2</v>
      </c>
      <c r="AC130" s="32" t="n">
        <v>2</v>
      </c>
      <c r="AD130" s="32" t="n">
        <v>1</v>
      </c>
      <c r="AE130" s="31" t="n">
        <v>5.5</v>
      </c>
      <c r="AF130" s="32" t="n">
        <v>2</v>
      </c>
      <c r="AG130" s="31" t="n">
        <v>0.7</v>
      </c>
      <c r="AH130" s="32" t="n">
        <v>43</v>
      </c>
      <c r="AI130" s="31" t="n">
        <v>47</v>
      </c>
      <c r="AJ130" s="31" t="n">
        <v>38.4</v>
      </c>
      <c r="AK130" s="31" t="n">
        <v>10.7</v>
      </c>
      <c r="AL130" s="30" t="inlineStr">
        <is>
          <t>T-0279</t>
        </is>
      </c>
      <c r="AM130" s="30" t="inlineStr">
        <is>
          <t>D-04-03</t>
        </is>
      </c>
      <c r="AN130" s="30" t="inlineStr">
        <is>
          <t>T-0060</t>
        </is>
      </c>
      <c r="AO130" s="30" t="inlineStr">
        <is>
          <t>D-03-03</t>
        </is>
      </c>
    </row>
    <row r="131">
      <c r="A131" s="30" t="inlineStr">
        <is>
          <t>O0130</t>
        </is>
      </c>
      <c r="B131" s="30" t="inlineStr">
        <is>
          <t>B</t>
        </is>
      </c>
      <c r="C131" s="31" t="n">
        <v>2567.8</v>
      </c>
      <c r="D131" s="31" t="n">
        <v>6318.8</v>
      </c>
      <c r="E131" s="31" t="n">
        <v>6318.8</v>
      </c>
      <c r="F131" s="31" t="n">
        <v>6332.5</v>
      </c>
      <c r="G131" s="31" t="n">
        <v>6360.2</v>
      </c>
      <c r="H131" s="31" t="n">
        <v>6376.4</v>
      </c>
      <c r="I131" s="31" t="n">
        <v>6401.5</v>
      </c>
      <c r="J131" s="31" t="n">
        <v>6429.7</v>
      </c>
      <c r="K131" s="31" t="n">
        <v>3861.9</v>
      </c>
      <c r="L131" s="31" t="n">
        <v>3751</v>
      </c>
      <c r="M131" s="30" t="inlineStr">
        <is>
          <t>AMR2</t>
        </is>
      </c>
      <c r="N131" s="30" t="inlineStr">
        <is>
          <t>AMR2</t>
        </is>
      </c>
      <c r="O131" s="32" t="n">
        <v>0</v>
      </c>
      <c r="P131" s="32" t="n">
        <v>0</v>
      </c>
      <c r="Q131" s="32" t="n">
        <v>15</v>
      </c>
      <c r="R131" s="31" t="n">
        <v>38.9</v>
      </c>
      <c r="S131" s="31" t="n">
        <v>38.9</v>
      </c>
      <c r="T131" s="30" t="inlineStr">
        <is>
          <t>AMR2</t>
        </is>
      </c>
      <c r="U131" s="31" t="n">
        <v>53</v>
      </c>
      <c r="V131" s="31" t="n">
        <v>53</v>
      </c>
      <c r="W131" s="30" t="inlineStr">
        <is>
          <t>AMR2</t>
        </is>
      </c>
      <c r="X131" s="32" t="n">
        <v>0</v>
      </c>
      <c r="Y131" s="32" t="n">
        <v>0</v>
      </c>
      <c r="Z131" s="31" t="n">
        <v>0</v>
      </c>
      <c r="AA131" s="32" t="n">
        <v>0</v>
      </c>
      <c r="AB131" s="32" t="n">
        <v>0</v>
      </c>
      <c r="AC131" s="32" t="n">
        <v>0</v>
      </c>
      <c r="AD131" s="32" t="n">
        <v>0</v>
      </c>
      <c r="AE131" s="31" t="n">
        <v>0</v>
      </c>
      <c r="AF131" s="32" t="n">
        <v>0</v>
      </c>
      <c r="AG131" s="31" t="n">
        <v>0</v>
      </c>
      <c r="AH131" s="32" t="n">
        <v>47</v>
      </c>
      <c r="AI131" s="31" t="n">
        <v>50.1</v>
      </c>
      <c r="AJ131" s="31" t="n">
        <v>44.6</v>
      </c>
      <c r="AK131" s="31" t="n">
        <v>0</v>
      </c>
      <c r="AL131" s="30" t="inlineStr">
        <is>
          <t>T-0280</t>
        </is>
      </c>
      <c r="AM131" s="30" t="inlineStr">
        <is>
          <t>B-02-01</t>
        </is>
      </c>
      <c r="AN131" s="30" t="inlineStr">
        <is>
          <t>T-0163</t>
        </is>
      </c>
      <c r="AO131" s="30" t="inlineStr">
        <is>
          <t>B-04-01</t>
        </is>
      </c>
    </row>
    <row r="132">
      <c r="A132" s="30" t="inlineStr">
        <is>
          <t>O0131</t>
        </is>
      </c>
      <c r="B132" s="30" t="inlineStr">
        <is>
          <t>H</t>
        </is>
      </c>
      <c r="C132" s="31" t="n">
        <v>2591.5</v>
      </c>
      <c r="D132" s="31" t="n">
        <v>6357.8</v>
      </c>
      <c r="E132" s="31" t="n">
        <v>6357.8</v>
      </c>
      <c r="F132" s="31" t="n">
        <v>6370.5</v>
      </c>
      <c r="G132" s="31" t="n">
        <v>6392.9</v>
      </c>
      <c r="H132" s="31" t="n">
        <v>6407.1</v>
      </c>
      <c r="I132" s="31" t="n">
        <v>6435.2</v>
      </c>
      <c r="J132" s="31" t="n">
        <v>6459.4</v>
      </c>
      <c r="K132" s="31" t="n">
        <v>3867.9</v>
      </c>
      <c r="L132" s="31" t="n">
        <v>3766.3</v>
      </c>
      <c r="M132" s="30" t="inlineStr">
        <is>
          <t>AMR3</t>
        </is>
      </c>
      <c r="N132" s="30" t="inlineStr">
        <is>
          <t>AMR3</t>
        </is>
      </c>
      <c r="O132" s="32" t="n">
        <v>0</v>
      </c>
      <c r="P132" s="32" t="n">
        <v>0</v>
      </c>
      <c r="Q132" s="32" t="n">
        <v>15</v>
      </c>
      <c r="R132" s="31" t="n">
        <v>34.2</v>
      </c>
      <c r="S132" s="31" t="n">
        <v>34.2</v>
      </c>
      <c r="T132" s="30" t="inlineStr">
        <is>
          <t>AMR3</t>
        </is>
      </c>
      <c r="U132" s="31" t="n">
        <v>52.5</v>
      </c>
      <c r="V132" s="31" t="n">
        <v>52.5</v>
      </c>
      <c r="W132" s="30" t="inlineStr">
        <is>
          <t>AMR3</t>
        </is>
      </c>
      <c r="X132" s="32" t="n">
        <v>0</v>
      </c>
      <c r="Y132" s="32" t="n">
        <v>0</v>
      </c>
      <c r="Z132" s="31" t="n">
        <v>0</v>
      </c>
      <c r="AA132" s="32" t="n">
        <v>0</v>
      </c>
      <c r="AB132" s="32" t="n">
        <v>0</v>
      </c>
      <c r="AC132" s="32" t="n">
        <v>0</v>
      </c>
      <c r="AD132" s="32" t="n">
        <v>0</v>
      </c>
      <c r="AE132" s="31" t="n">
        <v>0</v>
      </c>
      <c r="AF132" s="32" t="n">
        <v>0</v>
      </c>
      <c r="AG132" s="31" t="n">
        <v>0</v>
      </c>
      <c r="AH132" s="32" t="n">
        <v>41</v>
      </c>
      <c r="AI132" s="31" t="n">
        <v>46</v>
      </c>
      <c r="AJ132" s="31" t="n">
        <v>41.4</v>
      </c>
      <c r="AK132" s="31" t="n">
        <v>0</v>
      </c>
      <c r="AL132" s="30" t="inlineStr">
        <is>
          <t>T-0281</t>
        </is>
      </c>
      <c r="AM132" s="30" t="inlineStr">
        <is>
          <t>H-01-03</t>
        </is>
      </c>
      <c r="AN132" s="30" t="inlineStr">
        <is>
          <t>T-0115</t>
        </is>
      </c>
      <c r="AO132" s="30" t="inlineStr">
        <is>
          <t>H-01-05</t>
        </is>
      </c>
    </row>
    <row r="133">
      <c r="A133" s="30" t="inlineStr">
        <is>
          <t>O0132</t>
        </is>
      </c>
      <c r="B133" s="30" t="inlineStr">
        <is>
          <t>H</t>
        </is>
      </c>
      <c r="C133" s="31" t="n">
        <v>2608.5</v>
      </c>
      <c r="D133" s="31" t="n">
        <v>6419.4</v>
      </c>
      <c r="E133" s="31" t="n">
        <v>6419.4</v>
      </c>
      <c r="F133" s="31" t="n">
        <v>6431.5</v>
      </c>
      <c r="G133" s="31" t="n">
        <v>6457.1</v>
      </c>
      <c r="H133" s="31" t="n">
        <v>6471.3</v>
      </c>
      <c r="I133" s="31" t="n">
        <v>6496.9</v>
      </c>
      <c r="J133" s="31" t="n">
        <v>6524.2</v>
      </c>
      <c r="K133" s="31" t="n">
        <v>3915.7</v>
      </c>
      <c r="L133" s="31" t="n">
        <v>3810.9</v>
      </c>
      <c r="M133" s="30" t="inlineStr">
        <is>
          <t>AMR1</t>
        </is>
      </c>
      <c r="N133" s="30" t="inlineStr">
        <is>
          <t>AMR1</t>
        </is>
      </c>
      <c r="O133" s="32" t="n">
        <v>0</v>
      </c>
      <c r="P133" s="32" t="n">
        <v>0</v>
      </c>
      <c r="Q133" s="32" t="n">
        <v>15</v>
      </c>
      <c r="R133" s="31" t="n">
        <v>36.8</v>
      </c>
      <c r="S133" s="31" t="n">
        <v>36.8</v>
      </c>
      <c r="T133" s="30" t="inlineStr">
        <is>
          <t>AMR1</t>
        </is>
      </c>
      <c r="U133" s="31" t="n">
        <v>55.6</v>
      </c>
      <c r="V133" s="31" t="n">
        <v>55.6</v>
      </c>
      <c r="W133" s="30" t="inlineStr">
        <is>
          <t>AMR1</t>
        </is>
      </c>
      <c r="X133" s="32" t="n">
        <v>0</v>
      </c>
      <c r="Y133" s="32" t="n">
        <v>0</v>
      </c>
      <c r="Z133" s="31" t="n">
        <v>0</v>
      </c>
      <c r="AA133" s="32" t="n">
        <v>0</v>
      </c>
      <c r="AB133" s="32" t="n">
        <v>0</v>
      </c>
      <c r="AC133" s="32" t="n">
        <v>0</v>
      </c>
      <c r="AD133" s="32" t="n">
        <v>0</v>
      </c>
      <c r="AE133" s="31" t="n">
        <v>0</v>
      </c>
      <c r="AF133" s="32" t="n">
        <v>0</v>
      </c>
      <c r="AG133" s="31" t="n">
        <v>0</v>
      </c>
      <c r="AH133" s="32" t="n">
        <v>39</v>
      </c>
      <c r="AI133" s="31" t="n">
        <v>43.5</v>
      </c>
      <c r="AJ133" s="31" t="n">
        <v>47.1</v>
      </c>
      <c r="AK133" s="31" t="n">
        <v>0</v>
      </c>
      <c r="AL133" s="30" t="inlineStr">
        <is>
          <t>T-0282</t>
        </is>
      </c>
      <c r="AM133" s="30" t="inlineStr">
        <is>
          <t>H-02-03</t>
        </is>
      </c>
      <c r="AN133" s="30" t="inlineStr">
        <is>
          <t>T-0116</t>
        </is>
      </c>
      <c r="AO133" s="30" t="inlineStr">
        <is>
          <t>H-06-01</t>
        </is>
      </c>
    </row>
    <row r="134">
      <c r="A134" s="30" t="inlineStr">
        <is>
          <t>O0133</t>
        </is>
      </c>
      <c r="B134" s="30" t="inlineStr">
        <is>
          <t>D</t>
        </is>
      </c>
      <c r="C134" s="31" t="n">
        <v>2626.6</v>
      </c>
      <c r="D134" s="31" t="n">
        <v>6453.4</v>
      </c>
      <c r="E134" s="31" t="n">
        <v>6453.4</v>
      </c>
      <c r="F134" s="31" t="n">
        <v>6468.7</v>
      </c>
      <c r="G134" s="31" t="n">
        <v>6499.2</v>
      </c>
      <c r="H134" s="31" t="n">
        <v>6515.3</v>
      </c>
      <c r="I134" s="31" t="n">
        <v>6539.1</v>
      </c>
      <c r="J134" s="31" t="n">
        <v>6566</v>
      </c>
      <c r="K134" s="31" t="n">
        <v>3939.4</v>
      </c>
      <c r="L134" s="31" t="n">
        <v>3826.8</v>
      </c>
      <c r="M134" s="30" t="inlineStr">
        <is>
          <t>AMR2</t>
        </is>
      </c>
      <c r="N134" s="30" t="inlineStr">
        <is>
          <t>AMR2</t>
        </is>
      </c>
      <c r="O134" s="32" t="n">
        <v>0</v>
      </c>
      <c r="P134" s="32" t="n">
        <v>0</v>
      </c>
      <c r="Q134" s="32" t="n">
        <v>13</v>
      </c>
      <c r="R134" s="31" t="n">
        <v>35.7</v>
      </c>
      <c r="S134" s="31" t="n">
        <v>35.7</v>
      </c>
      <c r="T134" s="30" t="inlineStr">
        <is>
          <t>AMR2</t>
        </is>
      </c>
      <c r="U134" s="31" t="n">
        <v>48.3</v>
      </c>
      <c r="V134" s="31" t="n">
        <v>48.3</v>
      </c>
      <c r="W134" s="30" t="inlineStr">
        <is>
          <t>AMR2</t>
        </is>
      </c>
      <c r="X134" s="32" t="n">
        <v>0</v>
      </c>
      <c r="Y134" s="32" t="n">
        <v>0</v>
      </c>
      <c r="Z134" s="31" t="n">
        <v>0</v>
      </c>
      <c r="AA134" s="32" t="n">
        <v>0</v>
      </c>
      <c r="AB134" s="32" t="n">
        <v>1</v>
      </c>
      <c r="AC134" s="32" t="n">
        <v>1</v>
      </c>
      <c r="AD134" s="32" t="n">
        <v>2</v>
      </c>
      <c r="AE134" s="31" t="n">
        <v>4.4</v>
      </c>
      <c r="AF134" s="32" t="n">
        <v>1</v>
      </c>
      <c r="AG134" s="31" t="n">
        <v>0.4</v>
      </c>
      <c r="AH134" s="32" t="n">
        <v>40</v>
      </c>
      <c r="AI134" s="31" t="n">
        <v>44.2</v>
      </c>
      <c r="AJ134" s="31" t="n">
        <v>41.3</v>
      </c>
      <c r="AK134" s="31" t="n">
        <v>11</v>
      </c>
      <c r="AL134" s="30" t="inlineStr">
        <is>
          <t>T-0283</t>
        </is>
      </c>
      <c r="AM134" s="30" t="inlineStr">
        <is>
          <t>D-03-03</t>
        </is>
      </c>
      <c r="AN134" s="30" t="inlineStr">
        <is>
          <t>T-0152</t>
        </is>
      </c>
      <c r="AO134" s="30" t="inlineStr">
        <is>
          <t>D-01-01</t>
        </is>
      </c>
    </row>
    <row r="135">
      <c r="A135" s="30" t="inlineStr">
        <is>
          <t>O0134</t>
        </is>
      </c>
      <c r="B135" s="30" t="inlineStr">
        <is>
          <t>D</t>
        </is>
      </c>
      <c r="C135" s="31" t="n">
        <v>2641.8</v>
      </c>
      <c r="D135" s="31" t="n">
        <v>6498.9</v>
      </c>
      <c r="E135" s="31" t="n">
        <v>6498.9</v>
      </c>
      <c r="F135" s="31" t="n">
        <v>6515.2</v>
      </c>
      <c r="G135" s="31" t="n">
        <v>6541.1</v>
      </c>
      <c r="H135" s="31" t="n">
        <v>6547.9</v>
      </c>
      <c r="I135" s="31" t="n">
        <v>6572.5</v>
      </c>
      <c r="J135" s="31" t="n">
        <v>6601.6</v>
      </c>
      <c r="K135" s="31" t="n">
        <v>3959.8</v>
      </c>
      <c r="L135" s="31" t="n">
        <v>3857.1</v>
      </c>
      <c r="M135" s="30" t="inlineStr">
        <is>
          <t>AMR3</t>
        </is>
      </c>
      <c r="N135" s="30" t="inlineStr">
        <is>
          <t>AMR1</t>
        </is>
      </c>
      <c r="O135" s="32" t="n">
        <v>0</v>
      </c>
      <c r="P135" s="32" t="n">
        <v>0</v>
      </c>
      <c r="Q135" s="32" t="n">
        <v>13</v>
      </c>
      <c r="R135" s="31" t="n">
        <v>39.7</v>
      </c>
      <c r="S135" s="31" t="n">
        <v>39.7</v>
      </c>
      <c r="T135" s="30" t="inlineStr">
        <is>
          <t>AMR3</t>
        </is>
      </c>
      <c r="U135" s="31" t="n">
        <v>51.9</v>
      </c>
      <c r="V135" s="31" t="n">
        <v>51.9</v>
      </c>
      <c r="W135" s="30" t="inlineStr">
        <is>
          <t>AMR1</t>
        </is>
      </c>
      <c r="X135" s="32" t="n">
        <v>0</v>
      </c>
      <c r="Y135" s="32" t="n">
        <v>0</v>
      </c>
      <c r="Z135" s="31" t="n">
        <v>0</v>
      </c>
      <c r="AA135" s="32" t="n">
        <v>0</v>
      </c>
      <c r="AB135" s="32" t="n">
        <v>0</v>
      </c>
      <c r="AC135" s="32" t="n">
        <v>0</v>
      </c>
      <c r="AD135" s="32" t="n">
        <v>0</v>
      </c>
      <c r="AE135" s="31" t="n">
        <v>0</v>
      </c>
      <c r="AF135" s="32" t="n">
        <v>0</v>
      </c>
      <c r="AG135" s="31" t="n">
        <v>0</v>
      </c>
      <c r="AH135" s="32" t="n">
        <v>43</v>
      </c>
      <c r="AI135" s="31" t="n">
        <v>47</v>
      </c>
      <c r="AJ135" s="31" t="n">
        <v>48.9</v>
      </c>
      <c r="AK135" s="31" t="n">
        <v>0</v>
      </c>
      <c r="AL135" s="30" t="inlineStr">
        <is>
          <t>T-0284</t>
        </is>
      </c>
      <c r="AM135" s="30" t="inlineStr">
        <is>
          <t>D-05-03</t>
        </is>
      </c>
      <c r="AN135" s="30" t="inlineStr">
        <is>
          <t>T-0156</t>
        </is>
      </c>
      <c r="AO135" s="30" t="inlineStr">
        <is>
          <t>D-03-01</t>
        </is>
      </c>
    </row>
    <row r="136">
      <c r="A136" s="30" t="inlineStr">
        <is>
          <t>O0135</t>
        </is>
      </c>
      <c r="B136" s="30" t="inlineStr">
        <is>
          <t>B</t>
        </is>
      </c>
      <c r="C136" s="31" t="n">
        <v>2660.1</v>
      </c>
      <c r="D136" s="31" t="n">
        <v>6555.9</v>
      </c>
      <c r="E136" s="31" t="n">
        <v>6555.9</v>
      </c>
      <c r="F136" s="31" t="n">
        <v>6568.3</v>
      </c>
      <c r="G136" s="31" t="n">
        <v>6594</v>
      </c>
      <c r="H136" s="31" t="n">
        <v>6608.8</v>
      </c>
      <c r="I136" s="31" t="n">
        <v>6631.6</v>
      </c>
      <c r="J136" s="31" t="n">
        <v>6660.5</v>
      </c>
      <c r="K136" s="31" t="n">
        <v>4000.4</v>
      </c>
      <c r="L136" s="31" t="n">
        <v>3895.8</v>
      </c>
      <c r="M136" s="30" t="inlineStr">
        <is>
          <t>AMR3</t>
        </is>
      </c>
      <c r="N136" s="30" t="inlineStr">
        <is>
          <t>AMR3</t>
        </is>
      </c>
      <c r="O136" s="32" t="n">
        <v>0</v>
      </c>
      <c r="P136" s="32" t="n">
        <v>0</v>
      </c>
      <c r="Q136" s="32" t="n">
        <v>15</v>
      </c>
      <c r="R136" s="31" t="n">
        <v>37.2</v>
      </c>
      <c r="S136" s="31" t="n">
        <v>37.2</v>
      </c>
      <c r="T136" s="30" t="inlineStr">
        <is>
          <t>AMR3</t>
        </is>
      </c>
      <c r="U136" s="31" t="n">
        <v>51.4</v>
      </c>
      <c r="V136" s="31" t="n">
        <v>51.4</v>
      </c>
      <c r="W136" s="30" t="inlineStr">
        <is>
          <t>AMR3</t>
        </is>
      </c>
      <c r="X136" s="32" t="n">
        <v>0</v>
      </c>
      <c r="Y136" s="32" t="n">
        <v>0</v>
      </c>
      <c r="Z136" s="31" t="n">
        <v>0</v>
      </c>
      <c r="AA136" s="32" t="n">
        <v>0</v>
      </c>
      <c r="AB136" s="32" t="n">
        <v>0</v>
      </c>
      <c r="AC136" s="32" t="n">
        <v>0</v>
      </c>
      <c r="AD136" s="32" t="n">
        <v>0</v>
      </c>
      <c r="AE136" s="31" t="n">
        <v>0</v>
      </c>
      <c r="AF136" s="32" t="n">
        <v>0</v>
      </c>
      <c r="AG136" s="31" t="n">
        <v>0</v>
      </c>
      <c r="AH136" s="32" t="n">
        <v>45</v>
      </c>
      <c r="AI136" s="31" t="n">
        <v>48.5</v>
      </c>
      <c r="AJ136" s="31" t="n">
        <v>41.3</v>
      </c>
      <c r="AK136" s="31" t="n">
        <v>0</v>
      </c>
      <c r="AL136" s="30" t="inlineStr">
        <is>
          <t>T-0285</t>
        </is>
      </c>
      <c r="AM136" s="30" t="inlineStr">
        <is>
          <t>B-04-01</t>
        </is>
      </c>
      <c r="AN136" s="30" t="inlineStr">
        <is>
          <t>T-0168</t>
        </is>
      </c>
      <c r="AO136" s="30" t="inlineStr">
        <is>
          <t>B-05-01</t>
        </is>
      </c>
    </row>
    <row r="137">
      <c r="A137" s="30" t="inlineStr">
        <is>
          <t>O0136</t>
        </is>
      </c>
      <c r="B137" s="30" t="inlineStr">
        <is>
          <t>I</t>
        </is>
      </c>
      <c r="C137" s="31" t="n">
        <v>2678.6</v>
      </c>
      <c r="D137" s="31" t="n">
        <v>6589.7</v>
      </c>
      <c r="E137" s="31" t="n">
        <v>6589.7</v>
      </c>
      <c r="F137" s="31" t="n">
        <v>6603.3</v>
      </c>
      <c r="G137" s="31" t="n">
        <v>6633.4</v>
      </c>
      <c r="H137" s="31" t="n">
        <v>6650.2</v>
      </c>
      <c r="I137" s="31" t="n">
        <v>6677.4</v>
      </c>
      <c r="J137" s="31" t="n">
        <v>6706.2</v>
      </c>
      <c r="K137" s="31" t="n">
        <v>4027.6</v>
      </c>
      <c r="L137" s="31" t="n">
        <v>3911.1</v>
      </c>
      <c r="M137" s="30" t="inlineStr">
        <is>
          <t>AMR2</t>
        </is>
      </c>
      <c r="N137" s="30" t="inlineStr">
        <is>
          <t>AMR2</t>
        </is>
      </c>
      <c r="O137" s="32" t="n">
        <v>0</v>
      </c>
      <c r="P137" s="32" t="n">
        <v>0</v>
      </c>
      <c r="Q137" s="32" t="n">
        <v>15</v>
      </c>
      <c r="R137" s="31" t="n">
        <v>36.5</v>
      </c>
      <c r="S137" s="31" t="n">
        <v>36.5</v>
      </c>
      <c r="T137" s="30" t="inlineStr">
        <is>
          <t>AMR2</t>
        </is>
      </c>
      <c r="U137" s="31" t="n">
        <v>56.2</v>
      </c>
      <c r="V137" s="31" t="n">
        <v>56.2</v>
      </c>
      <c r="W137" s="30" t="inlineStr">
        <is>
          <t>AMR2</t>
        </is>
      </c>
      <c r="X137" s="32" t="n">
        <v>0</v>
      </c>
      <c r="Y137" s="32" t="n">
        <v>0</v>
      </c>
      <c r="Z137" s="31" t="n">
        <v>0</v>
      </c>
      <c r="AA137" s="32" t="n">
        <v>0</v>
      </c>
      <c r="AB137" s="32" t="n">
        <v>1</v>
      </c>
      <c r="AC137" s="32" t="n">
        <v>1</v>
      </c>
      <c r="AD137" s="32" t="n">
        <v>0</v>
      </c>
      <c r="AE137" s="31" t="n">
        <v>0</v>
      </c>
      <c r="AF137" s="32" t="n">
        <v>0</v>
      </c>
      <c r="AG137" s="31" t="n">
        <v>0</v>
      </c>
      <c r="AH137" s="32" t="n">
        <v>43</v>
      </c>
      <c r="AI137" s="31" t="n">
        <v>48.1</v>
      </c>
      <c r="AJ137" s="31" t="n">
        <v>46.9</v>
      </c>
      <c r="AK137" s="31" t="n">
        <v>4.7</v>
      </c>
      <c r="AL137" s="30" t="inlineStr">
        <is>
          <t>T-0286</t>
        </is>
      </c>
      <c r="AM137" s="30" t="inlineStr">
        <is>
          <t>I-05-01</t>
        </is>
      </c>
      <c r="AN137" s="30" t="inlineStr">
        <is>
          <t>T-0191</t>
        </is>
      </c>
      <c r="AO137" s="30" t="inlineStr">
        <is>
          <t>I-01-02</t>
        </is>
      </c>
    </row>
    <row r="138">
      <c r="A138" s="30" t="inlineStr">
        <is>
          <t>O0137</t>
        </is>
      </c>
      <c r="B138" s="30" t="inlineStr">
        <is>
          <t>I</t>
        </is>
      </c>
      <c r="C138" s="31" t="n">
        <v>2700.4</v>
      </c>
      <c r="D138" s="31" t="n">
        <v>6629.7</v>
      </c>
      <c r="E138" s="31" t="n">
        <v>6629.7</v>
      </c>
      <c r="F138" s="31" t="n">
        <v>6640.9</v>
      </c>
      <c r="G138" s="31" t="n">
        <v>6668.5</v>
      </c>
      <c r="H138" s="31" t="n">
        <v>6684.2</v>
      </c>
      <c r="I138" s="31" t="n">
        <v>6712.3</v>
      </c>
      <c r="J138" s="31" t="n">
        <v>6737.3</v>
      </c>
      <c r="K138" s="31" t="n">
        <v>4036.9</v>
      </c>
      <c r="L138" s="31" t="n">
        <v>3929.3</v>
      </c>
      <c r="M138" s="30" t="inlineStr">
        <is>
          <t>AMR1</t>
        </is>
      </c>
      <c r="N138" s="30" t="inlineStr">
        <is>
          <t>AMR3</t>
        </is>
      </c>
      <c r="O138" s="32" t="n">
        <v>0</v>
      </c>
      <c r="P138" s="32" t="n">
        <v>0</v>
      </c>
      <c r="Q138" s="32" t="n">
        <v>15</v>
      </c>
      <c r="R138" s="31" t="n">
        <v>35.5</v>
      </c>
      <c r="S138" s="31" t="n">
        <v>35.5</v>
      </c>
      <c r="T138" s="30" t="inlineStr">
        <is>
          <t>AMR1</t>
        </is>
      </c>
      <c r="U138" s="31" t="n">
        <v>53.3</v>
      </c>
      <c r="V138" s="31" t="n">
        <v>53.3</v>
      </c>
      <c r="W138" s="30" t="inlineStr">
        <is>
          <t>AMR3</t>
        </is>
      </c>
      <c r="X138" s="32" t="n">
        <v>0</v>
      </c>
      <c r="Y138" s="32" t="n">
        <v>0</v>
      </c>
      <c r="Z138" s="31" t="n">
        <v>0</v>
      </c>
      <c r="AA138" s="32" t="n">
        <v>0</v>
      </c>
      <c r="AB138" s="32" t="n">
        <v>0</v>
      </c>
      <c r="AC138" s="32" t="n">
        <v>0</v>
      </c>
      <c r="AD138" s="32" t="n">
        <v>0</v>
      </c>
      <c r="AE138" s="31" t="n">
        <v>0</v>
      </c>
      <c r="AF138" s="32" t="n">
        <v>0</v>
      </c>
      <c r="AG138" s="31" t="n">
        <v>0</v>
      </c>
      <c r="AH138" s="32" t="n">
        <v>44</v>
      </c>
      <c r="AI138" s="31" t="n">
        <v>48.9</v>
      </c>
      <c r="AJ138" s="31" t="n">
        <v>43</v>
      </c>
      <c r="AK138" s="31" t="n">
        <v>0</v>
      </c>
      <c r="AL138" s="30" t="inlineStr">
        <is>
          <t>T-0287</t>
        </is>
      </c>
      <c r="AM138" s="30" t="inlineStr">
        <is>
          <t>I-06-01</t>
        </is>
      </c>
      <c r="AN138" s="30" t="inlineStr">
        <is>
          <t>T-0200</t>
        </is>
      </c>
      <c r="AO138" s="30" t="inlineStr">
        <is>
          <t>I-02-02</t>
        </is>
      </c>
    </row>
    <row r="139">
      <c r="A139" s="30" t="inlineStr">
        <is>
          <t>O0138</t>
        </is>
      </c>
      <c r="B139" s="30" t="inlineStr">
        <is>
          <t>B</t>
        </is>
      </c>
      <c r="C139" s="31" t="n">
        <v>2724.8</v>
      </c>
      <c r="D139" s="31" t="n">
        <v>6691.5</v>
      </c>
      <c r="E139" s="31" t="n">
        <v>6691.5</v>
      </c>
      <c r="F139" s="31" t="n">
        <v>6702.4</v>
      </c>
      <c r="G139" s="31" t="n">
        <v>6724.5</v>
      </c>
      <c r="H139" s="31" t="n">
        <v>6729.9</v>
      </c>
      <c r="I139" s="31" t="n">
        <v>6757.2</v>
      </c>
      <c r="J139" s="31" t="n">
        <v>6789.6</v>
      </c>
      <c r="K139" s="31" t="n">
        <v>4064.8</v>
      </c>
      <c r="L139" s="31" t="n">
        <v>3966.7</v>
      </c>
      <c r="M139" s="30" t="inlineStr">
        <is>
          <t>AMR1</t>
        </is>
      </c>
      <c r="N139" s="30" t="inlineStr">
        <is>
          <t>AMR2</t>
        </is>
      </c>
      <c r="O139" s="32" t="n">
        <v>0</v>
      </c>
      <c r="P139" s="32" t="n">
        <v>0</v>
      </c>
      <c r="Q139" s="32" t="n">
        <v>15</v>
      </c>
      <c r="R139" s="31" t="n">
        <v>32.1</v>
      </c>
      <c r="S139" s="31" t="n">
        <v>32.1</v>
      </c>
      <c r="T139" s="30" t="inlineStr">
        <is>
          <t>AMR1</t>
        </is>
      </c>
      <c r="U139" s="31" t="n">
        <v>57.4</v>
      </c>
      <c r="V139" s="31" t="n">
        <v>57.4</v>
      </c>
      <c r="W139" s="30" t="inlineStr">
        <is>
          <t>AMR2</t>
        </is>
      </c>
      <c r="X139" s="32" t="n">
        <v>0</v>
      </c>
      <c r="Y139" s="32" t="n">
        <v>0</v>
      </c>
      <c r="Z139" s="31" t="n">
        <v>0</v>
      </c>
      <c r="AA139" s="32" t="n">
        <v>0</v>
      </c>
      <c r="AB139" s="32" t="n">
        <v>0</v>
      </c>
      <c r="AC139" s="32" t="n">
        <v>0</v>
      </c>
      <c r="AD139" s="32" t="n">
        <v>0</v>
      </c>
      <c r="AE139" s="31" t="n">
        <v>0</v>
      </c>
      <c r="AF139" s="32" t="n">
        <v>0</v>
      </c>
      <c r="AG139" s="31" t="n">
        <v>0</v>
      </c>
      <c r="AH139" s="32" t="n">
        <v>49</v>
      </c>
      <c r="AI139" s="31" t="n">
        <v>50.5</v>
      </c>
      <c r="AJ139" s="31" t="n">
        <v>42.2</v>
      </c>
      <c r="AK139" s="31" t="n">
        <v>0</v>
      </c>
      <c r="AL139" s="30" t="inlineStr">
        <is>
          <t>T-0288</t>
        </is>
      </c>
      <c r="AM139" s="30" t="inlineStr">
        <is>
          <t>B-05-01</t>
        </is>
      </c>
      <c r="AN139" s="30" t="inlineStr">
        <is>
          <t>T-0170</t>
        </is>
      </c>
      <c r="AO139" s="30" t="inlineStr">
        <is>
          <t>B-01-02</t>
        </is>
      </c>
    </row>
    <row r="140">
      <c r="A140" s="30" t="inlineStr">
        <is>
          <t>O0139</t>
        </is>
      </c>
      <c r="B140" s="30" t="inlineStr">
        <is>
          <t>E</t>
        </is>
      </c>
      <c r="C140" s="31" t="n">
        <v>2741.6</v>
      </c>
      <c r="D140" s="31" t="n">
        <v>6739.3</v>
      </c>
      <c r="E140" s="31" t="n">
        <v>6739.3</v>
      </c>
      <c r="F140" s="31" t="n">
        <v>6755</v>
      </c>
      <c r="G140" s="31" t="n">
        <v>6782.5</v>
      </c>
      <c r="H140" s="31" t="n">
        <v>6802</v>
      </c>
      <c r="I140" s="31" t="n">
        <v>6829.6</v>
      </c>
      <c r="J140" s="31" t="n">
        <v>6865.8</v>
      </c>
      <c r="K140" s="31" t="n">
        <v>4124.2</v>
      </c>
      <c r="L140" s="31" t="n">
        <v>3997.7</v>
      </c>
      <c r="M140" s="30" t="inlineStr">
        <is>
          <t>AMR1</t>
        </is>
      </c>
      <c r="N140" s="30" t="inlineStr">
        <is>
          <t>AMR1</t>
        </is>
      </c>
      <c r="O140" s="32" t="n">
        <v>0</v>
      </c>
      <c r="P140" s="32" t="n">
        <v>0</v>
      </c>
      <c r="Q140" s="32" t="n">
        <v>19</v>
      </c>
      <c r="R140" s="31" t="n">
        <v>41.5</v>
      </c>
      <c r="S140" s="31" t="n">
        <v>41.5</v>
      </c>
      <c r="T140" s="30" t="inlineStr">
        <is>
          <t>AMR1</t>
        </is>
      </c>
      <c r="U140" s="31" t="n">
        <v>64</v>
      </c>
      <c r="V140" s="31" t="n">
        <v>64</v>
      </c>
      <c r="W140" s="30" t="inlineStr">
        <is>
          <t>AMR1</t>
        </is>
      </c>
      <c r="X140" s="32" t="n">
        <v>0</v>
      </c>
      <c r="Y140" s="32" t="n">
        <v>0</v>
      </c>
      <c r="Z140" s="31" t="n">
        <v>0</v>
      </c>
      <c r="AA140" s="32" t="n">
        <v>0</v>
      </c>
      <c r="AB140" s="32" t="n">
        <v>0</v>
      </c>
      <c r="AC140" s="32" t="n">
        <v>0</v>
      </c>
      <c r="AD140" s="32" t="n">
        <v>0</v>
      </c>
      <c r="AE140" s="31" t="n">
        <v>0</v>
      </c>
      <c r="AF140" s="32" t="n">
        <v>0</v>
      </c>
      <c r="AG140" s="31" t="n">
        <v>0</v>
      </c>
      <c r="AH140" s="32" t="n">
        <v>58</v>
      </c>
      <c r="AI140" s="31" t="n">
        <v>59</v>
      </c>
      <c r="AJ140" s="31" t="n">
        <v>48</v>
      </c>
      <c r="AK140" s="31" t="n">
        <v>0</v>
      </c>
      <c r="AL140" s="30" t="inlineStr">
        <is>
          <t>T-0289</t>
        </is>
      </c>
      <c r="AM140" s="30" t="inlineStr">
        <is>
          <t>E-03-03</t>
        </is>
      </c>
      <c r="AN140" s="30" t="inlineStr">
        <is>
          <t>T-0071</t>
        </is>
      </c>
      <c r="AO140" s="30" t="inlineStr">
        <is>
          <t>E-02-01</t>
        </is>
      </c>
    </row>
    <row r="141">
      <c r="A141" s="30" t="inlineStr">
        <is>
          <t>O0140</t>
        </is>
      </c>
      <c r="B141" s="30" t="inlineStr">
        <is>
          <t>G</t>
        </is>
      </c>
      <c r="C141" s="31" t="n">
        <v>2757.7</v>
      </c>
      <c r="D141" s="31" t="n">
        <v>6761</v>
      </c>
      <c r="E141" s="31" t="n">
        <v>6761</v>
      </c>
      <c r="F141" s="31" t="n">
        <v>6776.4</v>
      </c>
      <c r="G141" s="31" t="n">
        <v>6802.9</v>
      </c>
      <c r="H141" s="31" t="n">
        <v>6813.3</v>
      </c>
      <c r="I141" s="31" t="n">
        <v>6842.8</v>
      </c>
      <c r="J141" s="31" t="n">
        <v>6877.7</v>
      </c>
      <c r="K141" s="31" t="n">
        <v>4120</v>
      </c>
      <c r="L141" s="31" t="n">
        <v>4003.3</v>
      </c>
      <c r="M141" s="30" t="inlineStr">
        <is>
          <t>AMR3</t>
        </is>
      </c>
      <c r="N141" s="30" t="inlineStr">
        <is>
          <t>AMR2</t>
        </is>
      </c>
      <c r="O141" s="32" t="n">
        <v>0</v>
      </c>
      <c r="P141" s="32" t="n">
        <v>0</v>
      </c>
      <c r="Q141" s="32" t="n">
        <v>17</v>
      </c>
      <c r="R141" s="31" t="n">
        <v>39.4</v>
      </c>
      <c r="S141" s="31" t="n">
        <v>39.4</v>
      </c>
      <c r="T141" s="30" t="inlineStr">
        <is>
          <t>AMR3</t>
        </is>
      </c>
      <c r="U141" s="31" t="n">
        <v>54.4</v>
      </c>
      <c r="V141" s="31" t="n">
        <v>54.4</v>
      </c>
      <c r="W141" s="30" t="inlineStr">
        <is>
          <t>AMR2</t>
        </is>
      </c>
      <c r="X141" s="32" t="n">
        <v>0</v>
      </c>
      <c r="Y141" s="32" t="n">
        <v>0</v>
      </c>
      <c r="Z141" s="31" t="n">
        <v>0</v>
      </c>
      <c r="AA141" s="32" t="n">
        <v>0</v>
      </c>
      <c r="AB141" s="32" t="n">
        <v>0</v>
      </c>
      <c r="AC141" s="32" t="n">
        <v>0</v>
      </c>
      <c r="AD141" s="32" t="n">
        <v>1</v>
      </c>
      <c r="AE141" s="31" t="n">
        <v>7.7</v>
      </c>
      <c r="AF141" s="32" t="n">
        <v>1</v>
      </c>
      <c r="AG141" s="31" t="n">
        <v>2.7</v>
      </c>
      <c r="AH141" s="32" t="n">
        <v>53</v>
      </c>
      <c r="AI141" s="31" t="n">
        <v>55.2</v>
      </c>
      <c r="AJ141" s="31" t="n">
        <v>43.4</v>
      </c>
      <c r="AK141" s="31" t="n">
        <v>7.7</v>
      </c>
      <c r="AL141" s="30" t="inlineStr">
        <is>
          <t>T-0290</t>
        </is>
      </c>
      <c r="AM141" s="30" t="inlineStr">
        <is>
          <t>G-02-01</t>
        </is>
      </c>
      <c r="AN141" s="30" t="inlineStr">
        <is>
          <t>T-0098</t>
        </is>
      </c>
      <c r="AO141" s="30" t="inlineStr">
        <is>
          <t>G-02-03</t>
        </is>
      </c>
    </row>
    <row r="142">
      <c r="A142" s="30" t="inlineStr">
        <is>
          <t>O0141</t>
        </is>
      </c>
      <c r="B142" s="30" t="inlineStr">
        <is>
          <t>F</t>
        </is>
      </c>
      <c r="C142" s="31" t="n">
        <v>2779.9</v>
      </c>
      <c r="D142" s="31" t="n">
        <v>6821.1</v>
      </c>
      <c r="E142" s="31" t="n">
        <v>6821.1</v>
      </c>
      <c r="F142" s="31" t="n">
        <v>6834.6</v>
      </c>
      <c r="G142" s="31" t="n">
        <v>6866.1</v>
      </c>
      <c r="H142" s="31" t="n">
        <v>6889.5</v>
      </c>
      <c r="I142" s="31" t="n">
        <v>6924.5</v>
      </c>
      <c r="J142" s="31" t="n">
        <v>6955.9</v>
      </c>
      <c r="K142" s="31" t="n">
        <v>4176</v>
      </c>
      <c r="L142" s="31" t="n">
        <v>4041.2</v>
      </c>
      <c r="M142" s="30" t="inlineStr">
        <is>
          <t>AMR3</t>
        </is>
      </c>
      <c r="N142" s="30" t="inlineStr">
        <is>
          <t>AMR1</t>
        </is>
      </c>
      <c r="O142" s="32" t="n">
        <v>0</v>
      </c>
      <c r="P142" s="32" t="n">
        <v>0</v>
      </c>
      <c r="Q142" s="32" t="n">
        <v>23</v>
      </c>
      <c r="R142" s="31" t="n">
        <v>42.5</v>
      </c>
      <c r="S142" s="31" t="n">
        <v>42.5</v>
      </c>
      <c r="T142" s="30" t="inlineStr">
        <is>
          <t>AMR3</t>
        </is>
      </c>
      <c r="U142" s="31" t="n">
        <v>60.3</v>
      </c>
      <c r="V142" s="31" t="n">
        <v>60.3</v>
      </c>
      <c r="W142" s="30" t="inlineStr">
        <is>
          <t>AMR1</t>
        </is>
      </c>
      <c r="X142" s="32" t="n">
        <v>0</v>
      </c>
      <c r="Y142" s="32" t="n">
        <v>0</v>
      </c>
      <c r="Z142" s="31" t="n">
        <v>0</v>
      </c>
      <c r="AA142" s="32" t="n">
        <v>0</v>
      </c>
      <c r="AB142" s="32" t="n">
        <v>0</v>
      </c>
      <c r="AC142" s="32" t="n">
        <v>1</v>
      </c>
      <c r="AD142" s="32" t="n">
        <v>0</v>
      </c>
      <c r="AE142" s="31" t="n">
        <v>0</v>
      </c>
      <c r="AF142" s="32" t="n">
        <v>0</v>
      </c>
      <c r="AG142" s="31" t="n">
        <v>0</v>
      </c>
      <c r="AH142" s="32" t="n">
        <v>67</v>
      </c>
      <c r="AI142" s="31" t="n">
        <v>70.8</v>
      </c>
      <c r="AJ142" s="31" t="n">
        <v>37.6</v>
      </c>
      <c r="AK142" s="31" t="n">
        <v>3</v>
      </c>
      <c r="AL142" s="30" t="inlineStr">
        <is>
          <t>T-0291</t>
        </is>
      </c>
      <c r="AM142" s="30" t="inlineStr">
        <is>
          <t>F-01-03</t>
        </is>
      </c>
      <c r="AN142" s="30" t="inlineStr">
        <is>
          <t>T-0089</t>
        </is>
      </c>
      <c r="AO142" s="30" t="inlineStr">
        <is>
          <t>F-04-01</t>
        </is>
      </c>
    </row>
    <row r="143">
      <c r="A143" s="30" t="inlineStr">
        <is>
          <t>O0142</t>
        </is>
      </c>
      <c r="B143" s="30" t="inlineStr">
        <is>
          <t>I</t>
        </is>
      </c>
      <c r="C143" s="31" t="n">
        <v>2801</v>
      </c>
      <c r="D143" s="31" t="n">
        <v>6895.9</v>
      </c>
      <c r="E143" s="31" t="n">
        <v>6895.9</v>
      </c>
      <c r="F143" s="31" t="n">
        <v>6908.4</v>
      </c>
      <c r="G143" s="31" t="n">
        <v>6934.8</v>
      </c>
      <c r="H143" s="31" t="n">
        <v>6949.6</v>
      </c>
      <c r="I143" s="31" t="n">
        <v>6988</v>
      </c>
      <c r="J143" s="31" t="n">
        <v>7015</v>
      </c>
      <c r="K143" s="31" t="n">
        <v>4214</v>
      </c>
      <c r="L143" s="31" t="n">
        <v>4094.9</v>
      </c>
      <c r="M143" s="30" t="inlineStr">
        <is>
          <t>AMR3</t>
        </is>
      </c>
      <c r="N143" s="30" t="inlineStr">
        <is>
          <t>AMR3</t>
        </is>
      </c>
      <c r="O143" s="32" t="n">
        <v>0</v>
      </c>
      <c r="P143" s="32" t="n">
        <v>0</v>
      </c>
      <c r="Q143" s="32" t="n">
        <v>15</v>
      </c>
      <c r="R143" s="31" t="n">
        <v>38</v>
      </c>
      <c r="S143" s="31" t="n">
        <v>38</v>
      </c>
      <c r="T143" s="30" t="inlineStr">
        <is>
          <t>AMR3</t>
        </is>
      </c>
      <c r="U143" s="31" t="n">
        <v>53.1</v>
      </c>
      <c r="V143" s="31" t="n">
        <v>53.1</v>
      </c>
      <c r="W143" s="30" t="inlineStr">
        <is>
          <t>AMR3</t>
        </is>
      </c>
      <c r="X143" s="32" t="n">
        <v>0</v>
      </c>
      <c r="Y143" s="32" t="n">
        <v>0</v>
      </c>
      <c r="Z143" s="31" t="n">
        <v>0</v>
      </c>
      <c r="AA143" s="32" t="n">
        <v>0</v>
      </c>
      <c r="AB143" s="32" t="n">
        <v>2</v>
      </c>
      <c r="AC143" s="32" t="n">
        <v>1</v>
      </c>
      <c r="AD143" s="32" t="n">
        <v>0</v>
      </c>
      <c r="AE143" s="31" t="n">
        <v>0</v>
      </c>
      <c r="AF143" s="32" t="n">
        <v>0</v>
      </c>
      <c r="AG143" s="31" t="n">
        <v>0</v>
      </c>
      <c r="AH143" s="32" t="n">
        <v>45</v>
      </c>
      <c r="AI143" s="31" t="n">
        <v>51.9</v>
      </c>
      <c r="AJ143" s="31" t="n">
        <v>45.3</v>
      </c>
      <c r="AK143" s="31" t="n">
        <v>7.1</v>
      </c>
      <c r="AL143" s="30" t="inlineStr">
        <is>
          <t>T-0292</t>
        </is>
      </c>
      <c r="AM143" s="30" t="inlineStr">
        <is>
          <t>I-01-02</t>
        </is>
      </c>
      <c r="AN143" s="30" t="inlineStr">
        <is>
          <t>T-0207</t>
        </is>
      </c>
      <c r="AO143" s="30" t="inlineStr">
        <is>
          <t>I-03-02</t>
        </is>
      </c>
    </row>
    <row r="144">
      <c r="A144" s="30" t="inlineStr">
        <is>
          <t>O0143</t>
        </is>
      </c>
      <c r="B144" s="30" t="inlineStr">
        <is>
          <t>J</t>
        </is>
      </c>
      <c r="C144" s="31" t="n">
        <v>2819.9</v>
      </c>
      <c r="D144" s="31" t="n">
        <v>6908.5</v>
      </c>
      <c r="E144" s="31" t="n">
        <v>6908.5</v>
      </c>
      <c r="F144" s="31" t="n">
        <v>6924</v>
      </c>
      <c r="G144" s="31" t="n">
        <v>6955.9</v>
      </c>
      <c r="H144" s="31" t="n">
        <v>6982.1</v>
      </c>
      <c r="I144" s="31" t="n">
        <v>7011.7</v>
      </c>
      <c r="J144" s="31" t="n">
        <v>7043.8</v>
      </c>
      <c r="K144" s="31" t="n">
        <v>4223.9</v>
      </c>
      <c r="L144" s="31" t="n">
        <v>4088.6</v>
      </c>
      <c r="M144" s="30" t="inlineStr">
        <is>
          <t>AMR2</t>
        </is>
      </c>
      <c r="N144" s="30" t="inlineStr">
        <is>
          <t>AMR1</t>
        </is>
      </c>
      <c r="O144" s="32" t="n">
        <v>0</v>
      </c>
      <c r="P144" s="32" t="n">
        <v>0</v>
      </c>
      <c r="Q144" s="32" t="n">
        <v>21</v>
      </c>
      <c r="R144" s="31" t="n">
        <v>44.9</v>
      </c>
      <c r="S144" s="31" t="n">
        <v>44.9</v>
      </c>
      <c r="T144" s="30" t="inlineStr">
        <is>
          <t>AMR2</t>
        </is>
      </c>
      <c r="U144" s="31" t="n">
        <v>59.9</v>
      </c>
      <c r="V144" s="31" t="n">
        <v>59.9</v>
      </c>
      <c r="W144" s="30" t="inlineStr">
        <is>
          <t>AMR1</t>
        </is>
      </c>
      <c r="X144" s="32" t="n">
        <v>0</v>
      </c>
      <c r="Y144" s="32" t="n">
        <v>0</v>
      </c>
      <c r="Z144" s="31" t="n">
        <v>0</v>
      </c>
      <c r="AA144" s="32" t="n">
        <v>0</v>
      </c>
      <c r="AB144" s="32" t="n">
        <v>0</v>
      </c>
      <c r="AC144" s="32" t="n">
        <v>0</v>
      </c>
      <c r="AD144" s="32" t="n">
        <v>0</v>
      </c>
      <c r="AE144" s="31" t="n">
        <v>0</v>
      </c>
      <c r="AF144" s="32" t="n">
        <v>0</v>
      </c>
      <c r="AG144" s="31" t="n">
        <v>0</v>
      </c>
      <c r="AH144" s="32" t="n">
        <v>63</v>
      </c>
      <c r="AI144" s="31" t="n">
        <v>64.90000000000001</v>
      </c>
      <c r="AJ144" s="31" t="n">
        <v>44.2</v>
      </c>
      <c r="AK144" s="31" t="n">
        <v>0</v>
      </c>
      <c r="AL144" s="30" t="inlineStr">
        <is>
          <t>T-0293</t>
        </is>
      </c>
      <c r="AM144" s="30" t="inlineStr">
        <is>
          <t>J-05-02</t>
        </is>
      </c>
      <c r="AN144" s="30" t="inlineStr">
        <is>
          <t>T-0146</t>
        </is>
      </c>
      <c r="AO144" s="30" t="inlineStr">
        <is>
          <t>J-03-05</t>
        </is>
      </c>
    </row>
    <row r="145">
      <c r="A145" s="30" t="inlineStr">
        <is>
          <t>O0144</t>
        </is>
      </c>
      <c r="B145" s="30" t="inlineStr">
        <is>
          <t>G</t>
        </is>
      </c>
      <c r="C145" s="31" t="n">
        <v>2837.4</v>
      </c>
      <c r="D145" s="31" t="n">
        <v>6990.5</v>
      </c>
      <c r="E145" s="31" t="n">
        <v>6990.5</v>
      </c>
      <c r="F145" s="31" t="n">
        <v>7002.8</v>
      </c>
      <c r="G145" s="31" t="n">
        <v>7028</v>
      </c>
      <c r="H145" s="31" t="n">
        <v>7038.7</v>
      </c>
      <c r="I145" s="31" t="n">
        <v>7067.9</v>
      </c>
      <c r="J145" s="31" t="n">
        <v>7095.1</v>
      </c>
      <c r="K145" s="31" t="n">
        <v>4257.7</v>
      </c>
      <c r="L145" s="31" t="n">
        <v>4153.1</v>
      </c>
      <c r="M145" s="30" t="inlineStr">
        <is>
          <t>AMR2</t>
        </is>
      </c>
      <c r="N145" s="30" t="inlineStr">
        <is>
          <t>AMR3</t>
        </is>
      </c>
      <c r="O145" s="32" t="n">
        <v>0</v>
      </c>
      <c r="P145" s="32" t="n">
        <v>0</v>
      </c>
      <c r="Q145" s="32" t="n">
        <v>17</v>
      </c>
      <c r="R145" s="31" t="n">
        <v>37.4</v>
      </c>
      <c r="S145" s="31" t="n">
        <v>37.4</v>
      </c>
      <c r="T145" s="30" t="inlineStr">
        <is>
          <t>AMR2</t>
        </is>
      </c>
      <c r="U145" s="31" t="n">
        <v>54.1</v>
      </c>
      <c r="V145" s="31" t="n">
        <v>54.1</v>
      </c>
      <c r="W145" s="30" t="inlineStr">
        <is>
          <t>AMR3</t>
        </is>
      </c>
      <c r="X145" s="32" t="n">
        <v>0</v>
      </c>
      <c r="Y145" s="32" t="n">
        <v>0</v>
      </c>
      <c r="Z145" s="31" t="n">
        <v>0</v>
      </c>
      <c r="AA145" s="32" t="n">
        <v>0</v>
      </c>
      <c r="AB145" s="32" t="n">
        <v>1</v>
      </c>
      <c r="AC145" s="32" t="n">
        <v>1</v>
      </c>
      <c r="AD145" s="32" t="n">
        <v>0</v>
      </c>
      <c r="AE145" s="31" t="n">
        <v>0</v>
      </c>
      <c r="AF145" s="32" t="n">
        <v>0</v>
      </c>
      <c r="AG145" s="31" t="n">
        <v>0</v>
      </c>
      <c r="AH145" s="32" t="n">
        <v>44</v>
      </c>
      <c r="AI145" s="31" t="n">
        <v>49.8</v>
      </c>
      <c r="AJ145" s="31" t="n">
        <v>41.1</v>
      </c>
      <c r="AK145" s="31" t="n">
        <v>3</v>
      </c>
      <c r="AL145" s="30" t="inlineStr">
        <is>
          <t>T-0294</t>
        </is>
      </c>
      <c r="AM145" s="30" t="inlineStr">
        <is>
          <t>G-06-02</t>
        </is>
      </c>
      <c r="AN145" s="30" t="inlineStr">
        <is>
          <t>T-0099</t>
        </is>
      </c>
      <c r="AO145" s="30" t="inlineStr">
        <is>
          <t>G-06-04</t>
        </is>
      </c>
    </row>
    <row r="146">
      <c r="A146" s="30" t="inlineStr">
        <is>
          <t>O0145</t>
        </is>
      </c>
      <c r="B146" s="30" t="inlineStr">
        <is>
          <t>I</t>
        </is>
      </c>
      <c r="C146" s="31" t="n">
        <v>2857.6</v>
      </c>
      <c r="D146" s="31" t="n">
        <v>7049</v>
      </c>
      <c r="E146" s="31" t="n">
        <v>7049</v>
      </c>
      <c r="F146" s="31" t="n">
        <v>7064.7</v>
      </c>
      <c r="G146" s="31" t="n">
        <v>7091.5</v>
      </c>
      <c r="H146" s="31" t="n">
        <v>7106.3</v>
      </c>
      <c r="I146" s="31" t="n">
        <v>7140.8</v>
      </c>
      <c r="J146" s="31" t="n">
        <v>7169</v>
      </c>
      <c r="K146" s="31" t="n">
        <v>4311.4</v>
      </c>
      <c r="L146" s="31" t="n">
        <v>4191.4</v>
      </c>
      <c r="M146" s="30" t="inlineStr">
        <is>
          <t>AMR2</t>
        </is>
      </c>
      <c r="N146" s="30" t="inlineStr">
        <is>
          <t>AMR2</t>
        </is>
      </c>
      <c r="O146" s="32" t="n">
        <v>0</v>
      </c>
      <c r="P146" s="32" t="n">
        <v>0</v>
      </c>
      <c r="Q146" s="32" t="n">
        <v>15</v>
      </c>
      <c r="R146" s="31" t="n">
        <v>41.6</v>
      </c>
      <c r="S146" s="31" t="n">
        <v>41.6</v>
      </c>
      <c r="T146" s="30" t="inlineStr">
        <is>
          <t>AMR2</t>
        </is>
      </c>
      <c r="U146" s="31" t="n">
        <v>55</v>
      </c>
      <c r="V146" s="31" t="n">
        <v>55</v>
      </c>
      <c r="W146" s="30" t="inlineStr">
        <is>
          <t>AMR2</t>
        </is>
      </c>
      <c r="X146" s="32" t="n">
        <v>0</v>
      </c>
      <c r="Y146" s="32" t="n">
        <v>0</v>
      </c>
      <c r="Z146" s="31" t="n">
        <v>0</v>
      </c>
      <c r="AA146" s="32" t="n">
        <v>0</v>
      </c>
      <c r="AB146" s="32" t="n">
        <v>1</v>
      </c>
      <c r="AC146" s="32" t="n">
        <v>1</v>
      </c>
      <c r="AD146" s="32" t="n">
        <v>0</v>
      </c>
      <c r="AE146" s="31" t="n">
        <v>0</v>
      </c>
      <c r="AF146" s="32" t="n">
        <v>0</v>
      </c>
      <c r="AG146" s="31" t="n">
        <v>0</v>
      </c>
      <c r="AH146" s="32" t="n">
        <v>45</v>
      </c>
      <c r="AI146" s="31" t="n">
        <v>51.4</v>
      </c>
      <c r="AJ146" s="31" t="n">
        <v>50.8</v>
      </c>
      <c r="AK146" s="31" t="n">
        <v>3</v>
      </c>
      <c r="AL146" s="30" t="inlineStr">
        <is>
          <t>T-0295</t>
        </is>
      </c>
      <c r="AM146" s="30" t="inlineStr">
        <is>
          <t>I-02-02</t>
        </is>
      </c>
      <c r="AN146" s="30" t="inlineStr">
        <is>
          <t>T-0209</t>
        </is>
      </c>
      <c r="AO146" s="30" t="inlineStr">
        <is>
          <t>I-05-02</t>
        </is>
      </c>
    </row>
    <row r="147">
      <c r="A147" s="30" t="inlineStr">
        <is>
          <t>O0146</t>
        </is>
      </c>
      <c r="B147" s="30" t="inlineStr">
        <is>
          <t>D</t>
        </is>
      </c>
      <c r="C147" s="31" t="n">
        <v>2879.8</v>
      </c>
      <c r="D147" s="31" t="n">
        <v>7067.5</v>
      </c>
      <c r="E147" s="31" t="n">
        <v>7067.5</v>
      </c>
      <c r="F147" s="31" t="n">
        <v>7078.2</v>
      </c>
      <c r="G147" s="31" t="n">
        <v>7098</v>
      </c>
      <c r="H147" s="31" t="n">
        <v>7116.2</v>
      </c>
      <c r="I147" s="31" t="n">
        <v>7147.2</v>
      </c>
      <c r="J147" s="31" t="n">
        <v>7184.7</v>
      </c>
      <c r="K147" s="31" t="n">
        <v>4304.9</v>
      </c>
      <c r="L147" s="31" t="n">
        <v>4187.7</v>
      </c>
      <c r="M147" s="30" t="inlineStr">
        <is>
          <t>AMR1</t>
        </is>
      </c>
      <c r="N147" s="30" t="inlineStr">
        <is>
          <t>AMR1</t>
        </is>
      </c>
      <c r="O147" s="32" t="n">
        <v>0</v>
      </c>
      <c r="P147" s="32" t="n">
        <v>0</v>
      </c>
      <c r="Q147" s="32" t="n">
        <v>13</v>
      </c>
      <c r="R147" s="31" t="n">
        <v>29.6</v>
      </c>
      <c r="S147" s="31" t="n">
        <v>29.6</v>
      </c>
      <c r="T147" s="30" t="inlineStr">
        <is>
          <t>AMR1</t>
        </is>
      </c>
      <c r="U147" s="31" t="n">
        <v>54</v>
      </c>
      <c r="V147" s="31" t="n">
        <v>54</v>
      </c>
      <c r="W147" s="30" t="inlineStr">
        <is>
          <t>AMR1</t>
        </is>
      </c>
      <c r="X147" s="32" t="n">
        <v>0</v>
      </c>
      <c r="Y147" s="32" t="n">
        <v>0</v>
      </c>
      <c r="Z147" s="31" t="n">
        <v>0</v>
      </c>
      <c r="AA147" s="32" t="n">
        <v>0</v>
      </c>
      <c r="AB147" s="32" t="n">
        <v>1</v>
      </c>
      <c r="AC147" s="32" t="n">
        <v>1</v>
      </c>
      <c r="AD147" s="32" t="n">
        <v>1</v>
      </c>
      <c r="AE147" s="31" t="n">
        <v>6.1</v>
      </c>
      <c r="AF147" s="32" t="n">
        <v>2</v>
      </c>
      <c r="AG147" s="31" t="n">
        <v>1.2</v>
      </c>
      <c r="AH147" s="32" t="n">
        <v>43</v>
      </c>
      <c r="AI147" s="31" t="n">
        <v>46.9</v>
      </c>
      <c r="AJ147" s="31" t="n">
        <v>40.9</v>
      </c>
      <c r="AK147" s="31" t="n">
        <v>11.2</v>
      </c>
      <c r="AL147" s="30" t="inlineStr">
        <is>
          <t>T-0296</t>
        </is>
      </c>
      <c r="AM147" s="30" t="inlineStr">
        <is>
          <t>D-01-01</t>
        </is>
      </c>
      <c r="AN147" s="30" t="inlineStr">
        <is>
          <t>T-0172</t>
        </is>
      </c>
      <c r="AO147" s="30" t="inlineStr">
        <is>
          <t>D-04-01</t>
        </is>
      </c>
    </row>
    <row r="148">
      <c r="A148" s="30" t="inlineStr">
        <is>
          <t>O0147</t>
        </is>
      </c>
      <c r="B148" s="30" t="inlineStr">
        <is>
          <t>F</t>
        </is>
      </c>
      <c r="C148" s="31" t="n">
        <v>2899.1</v>
      </c>
      <c r="D148" s="31" t="n">
        <v>7126.2</v>
      </c>
      <c r="E148" s="31" t="n">
        <v>7126.2</v>
      </c>
      <c r="F148" s="31" t="n">
        <v>7141</v>
      </c>
      <c r="G148" s="31" t="n">
        <v>7171.9</v>
      </c>
      <c r="H148" s="31" t="n">
        <v>7192.7</v>
      </c>
      <c r="I148" s="31" t="n">
        <v>7228</v>
      </c>
      <c r="J148" s="31" t="n">
        <v>7264.1</v>
      </c>
      <c r="K148" s="31" t="n">
        <v>4365</v>
      </c>
      <c r="L148" s="31" t="n">
        <v>4227.1</v>
      </c>
      <c r="M148" s="30" t="inlineStr">
        <is>
          <t>AMR3</t>
        </is>
      </c>
      <c r="N148" s="30" t="inlineStr">
        <is>
          <t>AMR2</t>
        </is>
      </c>
      <c r="O148" s="32" t="n">
        <v>0</v>
      </c>
      <c r="P148" s="32" t="n">
        <v>0</v>
      </c>
      <c r="Q148" s="32" t="n">
        <v>23</v>
      </c>
      <c r="R148" s="31" t="n">
        <v>44.8</v>
      </c>
      <c r="S148" s="31" t="n">
        <v>44.8</v>
      </c>
      <c r="T148" s="30" t="inlineStr">
        <is>
          <t>AMR3</t>
        </is>
      </c>
      <c r="U148" s="31" t="n">
        <v>63.8</v>
      </c>
      <c r="V148" s="31" t="n">
        <v>63.8</v>
      </c>
      <c r="W148" s="30" t="inlineStr">
        <is>
          <t>AMR2</t>
        </is>
      </c>
      <c r="X148" s="32" t="n">
        <v>0</v>
      </c>
      <c r="Y148" s="32" t="n">
        <v>0</v>
      </c>
      <c r="Z148" s="31" t="n">
        <v>0</v>
      </c>
      <c r="AA148" s="32" t="n">
        <v>0</v>
      </c>
      <c r="AB148" s="32" t="n">
        <v>1</v>
      </c>
      <c r="AC148" s="32" t="n">
        <v>1</v>
      </c>
      <c r="AD148" s="32" t="n">
        <v>0</v>
      </c>
      <c r="AE148" s="31" t="n">
        <v>0</v>
      </c>
      <c r="AF148" s="32" t="n">
        <v>0</v>
      </c>
      <c r="AG148" s="31" t="n">
        <v>0</v>
      </c>
      <c r="AH148" s="32" t="n">
        <v>67</v>
      </c>
      <c r="AI148" s="31" t="n">
        <v>70.7</v>
      </c>
      <c r="AJ148" s="31" t="n">
        <v>43.4</v>
      </c>
      <c r="AK148" s="31" t="n">
        <v>3</v>
      </c>
      <c r="AL148" s="30" t="inlineStr">
        <is>
          <t>T-0297</t>
        </is>
      </c>
      <c r="AM148" s="30" t="inlineStr">
        <is>
          <t>F-04-01</t>
        </is>
      </c>
      <c r="AN148" s="30" t="inlineStr">
        <is>
          <t>T-0090</t>
        </is>
      </c>
      <c r="AO148" s="30" t="inlineStr">
        <is>
          <t>F-03-05</t>
        </is>
      </c>
    </row>
    <row r="149">
      <c r="A149" s="30" t="inlineStr">
        <is>
          <t>O0148</t>
        </is>
      </c>
      <c r="B149" s="30" t="inlineStr">
        <is>
          <t>B</t>
        </is>
      </c>
      <c r="C149" s="31" t="n">
        <v>2917.3</v>
      </c>
      <c r="D149" s="31" t="n">
        <v>7199.1</v>
      </c>
      <c r="E149" s="31" t="n">
        <v>7199.1</v>
      </c>
      <c r="F149" s="31" t="n">
        <v>7212</v>
      </c>
      <c r="G149" s="31" t="n">
        <v>7232.8</v>
      </c>
      <c r="H149" s="31" t="n">
        <v>7246.3</v>
      </c>
      <c r="I149" s="31" t="n">
        <v>7274.4</v>
      </c>
      <c r="J149" s="31" t="n">
        <v>7304.7</v>
      </c>
      <c r="K149" s="31" t="n">
        <v>4387.4</v>
      </c>
      <c r="L149" s="31" t="n">
        <v>4281.8</v>
      </c>
      <c r="M149" s="30" t="inlineStr">
        <is>
          <t>AMR3</t>
        </is>
      </c>
      <c r="N149" s="30" t="inlineStr">
        <is>
          <t>AMR3</t>
        </is>
      </c>
      <c r="O149" s="32" t="n">
        <v>0</v>
      </c>
      <c r="P149" s="32" t="n">
        <v>0</v>
      </c>
      <c r="Q149" s="32" t="n">
        <v>15</v>
      </c>
      <c r="R149" s="31" t="n">
        <v>33.6</v>
      </c>
      <c r="S149" s="31" t="n">
        <v>33.6</v>
      </c>
      <c r="T149" s="30" t="inlineStr">
        <is>
          <t>AMR3</t>
        </is>
      </c>
      <c r="U149" s="31" t="n">
        <v>55.1</v>
      </c>
      <c r="V149" s="31" t="n">
        <v>55.1</v>
      </c>
      <c r="W149" s="30" t="inlineStr">
        <is>
          <t>AMR3</t>
        </is>
      </c>
      <c r="X149" s="32" t="n">
        <v>0</v>
      </c>
      <c r="Y149" s="32" t="n">
        <v>0</v>
      </c>
      <c r="Z149" s="31" t="n">
        <v>0</v>
      </c>
      <c r="AA149" s="32" t="n">
        <v>0</v>
      </c>
      <c r="AB149" s="32" t="n">
        <v>0</v>
      </c>
      <c r="AC149" s="32" t="n">
        <v>0</v>
      </c>
      <c r="AD149" s="32" t="n">
        <v>0</v>
      </c>
      <c r="AE149" s="31" t="n">
        <v>0</v>
      </c>
      <c r="AF149" s="32" t="n">
        <v>0</v>
      </c>
      <c r="AG149" s="31" t="n">
        <v>0</v>
      </c>
      <c r="AH149" s="32" t="n">
        <v>48</v>
      </c>
      <c r="AI149" s="31" t="n">
        <v>50.7</v>
      </c>
      <c r="AJ149" s="31" t="n">
        <v>41.4</v>
      </c>
      <c r="AK149" s="31" t="n">
        <v>0</v>
      </c>
      <c r="AL149" s="30" t="inlineStr">
        <is>
          <t>T-0298</t>
        </is>
      </c>
      <c r="AM149" s="30" t="inlineStr">
        <is>
          <t>B-06-01</t>
        </is>
      </c>
      <c r="AN149" s="30" t="inlineStr">
        <is>
          <t>T-0173</t>
        </is>
      </c>
      <c r="AO149" s="30" t="inlineStr">
        <is>
          <t>B-02-02</t>
        </is>
      </c>
    </row>
    <row r="150">
      <c r="A150" s="30" t="inlineStr">
        <is>
          <t>O0149</t>
        </is>
      </c>
      <c r="B150" s="30" t="inlineStr">
        <is>
          <t>I</t>
        </is>
      </c>
      <c r="C150" s="31" t="n">
        <v>2941.3</v>
      </c>
      <c r="D150" s="31" t="n">
        <v>7212.1</v>
      </c>
      <c r="E150" s="31" t="n">
        <v>7212.1</v>
      </c>
      <c r="F150" s="31" t="n">
        <v>7224.8</v>
      </c>
      <c r="G150" s="31" t="n">
        <v>7251.1</v>
      </c>
      <c r="H150" s="31" t="n">
        <v>7267.2</v>
      </c>
      <c r="I150" s="31" t="n">
        <v>7300.2</v>
      </c>
      <c r="J150" s="31" t="n">
        <v>7329.1</v>
      </c>
      <c r="K150" s="31" t="n">
        <v>4387.8</v>
      </c>
      <c r="L150" s="31" t="n">
        <v>4270.8</v>
      </c>
      <c r="M150" s="30" t="inlineStr">
        <is>
          <t>AMR1</t>
        </is>
      </c>
      <c r="N150" s="30" t="inlineStr">
        <is>
          <t>AMR1</t>
        </is>
      </c>
      <c r="O150" s="32" t="n">
        <v>0</v>
      </c>
      <c r="P150" s="32" t="n">
        <v>0</v>
      </c>
      <c r="Q150" s="32" t="n">
        <v>15</v>
      </c>
      <c r="R150" s="31" t="n">
        <v>37.3</v>
      </c>
      <c r="S150" s="31" t="n">
        <v>37.3</v>
      </c>
      <c r="T150" s="30" t="inlineStr">
        <is>
          <t>AMR1</t>
        </is>
      </c>
      <c r="U150" s="31" t="n">
        <v>52.4</v>
      </c>
      <c r="V150" s="31" t="n">
        <v>52.4</v>
      </c>
      <c r="W150" s="30" t="inlineStr">
        <is>
          <t>AMR1</t>
        </is>
      </c>
      <c r="X150" s="32" t="n">
        <v>0</v>
      </c>
      <c r="Y150" s="32" t="n">
        <v>0</v>
      </c>
      <c r="Z150" s="31" t="n">
        <v>0</v>
      </c>
      <c r="AA150" s="32" t="n">
        <v>0</v>
      </c>
      <c r="AB150" s="32" t="n">
        <v>1</v>
      </c>
      <c r="AC150" s="32" t="n">
        <v>1</v>
      </c>
      <c r="AD150" s="32" t="n">
        <v>0</v>
      </c>
      <c r="AE150" s="31" t="n">
        <v>0</v>
      </c>
      <c r="AF150" s="32" t="n">
        <v>0</v>
      </c>
      <c r="AG150" s="31" t="n">
        <v>0</v>
      </c>
      <c r="AH150" s="32" t="n">
        <v>48</v>
      </c>
      <c r="AI150" s="31" t="n">
        <v>52.3</v>
      </c>
      <c r="AJ150" s="31" t="n">
        <v>43.9</v>
      </c>
      <c r="AK150" s="31" t="n">
        <v>4.7</v>
      </c>
      <c r="AL150" s="30" t="inlineStr">
        <is>
          <t>T-0299</t>
        </is>
      </c>
      <c r="AM150" s="30" t="inlineStr">
        <is>
          <t>I-03-02</t>
        </is>
      </c>
      <c r="AN150" s="30" t="inlineStr">
        <is>
          <t>T-0214</t>
        </is>
      </c>
      <c r="AO150" s="30" t="inlineStr">
        <is>
          <t>I-06-02</t>
        </is>
      </c>
    </row>
    <row r="151">
      <c r="A151" s="30" t="inlineStr">
        <is>
          <t>O0150</t>
        </is>
      </c>
      <c r="B151" s="30" t="inlineStr">
        <is>
          <t>F</t>
        </is>
      </c>
      <c r="C151" s="31" t="n">
        <v>2962.9</v>
      </c>
      <c r="D151" s="31" t="n">
        <v>7292.2</v>
      </c>
      <c r="E151" s="31" t="n">
        <v>7292.2</v>
      </c>
      <c r="F151" s="31" t="n">
        <v>7303.1</v>
      </c>
      <c r="G151" s="31" t="n">
        <v>7334.3</v>
      </c>
      <c r="H151" s="31" t="n">
        <v>7352.8</v>
      </c>
      <c r="I151" s="31" t="n">
        <v>7391.9</v>
      </c>
      <c r="J151" s="31" t="n">
        <v>7426.5</v>
      </c>
      <c r="K151" s="31" t="n">
        <v>4463.6</v>
      </c>
      <c r="L151" s="31" t="n">
        <v>4329.3</v>
      </c>
      <c r="M151" s="30" t="inlineStr">
        <is>
          <t>AMR2</t>
        </is>
      </c>
      <c r="N151" s="30" t="inlineStr">
        <is>
          <t>AMR1</t>
        </is>
      </c>
      <c r="O151" s="32" t="n">
        <v>0</v>
      </c>
      <c r="P151" s="32" t="n">
        <v>0</v>
      </c>
      <c r="Q151" s="32" t="n">
        <v>23</v>
      </c>
      <c r="R151" s="31" t="n">
        <v>41.2</v>
      </c>
      <c r="S151" s="31" t="n">
        <v>41.2</v>
      </c>
      <c r="T151" s="30" t="inlineStr">
        <is>
          <t>AMR2</t>
        </is>
      </c>
      <c r="U151" s="31" t="n">
        <v>62.6</v>
      </c>
      <c r="V151" s="31" t="n">
        <v>62.6</v>
      </c>
      <c r="W151" s="30" t="inlineStr">
        <is>
          <t>AMR1</t>
        </is>
      </c>
      <c r="X151" s="32" t="n">
        <v>0</v>
      </c>
      <c r="Y151" s="32" t="n">
        <v>0</v>
      </c>
      <c r="Z151" s="31" t="n">
        <v>0</v>
      </c>
      <c r="AA151" s="32" t="n">
        <v>0</v>
      </c>
      <c r="AB151" s="32" t="n">
        <v>1</v>
      </c>
      <c r="AC151" s="32" t="n">
        <v>1</v>
      </c>
      <c r="AD151" s="32" t="n">
        <v>0</v>
      </c>
      <c r="AE151" s="31" t="n">
        <v>0</v>
      </c>
      <c r="AF151" s="32" t="n">
        <v>0</v>
      </c>
      <c r="AG151" s="31" t="n">
        <v>0</v>
      </c>
      <c r="AH151" s="32" t="n">
        <v>69</v>
      </c>
      <c r="AI151" s="31" t="n">
        <v>71.2</v>
      </c>
      <c r="AJ151" s="31" t="n">
        <v>38.6</v>
      </c>
      <c r="AK151" s="31" t="n">
        <v>6</v>
      </c>
      <c r="AL151" s="30" t="inlineStr">
        <is>
          <t>T-0300</t>
        </is>
      </c>
      <c r="AM151" s="30" t="inlineStr">
        <is>
          <t>F-04-03</t>
        </is>
      </c>
      <c r="AN151" s="30" t="inlineStr">
        <is>
          <t>T-0161</t>
        </is>
      </c>
      <c r="AO151" s="30" t="inlineStr">
        <is>
          <t>F-02-01</t>
        </is>
      </c>
    </row>
    <row r="152">
      <c r="A152" s="30" t="inlineStr">
        <is>
          <t>O0151</t>
        </is>
      </c>
      <c r="B152" s="30" t="inlineStr">
        <is>
          <t>I</t>
        </is>
      </c>
      <c r="C152" s="31" t="n">
        <v>2984.9</v>
      </c>
      <c r="D152" s="31" t="n">
        <v>7328.4</v>
      </c>
      <c r="E152" s="31" t="n">
        <v>7328.4</v>
      </c>
      <c r="F152" s="31" t="n">
        <v>7350.8</v>
      </c>
      <c r="G152" s="31" t="n">
        <v>7374.9</v>
      </c>
      <c r="H152" s="31" t="n">
        <v>7391.7</v>
      </c>
      <c r="I152" s="31" t="n">
        <v>7416.8</v>
      </c>
      <c r="J152" s="31" t="n">
        <v>7444.6</v>
      </c>
      <c r="K152" s="31" t="n">
        <v>4459.7</v>
      </c>
      <c r="L152" s="31" t="n">
        <v>4343.5</v>
      </c>
      <c r="M152" s="30" t="inlineStr">
        <is>
          <t>AMR3</t>
        </is>
      </c>
      <c r="N152" s="30" t="inlineStr">
        <is>
          <t>AMR3</t>
        </is>
      </c>
      <c r="O152" s="32" t="n">
        <v>0</v>
      </c>
      <c r="P152" s="32" t="n">
        <v>0</v>
      </c>
      <c r="Q152" s="32" t="n">
        <v>15</v>
      </c>
      <c r="R152" s="31" t="n">
        <v>44</v>
      </c>
      <c r="S152" s="31" t="n">
        <v>44</v>
      </c>
      <c r="T152" s="30" t="inlineStr">
        <is>
          <t>AMR3</t>
        </is>
      </c>
      <c r="U152" s="31" t="n">
        <v>49.6</v>
      </c>
      <c r="V152" s="31" t="n">
        <v>49.6</v>
      </c>
      <c r="W152" s="30" t="inlineStr">
        <is>
          <t>AMR3</t>
        </is>
      </c>
      <c r="X152" s="32" t="n">
        <v>0</v>
      </c>
      <c r="Y152" s="32" t="n">
        <v>0</v>
      </c>
      <c r="Z152" s="31" t="n">
        <v>0</v>
      </c>
      <c r="AA152" s="32" t="n">
        <v>0</v>
      </c>
      <c r="AB152" s="32" t="n">
        <v>0</v>
      </c>
      <c r="AC152" s="32" t="n">
        <v>0</v>
      </c>
      <c r="AD152" s="32" t="n">
        <v>0</v>
      </c>
      <c r="AE152" s="31" t="n">
        <v>0</v>
      </c>
      <c r="AF152" s="32" t="n">
        <v>0</v>
      </c>
      <c r="AG152" s="31" t="n">
        <v>0</v>
      </c>
      <c r="AH152" s="32" t="n">
        <v>47</v>
      </c>
      <c r="AI152" s="31" t="n">
        <v>51.6</v>
      </c>
      <c r="AJ152" s="31" t="n">
        <v>47.8</v>
      </c>
      <c r="AK152" s="31" t="n">
        <v>0</v>
      </c>
      <c r="AL152" s="30" t="inlineStr">
        <is>
          <t>T-0301</t>
        </is>
      </c>
      <c r="AM152" s="30" t="inlineStr">
        <is>
          <t>I-05-02</t>
        </is>
      </c>
      <c r="AN152" s="30" t="inlineStr">
        <is>
          <t>T-0229</t>
        </is>
      </c>
      <c r="AO152" s="30" t="inlineStr">
        <is>
          <t>I-04-02</t>
        </is>
      </c>
    </row>
    <row r="153">
      <c r="A153" s="30" t="inlineStr">
        <is>
          <t>O0152</t>
        </is>
      </c>
      <c r="B153" s="30" t="inlineStr">
        <is>
          <t>G</t>
        </is>
      </c>
      <c r="C153" s="31" t="n">
        <v>3001.8</v>
      </c>
      <c r="D153" s="31" t="n">
        <v>7360.6</v>
      </c>
      <c r="E153" s="31" t="n">
        <v>7360.6</v>
      </c>
      <c r="F153" s="31" t="n">
        <v>7374</v>
      </c>
      <c r="G153" s="31" t="n">
        <v>7403.5</v>
      </c>
      <c r="H153" s="31" t="n">
        <v>7421.7</v>
      </c>
      <c r="I153" s="31" t="n">
        <v>7451.7</v>
      </c>
      <c r="J153" s="31" t="n">
        <v>7482.8</v>
      </c>
      <c r="K153" s="31" t="n">
        <v>4481</v>
      </c>
      <c r="L153" s="31" t="n">
        <v>4358.8</v>
      </c>
      <c r="M153" s="30" t="inlineStr">
        <is>
          <t>AMR2</t>
        </is>
      </c>
      <c r="N153" s="30" t="inlineStr">
        <is>
          <t>AMR2</t>
        </is>
      </c>
      <c r="O153" s="32" t="n">
        <v>0</v>
      </c>
      <c r="P153" s="32" t="n">
        <v>0</v>
      </c>
      <c r="Q153" s="32" t="n">
        <v>17</v>
      </c>
      <c r="R153" s="31" t="n">
        <v>40.4</v>
      </c>
      <c r="S153" s="31" t="n">
        <v>40.4</v>
      </c>
      <c r="T153" s="30" t="inlineStr">
        <is>
          <t>AMR2</t>
        </is>
      </c>
      <c r="U153" s="31" t="n">
        <v>57.8</v>
      </c>
      <c r="V153" s="31" t="n">
        <v>57.8</v>
      </c>
      <c r="W153" s="30" t="inlineStr">
        <is>
          <t>AMR2</t>
        </is>
      </c>
      <c r="X153" s="32" t="n">
        <v>0</v>
      </c>
      <c r="Y153" s="32" t="n">
        <v>0</v>
      </c>
      <c r="Z153" s="31" t="n">
        <v>0</v>
      </c>
      <c r="AA153" s="32" t="n">
        <v>0</v>
      </c>
      <c r="AB153" s="32" t="n">
        <v>0</v>
      </c>
      <c r="AC153" s="32" t="n">
        <v>0</v>
      </c>
      <c r="AD153" s="32" t="n">
        <v>0</v>
      </c>
      <c r="AE153" s="31" t="n">
        <v>0</v>
      </c>
      <c r="AF153" s="32" t="n">
        <v>0</v>
      </c>
      <c r="AG153" s="31" t="n">
        <v>0</v>
      </c>
      <c r="AH153" s="32" t="n">
        <v>53</v>
      </c>
      <c r="AI153" s="31" t="n">
        <v>56.2</v>
      </c>
      <c r="AJ153" s="31" t="n">
        <v>47.8</v>
      </c>
      <c r="AK153" s="31" t="n">
        <v>0</v>
      </c>
      <c r="AL153" s="30" t="inlineStr">
        <is>
          <t>T-0302</t>
        </is>
      </c>
      <c r="AM153" s="30" t="inlineStr">
        <is>
          <t>G-01-03</t>
        </is>
      </c>
      <c r="AN153" s="30" t="inlineStr">
        <is>
          <t>T-0100</t>
        </is>
      </c>
      <c r="AO153" s="30" t="inlineStr">
        <is>
          <t>G-02-05</t>
        </is>
      </c>
    </row>
    <row r="154">
      <c r="A154" s="30" t="inlineStr">
        <is>
          <t>O0153</t>
        </is>
      </c>
      <c r="B154" s="30" t="inlineStr">
        <is>
          <t>C</t>
        </is>
      </c>
      <c r="C154" s="31" t="n">
        <v>3024.3</v>
      </c>
      <c r="D154" s="31" t="n">
        <v>7450.2</v>
      </c>
      <c r="E154" s="31" t="n">
        <v>7450.2</v>
      </c>
      <c r="F154" s="31" t="n">
        <v>7463.6</v>
      </c>
      <c r="G154" s="31" t="n">
        <v>7487.2</v>
      </c>
      <c r="H154" s="31" t="n">
        <v>7499.4</v>
      </c>
      <c r="I154" s="31" t="n">
        <v>7524.4</v>
      </c>
      <c r="J154" s="31" t="n">
        <v>7554</v>
      </c>
      <c r="K154" s="31" t="n">
        <v>4529.7</v>
      </c>
      <c r="L154" s="31" t="n">
        <v>4425.9</v>
      </c>
      <c r="M154" s="30" t="inlineStr">
        <is>
          <t>AMR1</t>
        </is>
      </c>
      <c r="N154" s="30" t="inlineStr">
        <is>
          <t>AMR1</t>
        </is>
      </c>
      <c r="O154" s="32" t="n">
        <v>0</v>
      </c>
      <c r="P154" s="32" t="n">
        <v>0</v>
      </c>
      <c r="Q154" s="32" t="n">
        <v>13</v>
      </c>
      <c r="R154" s="31" t="n">
        <v>36.1</v>
      </c>
      <c r="S154" s="31" t="n">
        <v>36.1</v>
      </c>
      <c r="T154" s="30" t="inlineStr">
        <is>
          <t>AMR1</t>
        </is>
      </c>
      <c r="U154" s="31" t="n">
        <v>54.8</v>
      </c>
      <c r="V154" s="31" t="n">
        <v>54.8</v>
      </c>
      <c r="W154" s="30" t="inlineStr">
        <is>
          <t>AMR1</t>
        </is>
      </c>
      <c r="X154" s="32" t="n">
        <v>0</v>
      </c>
      <c r="Y154" s="32" t="n">
        <v>0</v>
      </c>
      <c r="Z154" s="31" t="n">
        <v>0</v>
      </c>
      <c r="AA154" s="32" t="n">
        <v>0</v>
      </c>
      <c r="AB154" s="32" t="n">
        <v>0</v>
      </c>
      <c r="AC154" s="32" t="n">
        <v>0</v>
      </c>
      <c r="AD154" s="32" t="n">
        <v>0</v>
      </c>
      <c r="AE154" s="31" t="n">
        <v>0</v>
      </c>
      <c r="AF154" s="32" t="n">
        <v>0</v>
      </c>
      <c r="AG154" s="31" t="n">
        <v>0</v>
      </c>
      <c r="AH154" s="32" t="n">
        <v>39</v>
      </c>
      <c r="AI154" s="31" t="n">
        <v>42.9</v>
      </c>
      <c r="AJ154" s="31" t="n">
        <v>48.7</v>
      </c>
      <c r="AK154" s="31" t="n">
        <v>0</v>
      </c>
      <c r="AL154" s="30" t="inlineStr">
        <is>
          <t>T-0303</t>
        </is>
      </c>
      <c r="AM154" s="30" t="inlineStr">
        <is>
          <t>C-02-01</t>
        </is>
      </c>
      <c r="AN154" s="30" t="inlineStr">
        <is>
          <t>T-0043</t>
        </is>
      </c>
      <c r="AO154" s="30" t="inlineStr">
        <is>
          <t>C-01-03</t>
        </is>
      </c>
    </row>
    <row r="155">
      <c r="A155" s="30" t="inlineStr">
        <is>
          <t>O0154</t>
        </is>
      </c>
      <c r="B155" s="30" t="inlineStr">
        <is>
          <t>G</t>
        </is>
      </c>
      <c r="C155" s="31" t="n">
        <v>3045</v>
      </c>
      <c r="D155" s="31" t="n">
        <v>7468.3</v>
      </c>
      <c r="E155" s="31" t="n">
        <v>7468.3</v>
      </c>
      <c r="F155" s="31" t="n">
        <v>7483.3</v>
      </c>
      <c r="G155" s="31" t="n">
        <v>7512.1</v>
      </c>
      <c r="H155" s="31" t="n">
        <v>7530.3</v>
      </c>
      <c r="I155" s="31" t="n">
        <v>7558.4</v>
      </c>
      <c r="J155" s="31" t="n">
        <v>7585.3</v>
      </c>
      <c r="K155" s="31" t="n">
        <v>4540.3</v>
      </c>
      <c r="L155" s="31" t="n">
        <v>4423.3</v>
      </c>
      <c r="M155" s="30" t="inlineStr">
        <is>
          <t>AMR3</t>
        </is>
      </c>
      <c r="N155" s="30" t="inlineStr">
        <is>
          <t>AMR3</t>
        </is>
      </c>
      <c r="O155" s="32" t="n">
        <v>0</v>
      </c>
      <c r="P155" s="32" t="n">
        <v>0</v>
      </c>
      <c r="Q155" s="32" t="n">
        <v>17</v>
      </c>
      <c r="R155" s="31" t="n">
        <v>41.3</v>
      </c>
      <c r="S155" s="31" t="n">
        <v>41.3</v>
      </c>
      <c r="T155" s="30" t="inlineStr">
        <is>
          <t>AMR3</t>
        </is>
      </c>
      <c r="U155" s="31" t="n">
        <v>54.7</v>
      </c>
      <c r="V155" s="31" t="n">
        <v>54.7</v>
      </c>
      <c r="W155" s="30" t="inlineStr">
        <is>
          <t>AMR3</t>
        </is>
      </c>
      <c r="X155" s="32" t="n">
        <v>0</v>
      </c>
      <c r="Y155" s="32" t="n">
        <v>0</v>
      </c>
      <c r="Z155" s="31" t="n">
        <v>0</v>
      </c>
      <c r="AA155" s="32" t="n">
        <v>0</v>
      </c>
      <c r="AB155" s="32" t="n">
        <v>0</v>
      </c>
      <c r="AC155" s="32" t="n">
        <v>0</v>
      </c>
      <c r="AD155" s="32" t="n">
        <v>0</v>
      </c>
      <c r="AE155" s="31" t="n">
        <v>0</v>
      </c>
      <c r="AF155" s="32" t="n">
        <v>0</v>
      </c>
      <c r="AG155" s="31" t="n">
        <v>0</v>
      </c>
      <c r="AH155" s="32" t="n">
        <v>49</v>
      </c>
      <c r="AI155" s="31" t="n">
        <v>53.2</v>
      </c>
      <c r="AJ155" s="31" t="n">
        <v>45.6</v>
      </c>
      <c r="AK155" s="31" t="n">
        <v>0</v>
      </c>
      <c r="AL155" s="30" t="inlineStr">
        <is>
          <t>T-0304</t>
        </is>
      </c>
      <c r="AM155" s="30" t="inlineStr">
        <is>
          <t>G-02-03</t>
        </is>
      </c>
      <c r="AN155" s="30" t="inlineStr">
        <is>
          <t>T-0101</t>
        </is>
      </c>
      <c r="AO155" s="30" t="inlineStr">
        <is>
          <t>G-04-03</t>
        </is>
      </c>
    </row>
    <row r="156">
      <c r="A156" s="30" t="inlineStr">
        <is>
          <t>O0155</t>
        </is>
      </c>
      <c r="B156" s="30" t="inlineStr">
        <is>
          <t>E</t>
        </is>
      </c>
      <c r="C156" s="31" t="n">
        <v>3068.3</v>
      </c>
      <c r="D156" s="31" t="n">
        <v>7506.5</v>
      </c>
      <c r="E156" s="31" t="n">
        <v>7506.5</v>
      </c>
      <c r="F156" s="31" t="n">
        <v>7516.9</v>
      </c>
      <c r="G156" s="31" t="n">
        <v>7541.3</v>
      </c>
      <c r="H156" s="31" t="n">
        <v>7559.5</v>
      </c>
      <c r="I156" s="31" t="n">
        <v>7585.3</v>
      </c>
      <c r="J156" s="31" t="n">
        <v>7623.5</v>
      </c>
      <c r="K156" s="31" t="n">
        <v>4555.2</v>
      </c>
      <c r="L156" s="31" t="n">
        <v>4438.2</v>
      </c>
      <c r="M156" s="30" t="inlineStr">
        <is>
          <t>AMR2</t>
        </is>
      </c>
      <c r="N156" s="30" t="inlineStr">
        <is>
          <t>AMR2</t>
        </is>
      </c>
      <c r="O156" s="32" t="n">
        <v>0</v>
      </c>
      <c r="P156" s="32" t="n">
        <v>0</v>
      </c>
      <c r="Q156" s="32" t="n">
        <v>19</v>
      </c>
      <c r="R156" s="31" t="n">
        <v>33.9</v>
      </c>
      <c r="S156" s="31" t="n">
        <v>33.9</v>
      </c>
      <c r="T156" s="30" t="inlineStr">
        <is>
          <t>AMR2</t>
        </is>
      </c>
      <c r="U156" s="31" t="n">
        <v>62.2</v>
      </c>
      <c r="V156" s="31" t="n">
        <v>62.2</v>
      </c>
      <c r="W156" s="30" t="inlineStr">
        <is>
          <t>AMR2</t>
        </is>
      </c>
      <c r="X156" s="32" t="n">
        <v>0</v>
      </c>
      <c r="Y156" s="32" t="n">
        <v>0</v>
      </c>
      <c r="Z156" s="31" t="n">
        <v>0</v>
      </c>
      <c r="AA156" s="32" t="n">
        <v>0</v>
      </c>
      <c r="AB156" s="32" t="n">
        <v>0</v>
      </c>
      <c r="AC156" s="32" t="n">
        <v>0</v>
      </c>
      <c r="AD156" s="32" t="n">
        <v>0</v>
      </c>
      <c r="AE156" s="31" t="n">
        <v>0</v>
      </c>
      <c r="AF156" s="32" t="n">
        <v>0</v>
      </c>
      <c r="AG156" s="31" t="n">
        <v>0</v>
      </c>
      <c r="AH156" s="32" t="n">
        <v>59</v>
      </c>
      <c r="AI156" s="31" t="n">
        <v>60.2</v>
      </c>
      <c r="AJ156" s="31" t="n">
        <v>38.6</v>
      </c>
      <c r="AK156" s="31" t="n">
        <v>0</v>
      </c>
      <c r="AL156" s="30" t="inlineStr">
        <is>
          <t>T-0305</t>
        </is>
      </c>
      <c r="AM156" s="30" t="inlineStr">
        <is>
          <t>E-02-01</t>
        </is>
      </c>
      <c r="AN156" s="30" t="inlineStr">
        <is>
          <t>T-0072</t>
        </is>
      </c>
      <c r="AO156" s="30" t="inlineStr">
        <is>
          <t>E-03-02</t>
        </is>
      </c>
    </row>
    <row r="157">
      <c r="A157" s="30" t="inlineStr">
        <is>
          <t>O0156</t>
        </is>
      </c>
      <c r="B157" s="30" t="inlineStr">
        <is>
          <t>J</t>
        </is>
      </c>
      <c r="C157" s="31" t="n">
        <v>3085.4</v>
      </c>
      <c r="D157" s="31" t="n">
        <v>7577.7</v>
      </c>
      <c r="E157" s="31" t="n">
        <v>7577.7</v>
      </c>
      <c r="F157" s="31" t="n">
        <v>7590.9</v>
      </c>
      <c r="G157" s="31" t="n">
        <v>7621.5</v>
      </c>
      <c r="H157" s="31" t="n">
        <v>7647.1</v>
      </c>
      <c r="I157" s="31" t="n">
        <v>7686.4</v>
      </c>
      <c r="J157" s="31" t="n">
        <v>7728.8</v>
      </c>
      <c r="K157" s="31" t="n">
        <v>4643.4</v>
      </c>
      <c r="L157" s="31" t="n">
        <v>4492.3</v>
      </c>
      <c r="M157" s="30" t="inlineStr">
        <is>
          <t>AMR1</t>
        </is>
      </c>
      <c r="N157" s="30" t="inlineStr">
        <is>
          <t>AMR1</t>
        </is>
      </c>
      <c r="O157" s="32" t="n">
        <v>0</v>
      </c>
      <c r="P157" s="32" t="n">
        <v>0</v>
      </c>
      <c r="Q157" s="32" t="n">
        <v>21</v>
      </c>
      <c r="R157" s="31" t="n">
        <v>42.9</v>
      </c>
      <c r="S157" s="31" t="n">
        <v>42.9</v>
      </c>
      <c r="T157" s="30" t="inlineStr">
        <is>
          <t>AMR1</t>
        </is>
      </c>
      <c r="U157" s="31" t="n">
        <v>61</v>
      </c>
      <c r="V157" s="31" t="n">
        <v>61</v>
      </c>
      <c r="W157" s="30" t="inlineStr">
        <is>
          <t>AMR1</t>
        </is>
      </c>
      <c r="X157" s="32" t="n">
        <v>0</v>
      </c>
      <c r="Y157" s="32" t="n">
        <v>0</v>
      </c>
      <c r="Z157" s="31" t="n">
        <v>0</v>
      </c>
      <c r="AA157" s="32" t="n">
        <v>0</v>
      </c>
      <c r="AB157" s="32" t="n">
        <v>2</v>
      </c>
      <c r="AC157" s="32" t="n">
        <v>1</v>
      </c>
      <c r="AD157" s="32" t="n">
        <v>1</v>
      </c>
      <c r="AE157" s="31" t="n">
        <v>11.2</v>
      </c>
      <c r="AF157" s="32" t="n">
        <v>1</v>
      </c>
      <c r="AG157" s="31" t="n">
        <v>6.2</v>
      </c>
      <c r="AH157" s="32" t="n">
        <v>63</v>
      </c>
      <c r="AI157" s="31" t="n">
        <v>68</v>
      </c>
      <c r="AJ157" s="31" t="n">
        <v>43.3</v>
      </c>
      <c r="AK157" s="31" t="n">
        <v>14.2</v>
      </c>
      <c r="AL157" s="30" t="inlineStr">
        <is>
          <t>T-0306</t>
        </is>
      </c>
      <c r="AM157" s="30" t="inlineStr">
        <is>
          <t>J-02-03</t>
        </is>
      </c>
      <c r="AN157" s="30" t="inlineStr">
        <is>
          <t>T-0147</t>
        </is>
      </c>
      <c r="AO157" s="30" t="inlineStr">
        <is>
          <t>J-04-05</t>
        </is>
      </c>
    </row>
    <row r="158">
      <c r="A158" s="30" t="inlineStr">
        <is>
          <t>O0157</t>
        </is>
      </c>
      <c r="B158" s="30" t="inlineStr">
        <is>
          <t>H</t>
        </is>
      </c>
      <c r="C158" s="31" t="n">
        <v>3107</v>
      </c>
      <c r="D158" s="31" t="n">
        <v>7609</v>
      </c>
      <c r="E158" s="31" t="n">
        <v>7609</v>
      </c>
      <c r="F158" s="31" t="n">
        <v>7619.9</v>
      </c>
      <c r="G158" s="31" t="n">
        <v>7648.1</v>
      </c>
      <c r="H158" s="31" t="n">
        <v>7655.9</v>
      </c>
      <c r="I158" s="31" t="n">
        <v>7689.4</v>
      </c>
      <c r="J158" s="31" t="n">
        <v>7717</v>
      </c>
      <c r="K158" s="31" t="n">
        <v>4610</v>
      </c>
      <c r="L158" s="31" t="n">
        <v>4502</v>
      </c>
      <c r="M158" s="30" t="inlineStr">
        <is>
          <t>AMR3</t>
        </is>
      </c>
      <c r="N158" s="30" t="inlineStr">
        <is>
          <t>AMR2</t>
        </is>
      </c>
      <c r="O158" s="32" t="n">
        <v>0</v>
      </c>
      <c r="P158" s="32" t="n">
        <v>0</v>
      </c>
      <c r="Q158" s="32" t="n">
        <v>15</v>
      </c>
      <c r="R158" s="31" t="n">
        <v>33.4</v>
      </c>
      <c r="S158" s="31" t="n">
        <v>33.4</v>
      </c>
      <c r="T158" s="30" t="inlineStr">
        <is>
          <t>AMR3</t>
        </is>
      </c>
      <c r="U158" s="31" t="n">
        <v>55.7</v>
      </c>
      <c r="V158" s="31" t="n">
        <v>55.7</v>
      </c>
      <c r="W158" s="30" t="inlineStr">
        <is>
          <t>AMR2</t>
        </is>
      </c>
      <c r="X158" s="32" t="n">
        <v>0</v>
      </c>
      <c r="Y158" s="32" t="n">
        <v>0</v>
      </c>
      <c r="Z158" s="31" t="n">
        <v>0</v>
      </c>
      <c r="AA158" s="32" t="n">
        <v>0</v>
      </c>
      <c r="AB158" s="32" t="n">
        <v>1</v>
      </c>
      <c r="AC158" s="32" t="n">
        <v>2</v>
      </c>
      <c r="AD158" s="32" t="n">
        <v>0</v>
      </c>
      <c r="AE158" s="31" t="n">
        <v>0</v>
      </c>
      <c r="AF158" s="32" t="n">
        <v>2</v>
      </c>
      <c r="AG158" s="31" t="n">
        <v>0.7</v>
      </c>
      <c r="AH158" s="32" t="n">
        <v>40</v>
      </c>
      <c r="AI158" s="31" t="n">
        <v>45.7</v>
      </c>
      <c r="AJ158" s="31" t="n">
        <v>43.8</v>
      </c>
      <c r="AK158" s="31" t="n">
        <v>10.7</v>
      </c>
      <c r="AL158" s="30" t="inlineStr">
        <is>
          <t>T-0307</t>
        </is>
      </c>
      <c r="AM158" s="30" t="inlineStr">
        <is>
          <t>H-06-01</t>
        </is>
      </c>
      <c r="AN158" s="30" t="inlineStr">
        <is>
          <t>T-0117</t>
        </is>
      </c>
      <c r="AO158" s="30" t="inlineStr">
        <is>
          <t>H-05-03</t>
        </is>
      </c>
    </row>
    <row r="159">
      <c r="A159" s="30" t="inlineStr">
        <is>
          <t>O0158</t>
        </is>
      </c>
      <c r="B159" s="30" t="inlineStr">
        <is>
          <t>D</t>
        </is>
      </c>
      <c r="C159" s="31" t="n">
        <v>3126.4</v>
      </c>
      <c r="D159" s="31" t="n">
        <v>7668.7</v>
      </c>
      <c r="E159" s="31" t="n">
        <v>7668.7</v>
      </c>
      <c r="F159" s="31" t="n">
        <v>7681.3</v>
      </c>
      <c r="G159" s="31" t="n">
        <v>7702.7</v>
      </c>
      <c r="H159" s="31" t="n">
        <v>7716.8</v>
      </c>
      <c r="I159" s="31" t="n">
        <v>7741.4</v>
      </c>
      <c r="J159" s="31" t="n">
        <v>7771.7</v>
      </c>
      <c r="K159" s="31" t="n">
        <v>4645.3</v>
      </c>
      <c r="L159" s="31" t="n">
        <v>4542.3</v>
      </c>
      <c r="M159" s="30" t="inlineStr">
        <is>
          <t>AMR3</t>
        </is>
      </c>
      <c r="N159" s="30" t="inlineStr">
        <is>
          <t>AMR3</t>
        </is>
      </c>
      <c r="O159" s="32" t="n">
        <v>0</v>
      </c>
      <c r="P159" s="32" t="n">
        <v>0</v>
      </c>
      <c r="Q159" s="32" t="n">
        <v>13</v>
      </c>
      <c r="R159" s="31" t="n">
        <v>32.3</v>
      </c>
      <c r="S159" s="31" t="n">
        <v>32.3</v>
      </c>
      <c r="T159" s="30" t="inlineStr">
        <is>
          <t>AMR3</t>
        </is>
      </c>
      <c r="U159" s="31" t="n">
        <v>50.1</v>
      </c>
      <c r="V159" s="31" t="n">
        <v>50.1</v>
      </c>
      <c r="W159" s="30" t="inlineStr">
        <is>
          <t>AMR3</t>
        </is>
      </c>
      <c r="X159" s="32" t="n">
        <v>0</v>
      </c>
      <c r="Y159" s="32" t="n">
        <v>0</v>
      </c>
      <c r="Z159" s="31" t="n">
        <v>0</v>
      </c>
      <c r="AA159" s="32" t="n">
        <v>0</v>
      </c>
      <c r="AB159" s="32" t="n">
        <v>0</v>
      </c>
      <c r="AC159" s="32" t="n">
        <v>0</v>
      </c>
      <c r="AD159" s="32" t="n">
        <v>0</v>
      </c>
      <c r="AE159" s="31" t="n">
        <v>0</v>
      </c>
      <c r="AF159" s="32" t="n">
        <v>0</v>
      </c>
      <c r="AG159" s="31" t="n">
        <v>0</v>
      </c>
      <c r="AH159" s="32" t="n">
        <v>46</v>
      </c>
      <c r="AI159" s="31" t="n">
        <v>49.2</v>
      </c>
      <c r="AJ159" s="31" t="n">
        <v>39.7</v>
      </c>
      <c r="AK159" s="31" t="n">
        <v>0</v>
      </c>
      <c r="AL159" s="30" t="inlineStr">
        <is>
          <t>T-0308</t>
        </is>
      </c>
      <c r="AM159" s="30" t="inlineStr">
        <is>
          <t>D-03-01</t>
        </is>
      </c>
      <c r="AN159" s="30" t="inlineStr">
        <is>
          <t>T-0179</t>
        </is>
      </c>
      <c r="AO159" s="30" t="inlineStr">
        <is>
          <t>D-06-01</t>
        </is>
      </c>
    </row>
    <row r="160">
      <c r="A160" s="30" t="inlineStr">
        <is>
          <t>O0159</t>
        </is>
      </c>
      <c r="B160" s="30" t="inlineStr">
        <is>
          <t>C</t>
        </is>
      </c>
      <c r="C160" s="31" t="n">
        <v>3146.1</v>
      </c>
      <c r="D160" s="31" t="n">
        <v>7740.7</v>
      </c>
      <c r="E160" s="31" t="n">
        <v>7740.7</v>
      </c>
      <c r="F160" s="31" t="n">
        <v>7752.3</v>
      </c>
      <c r="G160" s="31" t="n">
        <v>7774.8</v>
      </c>
      <c r="H160" s="31" t="n">
        <v>7786.3</v>
      </c>
      <c r="I160" s="31" t="n">
        <v>7808</v>
      </c>
      <c r="J160" s="31" t="n">
        <v>7838.9</v>
      </c>
      <c r="K160" s="31" t="n">
        <v>4692.8</v>
      </c>
      <c r="L160" s="31" t="n">
        <v>4594.6</v>
      </c>
      <c r="M160" s="30" t="inlineStr">
        <is>
          <t>AMR2</t>
        </is>
      </c>
      <c r="N160" s="30" t="inlineStr">
        <is>
          <t>AMR2</t>
        </is>
      </c>
      <c r="O160" s="32" t="n">
        <v>0</v>
      </c>
      <c r="P160" s="32" t="n">
        <v>0</v>
      </c>
      <c r="Q160" s="32" t="n">
        <v>13</v>
      </c>
      <c r="R160" s="31" t="n">
        <v>34</v>
      </c>
      <c r="S160" s="31" t="n">
        <v>34</v>
      </c>
      <c r="T160" s="30" t="inlineStr">
        <is>
          <t>AMR2</t>
        </is>
      </c>
      <c r="U160" s="31" t="n">
        <v>52.3</v>
      </c>
      <c r="V160" s="31" t="n">
        <v>52.3</v>
      </c>
      <c r="W160" s="30" t="inlineStr">
        <is>
          <t>AMR2</t>
        </is>
      </c>
      <c r="X160" s="32" t="n">
        <v>0</v>
      </c>
      <c r="Y160" s="32" t="n">
        <v>0</v>
      </c>
      <c r="Z160" s="31" t="n">
        <v>0</v>
      </c>
      <c r="AA160" s="32" t="n">
        <v>0</v>
      </c>
      <c r="AB160" s="32" t="n">
        <v>0</v>
      </c>
      <c r="AC160" s="32" t="n">
        <v>0</v>
      </c>
      <c r="AD160" s="32" t="n">
        <v>0</v>
      </c>
      <c r="AE160" s="31" t="n">
        <v>0</v>
      </c>
      <c r="AF160" s="32" t="n">
        <v>0</v>
      </c>
      <c r="AG160" s="31" t="n">
        <v>0</v>
      </c>
      <c r="AH160" s="32" t="n">
        <v>38</v>
      </c>
      <c r="AI160" s="31" t="n">
        <v>42.6</v>
      </c>
      <c r="AJ160" s="31" t="n">
        <v>44.1</v>
      </c>
      <c r="AK160" s="31" t="n">
        <v>0</v>
      </c>
      <c r="AL160" s="30" t="inlineStr">
        <is>
          <t>T-0309</t>
        </is>
      </c>
      <c r="AM160" s="30" t="inlineStr">
        <is>
          <t>C-06-02</t>
        </is>
      </c>
      <c r="AN160" s="30" t="inlineStr">
        <is>
          <t>T-0044</t>
        </is>
      </c>
      <c r="AO160" s="30" t="inlineStr">
        <is>
          <t>C-05-04</t>
        </is>
      </c>
    </row>
    <row r="161">
      <c r="A161" s="30" t="inlineStr">
        <is>
          <t>O0160</t>
        </is>
      </c>
      <c r="B161" s="30" t="inlineStr">
        <is>
          <t>I</t>
        </is>
      </c>
      <c r="C161" s="31" t="n">
        <v>3162</v>
      </c>
      <c r="D161" s="31" t="n">
        <v>7752.5</v>
      </c>
      <c r="E161" s="31" t="n">
        <v>7752.5</v>
      </c>
      <c r="F161" s="31" t="n">
        <v>7767.4</v>
      </c>
      <c r="G161" s="31" t="n">
        <v>7792.8</v>
      </c>
      <c r="H161" s="31" t="n">
        <v>7795.4</v>
      </c>
      <c r="I161" s="31" t="n">
        <v>7818.8</v>
      </c>
      <c r="J161" s="31" t="n">
        <v>7854.2</v>
      </c>
      <c r="K161" s="31" t="n">
        <v>4692.2</v>
      </c>
      <c r="L161" s="31" t="n">
        <v>4590.5</v>
      </c>
      <c r="M161" s="30" t="inlineStr">
        <is>
          <t>AMR1</t>
        </is>
      </c>
      <c r="N161" s="30" t="inlineStr">
        <is>
          <t>AMR3</t>
        </is>
      </c>
      <c r="O161" s="32" t="n">
        <v>0</v>
      </c>
      <c r="P161" s="32" t="n">
        <v>0</v>
      </c>
      <c r="Q161" s="32" t="n">
        <v>15</v>
      </c>
      <c r="R161" s="31" t="n">
        <v>37.8</v>
      </c>
      <c r="S161" s="31" t="n">
        <v>37.8</v>
      </c>
      <c r="T161" s="30" t="inlineStr">
        <is>
          <t>AMR1</t>
        </is>
      </c>
      <c r="U161" s="31" t="n">
        <v>50.5</v>
      </c>
      <c r="V161" s="31" t="n">
        <v>50.5</v>
      </c>
      <c r="W161" s="30" t="inlineStr">
        <is>
          <t>AMR3</t>
        </is>
      </c>
      <c r="X161" s="32" t="n">
        <v>0</v>
      </c>
      <c r="Y161" s="32" t="n">
        <v>0</v>
      </c>
      <c r="Z161" s="31" t="n">
        <v>0</v>
      </c>
      <c r="AA161" s="32" t="n">
        <v>0</v>
      </c>
      <c r="AB161" s="32" t="n">
        <v>0</v>
      </c>
      <c r="AC161" s="32" t="n">
        <v>0</v>
      </c>
      <c r="AD161" s="32" t="n">
        <v>1</v>
      </c>
      <c r="AE161" s="31" t="n">
        <v>8.5</v>
      </c>
      <c r="AF161" s="32" t="n">
        <v>1</v>
      </c>
      <c r="AG161" s="31" t="n">
        <v>3.5</v>
      </c>
      <c r="AH161" s="32" t="n">
        <v>43</v>
      </c>
      <c r="AI161" s="31" t="n">
        <v>48.1</v>
      </c>
      <c r="AJ161" s="31" t="n">
        <v>42.5</v>
      </c>
      <c r="AK161" s="31" t="n">
        <v>8.5</v>
      </c>
      <c r="AL161" s="30" t="inlineStr">
        <is>
          <t>T-0310</t>
        </is>
      </c>
      <c r="AM161" s="30" t="inlineStr">
        <is>
          <t>I-04-02</t>
        </is>
      </c>
      <c r="AN161" s="30" t="inlineStr">
        <is>
          <t>T-0230</t>
        </is>
      </c>
      <c r="AO161" s="30" t="inlineStr">
        <is>
          <t>I-02-03</t>
        </is>
      </c>
    </row>
    <row r="162">
      <c r="A162" s="30" t="inlineStr">
        <is>
          <t>O0161</t>
        </is>
      </c>
      <c r="B162" s="30" t="inlineStr">
        <is>
          <t>F</t>
        </is>
      </c>
      <c r="C162" s="31" t="n">
        <v>3183.3</v>
      </c>
      <c r="D162" s="31" t="n">
        <v>7809.6</v>
      </c>
      <c r="E162" s="31" t="n">
        <v>7809.6</v>
      </c>
      <c r="F162" s="31" t="n">
        <v>7825.9</v>
      </c>
      <c r="G162" s="31" t="n">
        <v>7860.5</v>
      </c>
      <c r="H162" s="31" t="n">
        <v>7862.6</v>
      </c>
      <c r="I162" s="31" t="n">
        <v>7892.2</v>
      </c>
      <c r="J162" s="31" t="n">
        <v>7924.5</v>
      </c>
      <c r="K162" s="31" t="n">
        <v>4741.2</v>
      </c>
      <c r="L162" s="31" t="n">
        <v>4626.3</v>
      </c>
      <c r="M162" s="30" t="inlineStr">
        <is>
          <t>AMR1</t>
        </is>
      </c>
      <c r="N162" s="30" t="inlineStr">
        <is>
          <t>AMR2</t>
        </is>
      </c>
      <c r="O162" s="32" t="n">
        <v>0</v>
      </c>
      <c r="P162" s="32" t="n">
        <v>0</v>
      </c>
      <c r="Q162" s="32" t="n">
        <v>23</v>
      </c>
      <c r="R162" s="31" t="n">
        <v>48.4</v>
      </c>
      <c r="S162" s="31" t="n">
        <v>48.4</v>
      </c>
      <c r="T162" s="30" t="inlineStr">
        <is>
          <t>AMR1</t>
        </is>
      </c>
      <c r="U162" s="31" t="n">
        <v>61.1</v>
      </c>
      <c r="V162" s="31" t="n">
        <v>61.1</v>
      </c>
      <c r="W162" s="30" t="inlineStr">
        <is>
          <t>AMR2</t>
        </is>
      </c>
      <c r="X162" s="32" t="n">
        <v>0</v>
      </c>
      <c r="Y162" s="32" t="n">
        <v>0</v>
      </c>
      <c r="Z162" s="31" t="n">
        <v>0</v>
      </c>
      <c r="AA162" s="32" t="n">
        <v>0</v>
      </c>
      <c r="AB162" s="32" t="n">
        <v>0</v>
      </c>
      <c r="AC162" s="32" t="n">
        <v>0</v>
      </c>
      <c r="AD162" s="32" t="n">
        <v>0</v>
      </c>
      <c r="AE162" s="31" t="n">
        <v>0</v>
      </c>
      <c r="AF162" s="32" t="n">
        <v>0</v>
      </c>
      <c r="AG162" s="31" t="n">
        <v>0</v>
      </c>
      <c r="AH162" s="32" t="n">
        <v>69</v>
      </c>
      <c r="AI162" s="31" t="n">
        <v>68.5</v>
      </c>
      <c r="AJ162" s="31" t="n">
        <v>44.3</v>
      </c>
      <c r="AK162" s="31" t="n">
        <v>0</v>
      </c>
      <c r="AL162" s="30" t="inlineStr">
        <is>
          <t>T-0311</t>
        </is>
      </c>
      <c r="AM162" s="30" t="inlineStr">
        <is>
          <t>F-02-01</t>
        </is>
      </c>
      <c r="AN162" s="30" t="inlineStr">
        <is>
          <t>T-0162</t>
        </is>
      </c>
      <c r="AO162" s="30" t="inlineStr">
        <is>
          <t>F-03-01</t>
        </is>
      </c>
    </row>
    <row r="163">
      <c r="A163" s="30" t="inlineStr">
        <is>
          <t>O0162</t>
        </is>
      </c>
      <c r="B163" s="30" t="inlineStr">
        <is>
          <t>D</t>
        </is>
      </c>
      <c r="C163" s="31" t="n">
        <v>3206.5</v>
      </c>
      <c r="D163" s="31" t="n">
        <v>7877.9</v>
      </c>
      <c r="E163" s="31" t="n">
        <v>7877.9</v>
      </c>
      <c r="F163" s="31" t="n">
        <v>7892.5</v>
      </c>
      <c r="G163" s="31" t="n">
        <v>7916.2</v>
      </c>
      <c r="H163" s="31" t="n">
        <v>7935.7</v>
      </c>
      <c r="I163" s="31" t="n">
        <v>7964.2</v>
      </c>
      <c r="J163" s="31" t="n">
        <v>7998.9</v>
      </c>
      <c r="K163" s="31" t="n">
        <v>4792.4</v>
      </c>
      <c r="L163" s="31" t="n">
        <v>4671.4</v>
      </c>
      <c r="M163" s="30" t="inlineStr">
        <is>
          <t>AMR3</t>
        </is>
      </c>
      <c r="N163" s="30" t="inlineStr">
        <is>
          <t>AMR3</t>
        </is>
      </c>
      <c r="O163" s="32" t="n">
        <v>0</v>
      </c>
      <c r="P163" s="32" t="n">
        <v>0</v>
      </c>
      <c r="Q163" s="32" t="n">
        <v>13</v>
      </c>
      <c r="R163" s="31" t="n">
        <v>35.8</v>
      </c>
      <c r="S163" s="31" t="n">
        <v>35.8</v>
      </c>
      <c r="T163" s="30" t="inlineStr">
        <is>
          <t>AMR3</t>
        </is>
      </c>
      <c r="U163" s="31" t="n">
        <v>51.4</v>
      </c>
      <c r="V163" s="31" t="n">
        <v>51.4</v>
      </c>
      <c r="W163" s="30" t="inlineStr">
        <is>
          <t>AMR3</t>
        </is>
      </c>
      <c r="X163" s="32" t="n">
        <v>0</v>
      </c>
      <c r="Y163" s="32" t="n">
        <v>0</v>
      </c>
      <c r="Z163" s="31" t="n">
        <v>0</v>
      </c>
      <c r="AA163" s="32" t="n">
        <v>0</v>
      </c>
      <c r="AB163" s="32" t="n">
        <v>2</v>
      </c>
      <c r="AC163" s="32" t="n">
        <v>2</v>
      </c>
      <c r="AD163" s="32" t="n">
        <v>1</v>
      </c>
      <c r="AE163" s="31" t="n">
        <v>2</v>
      </c>
      <c r="AF163" s="32" t="n">
        <v>0</v>
      </c>
      <c r="AG163" s="31" t="n">
        <v>0</v>
      </c>
      <c r="AH163" s="32" t="n">
        <v>45</v>
      </c>
      <c r="AI163" s="31" t="n">
        <v>49.3</v>
      </c>
      <c r="AJ163" s="31" t="n">
        <v>44.5</v>
      </c>
      <c r="AK163" s="31" t="n">
        <v>7.7</v>
      </c>
      <c r="AL163" s="30" t="inlineStr">
        <is>
          <t>T-0312</t>
        </is>
      </c>
      <c r="AM163" s="30" t="inlineStr">
        <is>
          <t>D-04-01</t>
        </is>
      </c>
      <c r="AN163" s="30" t="inlineStr">
        <is>
          <t>T-0198</t>
        </is>
      </c>
      <c r="AO163" s="30" t="inlineStr">
        <is>
          <t>D-05-01</t>
        </is>
      </c>
    </row>
    <row r="164">
      <c r="A164" s="30" t="inlineStr">
        <is>
          <t>O0163</t>
        </is>
      </c>
      <c r="B164" s="30" t="inlineStr">
        <is>
          <t>D</t>
        </is>
      </c>
      <c r="C164" s="31" t="n">
        <v>3224.6</v>
      </c>
      <c r="D164" s="31" t="n">
        <v>7892.6</v>
      </c>
      <c r="E164" s="31" t="n">
        <v>7892.6</v>
      </c>
      <c r="F164" s="31" t="n">
        <v>7905.8</v>
      </c>
      <c r="G164" s="31" t="n">
        <v>7938.1</v>
      </c>
      <c r="H164" s="31" t="n">
        <v>7952.6</v>
      </c>
      <c r="I164" s="31" t="n">
        <v>7986.2</v>
      </c>
      <c r="J164" s="31" t="n">
        <v>8018.9</v>
      </c>
      <c r="K164" s="31" t="n">
        <v>4794.3</v>
      </c>
      <c r="L164" s="31" t="n">
        <v>4668</v>
      </c>
      <c r="M164" s="30" t="inlineStr">
        <is>
          <t>AMR1</t>
        </is>
      </c>
      <c r="N164" s="30" t="inlineStr">
        <is>
          <t>AMR2</t>
        </is>
      </c>
      <c r="O164" s="32" t="n">
        <v>0</v>
      </c>
      <c r="P164" s="32" t="n">
        <v>0</v>
      </c>
      <c r="Q164" s="32" t="n">
        <v>13</v>
      </c>
      <c r="R164" s="31" t="n">
        <v>34.9</v>
      </c>
      <c r="S164" s="31" t="n">
        <v>34.9</v>
      </c>
      <c r="T164" s="30" t="inlineStr">
        <is>
          <t>AMR1</t>
        </is>
      </c>
      <c r="U164" s="31" t="n">
        <v>54.1</v>
      </c>
      <c r="V164" s="31" t="n">
        <v>54.1</v>
      </c>
      <c r="W164" s="30" t="inlineStr">
        <is>
          <t>AMR2</t>
        </is>
      </c>
      <c r="X164" s="32" t="n">
        <v>0</v>
      </c>
      <c r="Y164" s="32" t="n">
        <v>0</v>
      </c>
      <c r="Z164" s="31" t="n">
        <v>0</v>
      </c>
      <c r="AA164" s="32" t="n">
        <v>0</v>
      </c>
      <c r="AB164" s="32" t="n">
        <v>4</v>
      </c>
      <c r="AC164" s="32" t="n">
        <v>4</v>
      </c>
      <c r="AD164" s="32" t="n">
        <v>1</v>
      </c>
      <c r="AE164" s="31" t="n">
        <v>2</v>
      </c>
      <c r="AF164" s="32" t="n">
        <v>0</v>
      </c>
      <c r="AG164" s="31" t="n">
        <v>0</v>
      </c>
      <c r="AH164" s="32" t="n">
        <v>44</v>
      </c>
      <c r="AI164" s="31" t="n">
        <v>50.5</v>
      </c>
      <c r="AJ164" s="31" t="n">
        <v>46.3</v>
      </c>
      <c r="AK164" s="31" t="n">
        <v>15</v>
      </c>
      <c r="AL164" s="30" t="inlineStr">
        <is>
          <t>T-0313</t>
        </is>
      </c>
      <c r="AM164" s="30" t="inlineStr">
        <is>
          <t>D-06-01</t>
        </is>
      </c>
      <c r="AN164" s="30" t="inlineStr">
        <is>
          <t>T-0203</t>
        </is>
      </c>
      <c r="AO164" s="30" t="inlineStr">
        <is>
          <t>D-01-02</t>
        </is>
      </c>
    </row>
    <row r="165">
      <c r="A165" s="30" t="inlineStr">
        <is>
          <t>O0164</t>
        </is>
      </c>
      <c r="B165" s="30" t="inlineStr">
        <is>
          <t>D</t>
        </is>
      </c>
      <c r="C165" s="31" t="n">
        <v>3239.8</v>
      </c>
      <c r="D165" s="31" t="n">
        <v>7962</v>
      </c>
      <c r="E165" s="31" t="n">
        <v>7962</v>
      </c>
      <c r="F165" s="31" t="n">
        <v>7976.9</v>
      </c>
      <c r="G165" s="31" t="n">
        <v>8008.7</v>
      </c>
      <c r="H165" s="31" t="n">
        <v>8023.5</v>
      </c>
      <c r="I165" s="31" t="n">
        <v>8059</v>
      </c>
      <c r="J165" s="31" t="n">
        <v>8088.4</v>
      </c>
      <c r="K165" s="31" t="n">
        <v>4848.6</v>
      </c>
      <c r="L165" s="31" t="n">
        <v>4722.2</v>
      </c>
      <c r="M165" s="30" t="inlineStr">
        <is>
          <t>AMR1</t>
        </is>
      </c>
      <c r="N165" s="30" t="inlineStr">
        <is>
          <t>AMR1</t>
        </is>
      </c>
      <c r="O165" s="32" t="n">
        <v>0</v>
      </c>
      <c r="P165" s="32" t="n">
        <v>0</v>
      </c>
      <c r="Q165" s="32" t="n">
        <v>13</v>
      </c>
      <c r="R165" s="31" t="n">
        <v>38.7</v>
      </c>
      <c r="S165" s="31" t="n">
        <v>38.7</v>
      </c>
      <c r="T165" s="30" t="inlineStr">
        <is>
          <t>AMR1</t>
        </is>
      </c>
      <c r="U165" s="31" t="n">
        <v>53.1</v>
      </c>
      <c r="V165" s="31" t="n">
        <v>53.1</v>
      </c>
      <c r="W165" s="30" t="inlineStr">
        <is>
          <t>AMR1</t>
        </is>
      </c>
      <c r="X165" s="32" t="n">
        <v>0</v>
      </c>
      <c r="Y165" s="32" t="n">
        <v>0</v>
      </c>
      <c r="Z165" s="31" t="n">
        <v>0</v>
      </c>
      <c r="AA165" s="32" t="n">
        <v>0</v>
      </c>
      <c r="AB165" s="32" t="n">
        <v>2</v>
      </c>
      <c r="AC165" s="32" t="n">
        <v>3</v>
      </c>
      <c r="AD165" s="32" t="n">
        <v>0</v>
      </c>
      <c r="AE165" s="31" t="n">
        <v>0</v>
      </c>
      <c r="AF165" s="32" t="n">
        <v>1</v>
      </c>
      <c r="AG165" s="31" t="n">
        <v>0.5</v>
      </c>
      <c r="AH165" s="32" t="n">
        <v>43</v>
      </c>
      <c r="AI165" s="31" t="n">
        <v>49</v>
      </c>
      <c r="AJ165" s="31" t="n">
        <v>49.1</v>
      </c>
      <c r="AK165" s="31" t="n">
        <v>13.5</v>
      </c>
      <c r="AL165" s="30" t="inlineStr">
        <is>
          <t>T-0314</t>
        </is>
      </c>
      <c r="AM165" s="30" t="inlineStr">
        <is>
          <t>D-05-01</t>
        </is>
      </c>
      <c r="AN165" s="30" t="inlineStr">
        <is>
          <t>T-0218</t>
        </is>
      </c>
      <c r="AO165" s="30" t="inlineStr">
        <is>
          <t>D-03-02</t>
        </is>
      </c>
    </row>
    <row r="166">
      <c r="A166" s="30" t="inlineStr">
        <is>
          <t>O0165</t>
        </is>
      </c>
      <c r="B166" s="30" t="inlineStr">
        <is>
          <t>B</t>
        </is>
      </c>
      <c r="C166" s="31" t="n">
        <v>3260.9</v>
      </c>
      <c r="D166" s="31" t="n">
        <v>8032.3</v>
      </c>
      <c r="E166" s="31" t="n">
        <v>8032.3</v>
      </c>
      <c r="F166" s="31" t="n">
        <v>8045.7</v>
      </c>
      <c r="G166" s="31" t="n">
        <v>8071.4</v>
      </c>
      <c r="H166" s="31" t="n">
        <v>8087.6</v>
      </c>
      <c r="I166" s="31" t="n">
        <v>8113.5</v>
      </c>
      <c r="J166" s="31" t="n">
        <v>8144.3</v>
      </c>
      <c r="K166" s="31" t="n">
        <v>4883.4</v>
      </c>
      <c r="L166" s="31" t="n">
        <v>4771.4</v>
      </c>
      <c r="M166" s="30" t="inlineStr">
        <is>
          <t>AMR3</t>
        </is>
      </c>
      <c r="N166" s="30" t="inlineStr">
        <is>
          <t>AMR3</t>
        </is>
      </c>
      <c r="O166" s="32" t="n">
        <v>0</v>
      </c>
      <c r="P166" s="32" t="n">
        <v>0</v>
      </c>
      <c r="Q166" s="32" t="n">
        <v>15</v>
      </c>
      <c r="R166" s="31" t="n">
        <v>36.6</v>
      </c>
      <c r="S166" s="31" t="n">
        <v>36.6</v>
      </c>
      <c r="T166" s="30" t="inlineStr">
        <is>
          <t>AMR3</t>
        </is>
      </c>
      <c r="U166" s="31" t="n">
        <v>54.9</v>
      </c>
      <c r="V166" s="31" t="n">
        <v>54.9</v>
      </c>
      <c r="W166" s="30" t="inlineStr">
        <is>
          <t>AMR3</t>
        </is>
      </c>
      <c r="X166" s="32" t="n">
        <v>0</v>
      </c>
      <c r="Y166" s="32" t="n">
        <v>0</v>
      </c>
      <c r="Z166" s="31" t="n">
        <v>0</v>
      </c>
      <c r="AA166" s="32" t="n">
        <v>0</v>
      </c>
      <c r="AB166" s="32" t="n">
        <v>0</v>
      </c>
      <c r="AC166" s="32" t="n">
        <v>0</v>
      </c>
      <c r="AD166" s="32" t="n">
        <v>0</v>
      </c>
      <c r="AE166" s="31" t="n">
        <v>0</v>
      </c>
      <c r="AF166" s="32" t="n">
        <v>0</v>
      </c>
      <c r="AG166" s="31" t="n">
        <v>0</v>
      </c>
      <c r="AH166" s="32" t="n">
        <v>49</v>
      </c>
      <c r="AI166" s="31" t="n">
        <v>51.6</v>
      </c>
      <c r="AJ166" s="31" t="n">
        <v>44.2</v>
      </c>
      <c r="AK166" s="31" t="n">
        <v>0</v>
      </c>
      <c r="AL166" s="30" t="inlineStr">
        <is>
          <t>T-0315</t>
        </is>
      </c>
      <c r="AM166" s="30" t="inlineStr">
        <is>
          <t>B-01-02</t>
        </is>
      </c>
      <c r="AN166" s="30" t="inlineStr">
        <is>
          <t>T-0189</t>
        </is>
      </c>
      <c r="AO166" s="30" t="inlineStr">
        <is>
          <t>B-03-02</t>
        </is>
      </c>
    </row>
    <row r="167">
      <c r="A167" s="30" t="inlineStr">
        <is>
          <t>O0166</t>
        </is>
      </c>
      <c r="B167" s="30" t="inlineStr">
        <is>
          <t>J</t>
        </is>
      </c>
      <c r="C167" s="31" t="n">
        <v>3280.1</v>
      </c>
      <c r="D167" s="31" t="n">
        <v>8047.6</v>
      </c>
      <c r="E167" s="31" t="n">
        <v>8047.6</v>
      </c>
      <c r="F167" s="31" t="n">
        <v>8059.9</v>
      </c>
      <c r="G167" s="31" t="n">
        <v>8092.1</v>
      </c>
      <c r="H167" s="31" t="n">
        <v>8112.1</v>
      </c>
      <c r="I167" s="31" t="n">
        <v>8147.7</v>
      </c>
      <c r="J167" s="31" t="n">
        <v>8181.8</v>
      </c>
      <c r="K167" s="31" t="n">
        <v>4901.7</v>
      </c>
      <c r="L167" s="31" t="n">
        <v>4767.5</v>
      </c>
      <c r="M167" s="30" t="inlineStr">
        <is>
          <t>AMR2</t>
        </is>
      </c>
      <c r="N167" s="30" t="inlineStr">
        <is>
          <t>AMR1</t>
        </is>
      </c>
      <c r="O167" s="32" t="n">
        <v>0</v>
      </c>
      <c r="P167" s="32" t="n">
        <v>0</v>
      </c>
      <c r="Q167" s="32" t="n">
        <v>21</v>
      </c>
      <c r="R167" s="31" t="n">
        <v>42.8</v>
      </c>
      <c r="S167" s="31" t="n">
        <v>42.8</v>
      </c>
      <c r="T167" s="30" t="inlineStr">
        <is>
          <t>AMR2</t>
        </is>
      </c>
      <c r="U167" s="31" t="n">
        <v>63.7</v>
      </c>
      <c r="V167" s="31" t="n">
        <v>63.7</v>
      </c>
      <c r="W167" s="30" t="inlineStr">
        <is>
          <t>AMR1</t>
        </is>
      </c>
      <c r="X167" s="32" t="n">
        <v>0</v>
      </c>
      <c r="Y167" s="32" t="n">
        <v>0</v>
      </c>
      <c r="Z167" s="31" t="n">
        <v>0</v>
      </c>
      <c r="AA167" s="32" t="n">
        <v>0</v>
      </c>
      <c r="AB167" s="32" t="n">
        <v>2</v>
      </c>
      <c r="AC167" s="32" t="n">
        <v>1</v>
      </c>
      <c r="AD167" s="32" t="n">
        <v>0</v>
      </c>
      <c r="AE167" s="31" t="n">
        <v>0</v>
      </c>
      <c r="AF167" s="32" t="n">
        <v>0</v>
      </c>
      <c r="AG167" s="31" t="n">
        <v>0</v>
      </c>
      <c r="AH167" s="32" t="n">
        <v>60</v>
      </c>
      <c r="AI167" s="31" t="n">
        <v>65.3</v>
      </c>
      <c r="AJ167" s="31" t="n">
        <v>45.9</v>
      </c>
      <c r="AK167" s="31" t="n">
        <v>3</v>
      </c>
      <c r="AL167" s="30" t="inlineStr">
        <is>
          <t>T-0316</t>
        </is>
      </c>
      <c r="AM167" s="30" t="inlineStr">
        <is>
          <t>J-03-03</t>
        </is>
      </c>
      <c r="AN167" s="30" t="inlineStr">
        <is>
          <t>T-0148</t>
        </is>
      </c>
      <c r="AO167" s="30" t="inlineStr">
        <is>
          <t>J-01-03</t>
        </is>
      </c>
    </row>
    <row r="168">
      <c r="A168" s="30" t="inlineStr">
        <is>
          <t>O0167</t>
        </is>
      </c>
      <c r="B168" s="30" t="inlineStr">
        <is>
          <t>G</t>
        </is>
      </c>
      <c r="C168" s="31" t="n">
        <v>3302.3</v>
      </c>
      <c r="D168" s="31" t="n">
        <v>8121.9</v>
      </c>
      <c r="E168" s="31" t="n">
        <v>8121.9</v>
      </c>
      <c r="F168" s="31" t="n">
        <v>8132.9</v>
      </c>
      <c r="G168" s="31" t="n">
        <v>8162</v>
      </c>
      <c r="H168" s="31" t="n">
        <v>8170.8</v>
      </c>
      <c r="I168" s="31" t="n">
        <v>8199.4</v>
      </c>
      <c r="J168" s="31" t="n">
        <v>8224.799999999999</v>
      </c>
      <c r="K168" s="31" t="n">
        <v>4922.5</v>
      </c>
      <c r="L168" s="31" t="n">
        <v>4819.6</v>
      </c>
      <c r="M168" s="30" t="inlineStr">
        <is>
          <t>AMR2</t>
        </is>
      </c>
      <c r="N168" s="30" t="inlineStr">
        <is>
          <t>AMR3</t>
        </is>
      </c>
      <c r="O168" s="32" t="n">
        <v>0</v>
      </c>
      <c r="P168" s="32" t="n">
        <v>0</v>
      </c>
      <c r="Q168" s="32" t="n">
        <v>17</v>
      </c>
      <c r="R168" s="31" t="n">
        <v>38.4</v>
      </c>
      <c r="S168" s="31" t="n">
        <v>38.4</v>
      </c>
      <c r="T168" s="30" t="inlineStr">
        <is>
          <t>AMR2</t>
        </is>
      </c>
      <c r="U168" s="31" t="n">
        <v>54.7</v>
      </c>
      <c r="V168" s="31" t="n">
        <v>54.7</v>
      </c>
      <c r="W168" s="30" t="inlineStr">
        <is>
          <t>AMR3</t>
        </is>
      </c>
      <c r="X168" s="32" t="n">
        <v>0</v>
      </c>
      <c r="Y168" s="32" t="n">
        <v>0</v>
      </c>
      <c r="Z168" s="31" t="n">
        <v>0</v>
      </c>
      <c r="AA168" s="32" t="n">
        <v>0</v>
      </c>
      <c r="AB168" s="32" t="n">
        <v>0</v>
      </c>
      <c r="AC168" s="32" t="n">
        <v>0</v>
      </c>
      <c r="AD168" s="32" t="n">
        <v>0</v>
      </c>
      <c r="AE168" s="31" t="n">
        <v>0</v>
      </c>
      <c r="AF168" s="32" t="n">
        <v>0</v>
      </c>
      <c r="AG168" s="31" t="n">
        <v>0</v>
      </c>
      <c r="AH168" s="32" t="n">
        <v>48</v>
      </c>
      <c r="AI168" s="31" t="n">
        <v>51.4</v>
      </c>
      <c r="AJ168" s="31" t="n">
        <v>42.7</v>
      </c>
      <c r="AK168" s="31" t="n">
        <v>0</v>
      </c>
      <c r="AL168" s="30" t="inlineStr">
        <is>
          <t>T-0317</t>
        </is>
      </c>
      <c r="AM168" s="30" t="inlineStr">
        <is>
          <t>G-03-03</t>
        </is>
      </c>
      <c r="AN168" s="30" t="inlineStr">
        <is>
          <t>T-0102</t>
        </is>
      </c>
      <c r="AO168" s="30" t="inlineStr">
        <is>
          <t>G-05-05</t>
        </is>
      </c>
    </row>
    <row r="169">
      <c r="A169" s="30" t="inlineStr">
        <is>
          <t>O0168</t>
        </is>
      </c>
      <c r="B169" s="30" t="inlineStr">
        <is>
          <t>C</t>
        </is>
      </c>
      <c r="C169" s="31" t="n">
        <v>3321.3</v>
      </c>
      <c r="D169" s="31" t="n">
        <v>8179.5</v>
      </c>
      <c r="E169" s="31" t="n">
        <v>8179.5</v>
      </c>
      <c r="F169" s="31" t="n">
        <v>8192</v>
      </c>
      <c r="G169" s="31" t="n">
        <v>8212.9</v>
      </c>
      <c r="H169" s="31" t="n">
        <v>8227.4</v>
      </c>
      <c r="I169" s="31" t="n">
        <v>8247</v>
      </c>
      <c r="J169" s="31" t="n">
        <v>8277.5</v>
      </c>
      <c r="K169" s="31" t="n">
        <v>4956.2</v>
      </c>
      <c r="L169" s="31" t="n">
        <v>4858.2</v>
      </c>
      <c r="M169" s="30" t="inlineStr">
        <is>
          <t>AMR2</t>
        </is>
      </c>
      <c r="N169" s="30" t="inlineStr">
        <is>
          <t>AMR2</t>
        </is>
      </c>
      <c r="O169" s="32" t="n">
        <v>0</v>
      </c>
      <c r="P169" s="32" t="n">
        <v>0</v>
      </c>
      <c r="Q169" s="32" t="n">
        <v>13</v>
      </c>
      <c r="R169" s="31" t="n">
        <v>32.5</v>
      </c>
      <c r="S169" s="31" t="n">
        <v>32.5</v>
      </c>
      <c r="T169" s="30" t="inlineStr">
        <is>
          <t>AMR2</t>
        </is>
      </c>
      <c r="U169" s="31" t="n">
        <v>50.8</v>
      </c>
      <c r="V169" s="31" t="n">
        <v>50.8</v>
      </c>
      <c r="W169" s="30" t="inlineStr">
        <is>
          <t>AMR2</t>
        </is>
      </c>
      <c r="X169" s="32" t="n">
        <v>0</v>
      </c>
      <c r="Y169" s="32" t="n">
        <v>0</v>
      </c>
      <c r="Z169" s="31" t="n">
        <v>0</v>
      </c>
      <c r="AA169" s="32" t="n">
        <v>0</v>
      </c>
      <c r="AB169" s="32" t="n">
        <v>0</v>
      </c>
      <c r="AC169" s="32" t="n">
        <v>0</v>
      </c>
      <c r="AD169" s="32" t="n">
        <v>0</v>
      </c>
      <c r="AE169" s="31" t="n">
        <v>0</v>
      </c>
      <c r="AF169" s="32" t="n">
        <v>0</v>
      </c>
      <c r="AG169" s="31" t="n">
        <v>0</v>
      </c>
      <c r="AH169" s="32" t="n">
        <v>39</v>
      </c>
      <c r="AI169" s="31" t="n">
        <v>42.4</v>
      </c>
      <c r="AJ169" s="31" t="n">
        <v>41.1</v>
      </c>
      <c r="AK169" s="31" t="n">
        <v>0</v>
      </c>
      <c r="AL169" s="30" t="inlineStr">
        <is>
          <t>T-0318</t>
        </is>
      </c>
      <c r="AM169" s="30" t="inlineStr">
        <is>
          <t>C-01-03</t>
        </is>
      </c>
      <c r="AN169" s="30" t="inlineStr">
        <is>
          <t>T-0045</t>
        </is>
      </c>
      <c r="AO169" s="30" t="inlineStr">
        <is>
          <t>C-04-03</t>
        </is>
      </c>
    </row>
    <row r="170">
      <c r="A170" s="30" t="inlineStr">
        <is>
          <t>O0169</t>
        </is>
      </c>
      <c r="B170" s="30" t="inlineStr">
        <is>
          <t>B</t>
        </is>
      </c>
      <c r="C170" s="31" t="n">
        <v>3343.2</v>
      </c>
      <c r="D170" s="31" t="n">
        <v>8205.5</v>
      </c>
      <c r="E170" s="31" t="n">
        <v>8205.5</v>
      </c>
      <c r="F170" s="31" t="n">
        <v>8217</v>
      </c>
      <c r="G170" s="31" t="n">
        <v>8244</v>
      </c>
      <c r="H170" s="31" t="n">
        <v>8248.5</v>
      </c>
      <c r="I170" s="31" t="n">
        <v>8271.1</v>
      </c>
      <c r="J170" s="31" t="n">
        <v>8301.700000000001</v>
      </c>
      <c r="K170" s="31" t="n">
        <v>4958.5</v>
      </c>
      <c r="L170" s="31" t="n">
        <v>4862.3</v>
      </c>
      <c r="M170" s="30" t="inlineStr">
        <is>
          <t>AMR1</t>
        </is>
      </c>
      <c r="N170" s="30" t="inlineStr">
        <is>
          <t>AMR3</t>
        </is>
      </c>
      <c r="O170" s="32" t="n">
        <v>0</v>
      </c>
      <c r="P170" s="32" t="n">
        <v>0</v>
      </c>
      <c r="Q170" s="32" t="n">
        <v>15</v>
      </c>
      <c r="R170" s="31" t="n">
        <v>36</v>
      </c>
      <c r="S170" s="31" t="n">
        <v>36</v>
      </c>
      <c r="T170" s="30" t="inlineStr">
        <is>
          <t>AMR1</t>
        </is>
      </c>
      <c r="U170" s="31" t="n">
        <v>53.9</v>
      </c>
      <c r="V170" s="31" t="n">
        <v>53.9</v>
      </c>
      <c r="W170" s="30" t="inlineStr">
        <is>
          <t>AMR3</t>
        </is>
      </c>
      <c r="X170" s="32" t="n">
        <v>0</v>
      </c>
      <c r="Y170" s="32" t="n">
        <v>0</v>
      </c>
      <c r="Z170" s="31" t="n">
        <v>0</v>
      </c>
      <c r="AA170" s="32" t="n">
        <v>0</v>
      </c>
      <c r="AB170" s="32" t="n">
        <v>1</v>
      </c>
      <c r="AC170" s="32" t="n">
        <v>0</v>
      </c>
      <c r="AD170" s="32" t="n">
        <v>0</v>
      </c>
      <c r="AE170" s="31" t="n">
        <v>0</v>
      </c>
      <c r="AF170" s="32" t="n">
        <v>0</v>
      </c>
      <c r="AG170" s="31" t="n">
        <v>0</v>
      </c>
      <c r="AH170" s="32" t="n">
        <v>47</v>
      </c>
      <c r="AI170" s="31" t="n">
        <v>49.1</v>
      </c>
      <c r="AJ170" s="31" t="n">
        <v>42.6</v>
      </c>
      <c r="AK170" s="31" t="n">
        <v>0</v>
      </c>
      <c r="AL170" s="30" t="inlineStr">
        <is>
          <t>T-0319</t>
        </is>
      </c>
      <c r="AM170" s="30" t="inlineStr">
        <is>
          <t>B-02-02</t>
        </is>
      </c>
      <c r="AN170" s="30" t="inlineStr">
        <is>
          <t>T-0192</t>
        </is>
      </c>
      <c r="AO170" s="30" t="inlineStr">
        <is>
          <t>B-04-02</t>
        </is>
      </c>
    </row>
    <row r="171">
      <c r="A171" s="30" t="inlineStr">
        <is>
          <t>O0170</t>
        </is>
      </c>
      <c r="B171" s="30" t="inlineStr">
        <is>
          <t>I</t>
        </is>
      </c>
      <c r="C171" s="31" t="n">
        <v>3360.3</v>
      </c>
      <c r="D171" s="31" t="n">
        <v>8260.200000000001</v>
      </c>
      <c r="E171" s="31" t="n">
        <v>8260.200000000001</v>
      </c>
      <c r="F171" s="31" t="n">
        <v>8274.4</v>
      </c>
      <c r="G171" s="31" t="n">
        <v>8299.6</v>
      </c>
      <c r="H171" s="31" t="n">
        <v>8302.5</v>
      </c>
      <c r="I171" s="31" t="n">
        <v>8332.5</v>
      </c>
      <c r="J171" s="31" t="n">
        <v>8359.1</v>
      </c>
      <c r="K171" s="31" t="n">
        <v>4998.8</v>
      </c>
      <c r="L171" s="31" t="n">
        <v>4899.9</v>
      </c>
      <c r="M171" s="30" t="inlineStr">
        <is>
          <t>AMR1</t>
        </is>
      </c>
      <c r="N171" s="30" t="inlineStr">
        <is>
          <t>AMR2</t>
        </is>
      </c>
      <c r="O171" s="32" t="n">
        <v>0</v>
      </c>
      <c r="P171" s="32" t="n">
        <v>0</v>
      </c>
      <c r="Q171" s="32" t="n">
        <v>15</v>
      </c>
      <c r="R171" s="31" t="n">
        <v>36.1</v>
      </c>
      <c r="S171" s="31" t="n">
        <v>36.1</v>
      </c>
      <c r="T171" s="30" t="inlineStr">
        <is>
          <t>AMR1</t>
        </is>
      </c>
      <c r="U171" s="31" t="n">
        <v>50.4</v>
      </c>
      <c r="V171" s="31" t="n">
        <v>50.4</v>
      </c>
      <c r="W171" s="30" t="inlineStr">
        <is>
          <t>AMR2</t>
        </is>
      </c>
      <c r="X171" s="32" t="n">
        <v>0</v>
      </c>
      <c r="Y171" s="32" t="n">
        <v>0</v>
      </c>
      <c r="Z171" s="31" t="n">
        <v>0</v>
      </c>
      <c r="AA171" s="32" t="n">
        <v>0</v>
      </c>
      <c r="AB171" s="32" t="n">
        <v>1</v>
      </c>
      <c r="AC171" s="32" t="n">
        <v>1</v>
      </c>
      <c r="AD171" s="32" t="n">
        <v>0</v>
      </c>
      <c r="AE171" s="31" t="n">
        <v>0</v>
      </c>
      <c r="AF171" s="32" t="n">
        <v>0</v>
      </c>
      <c r="AG171" s="31" t="n">
        <v>0</v>
      </c>
      <c r="AH171" s="32" t="n">
        <v>46</v>
      </c>
      <c r="AI171" s="31" t="n">
        <v>50.9</v>
      </c>
      <c r="AJ171" s="31" t="n">
        <v>40.7</v>
      </c>
      <c r="AK171" s="31" t="n">
        <v>4.4</v>
      </c>
      <c r="AL171" s="30" t="inlineStr">
        <is>
          <t>T-0320</t>
        </is>
      </c>
      <c r="AM171" s="30" t="inlineStr">
        <is>
          <t>I-06-02</t>
        </is>
      </c>
      <c r="AN171" s="30" t="inlineStr">
        <is>
          <t>T-0236</t>
        </is>
      </c>
      <c r="AO171" s="30" t="inlineStr">
        <is>
          <t>I-03-03</t>
        </is>
      </c>
    </row>
    <row r="172">
      <c r="A172" s="30" t="inlineStr">
        <is>
          <t>O0171</t>
        </is>
      </c>
      <c r="B172" s="30" t="inlineStr">
        <is>
          <t>D</t>
        </is>
      </c>
      <c r="C172" s="31" t="n">
        <v>3375.8</v>
      </c>
      <c r="D172" s="31" t="n">
        <v>8317.1</v>
      </c>
      <c r="E172" s="31" t="n">
        <v>8317.1</v>
      </c>
      <c r="F172" s="31" t="n">
        <v>8329</v>
      </c>
      <c r="G172" s="31" t="n">
        <v>8348.9</v>
      </c>
      <c r="H172" s="31" t="n">
        <v>8361.700000000001</v>
      </c>
      <c r="I172" s="31" t="n">
        <v>8386.700000000001</v>
      </c>
      <c r="J172" s="31" t="n">
        <v>8414.799999999999</v>
      </c>
      <c r="K172" s="31" t="n">
        <v>5039</v>
      </c>
      <c r="L172" s="31" t="n">
        <v>4941.3</v>
      </c>
      <c r="M172" s="30" t="inlineStr">
        <is>
          <t>AMR1</t>
        </is>
      </c>
      <c r="N172" s="30" t="inlineStr">
        <is>
          <t>AMR1</t>
        </is>
      </c>
      <c r="O172" s="32" t="n">
        <v>0</v>
      </c>
      <c r="P172" s="32" t="n">
        <v>0</v>
      </c>
      <c r="Q172" s="32" t="n">
        <v>13</v>
      </c>
      <c r="R172" s="31" t="n">
        <v>30.9</v>
      </c>
      <c r="S172" s="31" t="n">
        <v>30.9</v>
      </c>
      <c r="T172" s="30" t="inlineStr">
        <is>
          <t>AMR1</t>
        </is>
      </c>
      <c r="U172" s="31" t="n">
        <v>53.3</v>
      </c>
      <c r="V172" s="31" t="n">
        <v>53.3</v>
      </c>
      <c r="W172" s="30" t="inlineStr">
        <is>
          <t>AMR1</t>
        </is>
      </c>
      <c r="X172" s="32" t="n">
        <v>0</v>
      </c>
      <c r="Y172" s="32" t="n">
        <v>0</v>
      </c>
      <c r="Z172" s="31" t="n">
        <v>0</v>
      </c>
      <c r="AA172" s="32" t="n">
        <v>0</v>
      </c>
      <c r="AB172" s="32" t="n">
        <v>1</v>
      </c>
      <c r="AC172" s="32" t="n">
        <v>0</v>
      </c>
      <c r="AD172" s="32" t="n">
        <v>0</v>
      </c>
      <c r="AE172" s="31" t="n">
        <v>0</v>
      </c>
      <c r="AF172" s="32" t="n">
        <v>0</v>
      </c>
      <c r="AG172" s="31" t="n">
        <v>0</v>
      </c>
      <c r="AH172" s="32" t="n">
        <v>39</v>
      </c>
      <c r="AI172" s="31" t="n">
        <v>43.4</v>
      </c>
      <c r="AJ172" s="31" t="n">
        <v>41.5</v>
      </c>
      <c r="AK172" s="31" t="n">
        <v>0</v>
      </c>
      <c r="AL172" s="30" t="inlineStr">
        <is>
          <t>T-0321</t>
        </is>
      </c>
      <c r="AM172" s="30" t="inlineStr">
        <is>
          <t>D-01-02</t>
        </is>
      </c>
      <c r="AN172" s="30" t="inlineStr">
        <is>
          <t>T-0219</t>
        </is>
      </c>
      <c r="AO172" s="30" t="inlineStr">
        <is>
          <t>D-02-02</t>
        </is>
      </c>
    </row>
    <row r="173">
      <c r="A173" s="30" t="inlineStr">
        <is>
          <t>O0172</t>
        </is>
      </c>
      <c r="B173" s="30" t="inlineStr">
        <is>
          <t>H</t>
        </is>
      </c>
      <c r="C173" s="31" t="n">
        <v>3395.4</v>
      </c>
      <c r="D173" s="31" t="n">
        <v>8330.799999999999</v>
      </c>
      <c r="E173" s="31" t="n">
        <v>8330.799999999999</v>
      </c>
      <c r="F173" s="31" t="n">
        <v>8347.200000000001</v>
      </c>
      <c r="G173" s="31" t="n">
        <v>8370.299999999999</v>
      </c>
      <c r="H173" s="31" t="n">
        <v>8384.799999999999</v>
      </c>
      <c r="I173" s="31" t="n">
        <v>8407</v>
      </c>
      <c r="J173" s="31" t="n">
        <v>8435.299999999999</v>
      </c>
      <c r="K173" s="31" t="n">
        <v>5039.9</v>
      </c>
      <c r="L173" s="31" t="n">
        <v>4935.4</v>
      </c>
      <c r="M173" s="30" t="inlineStr">
        <is>
          <t>AMR3</t>
        </is>
      </c>
      <c r="N173" s="30" t="inlineStr">
        <is>
          <t>AMR3</t>
        </is>
      </c>
      <c r="O173" s="32" t="n">
        <v>0</v>
      </c>
      <c r="P173" s="32" t="n">
        <v>0</v>
      </c>
      <c r="Q173" s="32" t="n">
        <v>15</v>
      </c>
      <c r="R173" s="31" t="n">
        <v>37.8</v>
      </c>
      <c r="S173" s="31" t="n">
        <v>37.8</v>
      </c>
      <c r="T173" s="30" t="inlineStr">
        <is>
          <t>AMR3</t>
        </is>
      </c>
      <c r="U173" s="31" t="n">
        <v>51.7</v>
      </c>
      <c r="V173" s="31" t="n">
        <v>51.7</v>
      </c>
      <c r="W173" s="30" t="inlineStr">
        <is>
          <t>AMR3</t>
        </is>
      </c>
      <c r="X173" s="32" t="n">
        <v>0</v>
      </c>
      <c r="Y173" s="32" t="n">
        <v>0</v>
      </c>
      <c r="Z173" s="31" t="n">
        <v>0</v>
      </c>
      <c r="AA173" s="32" t="n">
        <v>0</v>
      </c>
      <c r="AB173" s="32" t="n">
        <v>0</v>
      </c>
      <c r="AC173" s="32" t="n">
        <v>0</v>
      </c>
      <c r="AD173" s="32" t="n">
        <v>0</v>
      </c>
      <c r="AE173" s="31" t="n">
        <v>0</v>
      </c>
      <c r="AF173" s="32" t="n">
        <v>0</v>
      </c>
      <c r="AG173" s="31" t="n">
        <v>0</v>
      </c>
      <c r="AH173" s="32" t="n">
        <v>42</v>
      </c>
      <c r="AI173" s="31" t="n">
        <v>45.8</v>
      </c>
      <c r="AJ173" s="31" t="n">
        <v>44.2</v>
      </c>
      <c r="AK173" s="31" t="n">
        <v>0</v>
      </c>
      <c r="AL173" s="30" t="inlineStr">
        <is>
          <t>T-0322</t>
        </is>
      </c>
      <c r="AM173" s="30" t="inlineStr">
        <is>
          <t>H-03-03</t>
        </is>
      </c>
      <c r="AN173" s="30" t="inlineStr">
        <is>
          <t>T-0118</t>
        </is>
      </c>
      <c r="AO173" s="30" t="inlineStr">
        <is>
          <t>H-01-02</t>
        </is>
      </c>
    </row>
    <row r="174">
      <c r="A174" s="30" t="inlineStr">
        <is>
          <t>O0173</t>
        </is>
      </c>
      <c r="B174" s="30" t="inlineStr">
        <is>
          <t>I</t>
        </is>
      </c>
      <c r="C174" s="31" t="n">
        <v>3415.7</v>
      </c>
      <c r="D174" s="31" t="n">
        <v>8388.200000000001</v>
      </c>
      <c r="E174" s="31" t="n">
        <v>8388.200000000001</v>
      </c>
      <c r="F174" s="31" t="n">
        <v>8401</v>
      </c>
      <c r="G174" s="31" t="n">
        <v>8424.1</v>
      </c>
      <c r="H174" s="31" t="n">
        <v>8438.9</v>
      </c>
      <c r="I174" s="31" t="n">
        <v>8479</v>
      </c>
      <c r="J174" s="31" t="n">
        <v>8507.6</v>
      </c>
      <c r="K174" s="31" t="n">
        <v>5091.9</v>
      </c>
      <c r="L174" s="31" t="n">
        <v>4972.5</v>
      </c>
      <c r="M174" s="30" t="inlineStr">
        <is>
          <t>AMR2</t>
        </is>
      </c>
      <c r="N174" s="30" t="inlineStr">
        <is>
          <t>AMR2</t>
        </is>
      </c>
      <c r="O174" s="32" t="n">
        <v>0</v>
      </c>
      <c r="P174" s="32" t="n">
        <v>0</v>
      </c>
      <c r="Q174" s="32" t="n">
        <v>15</v>
      </c>
      <c r="R174" s="31" t="n">
        <v>35</v>
      </c>
      <c r="S174" s="31" t="n">
        <v>35</v>
      </c>
      <c r="T174" s="30" t="inlineStr">
        <is>
          <t>AMR2</t>
        </is>
      </c>
      <c r="U174" s="31" t="n">
        <v>57.5</v>
      </c>
      <c r="V174" s="31" t="n">
        <v>57.5</v>
      </c>
      <c r="W174" s="30" t="inlineStr">
        <is>
          <t>AMR2</t>
        </is>
      </c>
      <c r="X174" s="32" t="n">
        <v>0</v>
      </c>
      <c r="Y174" s="32" t="n">
        <v>0</v>
      </c>
      <c r="Z174" s="31" t="n">
        <v>0</v>
      </c>
      <c r="AA174" s="32" t="n">
        <v>0</v>
      </c>
      <c r="AB174" s="32" t="n">
        <v>2</v>
      </c>
      <c r="AC174" s="32" t="n">
        <v>2</v>
      </c>
      <c r="AD174" s="32" t="n">
        <v>0</v>
      </c>
      <c r="AE174" s="31" t="n">
        <v>0</v>
      </c>
      <c r="AF174" s="32" t="n">
        <v>0</v>
      </c>
      <c r="AG174" s="31" t="n">
        <v>0</v>
      </c>
      <c r="AH174" s="32" t="n">
        <v>43</v>
      </c>
      <c r="AI174" s="31" t="n">
        <v>49.9</v>
      </c>
      <c r="AJ174" s="31" t="n">
        <v>46.7</v>
      </c>
      <c r="AK174" s="31" t="n">
        <v>8</v>
      </c>
      <c r="AL174" s="30" t="inlineStr">
        <is>
          <t>T-0323</t>
        </is>
      </c>
      <c r="AM174" s="30" t="inlineStr">
        <is>
          <t>I-02-03</t>
        </is>
      </c>
      <c r="AN174" s="30" t="inlineStr">
        <is>
          <t>T-0240</t>
        </is>
      </c>
      <c r="AO174" s="30" t="inlineStr">
        <is>
          <t>I-01-03</t>
        </is>
      </c>
    </row>
    <row r="175">
      <c r="A175" s="30" t="inlineStr">
        <is>
          <t>O0174</t>
        </is>
      </c>
      <c r="B175" s="30" t="inlineStr">
        <is>
          <t>H</t>
        </is>
      </c>
      <c r="C175" s="31" t="n">
        <v>3433.9</v>
      </c>
      <c r="D175" s="31" t="n">
        <v>8448.9</v>
      </c>
      <c r="E175" s="31" t="n">
        <v>8448.9</v>
      </c>
      <c r="F175" s="31" t="n">
        <v>8461.6</v>
      </c>
      <c r="G175" s="31" t="n">
        <v>8487.9</v>
      </c>
      <c r="H175" s="31" t="n">
        <v>8502.1</v>
      </c>
      <c r="I175" s="31" t="n">
        <v>8528.799999999999</v>
      </c>
      <c r="J175" s="31" t="n">
        <v>8554.1</v>
      </c>
      <c r="K175" s="31" t="n">
        <v>5120.2</v>
      </c>
      <c r="L175" s="31" t="n">
        <v>5015</v>
      </c>
      <c r="M175" s="30" t="inlineStr">
        <is>
          <t>AMR1</t>
        </is>
      </c>
      <c r="N175" s="30" t="inlineStr">
        <is>
          <t>AMR1</t>
        </is>
      </c>
      <c r="O175" s="32" t="n">
        <v>0</v>
      </c>
      <c r="P175" s="32" t="n">
        <v>0</v>
      </c>
      <c r="Q175" s="32" t="n">
        <v>15</v>
      </c>
      <c r="R175" s="31" t="n">
        <v>38.1</v>
      </c>
      <c r="S175" s="31" t="n">
        <v>38.1</v>
      </c>
      <c r="T175" s="30" t="inlineStr">
        <is>
          <t>AMR1</t>
        </is>
      </c>
      <c r="U175" s="31" t="n">
        <v>52.2</v>
      </c>
      <c r="V175" s="31" t="n">
        <v>52.2</v>
      </c>
      <c r="W175" s="30" t="inlineStr">
        <is>
          <t>AMR1</t>
        </is>
      </c>
      <c r="X175" s="32" t="n">
        <v>0</v>
      </c>
      <c r="Y175" s="32" t="n">
        <v>0</v>
      </c>
      <c r="Z175" s="31" t="n">
        <v>0</v>
      </c>
      <c r="AA175" s="32" t="n">
        <v>0</v>
      </c>
      <c r="AB175" s="32" t="n">
        <v>0</v>
      </c>
      <c r="AC175" s="32" t="n">
        <v>0</v>
      </c>
      <c r="AD175" s="32" t="n">
        <v>0</v>
      </c>
      <c r="AE175" s="31" t="n">
        <v>0</v>
      </c>
      <c r="AF175" s="32" t="n">
        <v>0</v>
      </c>
      <c r="AG175" s="31" t="n">
        <v>0</v>
      </c>
      <c r="AH175" s="32" t="n">
        <v>41</v>
      </c>
      <c r="AI175" s="31" t="n">
        <v>46</v>
      </c>
      <c r="AJ175" s="31" t="n">
        <v>45</v>
      </c>
      <c r="AK175" s="31" t="n">
        <v>0</v>
      </c>
      <c r="AL175" s="30" t="inlineStr">
        <is>
          <t>T-0324</t>
        </is>
      </c>
      <c r="AM175" s="30" t="inlineStr">
        <is>
          <t>H-01-02</t>
        </is>
      </c>
      <c r="AN175" s="30" t="inlineStr">
        <is>
          <t>T-0119</t>
        </is>
      </c>
      <c r="AO175" s="30" t="inlineStr">
        <is>
          <t>H-02-01</t>
        </is>
      </c>
    </row>
    <row r="176">
      <c r="A176" s="30" t="inlineStr">
        <is>
          <t>O0175</t>
        </is>
      </c>
      <c r="B176" s="30" t="inlineStr">
        <is>
          <t>I</t>
        </is>
      </c>
      <c r="C176" s="31" t="n">
        <v>3457</v>
      </c>
      <c r="D176" s="31" t="n">
        <v>8464.299999999999</v>
      </c>
      <c r="E176" s="31" t="n">
        <v>8464.299999999999</v>
      </c>
      <c r="F176" s="31" t="n">
        <v>8478.700000000001</v>
      </c>
      <c r="G176" s="31" t="n">
        <v>8503.200000000001</v>
      </c>
      <c r="H176" s="31" t="n">
        <v>8519.299999999999</v>
      </c>
      <c r="I176" s="31" t="n">
        <v>8554</v>
      </c>
      <c r="J176" s="31" t="n">
        <v>8582.6</v>
      </c>
      <c r="K176" s="31" t="n">
        <v>5125.6</v>
      </c>
      <c r="L176" s="31" t="n">
        <v>5007.3</v>
      </c>
      <c r="M176" s="30" t="inlineStr">
        <is>
          <t>AMR3</t>
        </is>
      </c>
      <c r="N176" s="30" t="inlineStr">
        <is>
          <t>AMR3</t>
        </is>
      </c>
      <c r="O176" s="32" t="n">
        <v>0</v>
      </c>
      <c r="P176" s="32" t="n">
        <v>0</v>
      </c>
      <c r="Q176" s="32" t="n">
        <v>15</v>
      </c>
      <c r="R176" s="31" t="n">
        <v>37.2</v>
      </c>
      <c r="S176" s="31" t="n">
        <v>37.2</v>
      </c>
      <c r="T176" s="30" t="inlineStr">
        <is>
          <t>AMR3</t>
        </is>
      </c>
      <c r="U176" s="31" t="n">
        <v>54.2</v>
      </c>
      <c r="V176" s="31" t="n">
        <v>54.2</v>
      </c>
      <c r="W176" s="30" t="inlineStr">
        <is>
          <t>AMR3</t>
        </is>
      </c>
      <c r="X176" s="32" t="n">
        <v>0</v>
      </c>
      <c r="Y176" s="32" t="n">
        <v>0</v>
      </c>
      <c r="Z176" s="31" t="n">
        <v>0</v>
      </c>
      <c r="AA176" s="32" t="n">
        <v>0</v>
      </c>
      <c r="AB176" s="32" t="n">
        <v>2</v>
      </c>
      <c r="AC176" s="32" t="n">
        <v>1</v>
      </c>
      <c r="AD176" s="32" t="n">
        <v>0</v>
      </c>
      <c r="AE176" s="31" t="n">
        <v>0</v>
      </c>
      <c r="AF176" s="32" t="n">
        <v>0</v>
      </c>
      <c r="AG176" s="31" t="n">
        <v>0</v>
      </c>
      <c r="AH176" s="32" t="n">
        <v>48</v>
      </c>
      <c r="AI176" s="31" t="n">
        <v>53.6</v>
      </c>
      <c r="AJ176" s="31" t="n">
        <v>45.6</v>
      </c>
      <c r="AK176" s="31" t="n">
        <v>3</v>
      </c>
      <c r="AL176" s="30" t="inlineStr">
        <is>
          <t>T-0325</t>
        </is>
      </c>
      <c r="AM176" s="30" t="inlineStr">
        <is>
          <t>I-03-03</t>
        </is>
      </c>
      <c r="AN176" s="30" t="inlineStr">
        <is>
          <t>T-0241</t>
        </is>
      </c>
      <c r="AO176" s="30" t="inlineStr">
        <is>
          <t>I-04-03</t>
        </is>
      </c>
    </row>
    <row r="177">
      <c r="A177" s="30" t="inlineStr">
        <is>
          <t>O0176</t>
        </is>
      </c>
      <c r="B177" s="30" t="inlineStr">
        <is>
          <t>I</t>
        </is>
      </c>
      <c r="C177" s="31" t="n">
        <v>3480.3</v>
      </c>
      <c r="D177" s="31" t="n">
        <v>8535.799999999999</v>
      </c>
      <c r="E177" s="31" t="n">
        <v>8535.799999999999</v>
      </c>
      <c r="F177" s="31" t="n">
        <v>8546.6</v>
      </c>
      <c r="G177" s="31" t="n">
        <v>8575.1</v>
      </c>
      <c r="H177" s="31" t="n">
        <v>8577.799999999999</v>
      </c>
      <c r="I177" s="31" t="n">
        <v>8602.5</v>
      </c>
      <c r="J177" s="31" t="n">
        <v>8630.299999999999</v>
      </c>
      <c r="K177" s="31" t="n">
        <v>5150</v>
      </c>
      <c r="L177" s="31" t="n">
        <v>5055.5</v>
      </c>
      <c r="M177" s="30" t="inlineStr">
        <is>
          <t>AMR2</t>
        </is>
      </c>
      <c r="N177" s="30" t="inlineStr">
        <is>
          <t>AMR1</t>
        </is>
      </c>
      <c r="O177" s="32" t="n">
        <v>0</v>
      </c>
      <c r="P177" s="32" t="n">
        <v>0</v>
      </c>
      <c r="Q177" s="32" t="n">
        <v>15</v>
      </c>
      <c r="R177" s="31" t="n">
        <v>35.7</v>
      </c>
      <c r="S177" s="31" t="n">
        <v>35.7</v>
      </c>
      <c r="T177" s="30" t="inlineStr">
        <is>
          <t>AMR2</t>
        </is>
      </c>
      <c r="U177" s="31" t="n">
        <v>52.7</v>
      </c>
      <c r="V177" s="31" t="n">
        <v>52.7</v>
      </c>
      <c r="W177" s="30" t="inlineStr">
        <is>
          <t>AMR1</t>
        </is>
      </c>
      <c r="X177" s="32" t="n">
        <v>0</v>
      </c>
      <c r="Y177" s="32" t="n">
        <v>0</v>
      </c>
      <c r="Z177" s="31" t="n">
        <v>0</v>
      </c>
      <c r="AA177" s="32" t="n">
        <v>0</v>
      </c>
      <c r="AB177" s="32" t="n">
        <v>1</v>
      </c>
      <c r="AC177" s="32" t="n">
        <v>0</v>
      </c>
      <c r="AD177" s="32" t="n">
        <v>0</v>
      </c>
      <c r="AE177" s="31" t="n">
        <v>0</v>
      </c>
      <c r="AF177" s="32" t="n">
        <v>0</v>
      </c>
      <c r="AG177" s="31" t="n">
        <v>0</v>
      </c>
      <c r="AH177" s="32" t="n">
        <v>41</v>
      </c>
      <c r="AI177" s="31" t="n">
        <v>46.5</v>
      </c>
      <c r="AJ177" s="31" t="n">
        <v>42.6</v>
      </c>
      <c r="AK177" s="31" t="n">
        <v>2.7</v>
      </c>
      <c r="AL177" s="30" t="inlineStr">
        <is>
          <t>T-0326</t>
        </is>
      </c>
      <c r="AM177" s="30" t="inlineStr">
        <is>
          <t>I-01-03</t>
        </is>
      </c>
      <c r="AN177" s="30" t="inlineStr">
        <is>
          <t>T-0256</t>
        </is>
      </c>
      <c r="AO177" s="30" t="inlineStr">
        <is>
          <t>I-01-01</t>
        </is>
      </c>
    </row>
    <row r="178">
      <c r="A178" s="30" t="inlineStr">
        <is>
          <t>O0177</t>
        </is>
      </c>
      <c r="B178" s="30" t="inlineStr">
        <is>
          <t>H</t>
        </is>
      </c>
      <c r="C178" s="31" t="n">
        <v>3504.3</v>
      </c>
      <c r="D178" s="31" t="n">
        <v>8589.9</v>
      </c>
      <c r="E178" s="31" t="n">
        <v>8589.9</v>
      </c>
      <c r="F178" s="31" t="n">
        <v>8602.5</v>
      </c>
      <c r="G178" s="31" t="n">
        <v>8626</v>
      </c>
      <c r="H178" s="31" t="n">
        <v>8640.200000000001</v>
      </c>
      <c r="I178" s="31" t="n">
        <v>8666.299999999999</v>
      </c>
      <c r="J178" s="31" t="n">
        <v>8692.700000000001</v>
      </c>
      <c r="K178" s="31" t="n">
        <v>5188.4</v>
      </c>
      <c r="L178" s="31" t="n">
        <v>5085.6</v>
      </c>
      <c r="M178" s="30" t="inlineStr">
        <is>
          <t>AMR2</t>
        </is>
      </c>
      <c r="N178" s="30" t="inlineStr">
        <is>
          <t>AMR2</t>
        </is>
      </c>
      <c r="O178" s="32" t="n">
        <v>0</v>
      </c>
      <c r="P178" s="32" t="n">
        <v>0</v>
      </c>
      <c r="Q178" s="32" t="n">
        <v>15</v>
      </c>
      <c r="R178" s="31" t="n">
        <v>35.2</v>
      </c>
      <c r="S178" s="31" t="n">
        <v>35.2</v>
      </c>
      <c r="T178" s="30" t="inlineStr">
        <is>
          <t>AMR2</t>
        </is>
      </c>
      <c r="U178" s="31" t="n">
        <v>51.6</v>
      </c>
      <c r="V178" s="31" t="n">
        <v>51.6</v>
      </c>
      <c r="W178" s="30" t="inlineStr">
        <is>
          <t>AMR2</t>
        </is>
      </c>
      <c r="X178" s="32" t="n">
        <v>0</v>
      </c>
      <c r="Y178" s="32" t="n">
        <v>0</v>
      </c>
      <c r="Z178" s="31" t="n">
        <v>0</v>
      </c>
      <c r="AA178" s="32" t="n">
        <v>0</v>
      </c>
      <c r="AB178" s="32" t="n">
        <v>0</v>
      </c>
      <c r="AC178" s="32" t="n">
        <v>0</v>
      </c>
      <c r="AD178" s="32" t="n">
        <v>0</v>
      </c>
      <c r="AE178" s="31" t="n">
        <v>0</v>
      </c>
      <c r="AF178" s="32" t="n">
        <v>0</v>
      </c>
      <c r="AG178" s="31" t="n">
        <v>0</v>
      </c>
      <c r="AH178" s="32" t="n">
        <v>43</v>
      </c>
      <c r="AI178" s="31" t="n">
        <v>47.1</v>
      </c>
      <c r="AJ178" s="31" t="n">
        <v>41.5</v>
      </c>
      <c r="AK178" s="31" t="n">
        <v>0</v>
      </c>
      <c r="AL178" s="30" t="inlineStr">
        <is>
          <t>T-0327</t>
        </is>
      </c>
      <c r="AM178" s="30" t="inlineStr">
        <is>
          <t>H-02-01</t>
        </is>
      </c>
      <c r="AN178" s="30" t="inlineStr">
        <is>
          <t>T-0120</t>
        </is>
      </c>
      <c r="AO178" s="30" t="inlineStr">
        <is>
          <t>H-03-05</t>
        </is>
      </c>
    </row>
    <row r="179">
      <c r="A179" s="30" t="inlineStr">
        <is>
          <t>O0178</t>
        </is>
      </c>
      <c r="B179" s="30" t="inlineStr">
        <is>
          <t>D</t>
        </is>
      </c>
      <c r="C179" s="31" t="n">
        <v>3521.9</v>
      </c>
      <c r="D179" s="31" t="n">
        <v>8606.299999999999</v>
      </c>
      <c r="E179" s="31" t="n">
        <v>8606.299999999999</v>
      </c>
      <c r="F179" s="31" t="n">
        <v>8619.299999999999</v>
      </c>
      <c r="G179" s="31" t="n">
        <v>8639.700000000001</v>
      </c>
      <c r="H179" s="31" t="n">
        <v>8652.5</v>
      </c>
      <c r="I179" s="31" t="n">
        <v>8681.799999999999</v>
      </c>
      <c r="J179" s="31" t="n">
        <v>8710.4</v>
      </c>
      <c r="K179" s="31" t="n">
        <v>5188.5</v>
      </c>
      <c r="L179" s="31" t="n">
        <v>5084.4</v>
      </c>
      <c r="M179" s="30" t="inlineStr">
        <is>
          <t>AMR3</t>
        </is>
      </c>
      <c r="N179" s="30" t="inlineStr">
        <is>
          <t>AMR3</t>
        </is>
      </c>
      <c r="O179" s="32" t="n">
        <v>0</v>
      </c>
      <c r="P179" s="32" t="n">
        <v>0</v>
      </c>
      <c r="Q179" s="32" t="n">
        <v>13</v>
      </c>
      <c r="R179" s="31" t="n">
        <v>32.5</v>
      </c>
      <c r="S179" s="31" t="n">
        <v>32.5</v>
      </c>
      <c r="T179" s="30" t="inlineStr">
        <is>
          <t>AMR3</t>
        </is>
      </c>
      <c r="U179" s="31" t="n">
        <v>53.1</v>
      </c>
      <c r="V179" s="31" t="n">
        <v>53.1</v>
      </c>
      <c r="W179" s="30" t="inlineStr">
        <is>
          <t>AMR3</t>
        </is>
      </c>
      <c r="X179" s="32" t="n">
        <v>0</v>
      </c>
      <c r="Y179" s="32" t="n">
        <v>0</v>
      </c>
      <c r="Z179" s="31" t="n">
        <v>0</v>
      </c>
      <c r="AA179" s="32" t="n">
        <v>0</v>
      </c>
      <c r="AB179" s="32" t="n">
        <v>1</v>
      </c>
      <c r="AC179" s="32" t="n">
        <v>1</v>
      </c>
      <c r="AD179" s="32" t="n">
        <v>0</v>
      </c>
      <c r="AE179" s="31" t="n">
        <v>0</v>
      </c>
      <c r="AF179" s="32" t="n">
        <v>0</v>
      </c>
      <c r="AG179" s="31" t="n">
        <v>0</v>
      </c>
      <c r="AH179" s="32" t="n">
        <v>39</v>
      </c>
      <c r="AI179" s="31" t="n">
        <v>45.4</v>
      </c>
      <c r="AJ179" s="31" t="n">
        <v>42.9</v>
      </c>
      <c r="AK179" s="31" t="n">
        <v>3</v>
      </c>
      <c r="AL179" s="30" t="inlineStr">
        <is>
          <t>T-0328</t>
        </is>
      </c>
      <c r="AM179" s="30" t="inlineStr">
        <is>
          <t>D-02-02</t>
        </is>
      </c>
      <c r="AN179" s="30" t="inlineStr">
        <is>
          <t>T-0226</t>
        </is>
      </c>
      <c r="AO179" s="30" t="inlineStr">
        <is>
          <t>D-02-01</t>
        </is>
      </c>
    </row>
    <row r="180">
      <c r="A180" s="30" t="inlineStr">
        <is>
          <t>O0179</t>
        </is>
      </c>
      <c r="B180" s="30" t="inlineStr">
        <is>
          <t>I</t>
        </is>
      </c>
      <c r="C180" s="31" t="n">
        <v>3539.7</v>
      </c>
      <c r="D180" s="31" t="n">
        <v>8661.4</v>
      </c>
      <c r="E180" s="31" t="n">
        <v>8661.4</v>
      </c>
      <c r="F180" s="31" t="n">
        <v>8676.200000000001</v>
      </c>
      <c r="G180" s="31" t="n">
        <v>8700.5</v>
      </c>
      <c r="H180" s="31" t="n">
        <v>8715.299999999999</v>
      </c>
      <c r="I180" s="31" t="n">
        <v>8754.9</v>
      </c>
      <c r="J180" s="31" t="n">
        <v>8784.1</v>
      </c>
      <c r="K180" s="31" t="n">
        <v>5244.4</v>
      </c>
      <c r="L180" s="31" t="n">
        <v>5121.7</v>
      </c>
      <c r="M180" s="30" t="inlineStr">
        <is>
          <t>AMR1</t>
        </is>
      </c>
      <c r="N180" s="30" t="inlineStr">
        <is>
          <t>AMR1</t>
        </is>
      </c>
      <c r="O180" s="32" t="n">
        <v>0</v>
      </c>
      <c r="P180" s="32" t="n">
        <v>0</v>
      </c>
      <c r="Q180" s="32" t="n">
        <v>15</v>
      </c>
      <c r="R180" s="31" t="n">
        <v>36.8</v>
      </c>
      <c r="S180" s="31" t="n">
        <v>36.8</v>
      </c>
      <c r="T180" s="30" t="inlineStr">
        <is>
          <t>AMR1</t>
        </is>
      </c>
      <c r="U180" s="31" t="n">
        <v>54.1</v>
      </c>
      <c r="V180" s="31" t="n">
        <v>54.1</v>
      </c>
      <c r="W180" s="30" t="inlineStr">
        <is>
          <t>AMR1</t>
        </is>
      </c>
      <c r="X180" s="32" t="n">
        <v>0</v>
      </c>
      <c r="Y180" s="32" t="n">
        <v>0</v>
      </c>
      <c r="Z180" s="31" t="n">
        <v>0</v>
      </c>
      <c r="AA180" s="32" t="n">
        <v>0</v>
      </c>
      <c r="AB180" s="32" t="n">
        <v>2</v>
      </c>
      <c r="AC180" s="32" t="n">
        <v>2</v>
      </c>
      <c r="AD180" s="32" t="n">
        <v>1</v>
      </c>
      <c r="AE180" s="31" t="n">
        <v>1.4</v>
      </c>
      <c r="AF180" s="32" t="n">
        <v>0</v>
      </c>
      <c r="AG180" s="31" t="n">
        <v>0</v>
      </c>
      <c r="AH180" s="32" t="n">
        <v>47</v>
      </c>
      <c r="AI180" s="31" t="n">
        <v>53.4</v>
      </c>
      <c r="AJ180" s="31" t="n">
        <v>45.1</v>
      </c>
      <c r="AK180" s="31" t="n">
        <v>9.4</v>
      </c>
      <c r="AL180" s="30" t="inlineStr">
        <is>
          <t>T-0329</t>
        </is>
      </c>
      <c r="AM180" s="30" t="inlineStr">
        <is>
          <t>I-01-01</t>
        </is>
      </c>
      <c r="AN180" s="30" t="inlineStr">
        <is>
          <t>T-0257</t>
        </is>
      </c>
      <c r="AO180" s="30" t="inlineStr">
        <is>
          <t>I-05-03</t>
        </is>
      </c>
    </row>
    <row r="181">
      <c r="A181" s="30" t="inlineStr">
        <is>
          <t>O0180</t>
        </is>
      </c>
      <c r="B181" s="30" t="inlineStr">
        <is>
          <t>E</t>
        </is>
      </c>
      <c r="C181" s="31" t="n">
        <v>3560.9</v>
      </c>
      <c r="D181" s="31" t="n">
        <v>8725.200000000001</v>
      </c>
      <c r="E181" s="31" t="n">
        <v>8725.200000000001</v>
      </c>
      <c r="F181" s="31" t="n">
        <v>8735.9</v>
      </c>
      <c r="G181" s="31" t="n">
        <v>8761.9</v>
      </c>
      <c r="H181" s="31" t="n">
        <v>8781.4</v>
      </c>
      <c r="I181" s="31" t="n">
        <v>8810.1</v>
      </c>
      <c r="J181" s="31" t="n">
        <v>8845.700000000001</v>
      </c>
      <c r="K181" s="31" t="n">
        <v>5284.8</v>
      </c>
      <c r="L181" s="31" t="n">
        <v>5164.3</v>
      </c>
      <c r="M181" s="30" t="inlineStr">
        <is>
          <t>AMR2</t>
        </is>
      </c>
      <c r="N181" s="30" t="inlineStr">
        <is>
          <t>AMR2</t>
        </is>
      </c>
      <c r="O181" s="32" t="n">
        <v>0</v>
      </c>
      <c r="P181" s="32" t="n">
        <v>0</v>
      </c>
      <c r="Q181" s="32" t="n">
        <v>19</v>
      </c>
      <c r="R181" s="31" t="n">
        <v>35</v>
      </c>
      <c r="S181" s="31" t="n">
        <v>35</v>
      </c>
      <c r="T181" s="30" t="inlineStr">
        <is>
          <t>AMR2</t>
        </is>
      </c>
      <c r="U181" s="31" t="n">
        <v>59.5</v>
      </c>
      <c r="V181" s="31" t="n">
        <v>59.5</v>
      </c>
      <c r="W181" s="30" t="inlineStr">
        <is>
          <t>AMR2</t>
        </is>
      </c>
      <c r="X181" s="32" t="n">
        <v>0</v>
      </c>
      <c r="Y181" s="32" t="n">
        <v>0</v>
      </c>
      <c r="Z181" s="31" t="n">
        <v>0</v>
      </c>
      <c r="AA181" s="32" t="n">
        <v>0</v>
      </c>
      <c r="AB181" s="32" t="n">
        <v>1</v>
      </c>
      <c r="AC181" s="32" t="n">
        <v>0</v>
      </c>
      <c r="AD181" s="32" t="n">
        <v>0</v>
      </c>
      <c r="AE181" s="31" t="n">
        <v>0</v>
      </c>
      <c r="AF181" s="32" t="n">
        <v>0</v>
      </c>
      <c r="AG181" s="31" t="n">
        <v>0</v>
      </c>
      <c r="AH181" s="32" t="n">
        <v>64</v>
      </c>
      <c r="AI181" s="31" t="n">
        <v>64</v>
      </c>
      <c r="AJ181" s="31" t="n">
        <v>37</v>
      </c>
      <c r="AK181" s="31" t="n">
        <v>0</v>
      </c>
      <c r="AL181" s="30" t="inlineStr">
        <is>
          <t>T-0330</t>
        </is>
      </c>
      <c r="AM181" s="30" t="inlineStr">
        <is>
          <t>E-03-02</t>
        </is>
      </c>
      <c r="AN181" s="30" t="inlineStr">
        <is>
          <t>T-0073</t>
        </is>
      </c>
      <c r="AO181" s="30" t="inlineStr">
        <is>
          <t>E-06-01</t>
        </is>
      </c>
    </row>
    <row r="182">
      <c r="A182" s="30" t="inlineStr">
        <is>
          <t>O0181</t>
        </is>
      </c>
      <c r="B182" s="30" t="inlineStr">
        <is>
          <t>E</t>
        </is>
      </c>
      <c r="C182" s="31" t="n">
        <v>3576.7</v>
      </c>
      <c r="D182" s="31" t="n">
        <v>8739.299999999999</v>
      </c>
      <c r="E182" s="31" t="n">
        <v>8739.299999999999</v>
      </c>
      <c r="F182" s="31" t="n">
        <v>8753.200000000001</v>
      </c>
      <c r="G182" s="31" t="n">
        <v>8779.9</v>
      </c>
      <c r="H182" s="31" t="n">
        <v>8800.1</v>
      </c>
      <c r="I182" s="31" t="n">
        <v>8832.4</v>
      </c>
      <c r="J182" s="31" t="n">
        <v>8866.700000000001</v>
      </c>
      <c r="K182" s="31" t="n">
        <v>5290</v>
      </c>
      <c r="L182" s="31" t="n">
        <v>5162.6</v>
      </c>
      <c r="M182" s="30" t="inlineStr">
        <is>
          <t>AMR3</t>
        </is>
      </c>
      <c r="N182" s="30" t="inlineStr">
        <is>
          <t>AMR3</t>
        </is>
      </c>
      <c r="O182" s="32" t="n">
        <v>0</v>
      </c>
      <c r="P182" s="32" t="n">
        <v>0</v>
      </c>
      <c r="Q182" s="32" t="n">
        <v>19</v>
      </c>
      <c r="R182" s="31" t="n">
        <v>38.1</v>
      </c>
      <c r="S182" s="31" t="n">
        <v>38.1</v>
      </c>
      <c r="T182" s="30" t="inlineStr">
        <is>
          <t>AMR3</t>
        </is>
      </c>
      <c r="U182" s="31" t="n">
        <v>63.7</v>
      </c>
      <c r="V182" s="31" t="n">
        <v>63.7</v>
      </c>
      <c r="W182" s="30" t="inlineStr">
        <is>
          <t>AMR3</t>
        </is>
      </c>
      <c r="X182" s="32" t="n">
        <v>0</v>
      </c>
      <c r="Y182" s="32" t="n">
        <v>0</v>
      </c>
      <c r="Z182" s="31" t="n">
        <v>0</v>
      </c>
      <c r="AA182" s="32" t="n">
        <v>0</v>
      </c>
      <c r="AB182" s="32" t="n">
        <v>1</v>
      </c>
      <c r="AC182" s="32" t="n">
        <v>0</v>
      </c>
      <c r="AD182" s="32" t="n">
        <v>0</v>
      </c>
      <c r="AE182" s="31" t="n">
        <v>0</v>
      </c>
      <c r="AF182" s="32" t="n">
        <v>0</v>
      </c>
      <c r="AG182" s="31" t="n">
        <v>0</v>
      </c>
      <c r="AH182" s="32" t="n">
        <v>59</v>
      </c>
      <c r="AI182" s="31" t="n">
        <v>59.8</v>
      </c>
      <c r="AJ182" s="31" t="n">
        <v>44.3</v>
      </c>
      <c r="AK182" s="31" t="n">
        <v>3.1</v>
      </c>
      <c r="AL182" s="30" t="inlineStr">
        <is>
          <t>T-0331</t>
        </is>
      </c>
      <c r="AM182" s="30" t="inlineStr">
        <is>
          <t>E-04-03</t>
        </is>
      </c>
      <c r="AN182" s="30" t="inlineStr">
        <is>
          <t>T-0074</t>
        </is>
      </c>
      <c r="AO182" s="30" t="inlineStr">
        <is>
          <t>E-01-01</t>
        </is>
      </c>
    </row>
    <row r="183">
      <c r="A183" s="30" t="inlineStr">
        <is>
          <t>O0182</t>
        </is>
      </c>
      <c r="B183" s="30" t="inlineStr">
        <is>
          <t>F</t>
        </is>
      </c>
      <c r="C183" s="31" t="n">
        <v>3594.4</v>
      </c>
      <c r="D183" s="31" t="n">
        <v>8807.799999999999</v>
      </c>
      <c r="E183" s="31" t="n">
        <v>8807.799999999999</v>
      </c>
      <c r="F183" s="31" t="n">
        <v>8820.9</v>
      </c>
      <c r="G183" s="31" t="n">
        <v>8853.299999999999</v>
      </c>
      <c r="H183" s="31" t="n">
        <v>8869.4</v>
      </c>
      <c r="I183" s="31" t="n">
        <v>8899.299999999999</v>
      </c>
      <c r="J183" s="31" t="n">
        <v>8935.9</v>
      </c>
      <c r="K183" s="31" t="n">
        <v>5341.5</v>
      </c>
      <c r="L183" s="31" t="n">
        <v>5213.4</v>
      </c>
      <c r="M183" s="30" t="inlineStr">
        <is>
          <t>AMR1</t>
        </is>
      </c>
      <c r="N183" s="30" t="inlineStr">
        <is>
          <t>AMR2</t>
        </is>
      </c>
      <c r="O183" s="32" t="n">
        <v>0</v>
      </c>
      <c r="P183" s="32" t="n">
        <v>0</v>
      </c>
      <c r="Q183" s="32" t="n">
        <v>23</v>
      </c>
      <c r="R183" s="31" t="n">
        <v>43.8</v>
      </c>
      <c r="S183" s="31" t="n">
        <v>43.8</v>
      </c>
      <c r="T183" s="30" t="inlineStr">
        <is>
          <t>AMR1</t>
        </is>
      </c>
      <c r="U183" s="31" t="n">
        <v>64.2</v>
      </c>
      <c r="V183" s="31" t="n">
        <v>64.2</v>
      </c>
      <c r="W183" s="30" t="inlineStr">
        <is>
          <t>AMR2</t>
        </is>
      </c>
      <c r="X183" s="32" t="n">
        <v>0</v>
      </c>
      <c r="Y183" s="32" t="n">
        <v>0</v>
      </c>
      <c r="Z183" s="31" t="n">
        <v>0</v>
      </c>
      <c r="AA183" s="32" t="n">
        <v>0</v>
      </c>
      <c r="AB183" s="32" t="n">
        <v>0</v>
      </c>
      <c r="AC183" s="32" t="n">
        <v>0</v>
      </c>
      <c r="AD183" s="32" t="n">
        <v>0</v>
      </c>
      <c r="AE183" s="31" t="n">
        <v>0</v>
      </c>
      <c r="AF183" s="32" t="n">
        <v>0</v>
      </c>
      <c r="AG183" s="31" t="n">
        <v>0</v>
      </c>
      <c r="AH183" s="32" t="n">
        <v>70</v>
      </c>
      <c r="AI183" s="31" t="n">
        <v>69.2</v>
      </c>
      <c r="AJ183" s="31" t="n">
        <v>42.8</v>
      </c>
      <c r="AK183" s="31" t="n">
        <v>0</v>
      </c>
      <c r="AL183" s="30" t="inlineStr">
        <is>
          <t>T-0332</t>
        </is>
      </c>
      <c r="AM183" s="30" t="inlineStr">
        <is>
          <t>F-03-01</t>
        </is>
      </c>
      <c r="AN183" s="30" t="inlineStr">
        <is>
          <t>T-0171</t>
        </is>
      </c>
      <c r="AO183" s="30" t="inlineStr">
        <is>
          <t>F-01-01</t>
        </is>
      </c>
    </row>
    <row r="184">
      <c r="A184" s="30" t="inlineStr">
        <is>
          <t>O0183</t>
        </is>
      </c>
      <c r="B184" s="30" t="inlineStr">
        <is>
          <t>C</t>
        </is>
      </c>
      <c r="C184" s="31" t="n">
        <v>3610.2</v>
      </c>
      <c r="D184" s="31" t="n">
        <v>8876.200000000001</v>
      </c>
      <c r="E184" s="31" t="n">
        <v>8876.200000000001</v>
      </c>
      <c r="F184" s="31" t="n">
        <v>8889.1</v>
      </c>
      <c r="G184" s="31" t="n">
        <v>8908.9</v>
      </c>
      <c r="H184" s="31" t="n">
        <v>8926.1</v>
      </c>
      <c r="I184" s="31" t="n">
        <v>8947.299999999999</v>
      </c>
      <c r="J184" s="31" t="n">
        <v>8974.299999999999</v>
      </c>
      <c r="K184" s="31" t="n">
        <v>5364.1</v>
      </c>
      <c r="L184" s="31" t="n">
        <v>5266</v>
      </c>
      <c r="M184" s="30" t="inlineStr">
        <is>
          <t>AMR1</t>
        </is>
      </c>
      <c r="N184" s="30" t="inlineStr">
        <is>
          <t>AMR1</t>
        </is>
      </c>
      <c r="O184" s="32" t="n">
        <v>0</v>
      </c>
      <c r="P184" s="32" t="n">
        <v>0</v>
      </c>
      <c r="Q184" s="32" t="n">
        <v>13</v>
      </c>
      <c r="R184" s="31" t="n">
        <v>31.8</v>
      </c>
      <c r="S184" s="31" t="n">
        <v>31.8</v>
      </c>
      <c r="T184" s="30" t="inlineStr">
        <is>
          <t>AMR1</t>
        </is>
      </c>
      <c r="U184" s="31" t="n">
        <v>49.4</v>
      </c>
      <c r="V184" s="31" t="n">
        <v>49.4</v>
      </c>
      <c r="W184" s="30" t="inlineStr">
        <is>
          <t>AMR1</t>
        </is>
      </c>
      <c r="X184" s="32" t="n">
        <v>0</v>
      </c>
      <c r="Y184" s="32" t="n">
        <v>0</v>
      </c>
      <c r="Z184" s="31" t="n">
        <v>0</v>
      </c>
      <c r="AA184" s="32" t="n">
        <v>0</v>
      </c>
      <c r="AB184" s="32" t="n">
        <v>0</v>
      </c>
      <c r="AC184" s="32" t="n">
        <v>0</v>
      </c>
      <c r="AD184" s="32" t="n">
        <v>0</v>
      </c>
      <c r="AE184" s="31" t="n">
        <v>0</v>
      </c>
      <c r="AF184" s="32" t="n">
        <v>0</v>
      </c>
      <c r="AG184" s="31" t="n">
        <v>0</v>
      </c>
      <c r="AH184" s="32" t="n">
        <v>39</v>
      </c>
      <c r="AI184" s="31" t="n">
        <v>41.9</v>
      </c>
      <c r="AJ184" s="31" t="n">
        <v>39</v>
      </c>
      <c r="AK184" s="31" t="n">
        <v>0</v>
      </c>
      <c r="AL184" s="30" t="inlineStr">
        <is>
          <t>T-0333</t>
        </is>
      </c>
      <c r="AM184" s="30" t="inlineStr">
        <is>
          <t>C-04-03</t>
        </is>
      </c>
      <c r="AN184" s="30" t="inlineStr">
        <is>
          <t>T-0186</t>
        </is>
      </c>
      <c r="AO184" s="30" t="inlineStr">
        <is>
          <t>C-01-01</t>
        </is>
      </c>
    </row>
    <row r="185">
      <c r="A185" s="30" t="inlineStr">
        <is>
          <t>O0184</t>
        </is>
      </c>
      <c r="B185" s="30" t="inlineStr">
        <is>
          <t>C</t>
        </is>
      </c>
      <c r="C185" s="31" t="n">
        <v>3629.1</v>
      </c>
      <c r="D185" s="31" t="n">
        <v>8890.4</v>
      </c>
      <c r="E185" s="31" t="n">
        <v>8890.4</v>
      </c>
      <c r="F185" s="31" t="n">
        <v>8905.700000000001</v>
      </c>
      <c r="G185" s="31" t="n">
        <v>8934.799999999999</v>
      </c>
      <c r="H185" s="31" t="n">
        <v>8947.6</v>
      </c>
      <c r="I185" s="31" t="n">
        <v>8972.6</v>
      </c>
      <c r="J185" s="31" t="n">
        <v>9000.799999999999</v>
      </c>
      <c r="K185" s="31" t="n">
        <v>5371.7</v>
      </c>
      <c r="L185" s="31" t="n">
        <v>5261.3</v>
      </c>
      <c r="M185" s="30" t="inlineStr">
        <is>
          <t>AMR3</t>
        </is>
      </c>
      <c r="N185" s="30" t="inlineStr">
        <is>
          <t>AMR3</t>
        </is>
      </c>
      <c r="O185" s="32" t="n">
        <v>0</v>
      </c>
      <c r="P185" s="32" t="n">
        <v>0</v>
      </c>
      <c r="Q185" s="32" t="n">
        <v>13</v>
      </c>
      <c r="R185" s="31" t="n">
        <v>37.1</v>
      </c>
      <c r="S185" s="31" t="n">
        <v>37.1</v>
      </c>
      <c r="T185" s="30" t="inlineStr">
        <is>
          <t>AMR3</t>
        </is>
      </c>
      <c r="U185" s="31" t="n">
        <v>52.9</v>
      </c>
      <c r="V185" s="31" t="n">
        <v>52.9</v>
      </c>
      <c r="W185" s="30" t="inlineStr">
        <is>
          <t>AMR3</t>
        </is>
      </c>
      <c r="X185" s="32" t="n">
        <v>0</v>
      </c>
      <c r="Y185" s="32" t="n">
        <v>0</v>
      </c>
      <c r="Z185" s="31" t="n">
        <v>0</v>
      </c>
      <c r="AA185" s="32" t="n">
        <v>0</v>
      </c>
      <c r="AB185" s="32" t="n">
        <v>1</v>
      </c>
      <c r="AC185" s="32" t="n">
        <v>1</v>
      </c>
      <c r="AD185" s="32" t="n">
        <v>0</v>
      </c>
      <c r="AE185" s="31" t="n">
        <v>0</v>
      </c>
      <c r="AF185" s="32" t="n">
        <v>0</v>
      </c>
      <c r="AG185" s="31" t="n">
        <v>0</v>
      </c>
      <c r="AH185" s="32" t="n">
        <v>41</v>
      </c>
      <c r="AI185" s="31" t="n">
        <v>46.8</v>
      </c>
      <c r="AJ185" s="31" t="n">
        <v>47.8</v>
      </c>
      <c r="AK185" s="31" t="n">
        <v>3</v>
      </c>
      <c r="AL185" s="30" t="inlineStr">
        <is>
          <t>T-0334</t>
        </is>
      </c>
      <c r="AM185" s="30" t="inlineStr">
        <is>
          <t>C-05-03</t>
        </is>
      </c>
      <c r="AN185" s="30" t="inlineStr">
        <is>
          <t>T-0188</t>
        </is>
      </c>
      <c r="AO185" s="30" t="inlineStr">
        <is>
          <t>C-04-01</t>
        </is>
      </c>
    </row>
    <row r="186">
      <c r="A186" s="30" t="inlineStr">
        <is>
          <t>O0185</t>
        </is>
      </c>
      <c r="B186" s="30" t="inlineStr">
        <is>
          <t>G</t>
        </is>
      </c>
      <c r="C186" s="31" t="n">
        <v>3646.2</v>
      </c>
      <c r="D186" s="31" t="n">
        <v>8959.6</v>
      </c>
      <c r="E186" s="31" t="n">
        <v>8959.6</v>
      </c>
      <c r="F186" s="31" t="n">
        <v>8975.299999999999</v>
      </c>
      <c r="G186" s="31" t="n">
        <v>8999.799999999999</v>
      </c>
      <c r="H186" s="31" t="n">
        <v>9016.6</v>
      </c>
      <c r="I186" s="31" t="n">
        <v>9041.4</v>
      </c>
      <c r="J186" s="31" t="n">
        <v>9072.1</v>
      </c>
      <c r="K186" s="31" t="n">
        <v>5425.9</v>
      </c>
      <c r="L186" s="31" t="n">
        <v>5313.4</v>
      </c>
      <c r="M186" s="30" t="inlineStr">
        <is>
          <t>AMR2</t>
        </is>
      </c>
      <c r="N186" s="30" t="inlineStr">
        <is>
          <t>AMR2</t>
        </is>
      </c>
      <c r="O186" s="32" t="n">
        <v>0</v>
      </c>
      <c r="P186" s="32" t="n">
        <v>0</v>
      </c>
      <c r="Q186" s="32" t="n">
        <v>17</v>
      </c>
      <c r="R186" s="31" t="n">
        <v>39.3</v>
      </c>
      <c r="S186" s="31" t="n">
        <v>39.3</v>
      </c>
      <c r="T186" s="30" t="inlineStr">
        <is>
          <t>AMR2</t>
        </is>
      </c>
      <c r="U186" s="31" t="n">
        <v>55.2</v>
      </c>
      <c r="V186" s="31" t="n">
        <v>55.2</v>
      </c>
      <c r="W186" s="30" t="inlineStr">
        <is>
          <t>AMR2</t>
        </is>
      </c>
      <c r="X186" s="32" t="n">
        <v>0</v>
      </c>
      <c r="Y186" s="32" t="n">
        <v>0</v>
      </c>
      <c r="Z186" s="31" t="n">
        <v>0</v>
      </c>
      <c r="AA186" s="32" t="n">
        <v>0</v>
      </c>
      <c r="AB186" s="32" t="n">
        <v>0</v>
      </c>
      <c r="AC186" s="32" t="n">
        <v>0</v>
      </c>
      <c r="AD186" s="32" t="n">
        <v>0</v>
      </c>
      <c r="AE186" s="31" t="n">
        <v>0</v>
      </c>
      <c r="AF186" s="32" t="n">
        <v>0</v>
      </c>
      <c r="AG186" s="31" t="n">
        <v>0</v>
      </c>
      <c r="AH186" s="32" t="n">
        <v>47</v>
      </c>
      <c r="AI186" s="31" t="n">
        <v>51.6</v>
      </c>
      <c r="AJ186" s="31" t="n">
        <v>44.1</v>
      </c>
      <c r="AK186" s="31" t="n">
        <v>0</v>
      </c>
      <c r="AL186" s="30" t="inlineStr">
        <is>
          <t>T-0335</t>
        </is>
      </c>
      <c r="AM186" s="30" t="inlineStr">
        <is>
          <t>G-04-03</t>
        </is>
      </c>
      <c r="AN186" s="30" t="inlineStr">
        <is>
          <t>T-0103</t>
        </is>
      </c>
      <c r="AO186" s="30" t="inlineStr">
        <is>
          <t>G-05-01</t>
        </is>
      </c>
    </row>
    <row r="187">
      <c r="A187" s="30" t="inlineStr">
        <is>
          <t>O0186</t>
        </is>
      </c>
      <c r="B187" s="30" t="inlineStr">
        <is>
          <t>H</t>
        </is>
      </c>
      <c r="C187" s="31" t="n">
        <v>3664.5</v>
      </c>
      <c r="D187" s="31" t="n">
        <v>8998</v>
      </c>
      <c r="E187" s="31" t="n">
        <v>8998</v>
      </c>
      <c r="F187" s="31" t="n">
        <v>9011.1</v>
      </c>
      <c r="G187" s="31" t="n">
        <v>9035.5</v>
      </c>
      <c r="H187" s="31" t="n">
        <v>9050.299999999999</v>
      </c>
      <c r="I187" s="31" t="n">
        <v>9076.5</v>
      </c>
      <c r="J187" s="31" t="n">
        <v>9103.5</v>
      </c>
      <c r="K187" s="31" t="n">
        <v>5439</v>
      </c>
      <c r="L187" s="31" t="n">
        <v>5333.5</v>
      </c>
      <c r="M187" s="30" t="inlineStr">
        <is>
          <t>AMR1</t>
        </is>
      </c>
      <c r="N187" s="30" t="inlineStr">
        <is>
          <t>AMR1</t>
        </is>
      </c>
      <c r="O187" s="32" t="n">
        <v>0</v>
      </c>
      <c r="P187" s="32" t="n">
        <v>0</v>
      </c>
      <c r="Q187" s="32" t="n">
        <v>15</v>
      </c>
      <c r="R187" s="31" t="n">
        <v>36.6</v>
      </c>
      <c r="S187" s="31" t="n">
        <v>36.6</v>
      </c>
      <c r="T187" s="30" t="inlineStr">
        <is>
          <t>AMR1</t>
        </is>
      </c>
      <c r="U187" s="31" t="n">
        <v>52.9</v>
      </c>
      <c r="V187" s="31" t="n">
        <v>52.9</v>
      </c>
      <c r="W187" s="30" t="inlineStr">
        <is>
          <t>AMR1</t>
        </is>
      </c>
      <c r="X187" s="32" t="n">
        <v>0</v>
      </c>
      <c r="Y187" s="32" t="n">
        <v>0</v>
      </c>
      <c r="Z187" s="31" t="n">
        <v>0</v>
      </c>
      <c r="AA187" s="32" t="n">
        <v>0</v>
      </c>
      <c r="AB187" s="32" t="n">
        <v>0</v>
      </c>
      <c r="AC187" s="32" t="n">
        <v>0</v>
      </c>
      <c r="AD187" s="32" t="n">
        <v>0</v>
      </c>
      <c r="AE187" s="31" t="n">
        <v>0</v>
      </c>
      <c r="AF187" s="32" t="n">
        <v>0</v>
      </c>
      <c r="AG187" s="31" t="n">
        <v>0</v>
      </c>
      <c r="AH187" s="32" t="n">
        <v>41</v>
      </c>
      <c r="AI187" s="31" t="n">
        <v>46.5</v>
      </c>
      <c r="AJ187" s="31" t="n">
        <v>44.2</v>
      </c>
      <c r="AK187" s="31" t="n">
        <v>0</v>
      </c>
      <c r="AL187" s="30" t="inlineStr">
        <is>
          <t>T-0336</t>
        </is>
      </c>
      <c r="AM187" s="30" t="inlineStr">
        <is>
          <t>H-04-03</t>
        </is>
      </c>
      <c r="AN187" s="30" t="inlineStr">
        <is>
          <t>T-0165</t>
        </is>
      </c>
      <c r="AO187" s="30" t="inlineStr">
        <is>
          <t>H-04-01</t>
        </is>
      </c>
    </row>
    <row r="188">
      <c r="A188" s="30" t="inlineStr">
        <is>
          <t>O0187</t>
        </is>
      </c>
      <c r="B188" s="30" t="inlineStr">
        <is>
          <t>G</t>
        </is>
      </c>
      <c r="C188" s="31" t="n">
        <v>3680.1</v>
      </c>
      <c r="D188" s="31" t="n">
        <v>9024.5</v>
      </c>
      <c r="E188" s="31" t="n">
        <v>9024.5</v>
      </c>
      <c r="F188" s="31" t="n">
        <v>9040.200000000001</v>
      </c>
      <c r="G188" s="31" t="n">
        <v>9066.799999999999</v>
      </c>
      <c r="H188" s="31" t="n">
        <v>9083.6</v>
      </c>
      <c r="I188" s="31" t="n">
        <v>9112.6</v>
      </c>
      <c r="J188" s="31" t="n">
        <v>9137.200000000001</v>
      </c>
      <c r="K188" s="31" t="n">
        <v>5457.1</v>
      </c>
      <c r="L188" s="31" t="n">
        <v>5344.4</v>
      </c>
      <c r="M188" s="30" t="inlineStr">
        <is>
          <t>AMR3</t>
        </is>
      </c>
      <c r="N188" s="30" t="inlineStr">
        <is>
          <t>AMR3</t>
        </is>
      </c>
      <c r="O188" s="32" t="n">
        <v>0</v>
      </c>
      <c r="P188" s="32" t="n">
        <v>0</v>
      </c>
      <c r="Q188" s="32" t="n">
        <v>17</v>
      </c>
      <c r="R188" s="31" t="n">
        <v>41.4</v>
      </c>
      <c r="S188" s="31" t="n">
        <v>41.4</v>
      </c>
      <c r="T188" s="30" t="inlineStr">
        <is>
          <t>AMR3</t>
        </is>
      </c>
      <c r="U188" s="31" t="n">
        <v>55.3</v>
      </c>
      <c r="V188" s="31" t="n">
        <v>55.3</v>
      </c>
      <c r="W188" s="30" t="inlineStr">
        <is>
          <t>AMR3</t>
        </is>
      </c>
      <c r="X188" s="32" t="n">
        <v>0</v>
      </c>
      <c r="Y188" s="32" t="n">
        <v>0</v>
      </c>
      <c r="Z188" s="31" t="n">
        <v>0</v>
      </c>
      <c r="AA188" s="32" t="n">
        <v>0</v>
      </c>
      <c r="AB188" s="32" t="n">
        <v>0</v>
      </c>
      <c r="AC188" s="32" t="n">
        <v>0</v>
      </c>
      <c r="AD188" s="32" t="n">
        <v>0</v>
      </c>
      <c r="AE188" s="31" t="n">
        <v>0</v>
      </c>
      <c r="AF188" s="32" t="n">
        <v>0</v>
      </c>
      <c r="AG188" s="31" t="n">
        <v>0</v>
      </c>
      <c r="AH188" s="32" t="n">
        <v>45</v>
      </c>
      <c r="AI188" s="31" t="n">
        <v>49.6</v>
      </c>
      <c r="AJ188" s="31" t="n">
        <v>46.3</v>
      </c>
      <c r="AK188" s="31" t="n">
        <v>0</v>
      </c>
      <c r="AL188" s="30" t="inlineStr">
        <is>
          <t>T-0337</t>
        </is>
      </c>
      <c r="AM188" s="30" t="inlineStr">
        <is>
          <t>G-05-03</t>
        </is>
      </c>
      <c r="AN188" s="30" t="inlineStr">
        <is>
          <t>T-0104</t>
        </is>
      </c>
      <c r="AO188" s="30" t="inlineStr">
        <is>
          <t>G-06-01</t>
        </is>
      </c>
    </row>
    <row r="189">
      <c r="A189" s="30" t="inlineStr">
        <is>
          <t>O0188</t>
        </is>
      </c>
      <c r="B189" s="30" t="inlineStr">
        <is>
          <t>J</t>
        </is>
      </c>
      <c r="C189" s="31" t="n">
        <v>3704.2</v>
      </c>
      <c r="D189" s="31" t="n">
        <v>9095.799999999999</v>
      </c>
      <c r="E189" s="31" t="n">
        <v>9095.799999999999</v>
      </c>
      <c r="F189" s="31" t="n">
        <v>9109.6</v>
      </c>
      <c r="G189" s="31" t="n">
        <v>9138.5</v>
      </c>
      <c r="H189" s="31" t="n">
        <v>9158.700000000001</v>
      </c>
      <c r="I189" s="31" t="n">
        <v>9195.700000000001</v>
      </c>
      <c r="J189" s="31" t="n">
        <v>9247.6</v>
      </c>
      <c r="K189" s="31" t="n">
        <v>5543.4</v>
      </c>
      <c r="L189" s="31" t="n">
        <v>5391.6</v>
      </c>
      <c r="M189" s="30" t="inlineStr">
        <is>
          <t>AMR2</t>
        </is>
      </c>
      <c r="N189" s="30" t="inlineStr">
        <is>
          <t>AMR2</t>
        </is>
      </c>
      <c r="O189" s="32" t="n">
        <v>0</v>
      </c>
      <c r="P189" s="32" t="n">
        <v>0</v>
      </c>
      <c r="Q189" s="32" t="n">
        <v>21</v>
      </c>
      <c r="R189" s="31" t="n">
        <v>41.8</v>
      </c>
      <c r="S189" s="31" t="n">
        <v>41.8</v>
      </c>
      <c r="T189" s="30" t="inlineStr">
        <is>
          <t>AMR2</t>
        </is>
      </c>
      <c r="U189" s="31" t="n">
        <v>63.2</v>
      </c>
      <c r="V189" s="31" t="n">
        <v>63.2</v>
      </c>
      <c r="W189" s="30" t="inlineStr">
        <is>
          <t>AMR2</t>
        </is>
      </c>
      <c r="X189" s="32" t="n">
        <v>0</v>
      </c>
      <c r="Y189" s="32" t="n">
        <v>0</v>
      </c>
      <c r="Z189" s="31" t="n">
        <v>0</v>
      </c>
      <c r="AA189" s="32" t="n">
        <v>0</v>
      </c>
      <c r="AB189" s="32" t="n">
        <v>0</v>
      </c>
      <c r="AC189" s="32" t="n">
        <v>1</v>
      </c>
      <c r="AD189" s="32" t="n">
        <v>2</v>
      </c>
      <c r="AE189" s="31" t="n">
        <v>13.1</v>
      </c>
      <c r="AF189" s="32" t="n">
        <v>1</v>
      </c>
      <c r="AG189" s="31" t="n">
        <v>6.9</v>
      </c>
      <c r="AH189" s="32" t="n">
        <v>65</v>
      </c>
      <c r="AI189" s="31" t="n">
        <v>69.90000000000001</v>
      </c>
      <c r="AJ189" s="31" t="n">
        <v>44.4</v>
      </c>
      <c r="AK189" s="31" t="n">
        <v>17.3</v>
      </c>
      <c r="AL189" s="30" t="inlineStr">
        <is>
          <t>T-0338</t>
        </is>
      </c>
      <c r="AM189" s="30" t="inlineStr">
        <is>
          <t>J-01-03</t>
        </is>
      </c>
      <c r="AN189" s="30" t="inlineStr">
        <is>
          <t>T-0149</t>
        </is>
      </c>
      <c r="AO189" s="30" t="inlineStr">
        <is>
          <t>J-06-02</t>
        </is>
      </c>
    </row>
    <row r="190">
      <c r="A190" s="30" t="inlineStr">
        <is>
          <t>O0189</t>
        </is>
      </c>
      <c r="B190" s="30" t="inlineStr">
        <is>
          <t>J</t>
        </is>
      </c>
      <c r="C190" s="31" t="n">
        <v>3719.4</v>
      </c>
      <c r="D190" s="31" t="n">
        <v>9127.200000000001</v>
      </c>
      <c r="E190" s="31" t="n">
        <v>9127.200000000001</v>
      </c>
      <c r="F190" s="31" t="n">
        <v>9138.6</v>
      </c>
      <c r="G190" s="31" t="n">
        <v>9166.9</v>
      </c>
      <c r="H190" s="31" t="n">
        <v>9167.5</v>
      </c>
      <c r="I190" s="31" t="n">
        <v>9196.700000000001</v>
      </c>
      <c r="J190" s="31" t="n">
        <v>9230.200000000001</v>
      </c>
      <c r="K190" s="31" t="n">
        <v>5510.8</v>
      </c>
      <c r="L190" s="31" t="n">
        <v>5407.8</v>
      </c>
      <c r="M190" s="30" t="inlineStr">
        <is>
          <t>AMR1</t>
        </is>
      </c>
      <c r="N190" s="30" t="inlineStr">
        <is>
          <t>AMR3</t>
        </is>
      </c>
      <c r="O190" s="32" t="n">
        <v>0</v>
      </c>
      <c r="P190" s="32" t="n">
        <v>0</v>
      </c>
      <c r="Q190" s="32" t="n">
        <v>21</v>
      </c>
      <c r="R190" s="31" t="n">
        <v>37.2</v>
      </c>
      <c r="S190" s="31" t="n">
        <v>37.2</v>
      </c>
      <c r="T190" s="30" t="inlineStr">
        <is>
          <t>AMR1</t>
        </is>
      </c>
      <c r="U190" s="31" t="n">
        <v>61.6</v>
      </c>
      <c r="V190" s="31" t="n">
        <v>61.6</v>
      </c>
      <c r="W190" s="30" t="inlineStr">
        <is>
          <t>AMR3</t>
        </is>
      </c>
      <c r="X190" s="32" t="n">
        <v>0</v>
      </c>
      <c r="Y190" s="32" t="n">
        <v>0</v>
      </c>
      <c r="Z190" s="31" t="n">
        <v>0</v>
      </c>
      <c r="AA190" s="32" t="n">
        <v>0</v>
      </c>
      <c r="AB190" s="32" t="n">
        <v>0</v>
      </c>
      <c r="AC190" s="32" t="n">
        <v>0</v>
      </c>
      <c r="AD190" s="32" t="n">
        <v>0</v>
      </c>
      <c r="AE190" s="31" t="n">
        <v>0</v>
      </c>
      <c r="AF190" s="32" t="n">
        <v>0</v>
      </c>
      <c r="AG190" s="31" t="n">
        <v>0</v>
      </c>
      <c r="AH190" s="32" t="n">
        <v>61</v>
      </c>
      <c r="AI190" s="31" t="n">
        <v>62.9</v>
      </c>
      <c r="AJ190" s="31" t="n">
        <v>38.2</v>
      </c>
      <c r="AK190" s="31" t="n">
        <v>1.3</v>
      </c>
      <c r="AL190" s="30" t="inlineStr">
        <is>
          <t>T-0339</t>
        </is>
      </c>
      <c r="AM190" s="30" t="inlineStr">
        <is>
          <t>J-04-03</t>
        </is>
      </c>
      <c r="AN190" s="30" t="inlineStr">
        <is>
          <t>T-0150</t>
        </is>
      </c>
      <c r="AO190" s="30" t="inlineStr">
        <is>
          <t>J-01-04</t>
        </is>
      </c>
    </row>
    <row r="191">
      <c r="A191" s="30" t="inlineStr">
        <is>
          <t>O0190</t>
        </is>
      </c>
      <c r="B191" s="30" t="inlineStr">
        <is>
          <t>F</t>
        </is>
      </c>
      <c r="C191" s="31" t="n">
        <v>3739.2</v>
      </c>
      <c r="D191" s="31" t="n">
        <v>9189.1</v>
      </c>
      <c r="E191" s="31" t="n">
        <v>9189.1</v>
      </c>
      <c r="F191" s="31" t="n">
        <v>9203.9</v>
      </c>
      <c r="G191" s="31" t="n">
        <v>9236.299999999999</v>
      </c>
      <c r="H191" s="31" t="n">
        <v>9253.9</v>
      </c>
      <c r="I191" s="31" t="n">
        <v>9283.700000000001</v>
      </c>
      <c r="J191" s="31" t="n">
        <v>9325.4</v>
      </c>
      <c r="K191" s="31" t="n">
        <v>5586.2</v>
      </c>
      <c r="L191" s="31" t="n">
        <v>5449.9</v>
      </c>
      <c r="M191" s="30" t="inlineStr">
        <is>
          <t>AMR1</t>
        </is>
      </c>
      <c r="N191" s="30" t="inlineStr">
        <is>
          <t>AMR3</t>
        </is>
      </c>
      <c r="O191" s="32" t="n">
        <v>0</v>
      </c>
      <c r="P191" s="32" t="n">
        <v>0</v>
      </c>
      <c r="Q191" s="32" t="n">
        <v>23</v>
      </c>
      <c r="R191" s="31" t="n">
        <v>44.7</v>
      </c>
      <c r="S191" s="31" t="n">
        <v>44.7</v>
      </c>
      <c r="T191" s="30" t="inlineStr">
        <is>
          <t>AMR1</t>
        </is>
      </c>
      <c r="U191" s="31" t="n">
        <v>65.8</v>
      </c>
      <c r="V191" s="31" t="n">
        <v>65.8</v>
      </c>
      <c r="W191" s="30" t="inlineStr">
        <is>
          <t>AMR3</t>
        </is>
      </c>
      <c r="X191" s="32" t="n">
        <v>0</v>
      </c>
      <c r="Y191" s="32" t="n">
        <v>0</v>
      </c>
      <c r="Z191" s="31" t="n">
        <v>0</v>
      </c>
      <c r="AA191" s="32" t="n">
        <v>0</v>
      </c>
      <c r="AB191" s="32" t="n">
        <v>0</v>
      </c>
      <c r="AC191" s="32" t="n">
        <v>0</v>
      </c>
      <c r="AD191" s="32" t="n">
        <v>0</v>
      </c>
      <c r="AE191" s="31" t="n">
        <v>0</v>
      </c>
      <c r="AF191" s="32" t="n">
        <v>0</v>
      </c>
      <c r="AG191" s="31" t="n">
        <v>0</v>
      </c>
      <c r="AH191" s="32" t="n">
        <v>69</v>
      </c>
      <c r="AI191" s="31" t="n">
        <v>70.40000000000001</v>
      </c>
      <c r="AJ191" s="31" t="n">
        <v>45.3</v>
      </c>
      <c r="AK191" s="31" t="n">
        <v>3</v>
      </c>
      <c r="AL191" s="30" t="inlineStr">
        <is>
          <t>T-0340</t>
        </is>
      </c>
      <c r="AM191" s="30" t="inlineStr">
        <is>
          <t>F-01-01</t>
        </is>
      </c>
      <c r="AN191" s="30" t="inlineStr">
        <is>
          <t>T-0178</t>
        </is>
      </c>
      <c r="AO191" s="30" t="inlineStr">
        <is>
          <t>F-05-01</t>
        </is>
      </c>
    </row>
    <row r="192">
      <c r="A192" s="30" t="inlineStr">
        <is>
          <t>O0191</t>
        </is>
      </c>
      <c r="B192" s="30" t="inlineStr">
        <is>
          <t>G</t>
        </is>
      </c>
      <c r="C192" s="31" t="n">
        <v>3761.7</v>
      </c>
      <c r="D192" s="31" t="n">
        <v>9261.6</v>
      </c>
      <c r="E192" s="31" t="n">
        <v>9261.6</v>
      </c>
      <c r="F192" s="31" t="n">
        <v>9272.700000000001</v>
      </c>
      <c r="G192" s="31" t="n">
        <v>9299.700000000001</v>
      </c>
      <c r="H192" s="31" t="n">
        <v>9316.5</v>
      </c>
      <c r="I192" s="31" t="n">
        <v>9344.9</v>
      </c>
      <c r="J192" s="31" t="n">
        <v>9373.4</v>
      </c>
      <c r="K192" s="31" t="n">
        <v>5611.7</v>
      </c>
      <c r="L192" s="31" t="n">
        <v>5499.9</v>
      </c>
      <c r="M192" s="30" t="inlineStr">
        <is>
          <t>AMR1</t>
        </is>
      </c>
      <c r="N192" s="30" t="inlineStr">
        <is>
          <t>AMR1</t>
        </is>
      </c>
      <c r="O192" s="32" t="n">
        <v>0</v>
      </c>
      <c r="P192" s="32" t="n">
        <v>0</v>
      </c>
      <c r="Q192" s="32" t="n">
        <v>17</v>
      </c>
      <c r="R192" s="31" t="n">
        <v>37.2</v>
      </c>
      <c r="S192" s="31" t="n">
        <v>37.2</v>
      </c>
      <c r="T192" s="30" t="inlineStr">
        <is>
          <t>AMR1</t>
        </is>
      </c>
      <c r="U192" s="31" t="n">
        <v>53.6</v>
      </c>
      <c r="V192" s="31" t="n">
        <v>53.6</v>
      </c>
      <c r="W192" s="30" t="inlineStr">
        <is>
          <t>AMR1</t>
        </is>
      </c>
      <c r="X192" s="32" t="n">
        <v>0</v>
      </c>
      <c r="Y192" s="32" t="n">
        <v>0</v>
      </c>
      <c r="Z192" s="31" t="n">
        <v>0</v>
      </c>
      <c r="AA192" s="32" t="n">
        <v>0</v>
      </c>
      <c r="AB192" s="32" t="n">
        <v>0</v>
      </c>
      <c r="AC192" s="32" t="n">
        <v>0</v>
      </c>
      <c r="AD192" s="32" t="n">
        <v>0</v>
      </c>
      <c r="AE192" s="31" t="n">
        <v>0</v>
      </c>
      <c r="AF192" s="32" t="n">
        <v>0</v>
      </c>
      <c r="AG192" s="31" t="n">
        <v>0</v>
      </c>
      <c r="AH192" s="32" t="n">
        <v>51</v>
      </c>
      <c r="AI192" s="31" t="n">
        <v>54.6</v>
      </c>
      <c r="AJ192" s="31" t="n">
        <v>40.4</v>
      </c>
      <c r="AK192" s="31" t="n">
        <v>0</v>
      </c>
      <c r="AL192" s="30" t="inlineStr">
        <is>
          <t>T-0341</t>
        </is>
      </c>
      <c r="AM192" s="30" t="inlineStr">
        <is>
          <t>G-05-01</t>
        </is>
      </c>
      <c r="AN192" s="30" t="inlineStr">
        <is>
          <t>T-0105</t>
        </is>
      </c>
      <c r="AO192" s="30" t="inlineStr">
        <is>
          <t>G-01-01</t>
        </is>
      </c>
    </row>
    <row r="193">
      <c r="A193" s="30" t="inlineStr">
        <is>
          <t>O0192</t>
        </is>
      </c>
      <c r="B193" s="30" t="inlineStr">
        <is>
          <t>I</t>
        </is>
      </c>
      <c r="C193" s="31" t="n">
        <v>3784.2</v>
      </c>
      <c r="D193" s="31" t="n">
        <v>9272.700000000001</v>
      </c>
      <c r="E193" s="31" t="n">
        <v>9272.700000000001</v>
      </c>
      <c r="F193" s="31" t="n">
        <v>9285.799999999999</v>
      </c>
      <c r="G193" s="31" t="n">
        <v>9313.4</v>
      </c>
      <c r="H193" s="31" t="n">
        <v>9330.200000000001</v>
      </c>
      <c r="I193" s="31" t="n">
        <v>9360.4</v>
      </c>
      <c r="J193" s="31" t="n">
        <v>9387.200000000001</v>
      </c>
      <c r="K193" s="31" t="n">
        <v>5603</v>
      </c>
      <c r="L193" s="31" t="n">
        <v>5488.5</v>
      </c>
      <c r="M193" s="30" t="inlineStr">
        <is>
          <t>AMR2</t>
        </is>
      </c>
      <c r="N193" s="30" t="inlineStr">
        <is>
          <t>AMR2</t>
        </is>
      </c>
      <c r="O193" s="32" t="n">
        <v>0</v>
      </c>
      <c r="P193" s="32" t="n">
        <v>0</v>
      </c>
      <c r="Q193" s="32" t="n">
        <v>15</v>
      </c>
      <c r="R193" s="31" t="n">
        <v>38.2</v>
      </c>
      <c r="S193" s="31" t="n">
        <v>38.2</v>
      </c>
      <c r="T193" s="30" t="inlineStr">
        <is>
          <t>AMR2</t>
        </is>
      </c>
      <c r="U193" s="31" t="n">
        <v>50.2</v>
      </c>
      <c r="V193" s="31" t="n">
        <v>50.2</v>
      </c>
      <c r="W193" s="30" t="inlineStr">
        <is>
          <t>AMR2</t>
        </is>
      </c>
      <c r="X193" s="32" t="n">
        <v>0</v>
      </c>
      <c r="Y193" s="32" t="n">
        <v>0</v>
      </c>
      <c r="Z193" s="31" t="n">
        <v>0</v>
      </c>
      <c r="AA193" s="32" t="n">
        <v>0</v>
      </c>
      <c r="AB193" s="32" t="n">
        <v>0</v>
      </c>
      <c r="AC193" s="32" t="n">
        <v>1</v>
      </c>
      <c r="AD193" s="32" t="n">
        <v>2</v>
      </c>
      <c r="AE193" s="31" t="n">
        <v>7</v>
      </c>
      <c r="AF193" s="32" t="n">
        <v>1</v>
      </c>
      <c r="AG193" s="31" t="n">
        <v>0.6</v>
      </c>
      <c r="AH193" s="32" t="n">
        <v>43</v>
      </c>
      <c r="AI193" s="31" t="n">
        <v>48.1</v>
      </c>
      <c r="AJ193" s="31" t="n">
        <v>42.6</v>
      </c>
      <c r="AK193" s="31" t="n">
        <v>7</v>
      </c>
      <c r="AL193" s="30" t="inlineStr">
        <is>
          <t>T-0342</t>
        </is>
      </c>
      <c r="AM193" s="30" t="inlineStr">
        <is>
          <t>I-04-03</t>
        </is>
      </c>
      <c r="AN193" s="30" t="inlineStr">
        <is>
          <t>T-0258</t>
        </is>
      </c>
      <c r="AO193" s="30" t="inlineStr">
        <is>
          <t>I-02-01</t>
        </is>
      </c>
    </row>
    <row r="194">
      <c r="A194" s="30" t="inlineStr">
        <is>
          <t>O0193</t>
        </is>
      </c>
      <c r="B194" s="30" t="inlineStr">
        <is>
          <t>H</t>
        </is>
      </c>
      <c r="C194" s="31" t="n">
        <v>3808.2</v>
      </c>
      <c r="D194" s="31" t="n">
        <v>9354.1</v>
      </c>
      <c r="E194" s="31" t="n">
        <v>9354.1</v>
      </c>
      <c r="F194" s="31" t="n">
        <v>9367</v>
      </c>
      <c r="G194" s="31" t="n">
        <v>9390.4</v>
      </c>
      <c r="H194" s="31" t="n">
        <v>9397.1</v>
      </c>
      <c r="I194" s="31" t="n">
        <v>9435.700000000001</v>
      </c>
      <c r="J194" s="31" t="n">
        <v>9463.5</v>
      </c>
      <c r="K194" s="31" t="n">
        <v>5655.3</v>
      </c>
      <c r="L194" s="31" t="n">
        <v>5545.9</v>
      </c>
      <c r="M194" s="30" t="inlineStr">
        <is>
          <t>AMR3</t>
        </is>
      </c>
      <c r="N194" s="30" t="inlineStr">
        <is>
          <t>AMR1</t>
        </is>
      </c>
      <c r="O194" s="32" t="n">
        <v>0</v>
      </c>
      <c r="P194" s="32" t="n">
        <v>0</v>
      </c>
      <c r="Q194" s="32" t="n">
        <v>15</v>
      </c>
      <c r="R194" s="31" t="n">
        <v>35.4</v>
      </c>
      <c r="S194" s="31" t="n">
        <v>35.4</v>
      </c>
      <c r="T194" s="30" t="inlineStr">
        <is>
          <t>AMR3</t>
        </is>
      </c>
      <c r="U194" s="31" t="n">
        <v>48.5</v>
      </c>
      <c r="V194" s="31" t="n">
        <v>48.5</v>
      </c>
      <c r="W194" s="30" t="inlineStr">
        <is>
          <t>AMR1</t>
        </is>
      </c>
      <c r="X194" s="32" t="n">
        <v>0</v>
      </c>
      <c r="Y194" s="32" t="n">
        <v>0</v>
      </c>
      <c r="Z194" s="31" t="n">
        <v>0</v>
      </c>
      <c r="AA194" s="32" t="n">
        <v>0</v>
      </c>
      <c r="AB194" s="32" t="n">
        <v>2</v>
      </c>
      <c r="AC194" s="32" t="n">
        <v>3</v>
      </c>
      <c r="AD194" s="32" t="n">
        <v>0</v>
      </c>
      <c r="AE194" s="31" t="n">
        <v>0</v>
      </c>
      <c r="AF194" s="32" t="n">
        <v>0</v>
      </c>
      <c r="AG194" s="31" t="n">
        <v>0</v>
      </c>
      <c r="AH194" s="32" t="n">
        <v>45</v>
      </c>
      <c r="AI194" s="31" t="n">
        <v>53.3</v>
      </c>
      <c r="AJ194" s="31" t="n">
        <v>38.6</v>
      </c>
      <c r="AK194" s="31" t="n">
        <v>10.8</v>
      </c>
      <c r="AL194" s="30" t="inlineStr">
        <is>
          <t>T-0343</t>
        </is>
      </c>
      <c r="AM194" s="30" t="inlineStr">
        <is>
          <t>H-04-01</t>
        </is>
      </c>
      <c r="AN194" s="30" t="inlineStr">
        <is>
          <t>T-0175</t>
        </is>
      </c>
      <c r="AO194" s="30" t="inlineStr">
        <is>
          <t>H-05-01</t>
        </is>
      </c>
    </row>
    <row r="195">
      <c r="A195" s="30" t="inlineStr">
        <is>
          <t>O0194</t>
        </is>
      </c>
      <c r="B195" s="30" t="inlineStr">
        <is>
          <t>H</t>
        </is>
      </c>
      <c r="C195" s="31" t="n">
        <v>3825.9</v>
      </c>
      <c r="D195" s="31" t="n">
        <v>9410.700000000001</v>
      </c>
      <c r="E195" s="31" t="n">
        <v>9410.700000000001</v>
      </c>
      <c r="F195" s="31" t="n">
        <v>9425.200000000001</v>
      </c>
      <c r="G195" s="31" t="n">
        <v>9457</v>
      </c>
      <c r="H195" s="31" t="n">
        <v>9471.799999999999</v>
      </c>
      <c r="I195" s="31" t="n">
        <v>9504.299999999999</v>
      </c>
      <c r="J195" s="31" t="n">
        <v>9532.200000000001</v>
      </c>
      <c r="K195" s="31" t="n">
        <v>5706.3</v>
      </c>
      <c r="L195" s="31" t="n">
        <v>5584.8</v>
      </c>
      <c r="M195" s="30" t="inlineStr">
        <is>
          <t>AMR3</t>
        </is>
      </c>
      <c r="N195" s="30" t="inlineStr">
        <is>
          <t>AMR3</t>
        </is>
      </c>
      <c r="O195" s="32" t="n">
        <v>0</v>
      </c>
      <c r="P195" s="32" t="n">
        <v>0</v>
      </c>
      <c r="Q195" s="32" t="n">
        <v>15</v>
      </c>
      <c r="R195" s="31" t="n">
        <v>39</v>
      </c>
      <c r="S195" s="31" t="n">
        <v>39</v>
      </c>
      <c r="T195" s="30" t="inlineStr">
        <is>
          <t>AMR3</t>
        </is>
      </c>
      <c r="U195" s="31" t="n">
        <v>55.2</v>
      </c>
      <c r="V195" s="31" t="n">
        <v>55.2</v>
      </c>
      <c r="W195" s="30" t="inlineStr">
        <is>
          <t>AMR3</t>
        </is>
      </c>
      <c r="X195" s="32" t="n">
        <v>0</v>
      </c>
      <c r="Y195" s="32" t="n">
        <v>0</v>
      </c>
      <c r="Z195" s="31" t="n">
        <v>0</v>
      </c>
      <c r="AA195" s="32" t="n">
        <v>0</v>
      </c>
      <c r="AB195" s="32" t="n">
        <v>2</v>
      </c>
      <c r="AC195" s="32" t="n">
        <v>2</v>
      </c>
      <c r="AD195" s="32" t="n">
        <v>0</v>
      </c>
      <c r="AE195" s="31" t="n">
        <v>0</v>
      </c>
      <c r="AF195" s="32" t="n">
        <v>0</v>
      </c>
      <c r="AG195" s="31" t="n">
        <v>0</v>
      </c>
      <c r="AH195" s="32" t="n">
        <v>45</v>
      </c>
      <c r="AI195" s="31" t="n">
        <v>51.8</v>
      </c>
      <c r="AJ195" s="31" t="n">
        <v>48.9</v>
      </c>
      <c r="AK195" s="31" t="n">
        <v>6</v>
      </c>
      <c r="AL195" s="30" t="inlineStr">
        <is>
          <t>T-0344</t>
        </is>
      </c>
      <c r="AM195" s="30" t="inlineStr">
        <is>
          <t>H-05-03</t>
        </is>
      </c>
      <c r="AN195" s="30" t="inlineStr">
        <is>
          <t>T-0190</t>
        </is>
      </c>
      <c r="AO195" s="30" t="inlineStr">
        <is>
          <t>H-02-02</t>
        </is>
      </c>
    </row>
    <row r="196">
      <c r="A196" s="30" t="inlineStr">
        <is>
          <t>O0195</t>
        </is>
      </c>
      <c r="B196" s="30" t="inlineStr">
        <is>
          <t>G</t>
        </is>
      </c>
      <c r="C196" s="31" t="n">
        <v>3844.8</v>
      </c>
      <c r="D196" s="31" t="n">
        <v>9425.299999999999</v>
      </c>
      <c r="E196" s="31" t="n">
        <v>9425.299999999999</v>
      </c>
      <c r="F196" s="31" t="n">
        <v>9439.799999999999</v>
      </c>
      <c r="G196" s="31" t="n">
        <v>9466.200000000001</v>
      </c>
      <c r="H196" s="31" t="n">
        <v>9487.200000000001</v>
      </c>
      <c r="I196" s="31" t="n">
        <v>9520.9</v>
      </c>
      <c r="J196" s="31" t="n">
        <v>9551.299999999999</v>
      </c>
      <c r="K196" s="31" t="n">
        <v>5706.5</v>
      </c>
      <c r="L196" s="31" t="n">
        <v>5580.5</v>
      </c>
      <c r="M196" s="30" t="inlineStr">
        <is>
          <t>AMR2</t>
        </is>
      </c>
      <c r="N196" s="30" t="inlineStr">
        <is>
          <t>AMR1</t>
        </is>
      </c>
      <c r="O196" s="32" t="n">
        <v>0</v>
      </c>
      <c r="P196" s="32" t="n">
        <v>0</v>
      </c>
      <c r="Q196" s="32" t="n">
        <v>17</v>
      </c>
      <c r="R196" s="31" t="n">
        <v>38.4</v>
      </c>
      <c r="S196" s="31" t="n">
        <v>38.4</v>
      </c>
      <c r="T196" s="30" t="inlineStr">
        <is>
          <t>AMR2</t>
        </is>
      </c>
      <c r="U196" s="31" t="n">
        <v>57.9</v>
      </c>
      <c r="V196" s="31" t="n">
        <v>57.9</v>
      </c>
      <c r="W196" s="30" t="inlineStr">
        <is>
          <t>AMR1</t>
        </is>
      </c>
      <c r="X196" s="32" t="n">
        <v>0</v>
      </c>
      <c r="Y196" s="32" t="n">
        <v>0</v>
      </c>
      <c r="Z196" s="31" t="n">
        <v>0</v>
      </c>
      <c r="AA196" s="32" t="n">
        <v>0</v>
      </c>
      <c r="AB196" s="32" t="n">
        <v>1</v>
      </c>
      <c r="AC196" s="32" t="n">
        <v>1</v>
      </c>
      <c r="AD196" s="32" t="n">
        <v>0</v>
      </c>
      <c r="AE196" s="31" t="n">
        <v>0</v>
      </c>
      <c r="AF196" s="32" t="n">
        <v>0</v>
      </c>
      <c r="AG196" s="31" t="n">
        <v>0</v>
      </c>
      <c r="AH196" s="32" t="n">
        <v>51</v>
      </c>
      <c r="AI196" s="31" t="n">
        <v>56.1</v>
      </c>
      <c r="AJ196" s="31" t="n">
        <v>45.9</v>
      </c>
      <c r="AK196" s="31" t="n">
        <v>3</v>
      </c>
      <c r="AL196" s="30" t="inlineStr">
        <is>
          <t>T-0345</t>
        </is>
      </c>
      <c r="AM196" s="30" t="inlineStr">
        <is>
          <t>G-01-01</t>
        </is>
      </c>
      <c r="AN196" s="30" t="inlineStr">
        <is>
          <t>T-0166</t>
        </is>
      </c>
      <c r="AO196" s="30" t="inlineStr">
        <is>
          <t>G-03-01</t>
        </is>
      </c>
    </row>
    <row r="197">
      <c r="A197" s="30" t="inlineStr">
        <is>
          <t>O0196</t>
        </is>
      </c>
      <c r="B197" s="30" t="inlineStr">
        <is>
          <t>H</t>
        </is>
      </c>
      <c r="C197" s="31" t="n">
        <v>3861.4</v>
      </c>
      <c r="D197" s="31" t="n">
        <v>9495</v>
      </c>
      <c r="E197" s="31" t="n">
        <v>9495</v>
      </c>
      <c r="F197" s="31" t="n">
        <v>9509.6</v>
      </c>
      <c r="G197" s="31" t="n">
        <v>9536</v>
      </c>
      <c r="H197" s="31" t="n">
        <v>9550.799999999999</v>
      </c>
      <c r="I197" s="31" t="n">
        <v>9579.700000000001</v>
      </c>
      <c r="J197" s="31" t="n">
        <v>9605.5</v>
      </c>
      <c r="K197" s="31" t="n">
        <v>5744.1</v>
      </c>
      <c r="L197" s="31" t="n">
        <v>5633.6</v>
      </c>
      <c r="M197" s="30" t="inlineStr">
        <is>
          <t>AMR2</t>
        </is>
      </c>
      <c r="N197" s="30" t="inlineStr">
        <is>
          <t>AMR2</t>
        </is>
      </c>
      <c r="O197" s="32" t="n">
        <v>0</v>
      </c>
      <c r="P197" s="32" t="n">
        <v>0</v>
      </c>
      <c r="Q197" s="32" t="n">
        <v>15</v>
      </c>
      <c r="R197" s="31" t="n">
        <v>40.1</v>
      </c>
      <c r="S197" s="31" t="n">
        <v>40.1</v>
      </c>
      <c r="T197" s="30" t="inlineStr">
        <is>
          <t>AMR2</t>
        </is>
      </c>
      <c r="U197" s="31" t="n">
        <v>54.4</v>
      </c>
      <c r="V197" s="31" t="n">
        <v>54.4</v>
      </c>
      <c r="W197" s="30" t="inlineStr">
        <is>
          <t>AMR2</t>
        </is>
      </c>
      <c r="X197" s="32" t="n">
        <v>0</v>
      </c>
      <c r="Y197" s="32" t="n">
        <v>0</v>
      </c>
      <c r="Z197" s="31" t="n">
        <v>0</v>
      </c>
      <c r="AA197" s="32" t="n">
        <v>0</v>
      </c>
      <c r="AB197" s="32" t="n">
        <v>1</v>
      </c>
      <c r="AC197" s="32" t="n">
        <v>0</v>
      </c>
      <c r="AD197" s="32" t="n">
        <v>0</v>
      </c>
      <c r="AE197" s="31" t="n">
        <v>0</v>
      </c>
      <c r="AF197" s="32" t="n">
        <v>0</v>
      </c>
      <c r="AG197" s="31" t="n">
        <v>0</v>
      </c>
      <c r="AH197" s="32" t="n">
        <v>41</v>
      </c>
      <c r="AI197" s="31" t="n">
        <v>46.5</v>
      </c>
      <c r="AJ197" s="31" t="n">
        <v>49.2</v>
      </c>
      <c r="AK197" s="31" t="n">
        <v>0</v>
      </c>
      <c r="AL197" s="30" t="inlineStr">
        <is>
          <t>T-0346</t>
        </is>
      </c>
      <c r="AM197" s="30" t="inlineStr">
        <is>
          <t>H-05-01</t>
        </is>
      </c>
      <c r="AN197" s="30" t="inlineStr">
        <is>
          <t>T-0201</t>
        </is>
      </c>
      <c r="AO197" s="30" t="inlineStr">
        <is>
          <t>H-04-02</t>
        </is>
      </c>
    </row>
    <row r="198">
      <c r="A198" s="30" t="inlineStr">
        <is>
          <t>O0197</t>
        </is>
      </c>
      <c r="B198" s="30" t="inlineStr">
        <is>
          <t>I</t>
        </is>
      </c>
      <c r="C198" s="31" t="n">
        <v>3886.2</v>
      </c>
      <c r="D198" s="31" t="n">
        <v>9559</v>
      </c>
      <c r="E198" s="31" t="n">
        <v>9559</v>
      </c>
      <c r="F198" s="31" t="n">
        <v>9572.200000000001</v>
      </c>
      <c r="G198" s="31" t="n">
        <v>9598.9</v>
      </c>
      <c r="H198" s="31" t="n">
        <v>9613.700000000001</v>
      </c>
      <c r="I198" s="31" t="n">
        <v>9647.9</v>
      </c>
      <c r="J198" s="31" t="n">
        <v>9673.9</v>
      </c>
      <c r="K198" s="31" t="n">
        <v>5787.7</v>
      </c>
      <c r="L198" s="31" t="n">
        <v>5672.8</v>
      </c>
      <c r="M198" s="30" t="inlineStr">
        <is>
          <t>AMR3</t>
        </is>
      </c>
      <c r="N198" s="30" t="inlineStr">
        <is>
          <t>AMR3</t>
        </is>
      </c>
      <c r="O198" s="32" t="n">
        <v>0</v>
      </c>
      <c r="P198" s="32" t="n">
        <v>0</v>
      </c>
      <c r="Q198" s="32" t="n">
        <v>15</v>
      </c>
      <c r="R198" s="31" t="n">
        <v>39</v>
      </c>
      <c r="S198" s="31" t="n">
        <v>39</v>
      </c>
      <c r="T198" s="30" t="inlineStr">
        <is>
          <t>AMR3</t>
        </is>
      </c>
      <c r="U198" s="31" t="n">
        <v>48.6</v>
      </c>
      <c r="V198" s="31" t="n">
        <v>48.6</v>
      </c>
      <c r="W198" s="30" t="inlineStr">
        <is>
          <t>AMR3</t>
        </is>
      </c>
      <c r="X198" s="32" t="n">
        <v>0</v>
      </c>
      <c r="Y198" s="32" t="n">
        <v>0</v>
      </c>
      <c r="Z198" s="31" t="n">
        <v>0</v>
      </c>
      <c r="AA198" s="32" t="n">
        <v>0</v>
      </c>
      <c r="AB198" s="32" t="n">
        <v>2</v>
      </c>
      <c r="AC198" s="32" t="n">
        <v>2</v>
      </c>
      <c r="AD198" s="32" t="n">
        <v>0</v>
      </c>
      <c r="AE198" s="31" t="n">
        <v>0</v>
      </c>
      <c r="AF198" s="32" t="n">
        <v>0</v>
      </c>
      <c r="AG198" s="31" t="n">
        <v>0</v>
      </c>
      <c r="AH198" s="32" t="n">
        <v>45</v>
      </c>
      <c r="AI198" s="31" t="n">
        <v>52.3</v>
      </c>
      <c r="AJ198" s="31" t="n">
        <v>41.8</v>
      </c>
      <c r="AK198" s="31" t="n">
        <v>6</v>
      </c>
      <c r="AL198" s="30" t="inlineStr">
        <is>
          <t>T-0347</t>
        </is>
      </c>
      <c r="AM198" s="30" t="inlineStr">
        <is>
          <t>I-02-01</t>
        </is>
      </c>
      <c r="AN198" s="30" t="inlineStr">
        <is>
          <t>T-0270</t>
        </is>
      </c>
      <c r="AO198" s="30" t="inlineStr">
        <is>
          <t>I-03-01</t>
        </is>
      </c>
    </row>
    <row r="199">
      <c r="A199" s="30" t="inlineStr">
        <is>
          <t>O0198</t>
        </is>
      </c>
      <c r="B199" s="30" t="inlineStr">
        <is>
          <t>J</t>
        </is>
      </c>
      <c r="C199" s="31" t="n">
        <v>3910.3</v>
      </c>
      <c r="D199" s="31" t="n">
        <v>9575</v>
      </c>
      <c r="E199" s="31" t="n">
        <v>9575</v>
      </c>
      <c r="F199" s="31" t="n">
        <v>9589</v>
      </c>
      <c r="G199" s="31" t="n">
        <v>9621.299999999999</v>
      </c>
      <c r="H199" s="31" t="n">
        <v>9634.200000000001</v>
      </c>
      <c r="I199" s="31" t="n">
        <v>9664.799999999999</v>
      </c>
      <c r="J199" s="31" t="n">
        <v>9696.4</v>
      </c>
      <c r="K199" s="31" t="n">
        <v>5786.1</v>
      </c>
      <c r="L199" s="31" t="n">
        <v>5664.7</v>
      </c>
      <c r="M199" s="30" t="inlineStr">
        <is>
          <t>AMR1</t>
        </is>
      </c>
      <c r="N199" s="30" t="inlineStr">
        <is>
          <t>AMR2</t>
        </is>
      </c>
      <c r="O199" s="32" t="n">
        <v>0</v>
      </c>
      <c r="P199" s="32" t="n">
        <v>0</v>
      </c>
      <c r="Q199" s="32" t="n">
        <v>21</v>
      </c>
      <c r="R199" s="31" t="n">
        <v>43</v>
      </c>
      <c r="S199" s="31" t="n">
        <v>43</v>
      </c>
      <c r="T199" s="30" t="inlineStr">
        <is>
          <t>AMR1</t>
        </is>
      </c>
      <c r="U199" s="31" t="n">
        <v>62.4</v>
      </c>
      <c r="V199" s="31" t="n">
        <v>62.4</v>
      </c>
      <c r="W199" s="30" t="inlineStr">
        <is>
          <t>AMR2</t>
        </is>
      </c>
      <c r="X199" s="32" t="n">
        <v>0</v>
      </c>
      <c r="Y199" s="32" t="n">
        <v>0</v>
      </c>
      <c r="Z199" s="31" t="n">
        <v>0</v>
      </c>
      <c r="AA199" s="32" t="n">
        <v>0</v>
      </c>
      <c r="AB199" s="32" t="n">
        <v>0</v>
      </c>
      <c r="AC199" s="32" t="n">
        <v>0</v>
      </c>
      <c r="AD199" s="32" t="n">
        <v>0</v>
      </c>
      <c r="AE199" s="31" t="n">
        <v>0</v>
      </c>
      <c r="AF199" s="32" t="n">
        <v>0</v>
      </c>
      <c r="AG199" s="31" t="n">
        <v>0</v>
      </c>
      <c r="AH199" s="32" t="n">
        <v>62</v>
      </c>
      <c r="AI199" s="31" t="n">
        <v>63.7</v>
      </c>
      <c r="AJ199" s="31" t="n">
        <v>44.8</v>
      </c>
      <c r="AK199" s="31" t="n">
        <v>0</v>
      </c>
      <c r="AL199" s="30" t="inlineStr">
        <is>
          <t>T-0348</t>
        </is>
      </c>
      <c r="AM199" s="30" t="inlineStr">
        <is>
          <t>J-06-02</t>
        </is>
      </c>
      <c r="AN199" s="30" t="inlineStr">
        <is>
          <t>T-0159</t>
        </is>
      </c>
      <c r="AO199" s="30" t="inlineStr">
        <is>
          <t>J-01-01</t>
        </is>
      </c>
    </row>
    <row r="200">
      <c r="A200" s="30" t="inlineStr">
        <is>
          <t>O0199</t>
        </is>
      </c>
      <c r="B200" s="30" t="inlineStr">
        <is>
          <t>B</t>
        </is>
      </c>
      <c r="C200" s="31" t="n">
        <v>3931.9</v>
      </c>
      <c r="D200" s="31" t="n">
        <v>9649</v>
      </c>
      <c r="E200" s="31" t="n">
        <v>9649</v>
      </c>
      <c r="F200" s="31" t="n">
        <v>9662.200000000001</v>
      </c>
      <c r="G200" s="31" t="n">
        <v>9685.6</v>
      </c>
      <c r="H200" s="31" t="n">
        <v>9697.6</v>
      </c>
      <c r="I200" s="31" t="n">
        <v>9731.200000000001</v>
      </c>
      <c r="J200" s="31" t="n">
        <v>9762.4</v>
      </c>
      <c r="K200" s="31" t="n">
        <v>5830.5</v>
      </c>
      <c r="L200" s="31" t="n">
        <v>5717.1</v>
      </c>
      <c r="M200" s="30" t="inlineStr">
        <is>
          <t>AMR1</t>
        </is>
      </c>
      <c r="N200" s="30" t="inlineStr">
        <is>
          <t>AMR3</t>
        </is>
      </c>
      <c r="O200" s="32" t="n">
        <v>0</v>
      </c>
      <c r="P200" s="32" t="n">
        <v>0</v>
      </c>
      <c r="Q200" s="32" t="n">
        <v>15</v>
      </c>
      <c r="R200" s="31" t="n">
        <v>34.9</v>
      </c>
      <c r="S200" s="31" t="n">
        <v>34.9</v>
      </c>
      <c r="T200" s="30" t="inlineStr">
        <is>
          <t>AMR1</t>
        </is>
      </c>
      <c r="U200" s="31" t="n">
        <v>56.9</v>
      </c>
      <c r="V200" s="31" t="n">
        <v>56.9</v>
      </c>
      <c r="W200" s="30" t="inlineStr">
        <is>
          <t>AMR3</t>
        </is>
      </c>
      <c r="X200" s="32" t="n">
        <v>0</v>
      </c>
      <c r="Y200" s="32" t="n">
        <v>0</v>
      </c>
      <c r="Z200" s="31" t="n">
        <v>0</v>
      </c>
      <c r="AA200" s="32" t="n">
        <v>0</v>
      </c>
      <c r="AB200" s="32" t="n">
        <v>1</v>
      </c>
      <c r="AC200" s="32" t="n">
        <v>1</v>
      </c>
      <c r="AD200" s="32" t="n">
        <v>0</v>
      </c>
      <c r="AE200" s="31" t="n">
        <v>0</v>
      </c>
      <c r="AF200" s="32" t="n">
        <v>0</v>
      </c>
      <c r="AG200" s="31" t="n">
        <v>0</v>
      </c>
      <c r="AH200" s="32" t="n">
        <v>50</v>
      </c>
      <c r="AI200" s="31" t="n">
        <v>53.9</v>
      </c>
      <c r="AJ200" s="31" t="n">
        <v>44.5</v>
      </c>
      <c r="AK200" s="31" t="n">
        <v>3</v>
      </c>
      <c r="AL200" s="30" t="inlineStr">
        <is>
          <t>T-0349</t>
        </is>
      </c>
      <c r="AM200" s="30" t="inlineStr">
        <is>
          <t>B-03-02</t>
        </is>
      </c>
      <c r="AN200" s="30" t="inlineStr">
        <is>
          <t>T-0204</t>
        </is>
      </c>
      <c r="AO200" s="30" t="inlineStr">
        <is>
          <t>B-01-03</t>
        </is>
      </c>
    </row>
    <row r="201">
      <c r="A201" s="30" t="inlineStr">
        <is>
          <t>O0200</t>
        </is>
      </c>
      <c r="B201" s="30" t="inlineStr">
        <is>
          <t>H</t>
        </is>
      </c>
      <c r="C201" s="31" t="n">
        <v>3951.2</v>
      </c>
      <c r="D201" s="31" t="n">
        <v>9705.5</v>
      </c>
      <c r="E201" s="31" t="n">
        <v>9705.5</v>
      </c>
      <c r="F201" s="31" t="n">
        <v>9717.1</v>
      </c>
      <c r="G201" s="31" t="n">
        <v>9740.700000000001</v>
      </c>
      <c r="H201" s="31" t="n">
        <v>9756.1</v>
      </c>
      <c r="I201" s="31" t="n">
        <v>9788.200000000001</v>
      </c>
      <c r="J201" s="31" t="n">
        <v>9816.200000000001</v>
      </c>
      <c r="K201" s="31" t="n">
        <v>5865</v>
      </c>
      <c r="L201" s="31" t="n">
        <v>5754.3</v>
      </c>
      <c r="M201" s="30" t="inlineStr">
        <is>
          <t>AMR1</t>
        </is>
      </c>
      <c r="N201" s="30" t="inlineStr">
        <is>
          <t>AMR1</t>
        </is>
      </c>
      <c r="O201" s="32" t="n">
        <v>0</v>
      </c>
      <c r="P201" s="32" t="n">
        <v>0</v>
      </c>
      <c r="Q201" s="32" t="n">
        <v>15</v>
      </c>
      <c r="R201" s="31" t="n">
        <v>34.3</v>
      </c>
      <c r="S201" s="31" t="n">
        <v>34.3</v>
      </c>
      <c r="T201" s="30" t="inlineStr">
        <is>
          <t>AMR1</t>
        </is>
      </c>
      <c r="U201" s="31" t="n">
        <v>54.4</v>
      </c>
      <c r="V201" s="31" t="n">
        <v>54.4</v>
      </c>
      <c r="W201" s="30" t="inlineStr">
        <is>
          <t>AMR1</t>
        </is>
      </c>
      <c r="X201" s="32" t="n">
        <v>0</v>
      </c>
      <c r="Y201" s="32" t="n">
        <v>0</v>
      </c>
      <c r="Z201" s="31" t="n">
        <v>0</v>
      </c>
      <c r="AA201" s="32" t="n">
        <v>0</v>
      </c>
      <c r="AB201" s="32" t="n">
        <v>2</v>
      </c>
      <c r="AC201" s="32" t="n">
        <v>1</v>
      </c>
      <c r="AD201" s="32" t="n">
        <v>0</v>
      </c>
      <c r="AE201" s="31" t="n">
        <v>0</v>
      </c>
      <c r="AF201" s="32" t="n">
        <v>0</v>
      </c>
      <c r="AG201" s="31" t="n">
        <v>0</v>
      </c>
      <c r="AH201" s="32" t="n">
        <v>43</v>
      </c>
      <c r="AI201" s="31" t="n">
        <v>48.9</v>
      </c>
      <c r="AJ201" s="31" t="n">
        <v>43.4</v>
      </c>
      <c r="AK201" s="31" t="n">
        <v>3</v>
      </c>
      <c r="AL201" s="30" t="inlineStr">
        <is>
          <t>T-0350</t>
        </is>
      </c>
      <c r="AM201" s="30" t="inlineStr">
        <is>
          <t>H-02-02</t>
        </is>
      </c>
      <c r="AN201" s="30" t="inlineStr">
        <is>
          <t>T-0212</t>
        </is>
      </c>
      <c r="AO201" s="30" t="inlineStr">
        <is>
          <t>H-05-02</t>
        </is>
      </c>
    </row>
    <row r="202">
      <c r="A202" s="30" t="inlineStr">
        <is>
          <t>O0201</t>
        </is>
      </c>
      <c r="B202" s="30" t="inlineStr">
        <is>
          <t>D</t>
        </is>
      </c>
      <c r="C202" s="31" t="n">
        <v>3954.4</v>
      </c>
      <c r="D202" s="31" t="n">
        <v>9720.1</v>
      </c>
      <c r="E202" s="31" t="n">
        <v>9720.1</v>
      </c>
      <c r="F202" s="31" t="n">
        <v>9730.700000000001</v>
      </c>
      <c r="G202" s="31" t="n">
        <v>9750.9</v>
      </c>
      <c r="H202" s="31" t="n">
        <v>9768.700000000001</v>
      </c>
      <c r="I202" s="31" t="n">
        <v>9794.1</v>
      </c>
      <c r="J202" s="31" t="n">
        <v>9829.799999999999</v>
      </c>
      <c r="K202" s="31" t="n">
        <v>5875.4</v>
      </c>
      <c r="L202" s="31" t="n">
        <v>5765.7</v>
      </c>
      <c r="M202" s="30" t="inlineStr">
        <is>
          <t>AMR2</t>
        </is>
      </c>
      <c r="N202" s="30" t="inlineStr">
        <is>
          <t>AMR2</t>
        </is>
      </c>
      <c r="O202" s="32" t="n">
        <v>0</v>
      </c>
      <c r="P202" s="32" t="n">
        <v>0</v>
      </c>
      <c r="Q202" s="32" t="n">
        <v>13</v>
      </c>
      <c r="R202" s="31" t="n">
        <v>29.9</v>
      </c>
      <c r="S202" s="31" t="n">
        <v>29.9</v>
      </c>
      <c r="T202" s="30" t="inlineStr">
        <is>
          <t>AMR2</t>
        </is>
      </c>
      <c r="U202" s="31" t="n">
        <v>51.5</v>
      </c>
      <c r="V202" s="31" t="n">
        <v>51.5</v>
      </c>
      <c r="W202" s="30" t="inlineStr">
        <is>
          <t>AMR2</t>
        </is>
      </c>
      <c r="X202" s="32" t="n">
        <v>0</v>
      </c>
      <c r="Y202" s="32" t="n">
        <v>0</v>
      </c>
      <c r="Z202" s="31" t="n">
        <v>0</v>
      </c>
      <c r="AA202" s="32" t="n">
        <v>0</v>
      </c>
      <c r="AB202" s="32" t="n">
        <v>1</v>
      </c>
      <c r="AC202" s="32" t="n">
        <v>0</v>
      </c>
      <c r="AD202" s="32" t="n">
        <v>1</v>
      </c>
      <c r="AE202" s="31" t="n">
        <v>6.3</v>
      </c>
      <c r="AF202" s="32" t="n">
        <v>1</v>
      </c>
      <c r="AG202" s="31" t="n">
        <v>1.3</v>
      </c>
      <c r="AH202" s="32" t="n">
        <v>43</v>
      </c>
      <c r="AI202" s="31" t="n">
        <v>46.9</v>
      </c>
      <c r="AJ202" s="31" t="n">
        <v>38.7</v>
      </c>
      <c r="AK202" s="31" t="n">
        <v>6.3</v>
      </c>
      <c r="AL202" s="30" t="inlineStr">
        <is>
          <t>T-0351</t>
        </is>
      </c>
      <c r="AM202" s="30" t="inlineStr">
        <is>
          <t>D-02-01</t>
        </is>
      </c>
      <c r="AN202" s="30" t="inlineStr">
        <is>
          <t>T-0228</t>
        </is>
      </c>
      <c r="AO202" s="30" t="inlineStr">
        <is>
          <t>D-04-02</t>
        </is>
      </c>
    </row>
    <row r="203">
      <c r="A203" s="30" t="inlineStr">
        <is>
          <t>O0202</t>
        </is>
      </c>
      <c r="B203" s="30" t="inlineStr">
        <is>
          <t>F</t>
        </is>
      </c>
      <c r="C203" s="31" t="n">
        <v>3958.7</v>
      </c>
      <c r="D203" s="31" t="n">
        <v>9792.9</v>
      </c>
      <c r="E203" s="31" t="n">
        <v>9792.9</v>
      </c>
      <c r="F203" s="31" t="n">
        <v>9808.9</v>
      </c>
      <c r="G203" s="31" t="n">
        <v>9838.6</v>
      </c>
      <c r="H203" s="31" t="n">
        <v>9839.9</v>
      </c>
      <c r="I203" s="31" t="n">
        <v>9869.4</v>
      </c>
      <c r="J203" s="31" t="n">
        <v>9903.700000000001</v>
      </c>
      <c r="K203" s="31" t="n">
        <v>5945</v>
      </c>
      <c r="L203" s="31" t="n">
        <v>5834.2</v>
      </c>
      <c r="M203" s="30" t="inlineStr">
        <is>
          <t>AMR3</t>
        </is>
      </c>
      <c r="N203" s="30" t="inlineStr">
        <is>
          <t>AMR1</t>
        </is>
      </c>
      <c r="O203" s="32" t="n">
        <v>0</v>
      </c>
      <c r="P203" s="32" t="n">
        <v>0</v>
      </c>
      <c r="Q203" s="32" t="n">
        <v>23</v>
      </c>
      <c r="R203" s="31" t="n">
        <v>44.8</v>
      </c>
      <c r="S203" s="31" t="n">
        <v>44.8</v>
      </c>
      <c r="T203" s="30" t="inlineStr">
        <is>
          <t>AMR3</t>
        </is>
      </c>
      <c r="U203" s="31" t="n">
        <v>66.5</v>
      </c>
      <c r="V203" s="31" t="n">
        <v>66.5</v>
      </c>
      <c r="W203" s="30" t="inlineStr">
        <is>
          <t>AMR1</t>
        </is>
      </c>
      <c r="X203" s="32" t="n">
        <v>0</v>
      </c>
      <c r="Y203" s="32" t="n">
        <v>0</v>
      </c>
      <c r="Z203" s="31" t="n">
        <v>0</v>
      </c>
      <c r="AA203" s="32" t="n">
        <v>0</v>
      </c>
      <c r="AB203" s="32" t="n">
        <v>0</v>
      </c>
      <c r="AC203" s="32" t="n">
        <v>0</v>
      </c>
      <c r="AD203" s="32" t="n">
        <v>0</v>
      </c>
      <c r="AE203" s="31" t="n">
        <v>0</v>
      </c>
      <c r="AF203" s="32" t="n">
        <v>0</v>
      </c>
      <c r="AG203" s="31" t="n">
        <v>0</v>
      </c>
      <c r="AH203" s="32" t="n">
        <v>63</v>
      </c>
      <c r="AI203" s="31" t="n">
        <v>63.4</v>
      </c>
      <c r="AJ203" s="31" t="n">
        <v>46.1</v>
      </c>
      <c r="AK203" s="31" t="n">
        <v>0</v>
      </c>
      <c r="AL203" s="30" t="inlineStr">
        <is>
          <t>T-0352</t>
        </is>
      </c>
      <c r="AM203" s="30" t="inlineStr">
        <is>
          <t>F-05-01</t>
        </is>
      </c>
      <c r="AN203" s="30" t="inlineStr">
        <is>
          <t>T-0180</t>
        </is>
      </c>
      <c r="AO203" s="30" t="inlineStr">
        <is>
          <t>F-06-01</t>
        </is>
      </c>
    </row>
    <row r="204">
      <c r="A204" s="30" t="inlineStr">
        <is>
          <t>O0203</t>
        </is>
      </c>
      <c r="B204" s="30" t="inlineStr">
        <is>
          <t>E</t>
        </is>
      </c>
      <c r="C204" s="31" t="n">
        <v>3964.7</v>
      </c>
      <c r="D204" s="31" t="n">
        <v>9853.5</v>
      </c>
      <c r="E204" s="31" t="n">
        <v>9853.5</v>
      </c>
      <c r="F204" s="31" t="n">
        <v>9868.1</v>
      </c>
      <c r="G204" s="31" t="n">
        <v>9894.4</v>
      </c>
      <c r="H204" s="31" t="n">
        <v>9912.6</v>
      </c>
      <c r="I204" s="31" t="n">
        <v>9940.5</v>
      </c>
      <c r="J204" s="31" t="n">
        <v>9976.9</v>
      </c>
      <c r="K204" s="31" t="n">
        <v>6012.2</v>
      </c>
      <c r="L204" s="31" t="n">
        <v>5888.8</v>
      </c>
      <c r="M204" s="30" t="inlineStr">
        <is>
          <t>AMR2</t>
        </is>
      </c>
      <c r="N204" s="30" t="inlineStr">
        <is>
          <t>AMR2</t>
        </is>
      </c>
      <c r="O204" s="32" t="n">
        <v>0</v>
      </c>
      <c r="P204" s="32" t="n">
        <v>0</v>
      </c>
      <c r="Q204" s="32" t="n">
        <v>19</v>
      </c>
      <c r="R204" s="31" t="n">
        <v>40</v>
      </c>
      <c r="S204" s="31" t="n">
        <v>40</v>
      </c>
      <c r="T204" s="30" t="inlineStr">
        <is>
          <t>AMR2</t>
        </is>
      </c>
      <c r="U204" s="31" t="n">
        <v>61</v>
      </c>
      <c r="V204" s="31" t="n">
        <v>61</v>
      </c>
      <c r="W204" s="30" t="inlineStr">
        <is>
          <t>AMR2</t>
        </is>
      </c>
      <c r="X204" s="32" t="n">
        <v>0</v>
      </c>
      <c r="Y204" s="32" t="n">
        <v>0</v>
      </c>
      <c r="Z204" s="31" t="n">
        <v>0</v>
      </c>
      <c r="AA204" s="32" t="n">
        <v>0</v>
      </c>
      <c r="AB204" s="32" t="n">
        <v>0</v>
      </c>
      <c r="AC204" s="32" t="n">
        <v>0</v>
      </c>
      <c r="AD204" s="32" t="n">
        <v>0</v>
      </c>
      <c r="AE204" s="31" t="n">
        <v>0</v>
      </c>
      <c r="AF204" s="32" t="n">
        <v>0</v>
      </c>
      <c r="AG204" s="31" t="n">
        <v>0</v>
      </c>
      <c r="AH204" s="32" t="n">
        <v>61</v>
      </c>
      <c r="AI204" s="31" t="n">
        <v>61.7</v>
      </c>
      <c r="AJ204" s="31" t="n">
        <v>43.5</v>
      </c>
      <c r="AK204" s="31" t="n">
        <v>0</v>
      </c>
      <c r="AL204" s="30" t="inlineStr">
        <is>
          <t>T-0353</t>
        </is>
      </c>
      <c r="AM204" s="30" t="inlineStr">
        <is>
          <t>E-01-01</t>
        </is>
      </c>
      <c r="AN204" s="30" t="inlineStr">
        <is>
          <t>T-0075</t>
        </is>
      </c>
      <c r="AO204" s="30" t="inlineStr">
        <is>
          <t>E-05-05</t>
        </is>
      </c>
    </row>
    <row r="205">
      <c r="A205" s="30" t="inlineStr">
        <is>
          <t>O0204</t>
        </is>
      </c>
      <c r="B205" s="30" t="inlineStr">
        <is>
          <t>A</t>
        </is>
      </c>
      <c r="C205" s="31" t="n">
        <v>3969.6</v>
      </c>
      <c r="D205" s="31" t="n">
        <v>9868.1</v>
      </c>
      <c r="E205" s="31" t="n">
        <v>9868.1</v>
      </c>
      <c r="F205" s="31" t="n">
        <v>9880.1</v>
      </c>
      <c r="G205" s="31" t="n">
        <v>9908.4</v>
      </c>
      <c r="H205" s="31" t="n">
        <v>9927.4</v>
      </c>
      <c r="I205" s="31" t="n">
        <v>9962.200000000001</v>
      </c>
      <c r="J205" s="31" t="n">
        <v>9997.799999999999</v>
      </c>
      <c r="K205" s="31" t="n">
        <v>6028.2</v>
      </c>
      <c r="L205" s="31" t="n">
        <v>5898.5</v>
      </c>
      <c r="M205" s="30" t="inlineStr">
        <is>
          <t>AMR3</t>
        </is>
      </c>
      <c r="N205" s="30" t="inlineStr">
        <is>
          <t>AMR1</t>
        </is>
      </c>
      <c r="O205" s="32" t="n">
        <v>0</v>
      </c>
      <c r="P205" s="32" t="n">
        <v>0</v>
      </c>
      <c r="Q205" s="32" t="n">
        <v>21</v>
      </c>
      <c r="R205" s="31" t="n">
        <v>39.4</v>
      </c>
      <c r="S205" s="31" t="n">
        <v>39.4</v>
      </c>
      <c r="T205" s="30" t="inlineStr">
        <is>
          <t>AMR3</t>
        </is>
      </c>
      <c r="U205" s="31" t="n">
        <v>61.3</v>
      </c>
      <c r="V205" s="31" t="n">
        <v>61.3</v>
      </c>
      <c r="W205" s="30" t="inlineStr">
        <is>
          <t>AMR1</t>
        </is>
      </c>
      <c r="X205" s="32" t="n">
        <v>0</v>
      </c>
      <c r="Y205" s="32" t="n">
        <v>0</v>
      </c>
      <c r="Z205" s="31" t="n">
        <v>0</v>
      </c>
      <c r="AA205" s="32" t="n">
        <v>0</v>
      </c>
      <c r="AB205" s="32" t="n">
        <v>1</v>
      </c>
      <c r="AC205" s="32" t="n">
        <v>1</v>
      </c>
      <c r="AD205" s="32" t="n">
        <v>0</v>
      </c>
      <c r="AE205" s="31" t="n">
        <v>0</v>
      </c>
      <c r="AF205" s="32" t="n">
        <v>0</v>
      </c>
      <c r="AG205" s="31" t="n">
        <v>0</v>
      </c>
      <c r="AH205" s="32" t="n">
        <v>67</v>
      </c>
      <c r="AI205" s="31" t="n">
        <v>69.09999999999999</v>
      </c>
      <c r="AJ205" s="31" t="n">
        <v>38.6</v>
      </c>
      <c r="AK205" s="31" t="n">
        <v>3</v>
      </c>
      <c r="AL205" s="30" t="inlineStr">
        <is>
          <t>T-0354</t>
        </is>
      </c>
      <c r="AM205" s="30" t="inlineStr">
        <is>
          <t>A-04-03</t>
        </is>
      </c>
      <c r="AN205" s="30" t="inlineStr">
        <is>
          <t>T-0155</t>
        </is>
      </c>
      <c r="AO205" s="30" t="inlineStr">
        <is>
          <t>A-02-01</t>
        </is>
      </c>
    </row>
    <row r="206">
      <c r="A206" s="30" t="inlineStr">
        <is>
          <t>O0205</t>
        </is>
      </c>
      <c r="B206" s="30" t="inlineStr">
        <is>
          <t>C</t>
        </is>
      </c>
      <c r="C206" s="31" t="n">
        <v>3973.5</v>
      </c>
      <c r="D206" s="31" t="n">
        <v>9933.799999999999</v>
      </c>
      <c r="E206" s="31" t="n">
        <v>9933.799999999999</v>
      </c>
      <c r="F206" s="31" t="n">
        <v>9945.4</v>
      </c>
      <c r="G206" s="31" t="n">
        <v>9967.9</v>
      </c>
      <c r="H206" s="31" t="n">
        <v>9980.1</v>
      </c>
      <c r="I206" s="31" t="n">
        <v>10002.9</v>
      </c>
      <c r="J206" s="31" t="n">
        <v>10032.2</v>
      </c>
      <c r="K206" s="31" t="n">
        <v>6058.7</v>
      </c>
      <c r="L206" s="31" t="n">
        <v>5960.3</v>
      </c>
      <c r="M206" s="30" t="inlineStr">
        <is>
          <t>AMR3</t>
        </is>
      </c>
      <c r="N206" s="30" t="inlineStr">
        <is>
          <t>AMR3</t>
        </is>
      </c>
      <c r="O206" s="32" t="n">
        <v>0</v>
      </c>
      <c r="P206" s="32" t="n">
        <v>0</v>
      </c>
      <c r="Q206" s="32" t="n">
        <v>13</v>
      </c>
      <c r="R206" s="31" t="n">
        <v>33.2</v>
      </c>
      <c r="S206" s="31" t="n">
        <v>33.2</v>
      </c>
      <c r="T206" s="30" t="inlineStr">
        <is>
          <t>AMR3</t>
        </is>
      </c>
      <c r="U206" s="31" t="n">
        <v>52.8</v>
      </c>
      <c r="V206" s="31" t="n">
        <v>52.8</v>
      </c>
      <c r="W206" s="30" t="inlineStr">
        <is>
          <t>AMR3</t>
        </is>
      </c>
      <c r="X206" s="32" t="n">
        <v>0</v>
      </c>
      <c r="Y206" s="32" t="n">
        <v>0</v>
      </c>
      <c r="Z206" s="31" t="n">
        <v>0</v>
      </c>
      <c r="AA206" s="32" t="n">
        <v>0</v>
      </c>
      <c r="AB206" s="32" t="n">
        <v>0</v>
      </c>
      <c r="AC206" s="32" t="n">
        <v>0</v>
      </c>
      <c r="AD206" s="32" t="n">
        <v>0</v>
      </c>
      <c r="AE206" s="31" t="n">
        <v>0</v>
      </c>
      <c r="AF206" s="32" t="n">
        <v>0</v>
      </c>
      <c r="AG206" s="31" t="n">
        <v>0</v>
      </c>
      <c r="AH206" s="32" t="n">
        <v>39</v>
      </c>
      <c r="AI206" s="31" t="n">
        <v>42.4</v>
      </c>
      <c r="AJ206" s="31" t="n">
        <v>43.8</v>
      </c>
      <c r="AK206" s="31" t="n">
        <v>0</v>
      </c>
      <c r="AL206" s="30" t="inlineStr">
        <is>
          <t>T-0355</t>
        </is>
      </c>
      <c r="AM206" s="30" t="inlineStr">
        <is>
          <t>C-01-01</t>
        </is>
      </c>
      <c r="AN206" s="30" t="inlineStr">
        <is>
          <t>T-0196</t>
        </is>
      </c>
      <c r="AO206" s="30" t="inlineStr">
        <is>
          <t>C-05-01</t>
        </is>
      </c>
    </row>
    <row r="207">
      <c r="A207" s="30" t="inlineStr">
        <is>
          <t>O0206</t>
        </is>
      </c>
      <c r="B207" s="30" t="inlineStr">
        <is>
          <t>C</t>
        </is>
      </c>
      <c r="C207" s="31" t="n">
        <v>3980.3</v>
      </c>
      <c r="D207" s="31" t="n">
        <v>10000.6</v>
      </c>
      <c r="E207" s="31" t="n">
        <v>10000.6</v>
      </c>
      <c r="F207" s="31" t="n">
        <v>10016.1</v>
      </c>
      <c r="G207" s="31" t="n">
        <v>10040.9</v>
      </c>
      <c r="H207" s="31" t="n">
        <v>10055.9</v>
      </c>
      <c r="I207" s="31" t="n">
        <v>10081.1</v>
      </c>
      <c r="J207" s="31" t="n">
        <v>10114.2</v>
      </c>
      <c r="K207" s="31" t="n">
        <v>6133.9</v>
      </c>
      <c r="L207" s="31" t="n">
        <v>6020.3</v>
      </c>
      <c r="M207" s="30" t="inlineStr">
        <is>
          <t>AMR2</t>
        </is>
      </c>
      <c r="N207" s="30" t="inlineStr">
        <is>
          <t>AMR3</t>
        </is>
      </c>
      <c r="O207" s="32" t="n">
        <v>0</v>
      </c>
      <c r="P207" s="32" t="n">
        <v>0</v>
      </c>
      <c r="Q207" s="32" t="n">
        <v>13</v>
      </c>
      <c r="R207" s="31" t="n">
        <v>39.4</v>
      </c>
      <c r="S207" s="31" t="n">
        <v>39.4</v>
      </c>
      <c r="T207" s="30" t="inlineStr">
        <is>
          <t>AMR2</t>
        </is>
      </c>
      <c r="U207" s="31" t="n">
        <v>51</v>
      </c>
      <c r="V207" s="31" t="n">
        <v>51</v>
      </c>
      <c r="W207" s="30" t="inlineStr">
        <is>
          <t>AMR3</t>
        </is>
      </c>
      <c r="X207" s="32" t="n">
        <v>0</v>
      </c>
      <c r="Y207" s="32" t="n">
        <v>0</v>
      </c>
      <c r="Z207" s="31" t="n">
        <v>0</v>
      </c>
      <c r="AA207" s="32" t="n">
        <v>0</v>
      </c>
      <c r="AB207" s="32" t="n">
        <v>2</v>
      </c>
      <c r="AC207" s="32" t="n">
        <v>0</v>
      </c>
      <c r="AD207" s="32" t="n">
        <v>0</v>
      </c>
      <c r="AE207" s="31" t="n">
        <v>0</v>
      </c>
      <c r="AF207" s="32" t="n">
        <v>0</v>
      </c>
      <c r="AG207" s="31" t="n">
        <v>0</v>
      </c>
      <c r="AH207" s="32" t="n">
        <v>41</v>
      </c>
      <c r="AI207" s="31" t="n">
        <v>43.8</v>
      </c>
      <c r="AJ207" s="31" t="n">
        <v>48.2</v>
      </c>
      <c r="AK207" s="31" t="n">
        <v>6.6</v>
      </c>
      <c r="AL207" s="30" t="inlineStr">
        <is>
          <t>T-0356</t>
        </is>
      </c>
      <c r="AM207" s="30" t="inlineStr">
        <is>
          <t>C-04-01</t>
        </is>
      </c>
      <c r="AN207" s="30" t="inlineStr">
        <is>
          <t>T-0199</t>
        </is>
      </c>
      <c r="AO207" s="30" t="inlineStr">
        <is>
          <t>C-03-01</t>
        </is>
      </c>
    </row>
    <row r="208">
      <c r="A208" s="30" t="inlineStr">
        <is>
          <t>O0207</t>
        </is>
      </c>
      <c r="B208" s="30" t="inlineStr">
        <is>
          <t>C</t>
        </is>
      </c>
      <c r="C208" s="31" t="n">
        <v>3983.9</v>
      </c>
      <c r="D208" s="31" t="n">
        <v>10021.5</v>
      </c>
      <c r="E208" s="31" t="n">
        <v>10021.5</v>
      </c>
      <c r="F208" s="31" t="n">
        <v>10035.9</v>
      </c>
      <c r="G208" s="31" t="n">
        <v>10076.5</v>
      </c>
      <c r="H208" s="31" t="n">
        <v>10093.3</v>
      </c>
      <c r="I208" s="31" t="n">
        <v>10115.5</v>
      </c>
      <c r="J208" s="31" t="n">
        <v>10141.8</v>
      </c>
      <c r="K208" s="31" t="n">
        <v>6157.9</v>
      </c>
      <c r="L208" s="31" t="n">
        <v>6037.6</v>
      </c>
      <c r="M208" s="30" t="inlineStr">
        <is>
          <t>AMR1</t>
        </is>
      </c>
      <c r="N208" s="30" t="inlineStr">
        <is>
          <t>AMR1</t>
        </is>
      </c>
      <c r="O208" s="32" t="n">
        <v>0</v>
      </c>
      <c r="P208" s="32" t="n">
        <v>0</v>
      </c>
      <c r="Q208" s="32" t="n">
        <v>13</v>
      </c>
      <c r="R208" s="31" t="n">
        <v>36.2</v>
      </c>
      <c r="S208" s="31" t="n">
        <v>36.2</v>
      </c>
      <c r="T208" s="30" t="inlineStr">
        <is>
          <t>AMR1</t>
        </is>
      </c>
      <c r="U208" s="31" t="n">
        <v>50.2</v>
      </c>
      <c r="V208" s="31" t="n">
        <v>50.2</v>
      </c>
      <c r="W208" s="30" t="inlineStr">
        <is>
          <t>AMR1</t>
        </is>
      </c>
      <c r="X208" s="32" t="n">
        <v>0</v>
      </c>
      <c r="Y208" s="32" t="n">
        <v>0</v>
      </c>
      <c r="Z208" s="31" t="n">
        <v>0</v>
      </c>
      <c r="AA208" s="32" t="n">
        <v>0</v>
      </c>
      <c r="AB208" s="32" t="n">
        <v>1</v>
      </c>
      <c r="AC208" s="32" t="n">
        <v>1</v>
      </c>
      <c r="AD208" s="32" t="n">
        <v>1</v>
      </c>
      <c r="AE208" s="31" t="n">
        <v>2</v>
      </c>
      <c r="AF208" s="32" t="n">
        <v>0</v>
      </c>
      <c r="AG208" s="31" t="n">
        <v>0</v>
      </c>
      <c r="AH208" s="32" t="n">
        <v>51</v>
      </c>
      <c r="AI208" s="31" t="n">
        <v>56.3</v>
      </c>
      <c r="AJ208" s="31" t="n">
        <v>44.2</v>
      </c>
      <c r="AK208" s="31" t="n">
        <v>3</v>
      </c>
      <c r="AL208" s="30" t="inlineStr">
        <is>
          <t>T-0357</t>
        </is>
      </c>
      <c r="AM208" s="30" t="inlineStr">
        <is>
          <t>C-05-01</t>
        </is>
      </c>
      <c r="AN208" s="30" t="inlineStr">
        <is>
          <t>T-0206</t>
        </is>
      </c>
      <c r="AO208" s="30" t="inlineStr">
        <is>
          <t>C-06-01</t>
        </is>
      </c>
    </row>
    <row r="209">
      <c r="A209" s="30" t="inlineStr">
        <is>
          <t>O0208</t>
        </is>
      </c>
      <c r="B209" s="30" t="inlineStr">
        <is>
          <t>H</t>
        </is>
      </c>
      <c r="C209" s="31" t="n">
        <v>3990.7</v>
      </c>
      <c r="D209" s="31" t="n">
        <v>10058.7</v>
      </c>
      <c r="E209" s="31" t="n">
        <v>10058.7</v>
      </c>
      <c r="F209" s="31" t="n">
        <v>10071.5</v>
      </c>
      <c r="G209" s="31" t="n">
        <v>10101.9</v>
      </c>
      <c r="H209" s="31" t="n">
        <v>10116.7</v>
      </c>
      <c r="I209" s="31" t="n">
        <v>10142.8</v>
      </c>
      <c r="J209" s="31" t="n">
        <v>10170.5</v>
      </c>
      <c r="K209" s="31" t="n">
        <v>6179.8</v>
      </c>
      <c r="L209" s="31" t="n">
        <v>6068</v>
      </c>
      <c r="M209" s="30" t="inlineStr">
        <is>
          <t>AMR2</t>
        </is>
      </c>
      <c r="N209" s="30" t="inlineStr">
        <is>
          <t>AMR2</t>
        </is>
      </c>
      <c r="O209" s="32" t="n">
        <v>0</v>
      </c>
      <c r="P209" s="32" t="n">
        <v>0</v>
      </c>
      <c r="Q209" s="32" t="n">
        <v>15</v>
      </c>
      <c r="R209" s="31" t="n">
        <v>37.5</v>
      </c>
      <c r="S209" s="31" t="n">
        <v>37.5</v>
      </c>
      <c r="T209" s="30" t="inlineStr">
        <is>
          <t>AMR2</t>
        </is>
      </c>
      <c r="U209" s="31" t="n">
        <v>53.9</v>
      </c>
      <c r="V209" s="31" t="n">
        <v>53.9</v>
      </c>
      <c r="W209" s="30" t="inlineStr">
        <is>
          <t>AMR2</t>
        </is>
      </c>
      <c r="X209" s="32" t="n">
        <v>0</v>
      </c>
      <c r="Y209" s="32" t="n">
        <v>0</v>
      </c>
      <c r="Z209" s="31" t="n">
        <v>0</v>
      </c>
      <c r="AA209" s="32" t="n">
        <v>0</v>
      </c>
      <c r="AB209" s="32" t="n">
        <v>3</v>
      </c>
      <c r="AC209" s="32" t="n">
        <v>1</v>
      </c>
      <c r="AD209" s="32" t="n">
        <v>1</v>
      </c>
      <c r="AE209" s="31" t="n">
        <v>4.8</v>
      </c>
      <c r="AF209" s="32" t="n">
        <v>0</v>
      </c>
      <c r="AG209" s="31" t="n">
        <v>0</v>
      </c>
      <c r="AH209" s="32" t="n">
        <v>43</v>
      </c>
      <c r="AI209" s="31" t="n">
        <v>46.1</v>
      </c>
      <c r="AJ209" s="31" t="n">
        <v>46.1</v>
      </c>
      <c r="AK209" s="31" t="n">
        <v>4.8</v>
      </c>
      <c r="AL209" s="30" t="inlineStr">
        <is>
          <t>T-0358</t>
        </is>
      </c>
      <c r="AM209" s="30" t="inlineStr">
        <is>
          <t>H-04-02</t>
        </is>
      </c>
      <c r="AN209" s="30" t="inlineStr">
        <is>
          <t>T-0221</t>
        </is>
      </c>
      <c r="AO209" s="30" t="inlineStr">
        <is>
          <t>H-03-01</t>
        </is>
      </c>
    </row>
    <row r="210">
      <c r="A210" s="30" t="inlineStr">
        <is>
          <t>O0209</t>
        </is>
      </c>
      <c r="B210" s="30" t="inlineStr">
        <is>
          <t>J</t>
        </is>
      </c>
      <c r="C210" s="31" t="n">
        <v>3994.4</v>
      </c>
      <c r="D210" s="31" t="n">
        <v>10137.9</v>
      </c>
      <c r="E210" s="31" t="n">
        <v>10137.9</v>
      </c>
      <c r="F210" s="31" t="n">
        <v>10153.5</v>
      </c>
      <c r="G210" s="31" t="n">
        <v>10181.1</v>
      </c>
      <c r="H210" s="31" t="n">
        <v>10194.2</v>
      </c>
      <c r="I210" s="31" t="n">
        <v>10222.4</v>
      </c>
      <c r="J210" s="31" t="n">
        <v>10253.1</v>
      </c>
      <c r="K210" s="31" t="n">
        <v>6258.7</v>
      </c>
      <c r="L210" s="31" t="n">
        <v>6143.5</v>
      </c>
      <c r="M210" s="30" t="inlineStr">
        <is>
          <t>AMR3</t>
        </is>
      </c>
      <c r="N210" s="30" t="inlineStr">
        <is>
          <t>AMR2</t>
        </is>
      </c>
      <c r="O210" s="32" t="n">
        <v>0</v>
      </c>
      <c r="P210" s="32" t="n">
        <v>0</v>
      </c>
      <c r="Q210" s="32" t="n">
        <v>21</v>
      </c>
      <c r="R210" s="31" t="n">
        <v>42.3</v>
      </c>
      <c r="S210" s="31" t="n">
        <v>42.3</v>
      </c>
      <c r="T210" s="30" t="inlineStr">
        <is>
          <t>AMR3</t>
        </is>
      </c>
      <c r="U210" s="31" t="n">
        <v>59.1</v>
      </c>
      <c r="V210" s="31" t="n">
        <v>59.1</v>
      </c>
      <c r="W210" s="30" t="inlineStr">
        <is>
          <t>AMR2</t>
        </is>
      </c>
      <c r="X210" s="32" t="n">
        <v>0</v>
      </c>
      <c r="Y210" s="32" t="n">
        <v>0</v>
      </c>
      <c r="Z210" s="31" t="n">
        <v>0</v>
      </c>
      <c r="AA210" s="32" t="n">
        <v>0</v>
      </c>
      <c r="AB210" s="32" t="n">
        <v>0</v>
      </c>
      <c r="AC210" s="32" t="n">
        <v>0</v>
      </c>
      <c r="AD210" s="32" t="n">
        <v>0</v>
      </c>
      <c r="AE210" s="31" t="n">
        <v>0</v>
      </c>
      <c r="AF210" s="32" t="n">
        <v>0</v>
      </c>
      <c r="AG210" s="31" t="n">
        <v>0</v>
      </c>
      <c r="AH210" s="32" t="n">
        <v>59</v>
      </c>
      <c r="AI210" s="31" t="n">
        <v>61.3</v>
      </c>
      <c r="AJ210" s="31" t="n">
        <v>40.8</v>
      </c>
      <c r="AK210" s="31" t="n">
        <v>0</v>
      </c>
      <c r="AL210" s="30" t="inlineStr">
        <is>
          <t>T-0359</t>
        </is>
      </c>
      <c r="AM210" s="30" t="inlineStr">
        <is>
          <t>J-01-01</t>
        </is>
      </c>
      <c r="AN210" s="30" t="inlineStr">
        <is>
          <t>T-0164</t>
        </is>
      </c>
      <c r="AO210" s="30" t="inlineStr">
        <is>
          <t>J-02-01</t>
        </is>
      </c>
    </row>
    <row r="211">
      <c r="A211" s="30" t="inlineStr">
        <is>
          <t>O0210</t>
        </is>
      </c>
      <c r="B211" s="30" t="inlineStr">
        <is>
          <t>E</t>
        </is>
      </c>
      <c r="C211" s="31" t="n">
        <v>3997.8</v>
      </c>
      <c r="D211" s="31" t="n">
        <v>10165.5</v>
      </c>
      <c r="E211" s="31" t="n">
        <v>10165.5</v>
      </c>
      <c r="F211" s="31" t="n">
        <v>10178</v>
      </c>
      <c r="G211" s="31" t="n">
        <v>10206.7</v>
      </c>
      <c r="H211" s="31" t="n">
        <v>10229.3</v>
      </c>
      <c r="I211" s="31" t="n">
        <v>10259.5</v>
      </c>
      <c r="J211" s="31" t="n">
        <v>10295.8</v>
      </c>
      <c r="K211" s="31" t="n">
        <v>6298</v>
      </c>
      <c r="L211" s="31" t="n">
        <v>6167.7</v>
      </c>
      <c r="M211" s="30" t="inlineStr">
        <is>
          <t>AMR1</t>
        </is>
      </c>
      <c r="N211" s="30" t="inlineStr">
        <is>
          <t>AMR1</t>
        </is>
      </c>
      <c r="O211" s="32" t="n">
        <v>0</v>
      </c>
      <c r="P211" s="32" t="n">
        <v>0</v>
      </c>
      <c r="Q211" s="32" t="n">
        <v>19</v>
      </c>
      <c r="R211" s="31" t="n">
        <v>37.9</v>
      </c>
      <c r="S211" s="31" t="n">
        <v>37.9</v>
      </c>
      <c r="T211" s="30" t="inlineStr">
        <is>
          <t>AMR1</t>
        </is>
      </c>
      <c r="U211" s="31" t="n">
        <v>62.7</v>
      </c>
      <c r="V211" s="31" t="n">
        <v>62.7</v>
      </c>
      <c r="W211" s="30" t="inlineStr">
        <is>
          <t>AMR1</t>
        </is>
      </c>
      <c r="X211" s="32" t="n">
        <v>0</v>
      </c>
      <c r="Y211" s="32" t="n">
        <v>0</v>
      </c>
      <c r="Z211" s="31" t="n">
        <v>0</v>
      </c>
      <c r="AA211" s="32" t="n">
        <v>0</v>
      </c>
      <c r="AB211" s="32" t="n">
        <v>1</v>
      </c>
      <c r="AC211" s="32" t="n">
        <v>0</v>
      </c>
      <c r="AD211" s="32" t="n">
        <v>1</v>
      </c>
      <c r="AE211" s="31" t="n">
        <v>2</v>
      </c>
      <c r="AF211" s="32" t="n">
        <v>0</v>
      </c>
      <c r="AG211" s="31" t="n">
        <v>0</v>
      </c>
      <c r="AH211" s="32" t="n">
        <v>62</v>
      </c>
      <c r="AI211" s="31" t="n">
        <v>62.6</v>
      </c>
      <c r="AJ211" s="31" t="n">
        <v>43.1</v>
      </c>
      <c r="AK211" s="31" t="n">
        <v>2</v>
      </c>
      <c r="AL211" s="30" t="inlineStr">
        <is>
          <t>T-0360</t>
        </is>
      </c>
      <c r="AM211" s="30" t="inlineStr">
        <is>
          <t>E-06-01</t>
        </is>
      </c>
      <c r="AN211" s="30" t="inlineStr">
        <is>
          <t>T-0169</t>
        </is>
      </c>
      <c r="AO211" s="30" t="inlineStr">
        <is>
          <t>E-03-01</t>
        </is>
      </c>
    </row>
    <row r="212">
      <c r="A212" s="30" t="inlineStr">
        <is>
          <t>O0211</t>
        </is>
      </c>
      <c r="B212" s="30" t="inlineStr">
        <is>
          <t>G</t>
        </is>
      </c>
      <c r="C212" s="31" t="n">
        <v>4003.1</v>
      </c>
      <c r="D212" s="31" t="n">
        <v>10201.3</v>
      </c>
      <c r="E212" s="31" t="n">
        <v>10201.3</v>
      </c>
      <c r="F212" s="31" t="n">
        <v>10212.9</v>
      </c>
      <c r="G212" s="31" t="n">
        <v>10242.6</v>
      </c>
      <c r="H212" s="31" t="n">
        <v>10260.1</v>
      </c>
      <c r="I212" s="31" t="n">
        <v>10289.4</v>
      </c>
      <c r="J212" s="31" t="n">
        <v>10319.4</v>
      </c>
      <c r="K212" s="31" t="n">
        <v>6316.3</v>
      </c>
      <c r="L212" s="31" t="n">
        <v>6198.2</v>
      </c>
      <c r="M212" s="30" t="inlineStr">
        <is>
          <t>AMR3</t>
        </is>
      </c>
      <c r="N212" s="30" t="inlineStr">
        <is>
          <t>AMR3</t>
        </is>
      </c>
      <c r="O212" s="32" t="n">
        <v>0</v>
      </c>
      <c r="P212" s="32" t="n">
        <v>0</v>
      </c>
      <c r="Q212" s="32" t="n">
        <v>17</v>
      </c>
      <c r="R212" s="31" t="n">
        <v>39.6</v>
      </c>
      <c r="S212" s="31" t="n">
        <v>39.6</v>
      </c>
      <c r="T212" s="30" t="inlineStr">
        <is>
          <t>AMR3</t>
        </is>
      </c>
      <c r="U212" s="31" t="n">
        <v>56</v>
      </c>
      <c r="V212" s="31" t="n">
        <v>56</v>
      </c>
      <c r="W212" s="30" t="inlineStr">
        <is>
          <t>AMR3</t>
        </is>
      </c>
      <c r="X212" s="32" t="n">
        <v>0</v>
      </c>
      <c r="Y212" s="32" t="n">
        <v>0</v>
      </c>
      <c r="Z212" s="31" t="n">
        <v>0</v>
      </c>
      <c r="AA212" s="32" t="n">
        <v>0</v>
      </c>
      <c r="AB212" s="32" t="n">
        <v>0</v>
      </c>
      <c r="AC212" s="32" t="n">
        <v>0</v>
      </c>
      <c r="AD212" s="32" t="n">
        <v>0</v>
      </c>
      <c r="AE212" s="31" t="n">
        <v>0</v>
      </c>
      <c r="AF212" s="32" t="n">
        <v>0</v>
      </c>
      <c r="AG212" s="31" t="n">
        <v>0</v>
      </c>
      <c r="AH212" s="32" t="n">
        <v>52</v>
      </c>
      <c r="AI212" s="31" t="n">
        <v>55.4</v>
      </c>
      <c r="AJ212" s="31" t="n">
        <v>45.2</v>
      </c>
      <c r="AK212" s="31" t="n">
        <v>0</v>
      </c>
      <c r="AL212" s="30" t="inlineStr">
        <is>
          <t>T-0361</t>
        </is>
      </c>
      <c r="AM212" s="30" t="inlineStr">
        <is>
          <t>G-03-01</t>
        </is>
      </c>
      <c r="AN212" s="30" t="inlineStr">
        <is>
          <t>T-0181</t>
        </is>
      </c>
      <c r="AO212" s="30" t="inlineStr">
        <is>
          <t>G-01-02</t>
        </is>
      </c>
    </row>
    <row r="213">
      <c r="A213" s="30" t="inlineStr">
        <is>
          <t>O0212</t>
        </is>
      </c>
      <c r="B213" s="30" t="inlineStr">
        <is>
          <t>D</t>
        </is>
      </c>
      <c r="C213" s="31" t="n">
        <v>4009.8</v>
      </c>
      <c r="D213" s="31" t="n">
        <v>10276.8</v>
      </c>
      <c r="E213" s="31" t="n">
        <v>10276.8</v>
      </c>
      <c r="F213" s="31" t="n">
        <v>10287.9</v>
      </c>
      <c r="G213" s="31" t="n">
        <v>10312.8</v>
      </c>
      <c r="H213" s="31" t="n">
        <v>10319.5</v>
      </c>
      <c r="I213" s="31" t="n">
        <v>10341.7</v>
      </c>
      <c r="J213" s="31" t="n">
        <v>10371.7</v>
      </c>
      <c r="K213" s="31" t="n">
        <v>6361.9</v>
      </c>
      <c r="L213" s="31" t="n">
        <v>6267</v>
      </c>
      <c r="M213" s="30" t="inlineStr">
        <is>
          <t>AMR2</t>
        </is>
      </c>
      <c r="N213" s="30" t="inlineStr">
        <is>
          <t>AMR1</t>
        </is>
      </c>
      <c r="O213" s="32" t="n">
        <v>0</v>
      </c>
      <c r="P213" s="32" t="n">
        <v>0</v>
      </c>
      <c r="Q213" s="32" t="n">
        <v>13</v>
      </c>
      <c r="R213" s="31" t="n">
        <v>34.3</v>
      </c>
      <c r="S213" s="31" t="n">
        <v>34.3</v>
      </c>
      <c r="T213" s="30" t="inlineStr">
        <is>
          <t>AMR2</t>
        </is>
      </c>
      <c r="U213" s="31" t="n">
        <v>52.4</v>
      </c>
      <c r="V213" s="31" t="n">
        <v>52.4</v>
      </c>
      <c r="W213" s="30" t="inlineStr">
        <is>
          <t>AMR1</t>
        </is>
      </c>
      <c r="X213" s="32" t="n">
        <v>0</v>
      </c>
      <c r="Y213" s="32" t="n">
        <v>0</v>
      </c>
      <c r="Z213" s="31" t="n">
        <v>0</v>
      </c>
      <c r="AA213" s="32" t="n">
        <v>0</v>
      </c>
      <c r="AB213" s="32" t="n">
        <v>0</v>
      </c>
      <c r="AC213" s="32" t="n">
        <v>0</v>
      </c>
      <c r="AD213" s="32" t="n">
        <v>0</v>
      </c>
      <c r="AE213" s="31" t="n">
        <v>0</v>
      </c>
      <c r="AF213" s="32" t="n">
        <v>0</v>
      </c>
      <c r="AG213" s="31" t="n">
        <v>0</v>
      </c>
      <c r="AH213" s="32" t="n">
        <v>40</v>
      </c>
      <c r="AI213" s="31" t="n">
        <v>44.2</v>
      </c>
      <c r="AJ213" s="31" t="n">
        <v>44</v>
      </c>
      <c r="AK213" s="31" t="n">
        <v>0</v>
      </c>
      <c r="AL213" s="30" t="inlineStr">
        <is>
          <t>T-0362</t>
        </is>
      </c>
      <c r="AM213" s="30" t="inlineStr">
        <is>
          <t>D-03-02</t>
        </is>
      </c>
      <c r="AN213" s="30" t="inlineStr">
        <is>
          <t>T-0231</t>
        </is>
      </c>
      <c r="AO213" s="30" t="inlineStr">
        <is>
          <t>D-01-03</t>
        </is>
      </c>
    </row>
    <row r="214">
      <c r="A214" s="30" t="inlineStr">
        <is>
          <t>O0213</t>
        </is>
      </c>
      <c r="B214" s="30" t="inlineStr">
        <is>
          <t>B</t>
        </is>
      </c>
      <c r="C214" s="31" t="n">
        <v>4015.2</v>
      </c>
      <c r="D214" s="31" t="n">
        <v>10326.9</v>
      </c>
      <c r="E214" s="31" t="n">
        <v>10326.9</v>
      </c>
      <c r="F214" s="31" t="n">
        <v>10338</v>
      </c>
      <c r="G214" s="31" t="n">
        <v>10362.6</v>
      </c>
      <c r="H214" s="31" t="n">
        <v>10377.4</v>
      </c>
      <c r="I214" s="31" t="n">
        <v>10406.5</v>
      </c>
      <c r="J214" s="31" t="n">
        <v>10438.1</v>
      </c>
      <c r="K214" s="31" t="n">
        <v>6422.9</v>
      </c>
      <c r="L214" s="31" t="n">
        <v>6311.7</v>
      </c>
      <c r="M214" s="30" t="inlineStr">
        <is>
          <t>AMR2</t>
        </is>
      </c>
      <c r="N214" s="30" t="inlineStr">
        <is>
          <t>AMR2</t>
        </is>
      </c>
      <c r="O214" s="32" t="n">
        <v>0</v>
      </c>
      <c r="P214" s="32" t="n">
        <v>0</v>
      </c>
      <c r="Q214" s="32" t="n">
        <v>15</v>
      </c>
      <c r="R214" s="31" t="n">
        <v>34.8</v>
      </c>
      <c r="S214" s="31" t="n">
        <v>34.8</v>
      </c>
      <c r="T214" s="30" t="inlineStr">
        <is>
          <t>AMR2</t>
        </is>
      </c>
      <c r="U214" s="31" t="n">
        <v>57.4</v>
      </c>
      <c r="V214" s="31" t="n">
        <v>57.4</v>
      </c>
      <c r="W214" s="30" t="inlineStr">
        <is>
          <t>AMR2</t>
        </is>
      </c>
      <c r="X214" s="32" t="n">
        <v>0</v>
      </c>
      <c r="Y214" s="32" t="n">
        <v>0</v>
      </c>
      <c r="Z214" s="31" t="n">
        <v>0</v>
      </c>
      <c r="AA214" s="32" t="n">
        <v>0</v>
      </c>
      <c r="AB214" s="32" t="n">
        <v>0</v>
      </c>
      <c r="AC214" s="32" t="n">
        <v>0</v>
      </c>
      <c r="AD214" s="32" t="n">
        <v>0</v>
      </c>
      <c r="AE214" s="31" t="n">
        <v>0</v>
      </c>
      <c r="AF214" s="32" t="n">
        <v>0</v>
      </c>
      <c r="AG214" s="31" t="n">
        <v>0</v>
      </c>
      <c r="AH214" s="32" t="n">
        <v>49</v>
      </c>
      <c r="AI214" s="31" t="n">
        <v>51.5</v>
      </c>
      <c r="AJ214" s="31" t="n">
        <v>44.9</v>
      </c>
      <c r="AK214" s="31" t="n">
        <v>0</v>
      </c>
      <c r="AL214" s="30" t="inlineStr">
        <is>
          <t>T-0363</t>
        </is>
      </c>
      <c r="AM214" s="30" t="inlineStr">
        <is>
          <t>B-04-02</t>
        </is>
      </c>
      <c r="AN214" s="30" t="inlineStr">
        <is>
          <t>T-0205</t>
        </is>
      </c>
      <c r="AO214" s="30" t="inlineStr">
        <is>
          <t>B-02-03</t>
        </is>
      </c>
    </row>
    <row r="215">
      <c r="A215" s="30" t="inlineStr">
        <is>
          <t>O0214</t>
        </is>
      </c>
      <c r="B215" s="30" t="inlineStr">
        <is>
          <t>C</t>
        </is>
      </c>
      <c r="C215" s="31" t="n">
        <v>4020.9</v>
      </c>
      <c r="D215" s="31" t="n">
        <v>10343.1</v>
      </c>
      <c r="E215" s="31" t="n">
        <v>10343.1</v>
      </c>
      <c r="F215" s="31" t="n">
        <v>10354</v>
      </c>
      <c r="G215" s="31" t="n">
        <v>10378</v>
      </c>
      <c r="H215" s="31" t="n">
        <v>10390.5</v>
      </c>
      <c r="I215" s="31" t="n">
        <v>10412.4</v>
      </c>
      <c r="J215" s="31" t="n">
        <v>10455.1</v>
      </c>
      <c r="K215" s="31" t="n">
        <v>6434.2</v>
      </c>
      <c r="L215" s="31" t="n">
        <v>6322.2</v>
      </c>
      <c r="M215" s="30" t="inlineStr">
        <is>
          <t>AMR3</t>
        </is>
      </c>
      <c r="N215" s="30" t="inlineStr">
        <is>
          <t>AMR3</t>
        </is>
      </c>
      <c r="O215" s="32" t="n">
        <v>0</v>
      </c>
      <c r="P215" s="32" t="n">
        <v>0</v>
      </c>
      <c r="Q215" s="32" t="n">
        <v>13</v>
      </c>
      <c r="R215" s="31" t="n">
        <v>33.2</v>
      </c>
      <c r="S215" s="31" t="n">
        <v>33.2</v>
      </c>
      <c r="T215" s="30" t="inlineStr">
        <is>
          <t>AMR3</t>
        </is>
      </c>
      <c r="U215" s="31" t="n">
        <v>53.3</v>
      </c>
      <c r="V215" s="31" t="n">
        <v>53.3</v>
      </c>
      <c r="W215" s="30" t="inlineStr">
        <is>
          <t>AMR3</t>
        </is>
      </c>
      <c r="X215" s="32" t="n">
        <v>0</v>
      </c>
      <c r="Y215" s="32" t="n">
        <v>0</v>
      </c>
      <c r="Z215" s="31" t="n">
        <v>0</v>
      </c>
      <c r="AA215" s="32" t="n">
        <v>0</v>
      </c>
      <c r="AB215" s="32" t="n">
        <v>0</v>
      </c>
      <c r="AC215" s="32" t="n">
        <v>0</v>
      </c>
      <c r="AD215" s="32" t="n">
        <v>1</v>
      </c>
      <c r="AE215" s="31" t="n">
        <v>9.9</v>
      </c>
      <c r="AF215" s="32" t="n">
        <v>1</v>
      </c>
      <c r="AG215" s="31" t="n">
        <v>4.9</v>
      </c>
      <c r="AH215" s="32" t="n">
        <v>40</v>
      </c>
      <c r="AI215" s="31" t="n">
        <v>42.7</v>
      </c>
      <c r="AJ215" s="31" t="n">
        <v>44.3</v>
      </c>
      <c r="AK215" s="31" t="n">
        <v>12.5</v>
      </c>
      <c r="AL215" s="30" t="inlineStr">
        <is>
          <t>T-0364</t>
        </is>
      </c>
      <c r="AM215" s="30" t="inlineStr">
        <is>
          <t>C-03-01</t>
        </is>
      </c>
      <c r="AN215" s="30" t="inlineStr">
        <is>
          <t>T-0237</t>
        </is>
      </c>
      <c r="AO215" s="30" t="inlineStr">
        <is>
          <t>C-01-02</t>
        </is>
      </c>
    </row>
    <row r="216">
      <c r="A216" s="30" t="inlineStr">
        <is>
          <t>O0215</t>
        </is>
      </c>
      <c r="B216" s="30" t="inlineStr">
        <is>
          <t>I</t>
        </is>
      </c>
      <c r="C216" s="31" t="n">
        <v>4027.1</v>
      </c>
      <c r="D216" s="31" t="n">
        <v>10395.4</v>
      </c>
      <c r="E216" s="31" t="n">
        <v>10395.4</v>
      </c>
      <c r="F216" s="31" t="n">
        <v>10411.7</v>
      </c>
      <c r="G216" s="31" t="n">
        <v>10438.8</v>
      </c>
      <c r="H216" s="31" t="n">
        <v>10454.9</v>
      </c>
      <c r="I216" s="31" t="n">
        <v>10495.4</v>
      </c>
      <c r="J216" s="31" t="n">
        <v>10522.5</v>
      </c>
      <c r="K216" s="31" t="n">
        <v>6495.4</v>
      </c>
      <c r="L216" s="31" t="n">
        <v>6368.3</v>
      </c>
      <c r="M216" s="30" t="inlineStr">
        <is>
          <t>AMR1</t>
        </is>
      </c>
      <c r="N216" s="30" t="inlineStr">
        <is>
          <t>AMR1</t>
        </is>
      </c>
      <c r="O216" s="32" t="n">
        <v>0</v>
      </c>
      <c r="P216" s="32" t="n">
        <v>0</v>
      </c>
      <c r="Q216" s="32" t="n">
        <v>15</v>
      </c>
      <c r="R216" s="31" t="n">
        <v>41.7</v>
      </c>
      <c r="S216" s="31" t="n">
        <v>41.7</v>
      </c>
      <c r="T216" s="30" t="inlineStr">
        <is>
          <t>AMR1</t>
        </is>
      </c>
      <c r="U216" s="31" t="n">
        <v>53.7</v>
      </c>
      <c r="V216" s="31" t="n">
        <v>53.7</v>
      </c>
      <c r="W216" s="30" t="inlineStr">
        <is>
          <t>AMR1</t>
        </is>
      </c>
      <c r="X216" s="32" t="n">
        <v>0</v>
      </c>
      <c r="Y216" s="32" t="n">
        <v>0</v>
      </c>
      <c r="Z216" s="31" t="n">
        <v>0</v>
      </c>
      <c r="AA216" s="32" t="n">
        <v>0</v>
      </c>
      <c r="AB216" s="32" t="n">
        <v>1</v>
      </c>
      <c r="AC216" s="32" t="n">
        <v>2</v>
      </c>
      <c r="AD216" s="32" t="n">
        <v>1</v>
      </c>
      <c r="AE216" s="31" t="n">
        <v>5</v>
      </c>
      <c r="AF216" s="32" t="n">
        <v>1</v>
      </c>
      <c r="AG216" s="31" t="n">
        <v>0.6</v>
      </c>
      <c r="AH216" s="32" t="n">
        <v>46</v>
      </c>
      <c r="AI216" s="31" t="n">
        <v>50.8</v>
      </c>
      <c r="AJ216" s="31" t="n">
        <v>49.6</v>
      </c>
      <c r="AK216" s="31" t="n">
        <v>10.6</v>
      </c>
      <c r="AL216" s="30" t="inlineStr">
        <is>
          <t>T-0365</t>
        </is>
      </c>
      <c r="AM216" s="30" t="inlineStr">
        <is>
          <t>I-03-01</t>
        </is>
      </c>
      <c r="AN216" s="30" t="inlineStr">
        <is>
          <t>T-0275</t>
        </is>
      </c>
      <c r="AO216" s="30" t="inlineStr">
        <is>
          <t>I-04-01</t>
        </is>
      </c>
    </row>
    <row r="217">
      <c r="A217" s="30" t="inlineStr">
        <is>
          <t>O0216</t>
        </is>
      </c>
      <c r="B217" s="30" t="inlineStr">
        <is>
          <t>H</t>
        </is>
      </c>
      <c r="C217" s="31" t="n">
        <v>4031.6</v>
      </c>
      <c r="D217" s="31" t="n">
        <v>10465.8</v>
      </c>
      <c r="E217" s="31" t="n">
        <v>10465.8</v>
      </c>
      <c r="F217" s="31" t="n">
        <v>10477.7</v>
      </c>
      <c r="G217" s="31" t="n">
        <v>10505.8</v>
      </c>
      <c r="H217" s="31" t="n">
        <v>10520.3</v>
      </c>
      <c r="I217" s="31" t="n">
        <v>10545.8</v>
      </c>
      <c r="J217" s="31" t="n">
        <v>10569.9</v>
      </c>
      <c r="K217" s="31" t="n">
        <v>6538.3</v>
      </c>
      <c r="L217" s="31" t="n">
        <v>6434.2</v>
      </c>
      <c r="M217" s="30" t="inlineStr">
        <is>
          <t>AMR2</t>
        </is>
      </c>
      <c r="N217" s="30" t="inlineStr">
        <is>
          <t>AMR2</t>
        </is>
      </c>
      <c r="O217" s="32" t="n">
        <v>0</v>
      </c>
      <c r="P217" s="32" t="n">
        <v>0</v>
      </c>
      <c r="Q217" s="32" t="n">
        <v>15</v>
      </c>
      <c r="R217" s="31" t="n">
        <v>38.3</v>
      </c>
      <c r="S217" s="31" t="n">
        <v>38.3</v>
      </c>
      <c r="T217" s="30" t="inlineStr">
        <is>
          <t>AMR2</t>
        </is>
      </c>
      <c r="U217" s="31" t="n">
        <v>49.7</v>
      </c>
      <c r="V217" s="31" t="n">
        <v>49.7</v>
      </c>
      <c r="W217" s="30" t="inlineStr">
        <is>
          <t>AMR2</t>
        </is>
      </c>
      <c r="X217" s="32" t="n">
        <v>0</v>
      </c>
      <c r="Y217" s="32" t="n">
        <v>0</v>
      </c>
      <c r="Z217" s="31" t="n">
        <v>0</v>
      </c>
      <c r="AA217" s="32" t="n">
        <v>0</v>
      </c>
      <c r="AB217" s="32" t="n">
        <v>0</v>
      </c>
      <c r="AC217" s="32" t="n">
        <v>0</v>
      </c>
      <c r="AD217" s="32" t="n">
        <v>0</v>
      </c>
      <c r="AE217" s="31" t="n">
        <v>0</v>
      </c>
      <c r="AF217" s="32" t="n">
        <v>0</v>
      </c>
      <c r="AG217" s="31" t="n">
        <v>0</v>
      </c>
      <c r="AH217" s="32" t="n">
        <v>44</v>
      </c>
      <c r="AI217" s="31" t="n">
        <v>46.9</v>
      </c>
      <c r="AJ217" s="31" t="n">
        <v>42.7</v>
      </c>
      <c r="AK217" s="31" t="n">
        <v>0</v>
      </c>
      <c r="AL217" s="30" t="inlineStr">
        <is>
          <t>T-0366</t>
        </is>
      </c>
      <c r="AM217" s="30" t="inlineStr">
        <is>
          <t>H-03-01</t>
        </is>
      </c>
      <c r="AN217" s="30" t="inlineStr">
        <is>
          <t>T-0232</t>
        </is>
      </c>
      <c r="AO217" s="30" t="inlineStr">
        <is>
          <t>H-03-02</t>
        </is>
      </c>
    </row>
    <row r="218">
      <c r="A218" s="30" t="inlineStr">
        <is>
          <t>O0217</t>
        </is>
      </c>
      <c r="B218" s="30" t="inlineStr">
        <is>
          <t>A</t>
        </is>
      </c>
      <c r="C218" s="31" t="n">
        <v>4037.9</v>
      </c>
      <c r="D218" s="31" t="n">
        <v>10483.8</v>
      </c>
      <c r="E218" s="31" t="n">
        <v>10483.8</v>
      </c>
      <c r="F218" s="31" t="n">
        <v>10498</v>
      </c>
      <c r="G218" s="31" t="n">
        <v>10525.9</v>
      </c>
      <c r="H218" s="31" t="n">
        <v>10546.2</v>
      </c>
      <c r="I218" s="31" t="n">
        <v>10584.7</v>
      </c>
      <c r="J218" s="31" t="n">
        <v>10623.9</v>
      </c>
      <c r="K218" s="31" t="n">
        <v>6586</v>
      </c>
      <c r="L218" s="31" t="n">
        <v>6445.9</v>
      </c>
      <c r="M218" s="30" t="inlineStr">
        <is>
          <t>AMR3</t>
        </is>
      </c>
      <c r="N218" s="30" t="inlineStr">
        <is>
          <t>AMR1</t>
        </is>
      </c>
      <c r="O218" s="32" t="n">
        <v>0</v>
      </c>
      <c r="P218" s="32" t="n">
        <v>0</v>
      </c>
      <c r="Q218" s="32" t="n">
        <v>21</v>
      </c>
      <c r="R218" s="31" t="n">
        <v>39.6</v>
      </c>
      <c r="S218" s="31" t="n">
        <v>39.6</v>
      </c>
      <c r="T218" s="30" t="inlineStr">
        <is>
          <t>AMR3</t>
        </is>
      </c>
      <c r="U218" s="31" t="n">
        <v>70.09999999999999</v>
      </c>
      <c r="V218" s="31" t="n">
        <v>70.09999999999999</v>
      </c>
      <c r="W218" s="30" t="inlineStr">
        <is>
          <t>AMR1</t>
        </is>
      </c>
      <c r="X218" s="32" t="n">
        <v>0</v>
      </c>
      <c r="Y218" s="32" t="n">
        <v>0</v>
      </c>
      <c r="Z218" s="31" t="n">
        <v>0</v>
      </c>
      <c r="AA218" s="32" t="n">
        <v>0</v>
      </c>
      <c r="AB218" s="32" t="n">
        <v>1</v>
      </c>
      <c r="AC218" s="32" t="n">
        <v>1</v>
      </c>
      <c r="AD218" s="32" t="n">
        <v>0</v>
      </c>
      <c r="AE218" s="31" t="n">
        <v>0</v>
      </c>
      <c r="AF218" s="32" t="n">
        <v>0</v>
      </c>
      <c r="AG218" s="31" t="n">
        <v>0</v>
      </c>
      <c r="AH218" s="32" t="n">
        <v>67</v>
      </c>
      <c r="AI218" s="31" t="n">
        <v>69.2</v>
      </c>
      <c r="AJ218" s="31" t="n">
        <v>47.6</v>
      </c>
      <c r="AK218" s="31" t="n">
        <v>3</v>
      </c>
      <c r="AL218" s="30" t="inlineStr">
        <is>
          <t>T-0367</t>
        </is>
      </c>
      <c r="AM218" s="30" t="inlineStr">
        <is>
          <t>A-02-01</t>
        </is>
      </c>
      <c r="AN218" s="30" t="inlineStr">
        <is>
          <t>T-0160</t>
        </is>
      </c>
      <c r="AO218" s="30" t="inlineStr">
        <is>
          <t>A-03-01</t>
        </is>
      </c>
    </row>
    <row r="219">
      <c r="A219" s="30" t="inlineStr">
        <is>
          <t>O0218</t>
        </is>
      </c>
      <c r="B219" s="30" t="inlineStr">
        <is>
          <t>F</t>
        </is>
      </c>
      <c r="C219" s="31" t="n">
        <v>4044.8</v>
      </c>
      <c r="D219" s="31" t="n">
        <v>10552.6</v>
      </c>
      <c r="E219" s="31" t="n">
        <v>10552.6</v>
      </c>
      <c r="F219" s="31" t="n">
        <v>10565</v>
      </c>
      <c r="G219" s="31" t="n">
        <v>10597.1</v>
      </c>
      <c r="H219" s="31" t="n">
        <v>10623.8</v>
      </c>
      <c r="I219" s="31" t="n">
        <v>10655.6</v>
      </c>
      <c r="J219" s="31" t="n">
        <v>10692.7</v>
      </c>
      <c r="K219" s="31" t="n">
        <v>6647.9</v>
      </c>
      <c r="L219" s="31" t="n">
        <v>6507.8</v>
      </c>
      <c r="M219" s="30" t="inlineStr">
        <is>
          <t>AMR3</t>
        </is>
      </c>
      <c r="N219" s="30" t="inlineStr">
        <is>
          <t>AMR3</t>
        </is>
      </c>
      <c r="O219" s="32" t="n">
        <v>0</v>
      </c>
      <c r="P219" s="32" t="n">
        <v>0</v>
      </c>
      <c r="Q219" s="32" t="n">
        <v>23</v>
      </c>
      <c r="R219" s="31" t="n">
        <v>44.4</v>
      </c>
      <c r="S219" s="31" t="n">
        <v>44.4</v>
      </c>
      <c r="T219" s="30" t="inlineStr">
        <is>
          <t>AMR3</t>
        </is>
      </c>
      <c r="U219" s="31" t="n">
        <v>65.59999999999999</v>
      </c>
      <c r="V219" s="31" t="n">
        <v>65.59999999999999</v>
      </c>
      <c r="W219" s="30" t="inlineStr">
        <is>
          <t>AMR3</t>
        </is>
      </c>
      <c r="X219" s="32" t="n">
        <v>0</v>
      </c>
      <c r="Y219" s="32" t="n">
        <v>0</v>
      </c>
      <c r="Z219" s="31" t="n">
        <v>0</v>
      </c>
      <c r="AA219" s="32" t="n">
        <v>0</v>
      </c>
      <c r="AB219" s="32" t="n">
        <v>0</v>
      </c>
      <c r="AC219" s="32" t="n">
        <v>0</v>
      </c>
      <c r="AD219" s="32" t="n">
        <v>0</v>
      </c>
      <c r="AE219" s="31" t="n">
        <v>0</v>
      </c>
      <c r="AF219" s="32" t="n">
        <v>0</v>
      </c>
      <c r="AG219" s="31" t="n">
        <v>0</v>
      </c>
      <c r="AH219" s="32" t="n">
        <v>68</v>
      </c>
      <c r="AI219" s="31" t="n">
        <v>68.59999999999999</v>
      </c>
      <c r="AJ219" s="31" t="n">
        <v>44.8</v>
      </c>
      <c r="AK219" s="31" t="n">
        <v>0</v>
      </c>
      <c r="AL219" s="30" t="inlineStr">
        <is>
          <t>T-0368</t>
        </is>
      </c>
      <c r="AM219" s="30" t="inlineStr">
        <is>
          <t>F-06-01</t>
        </is>
      </c>
      <c r="AN219" s="30" t="inlineStr">
        <is>
          <t>T-0202</t>
        </is>
      </c>
      <c r="AO219" s="30" t="inlineStr">
        <is>
          <t>F-02-02</t>
        </is>
      </c>
    </row>
    <row r="220">
      <c r="A220" s="30" t="inlineStr">
        <is>
          <t>O0219</t>
        </is>
      </c>
      <c r="B220" s="30" t="inlineStr">
        <is>
          <t>H</t>
        </is>
      </c>
      <c r="C220" s="31" t="n">
        <v>4048.4</v>
      </c>
      <c r="D220" s="31" t="n">
        <v>10593.6</v>
      </c>
      <c r="E220" s="31" t="n">
        <v>10593.6</v>
      </c>
      <c r="F220" s="31" t="n">
        <v>10607.3</v>
      </c>
      <c r="G220" s="31" t="n">
        <v>10640.6</v>
      </c>
      <c r="H220" s="31" t="n">
        <v>10647.6</v>
      </c>
      <c r="I220" s="31" t="n">
        <v>10678.7</v>
      </c>
      <c r="J220" s="31" t="n">
        <v>10707</v>
      </c>
      <c r="K220" s="31" t="n">
        <v>6658.6</v>
      </c>
      <c r="L220" s="31" t="n">
        <v>6545.2</v>
      </c>
      <c r="M220" s="30" t="inlineStr">
        <is>
          <t>AMR2</t>
        </is>
      </c>
      <c r="N220" s="30" t="inlineStr">
        <is>
          <t>AMR1</t>
        </is>
      </c>
      <c r="O220" s="32" t="n">
        <v>0</v>
      </c>
      <c r="P220" s="32" t="n">
        <v>0</v>
      </c>
      <c r="Q220" s="32" t="n">
        <v>15</v>
      </c>
      <c r="R220" s="31" t="n">
        <v>40.6</v>
      </c>
      <c r="S220" s="31" t="n">
        <v>40.6</v>
      </c>
      <c r="T220" s="30" t="inlineStr">
        <is>
          <t>AMR2</t>
        </is>
      </c>
      <c r="U220" s="31" t="n">
        <v>52.1</v>
      </c>
      <c r="V220" s="31" t="n">
        <v>52.1</v>
      </c>
      <c r="W220" s="30" t="inlineStr">
        <is>
          <t>AMR1</t>
        </is>
      </c>
      <c r="X220" s="32" t="n">
        <v>0</v>
      </c>
      <c r="Y220" s="32" t="n">
        <v>0</v>
      </c>
      <c r="Z220" s="31" t="n">
        <v>0</v>
      </c>
      <c r="AA220" s="32" t="n">
        <v>0</v>
      </c>
      <c r="AB220" s="32" t="n">
        <v>2</v>
      </c>
      <c r="AC220" s="32" t="n">
        <v>2</v>
      </c>
      <c r="AD220" s="32" t="n">
        <v>1</v>
      </c>
      <c r="AE220" s="31" t="n">
        <v>3.8</v>
      </c>
      <c r="AF220" s="32" t="n">
        <v>1</v>
      </c>
      <c r="AG220" s="31" t="n">
        <v>0.2</v>
      </c>
      <c r="AH220" s="32" t="n">
        <v>40</v>
      </c>
      <c r="AI220" s="31" t="n">
        <v>45.3</v>
      </c>
      <c r="AJ220" s="31" t="n">
        <v>47.4</v>
      </c>
      <c r="AK220" s="31" t="n">
        <v>13.7</v>
      </c>
      <c r="AL220" s="30" t="inlineStr">
        <is>
          <t>T-0369</t>
        </is>
      </c>
      <c r="AM220" s="30" t="inlineStr">
        <is>
          <t>H-03-02</t>
        </is>
      </c>
      <c r="AN220" s="30" t="inlineStr">
        <is>
          <t>T-0235</t>
        </is>
      </c>
      <c r="AO220" s="30" t="inlineStr">
        <is>
          <t>H-06-02</t>
        </is>
      </c>
    </row>
    <row r="221">
      <c r="A221" s="30" t="inlineStr">
        <is>
          <t>O0220</t>
        </is>
      </c>
      <c r="B221" s="30" t="inlineStr">
        <is>
          <t>I</t>
        </is>
      </c>
      <c r="C221" s="31" t="n">
        <v>4054.6</v>
      </c>
      <c r="D221" s="31" t="n">
        <v>10659.1</v>
      </c>
      <c r="E221" s="31" t="n">
        <v>10659.1</v>
      </c>
      <c r="F221" s="31" t="n">
        <v>10675.2</v>
      </c>
      <c r="G221" s="31" t="n">
        <v>10702</v>
      </c>
      <c r="H221" s="31" t="n">
        <v>10716.4</v>
      </c>
      <c r="I221" s="31" t="n">
        <v>10748.5</v>
      </c>
      <c r="J221" s="31" t="n">
        <v>10779.5</v>
      </c>
      <c r="K221" s="31" t="n">
        <v>6724.9</v>
      </c>
      <c r="L221" s="31" t="n">
        <v>6604.5</v>
      </c>
      <c r="M221" s="30" t="inlineStr">
        <is>
          <t>AMR2</t>
        </is>
      </c>
      <c r="N221" s="30" t="inlineStr">
        <is>
          <t>AMR3</t>
        </is>
      </c>
      <c r="O221" s="32" t="n">
        <v>0</v>
      </c>
      <c r="P221" s="32" t="n">
        <v>0</v>
      </c>
      <c r="Q221" s="32" t="n">
        <v>15</v>
      </c>
      <c r="R221" s="31" t="n">
        <v>40.4</v>
      </c>
      <c r="S221" s="31" t="n">
        <v>40.4</v>
      </c>
      <c r="T221" s="30" t="inlineStr">
        <is>
          <t>AMR2</t>
        </is>
      </c>
      <c r="U221" s="31" t="n">
        <v>55.4</v>
      </c>
      <c r="V221" s="31" t="n">
        <v>55.4</v>
      </c>
      <c r="W221" s="30" t="inlineStr">
        <is>
          <t>AMR3</t>
        </is>
      </c>
      <c r="X221" s="32" t="n">
        <v>0</v>
      </c>
      <c r="Y221" s="32" t="n">
        <v>0</v>
      </c>
      <c r="Z221" s="31" t="n">
        <v>0</v>
      </c>
      <c r="AA221" s="32" t="n">
        <v>0</v>
      </c>
      <c r="AB221" s="32" t="n">
        <v>1</v>
      </c>
      <c r="AC221" s="32" t="n">
        <v>1</v>
      </c>
      <c r="AD221" s="32" t="n">
        <v>0</v>
      </c>
      <c r="AE221" s="31" t="n">
        <v>0</v>
      </c>
      <c r="AF221" s="32" t="n">
        <v>0</v>
      </c>
      <c r="AG221" s="31" t="n">
        <v>0</v>
      </c>
      <c r="AH221" s="32" t="n">
        <v>47</v>
      </c>
      <c r="AI221" s="31" t="n">
        <v>53</v>
      </c>
      <c r="AJ221" s="31" t="n">
        <v>50</v>
      </c>
      <c r="AK221" s="31" t="n">
        <v>3</v>
      </c>
      <c r="AL221" s="30" t="inlineStr">
        <is>
          <t>T-0370</t>
        </is>
      </c>
      <c r="AM221" s="30" t="inlineStr">
        <is>
          <t>I-04-01</t>
        </is>
      </c>
      <c r="AN221" s="30" t="inlineStr">
        <is>
          <t>T-0286</t>
        </is>
      </c>
      <c r="AO221" s="30" t="inlineStr">
        <is>
          <t>I-05-01</t>
        </is>
      </c>
    </row>
    <row r="222">
      <c r="A222" s="30" t="inlineStr">
        <is>
          <t>O0221</t>
        </is>
      </c>
      <c r="B222" s="30" t="inlineStr">
        <is>
          <t>E</t>
        </is>
      </c>
      <c r="C222" s="31" t="n">
        <v>4059.4</v>
      </c>
      <c r="D222" s="31" t="n">
        <v>10726.3</v>
      </c>
      <c r="E222" s="31" t="n">
        <v>10726.3</v>
      </c>
      <c r="F222" s="31" t="n">
        <v>10739.4</v>
      </c>
      <c r="G222" s="31" t="n">
        <v>10768.3</v>
      </c>
      <c r="H222" s="31" t="n">
        <v>10787.8</v>
      </c>
      <c r="I222" s="31" t="n">
        <v>10818.7</v>
      </c>
      <c r="J222" s="31" t="n">
        <v>10857.3</v>
      </c>
      <c r="K222" s="31" t="n">
        <v>6797.9</v>
      </c>
      <c r="L222" s="31" t="n">
        <v>6666.9</v>
      </c>
      <c r="M222" s="30" t="inlineStr">
        <is>
          <t>AMR2</t>
        </is>
      </c>
      <c r="N222" s="30" t="inlineStr">
        <is>
          <t>AMR2</t>
        </is>
      </c>
      <c r="O222" s="32" t="n">
        <v>0</v>
      </c>
      <c r="P222" s="32" t="n">
        <v>0</v>
      </c>
      <c r="Q222" s="32" t="n">
        <v>19</v>
      </c>
      <c r="R222" s="31" t="n">
        <v>40.3</v>
      </c>
      <c r="S222" s="31" t="n">
        <v>40.3</v>
      </c>
      <c r="T222" s="30" t="inlineStr">
        <is>
          <t>AMR2</t>
        </is>
      </c>
      <c r="U222" s="31" t="n">
        <v>66.2</v>
      </c>
      <c r="V222" s="31" t="n">
        <v>66.2</v>
      </c>
      <c r="W222" s="30" t="inlineStr">
        <is>
          <t>AMR2</t>
        </is>
      </c>
      <c r="X222" s="32" t="n">
        <v>0</v>
      </c>
      <c r="Y222" s="32" t="n">
        <v>0</v>
      </c>
      <c r="Z222" s="31" t="n">
        <v>0</v>
      </c>
      <c r="AA222" s="32" t="n">
        <v>0</v>
      </c>
      <c r="AB222" s="32" t="n">
        <v>1</v>
      </c>
      <c r="AC222" s="32" t="n">
        <v>0</v>
      </c>
      <c r="AD222" s="32" t="n">
        <v>0</v>
      </c>
      <c r="AE222" s="31" t="n">
        <v>0</v>
      </c>
      <c r="AF222" s="32" t="n">
        <v>0</v>
      </c>
      <c r="AG222" s="31" t="n">
        <v>0</v>
      </c>
      <c r="AH222" s="32" t="n">
        <v>62</v>
      </c>
      <c r="AI222" s="31" t="n">
        <v>62.5</v>
      </c>
      <c r="AJ222" s="31" t="n">
        <v>49</v>
      </c>
      <c r="AK222" s="31" t="n">
        <v>0</v>
      </c>
      <c r="AL222" s="30" t="inlineStr">
        <is>
          <t>T-0371</t>
        </is>
      </c>
      <c r="AM222" s="30" t="inlineStr">
        <is>
          <t>E-03-01</t>
        </is>
      </c>
      <c r="AN222" s="30" t="inlineStr">
        <is>
          <t>T-0182</t>
        </is>
      </c>
      <c r="AO222" s="30" t="inlineStr">
        <is>
          <t>E-04-01</t>
        </is>
      </c>
    </row>
    <row r="223">
      <c r="A223" s="30" t="inlineStr">
        <is>
          <t>O0222</t>
        </is>
      </c>
      <c r="B223" s="30" t="inlineStr">
        <is>
          <t>A</t>
        </is>
      </c>
      <c r="C223" s="31" t="n">
        <v>4065.8</v>
      </c>
      <c r="D223" s="31" t="n">
        <v>10739.5</v>
      </c>
      <c r="E223" s="31" t="n">
        <v>10739.5</v>
      </c>
      <c r="F223" s="31" t="n">
        <v>10752</v>
      </c>
      <c r="G223" s="31" t="n">
        <v>10781.6</v>
      </c>
      <c r="H223" s="31" t="n">
        <v>10802.5</v>
      </c>
      <c r="I223" s="31" t="n">
        <v>10828.9</v>
      </c>
      <c r="J223" s="31" t="n">
        <v>10870.6</v>
      </c>
      <c r="K223" s="31" t="n">
        <v>6804.8</v>
      </c>
      <c r="L223" s="31" t="n">
        <v>6673.7</v>
      </c>
      <c r="M223" s="30" t="inlineStr">
        <is>
          <t>AMR1</t>
        </is>
      </c>
      <c r="N223" s="30" t="inlineStr">
        <is>
          <t>AMR1</t>
        </is>
      </c>
      <c r="O223" s="32" t="n">
        <v>0</v>
      </c>
      <c r="P223" s="32" t="n">
        <v>0</v>
      </c>
      <c r="Q223" s="32" t="n">
        <v>21</v>
      </c>
      <c r="R223" s="31" t="n">
        <v>40.4</v>
      </c>
      <c r="S223" s="31" t="n">
        <v>40.4</v>
      </c>
      <c r="T223" s="30" t="inlineStr">
        <is>
          <t>AMR1</t>
        </is>
      </c>
      <c r="U223" s="31" t="n">
        <v>60.9</v>
      </c>
      <c r="V223" s="31" t="n">
        <v>60.9</v>
      </c>
      <c r="W223" s="30" t="inlineStr">
        <is>
          <t>AMR1</t>
        </is>
      </c>
      <c r="X223" s="32" t="n">
        <v>0</v>
      </c>
      <c r="Y223" s="32" t="n">
        <v>0</v>
      </c>
      <c r="Z223" s="31" t="n">
        <v>0</v>
      </c>
      <c r="AA223" s="32" t="n">
        <v>0</v>
      </c>
      <c r="AB223" s="32" t="n">
        <v>0</v>
      </c>
      <c r="AC223" s="32" t="n">
        <v>0</v>
      </c>
      <c r="AD223" s="32" t="n">
        <v>1</v>
      </c>
      <c r="AE223" s="31" t="n">
        <v>6.9</v>
      </c>
      <c r="AF223" s="32" t="n">
        <v>1</v>
      </c>
      <c r="AG223" s="31" t="n">
        <v>1.9</v>
      </c>
      <c r="AH223" s="32" t="n">
        <v>64</v>
      </c>
      <c r="AI223" s="31" t="n">
        <v>64.09999999999999</v>
      </c>
      <c r="AJ223" s="31" t="n">
        <v>39.2</v>
      </c>
      <c r="AK223" s="31" t="n">
        <v>6.9</v>
      </c>
      <c r="AL223" s="30" t="inlineStr">
        <is>
          <t>T-0372</t>
        </is>
      </c>
      <c r="AM223" s="30" t="inlineStr">
        <is>
          <t>A-03-01</t>
        </is>
      </c>
      <c r="AN223" s="30" t="inlineStr">
        <is>
          <t>T-0177</t>
        </is>
      </c>
      <c r="AO223" s="30" t="inlineStr">
        <is>
          <t>A-05-01</t>
        </is>
      </c>
    </row>
    <row r="224">
      <c r="A224" s="30" t="inlineStr">
        <is>
          <t>O0223</t>
        </is>
      </c>
      <c r="B224" s="30" t="inlineStr">
        <is>
          <t>I</t>
        </is>
      </c>
      <c r="C224" s="31" t="n">
        <v>4072.3</v>
      </c>
      <c r="D224" s="31" t="n">
        <v>10805.9</v>
      </c>
      <c r="E224" s="31" t="n">
        <v>10805.9</v>
      </c>
      <c r="F224" s="31" t="n">
        <v>10818.8</v>
      </c>
      <c r="G224" s="31" t="n">
        <v>10850.9</v>
      </c>
      <c r="H224" s="31" t="n">
        <v>10867.7</v>
      </c>
      <c r="I224" s="31" t="n">
        <v>10907.8</v>
      </c>
      <c r="J224" s="31" t="n">
        <v>10939.6</v>
      </c>
      <c r="K224" s="31" t="n">
        <v>6867.3</v>
      </c>
      <c r="L224" s="31" t="n">
        <v>6733.6</v>
      </c>
      <c r="M224" s="30" t="inlineStr">
        <is>
          <t>AMR3</t>
        </is>
      </c>
      <c r="N224" s="30" t="inlineStr">
        <is>
          <t>AMR3</t>
        </is>
      </c>
      <c r="O224" s="32" t="n">
        <v>0</v>
      </c>
      <c r="P224" s="32" t="n">
        <v>0</v>
      </c>
      <c r="Q224" s="32" t="n">
        <v>15</v>
      </c>
      <c r="R224" s="31" t="n">
        <v>39</v>
      </c>
      <c r="S224" s="31" t="n">
        <v>39</v>
      </c>
      <c r="T224" s="30" t="inlineStr">
        <is>
          <t>AMR3</t>
        </is>
      </c>
      <c r="U224" s="31" t="n">
        <v>56.5</v>
      </c>
      <c r="V224" s="31" t="n">
        <v>56.5</v>
      </c>
      <c r="W224" s="30" t="inlineStr">
        <is>
          <t>AMR3</t>
        </is>
      </c>
      <c r="X224" s="32" t="n">
        <v>0</v>
      </c>
      <c r="Y224" s="32" t="n">
        <v>0</v>
      </c>
      <c r="Z224" s="31" t="n">
        <v>0</v>
      </c>
      <c r="AA224" s="32" t="n">
        <v>0</v>
      </c>
      <c r="AB224" s="32" t="n">
        <v>2</v>
      </c>
      <c r="AC224" s="32" t="n">
        <v>2</v>
      </c>
      <c r="AD224" s="32" t="n">
        <v>1</v>
      </c>
      <c r="AE224" s="31" t="n">
        <v>3.5</v>
      </c>
      <c r="AF224" s="32" t="n">
        <v>2</v>
      </c>
      <c r="AG224" s="31" t="n">
        <v>0.6</v>
      </c>
      <c r="AH224" s="32" t="n">
        <v>49</v>
      </c>
      <c r="AI224" s="31" t="n">
        <v>53.1</v>
      </c>
      <c r="AJ224" s="31" t="n">
        <v>49.7</v>
      </c>
      <c r="AK224" s="31" t="n">
        <v>14.1</v>
      </c>
      <c r="AL224" s="30" t="inlineStr">
        <is>
          <t>T-0373</t>
        </is>
      </c>
      <c r="AM224" s="30" t="inlineStr">
        <is>
          <t>I-05-01</t>
        </is>
      </c>
      <c r="AN224" s="30" t="inlineStr">
        <is>
          <t>T-0287</t>
        </is>
      </c>
      <c r="AO224" s="30" t="inlineStr">
        <is>
          <t>I-06-01</t>
        </is>
      </c>
    </row>
    <row r="225">
      <c r="A225" s="30" t="inlineStr">
        <is>
          <t>O0224</t>
        </is>
      </c>
      <c r="B225" s="30" t="inlineStr">
        <is>
          <t>C</t>
        </is>
      </c>
      <c r="C225" s="31" t="n">
        <v>4077.8</v>
      </c>
      <c r="D225" s="31" t="n">
        <v>10885.4</v>
      </c>
      <c r="E225" s="31" t="n">
        <v>10885.4</v>
      </c>
      <c r="F225" s="31" t="n">
        <v>10897.4</v>
      </c>
      <c r="G225" s="31" t="n">
        <v>10921.3</v>
      </c>
      <c r="H225" s="31" t="n">
        <v>10932.8</v>
      </c>
      <c r="I225" s="31" t="n">
        <v>10958</v>
      </c>
      <c r="J225" s="31" t="n">
        <v>10984.3</v>
      </c>
      <c r="K225" s="31" t="n">
        <v>6906.5</v>
      </c>
      <c r="L225" s="31" t="n">
        <v>6807.6</v>
      </c>
      <c r="M225" s="30" t="inlineStr">
        <is>
          <t>AMR2</t>
        </is>
      </c>
      <c r="N225" s="30" t="inlineStr">
        <is>
          <t>AMR2</t>
        </is>
      </c>
      <c r="O225" s="32" t="n">
        <v>0</v>
      </c>
      <c r="P225" s="32" t="n">
        <v>0</v>
      </c>
      <c r="Q225" s="32" t="n">
        <v>13</v>
      </c>
      <c r="R225" s="31" t="n">
        <v>35.8</v>
      </c>
      <c r="S225" s="31" t="n">
        <v>35.8</v>
      </c>
      <c r="T225" s="30" t="inlineStr">
        <is>
          <t>AMR2</t>
        </is>
      </c>
      <c r="U225" s="31" t="n">
        <v>52.7</v>
      </c>
      <c r="V225" s="31" t="n">
        <v>52.7</v>
      </c>
      <c r="W225" s="30" t="inlineStr">
        <is>
          <t>AMR2</t>
        </is>
      </c>
      <c r="X225" s="32" t="n">
        <v>0</v>
      </c>
      <c r="Y225" s="32" t="n">
        <v>0</v>
      </c>
      <c r="Z225" s="31" t="n">
        <v>0</v>
      </c>
      <c r="AA225" s="32" t="n">
        <v>0</v>
      </c>
      <c r="AB225" s="32" t="n">
        <v>0</v>
      </c>
      <c r="AC225" s="32" t="n">
        <v>0</v>
      </c>
      <c r="AD225" s="32" t="n">
        <v>0</v>
      </c>
      <c r="AE225" s="31" t="n">
        <v>0</v>
      </c>
      <c r="AF225" s="32" t="n">
        <v>0</v>
      </c>
      <c r="AG225" s="31" t="n">
        <v>0</v>
      </c>
      <c r="AH225" s="32" t="n">
        <v>38</v>
      </c>
      <c r="AI225" s="31" t="n">
        <v>41.1</v>
      </c>
      <c r="AJ225" s="31" t="n">
        <v>46.3</v>
      </c>
      <c r="AK225" s="31" t="n">
        <v>0</v>
      </c>
      <c r="AL225" s="30" t="inlineStr">
        <is>
          <t>T-0374</t>
        </is>
      </c>
      <c r="AM225" s="30" t="inlineStr">
        <is>
          <t>C-06-01</t>
        </is>
      </c>
      <c r="AN225" s="30" t="inlineStr">
        <is>
          <t>T-0249</t>
        </is>
      </c>
      <c r="AO225" s="30" t="inlineStr">
        <is>
          <t>C-02-02</t>
        </is>
      </c>
    </row>
    <row r="226">
      <c r="A226" s="30" t="inlineStr">
        <is>
          <t>O0225</t>
        </is>
      </c>
      <c r="B226" s="30" t="inlineStr">
        <is>
          <t>D</t>
        </is>
      </c>
      <c r="C226" s="31" t="n">
        <v>4084.2</v>
      </c>
      <c r="D226" s="31" t="n">
        <v>10898.7</v>
      </c>
      <c r="E226" s="31" t="n">
        <v>10898.7</v>
      </c>
      <c r="F226" s="31" t="n">
        <v>10914.1</v>
      </c>
      <c r="G226" s="31" t="n">
        <v>10939.1</v>
      </c>
      <c r="H226" s="31" t="n">
        <v>10953.9</v>
      </c>
      <c r="I226" s="31" t="n">
        <v>10986.1</v>
      </c>
      <c r="J226" s="31" t="n">
        <v>11013.9</v>
      </c>
      <c r="K226" s="31" t="n">
        <v>6929.7</v>
      </c>
      <c r="L226" s="31" t="n">
        <v>6814.5</v>
      </c>
      <c r="M226" s="30" t="inlineStr">
        <is>
          <t>AMR1</t>
        </is>
      </c>
      <c r="N226" s="30" t="inlineStr">
        <is>
          <t>AMR1</t>
        </is>
      </c>
      <c r="O226" s="32" t="n">
        <v>0</v>
      </c>
      <c r="P226" s="32" t="n">
        <v>0</v>
      </c>
      <c r="Q226" s="32" t="n">
        <v>13</v>
      </c>
      <c r="R226" s="31" t="n">
        <v>37.9</v>
      </c>
      <c r="S226" s="31" t="n">
        <v>37.9</v>
      </c>
      <c r="T226" s="30" t="inlineStr">
        <is>
          <t>AMR1</t>
        </is>
      </c>
      <c r="U226" s="31" t="n">
        <v>53.8</v>
      </c>
      <c r="V226" s="31" t="n">
        <v>53.8</v>
      </c>
      <c r="W226" s="30" t="inlineStr">
        <is>
          <t>AMR1</t>
        </is>
      </c>
      <c r="X226" s="32" t="n">
        <v>0</v>
      </c>
      <c r="Y226" s="32" t="n">
        <v>0</v>
      </c>
      <c r="Z226" s="31" t="n">
        <v>0</v>
      </c>
      <c r="AA226" s="32" t="n">
        <v>0</v>
      </c>
      <c r="AB226" s="32" t="n">
        <v>0</v>
      </c>
      <c r="AC226" s="32" t="n">
        <v>1</v>
      </c>
      <c r="AD226" s="32" t="n">
        <v>0</v>
      </c>
      <c r="AE226" s="31" t="n">
        <v>0</v>
      </c>
      <c r="AF226" s="32" t="n">
        <v>0</v>
      </c>
      <c r="AG226" s="31" t="n">
        <v>0</v>
      </c>
      <c r="AH226" s="32" t="n">
        <v>43</v>
      </c>
      <c r="AI226" s="31" t="n">
        <v>48.4</v>
      </c>
      <c r="AJ226" s="31" t="n">
        <v>49</v>
      </c>
      <c r="AK226" s="31" t="n">
        <v>3</v>
      </c>
      <c r="AL226" s="30" t="inlineStr">
        <is>
          <t>T-0375</t>
        </is>
      </c>
      <c r="AM226" s="30" t="inlineStr">
        <is>
          <t>D-04-02</t>
        </is>
      </c>
      <c r="AN226" s="30" t="inlineStr">
        <is>
          <t>T-0243</t>
        </is>
      </c>
      <c r="AO226" s="30" t="inlineStr">
        <is>
          <t>D-02-03</t>
        </is>
      </c>
    </row>
    <row r="227">
      <c r="A227" s="30" t="inlineStr">
        <is>
          <t>O0226</t>
        </is>
      </c>
      <c r="B227" s="30" t="inlineStr">
        <is>
          <t>H</t>
        </is>
      </c>
      <c r="C227" s="31" t="n">
        <v>4090.4</v>
      </c>
      <c r="D227" s="31" t="n">
        <v>10968.9</v>
      </c>
      <c r="E227" s="31" t="n">
        <v>10968.9</v>
      </c>
      <c r="F227" s="31" t="n">
        <v>10983.5</v>
      </c>
      <c r="G227" s="31" t="n">
        <v>11005.5</v>
      </c>
      <c r="H227" s="31" t="n">
        <v>11008</v>
      </c>
      <c r="I227" s="31" t="n">
        <v>11030.1</v>
      </c>
      <c r="J227" s="31" t="n">
        <v>11053</v>
      </c>
      <c r="K227" s="31" t="n">
        <v>6962.6</v>
      </c>
      <c r="L227" s="31" t="n">
        <v>6878.5</v>
      </c>
      <c r="M227" s="30" t="inlineStr">
        <is>
          <t>AMR3</t>
        </is>
      </c>
      <c r="N227" s="30" t="inlineStr">
        <is>
          <t>AMR2</t>
        </is>
      </c>
      <c r="O227" s="32" t="n">
        <v>0</v>
      </c>
      <c r="P227" s="32" t="n">
        <v>0</v>
      </c>
      <c r="Q227" s="32" t="n">
        <v>15</v>
      </c>
      <c r="R227" s="31" t="n">
        <v>35.7</v>
      </c>
      <c r="S227" s="31" t="n">
        <v>35.7</v>
      </c>
      <c r="T227" s="30" t="inlineStr">
        <is>
          <t>AMR3</t>
        </is>
      </c>
      <c r="U227" s="31" t="n">
        <v>46.2</v>
      </c>
      <c r="V227" s="31" t="n">
        <v>46.2</v>
      </c>
      <c r="W227" s="30" t="inlineStr">
        <is>
          <t>AMR2</t>
        </is>
      </c>
      <c r="X227" s="32" t="n">
        <v>0</v>
      </c>
      <c r="Y227" s="32" t="n">
        <v>0</v>
      </c>
      <c r="Z227" s="31" t="n">
        <v>0</v>
      </c>
      <c r="AA227" s="32" t="n">
        <v>0</v>
      </c>
      <c r="AB227" s="32" t="n">
        <v>0</v>
      </c>
      <c r="AC227" s="32" t="n">
        <v>0</v>
      </c>
      <c r="AD227" s="32" t="n">
        <v>0</v>
      </c>
      <c r="AE227" s="31" t="n">
        <v>0</v>
      </c>
      <c r="AF227" s="32" t="n">
        <v>0</v>
      </c>
      <c r="AG227" s="31" t="n">
        <v>0</v>
      </c>
      <c r="AH227" s="32" t="n">
        <v>41</v>
      </c>
      <c r="AI227" s="31" t="n">
        <v>45</v>
      </c>
      <c r="AJ227" s="31" t="n">
        <v>36.6</v>
      </c>
      <c r="AK227" s="31" t="n">
        <v>0</v>
      </c>
      <c r="AL227" s="30" t="inlineStr">
        <is>
          <t>T-0376</t>
        </is>
      </c>
      <c r="AM227" s="30" t="inlineStr">
        <is>
          <t>H-05-02</t>
        </is>
      </c>
      <c r="AN227" s="30" t="inlineStr">
        <is>
          <t>T-0250</t>
        </is>
      </c>
      <c r="AO227" s="30" t="inlineStr">
        <is>
          <t>H-01-01</t>
        </is>
      </c>
    </row>
    <row r="228">
      <c r="A228" s="30" t="inlineStr">
        <is>
          <t>O0227</t>
        </is>
      </c>
      <c r="B228" s="30" t="inlineStr">
        <is>
          <t>A</t>
        </is>
      </c>
      <c r="C228" s="31" t="n">
        <v>4093.4</v>
      </c>
      <c r="D228" s="31" t="n">
        <v>11020.3</v>
      </c>
      <c r="E228" s="31" t="n">
        <v>11020.3</v>
      </c>
      <c r="F228" s="31" t="n">
        <v>11035.8</v>
      </c>
      <c r="G228" s="31" t="n">
        <v>11065</v>
      </c>
      <c r="H228" s="31" t="n">
        <v>11076.7</v>
      </c>
      <c r="I228" s="31" t="n">
        <v>11105.4</v>
      </c>
      <c r="J228" s="31" t="n">
        <v>11145.5</v>
      </c>
      <c r="K228" s="31" t="n">
        <v>7052.1</v>
      </c>
      <c r="L228" s="31" t="n">
        <v>6926.9</v>
      </c>
      <c r="M228" s="30" t="inlineStr">
        <is>
          <t>AMR3</t>
        </is>
      </c>
      <c r="N228" s="30" t="inlineStr">
        <is>
          <t>AMR2</t>
        </is>
      </c>
      <c r="O228" s="32" t="n">
        <v>0</v>
      </c>
      <c r="P228" s="32" t="n">
        <v>0</v>
      </c>
      <c r="Q228" s="32" t="n">
        <v>21</v>
      </c>
      <c r="R228" s="31" t="n">
        <v>43.8</v>
      </c>
      <c r="S228" s="31" t="n">
        <v>43.8</v>
      </c>
      <c r="T228" s="30" t="inlineStr">
        <is>
          <t>AMR3</t>
        </is>
      </c>
      <c r="U228" s="31" t="n">
        <v>66.5</v>
      </c>
      <c r="V228" s="31" t="n">
        <v>66.5</v>
      </c>
      <c r="W228" s="30" t="inlineStr">
        <is>
          <t>AMR2</t>
        </is>
      </c>
      <c r="X228" s="32" t="n">
        <v>0</v>
      </c>
      <c r="Y228" s="32" t="n">
        <v>0</v>
      </c>
      <c r="Z228" s="31" t="n">
        <v>0</v>
      </c>
      <c r="AA228" s="32" t="n">
        <v>0</v>
      </c>
      <c r="AB228" s="32" t="n">
        <v>0</v>
      </c>
      <c r="AC228" s="32" t="n">
        <v>0</v>
      </c>
      <c r="AD228" s="32" t="n">
        <v>0</v>
      </c>
      <c r="AE228" s="31" t="n">
        <v>0</v>
      </c>
      <c r="AF228" s="32" t="n">
        <v>0</v>
      </c>
      <c r="AG228" s="31" t="n">
        <v>0</v>
      </c>
      <c r="AH228" s="32" t="n">
        <v>67</v>
      </c>
      <c r="AI228" s="31" t="n">
        <v>65.3</v>
      </c>
      <c r="AJ228" s="31" t="n">
        <v>48.2</v>
      </c>
      <c r="AK228" s="31" t="n">
        <v>0</v>
      </c>
      <c r="AL228" s="30" t="inlineStr">
        <is>
          <t>T-0377</t>
        </is>
      </c>
      <c r="AM228" s="30" t="inlineStr">
        <is>
          <t>A-05-01</t>
        </is>
      </c>
      <c r="AN228" s="30" t="inlineStr">
        <is>
          <t>T-0187</t>
        </is>
      </c>
      <c r="AO228" s="30" t="inlineStr">
        <is>
          <t>A-01-02</t>
        </is>
      </c>
    </row>
    <row r="229">
      <c r="A229" s="30" t="inlineStr">
        <is>
          <t>O0228</t>
        </is>
      </c>
      <c r="B229" s="30" t="inlineStr">
        <is>
          <t>D</t>
        </is>
      </c>
      <c r="C229" s="31" t="n">
        <v>4099.3</v>
      </c>
      <c r="D229" s="31" t="n">
        <v>11037.6</v>
      </c>
      <c r="E229" s="31" t="n">
        <v>11037.6</v>
      </c>
      <c r="F229" s="31" t="n">
        <v>11053.8</v>
      </c>
      <c r="G229" s="31" t="n">
        <v>11074.5</v>
      </c>
      <c r="H229" s="31" t="n">
        <v>11085.2</v>
      </c>
      <c r="I229" s="31" t="n">
        <v>11114</v>
      </c>
      <c r="J229" s="31" t="n">
        <v>11162.1</v>
      </c>
      <c r="K229" s="31" t="n">
        <v>7062.8</v>
      </c>
      <c r="L229" s="31" t="n">
        <v>6938.3</v>
      </c>
      <c r="M229" s="30" t="inlineStr">
        <is>
          <t>AMR1</t>
        </is>
      </c>
      <c r="N229" s="30" t="inlineStr">
        <is>
          <t>AMR3</t>
        </is>
      </c>
      <c r="O229" s="32" t="n">
        <v>0</v>
      </c>
      <c r="P229" s="32" t="n">
        <v>0</v>
      </c>
      <c r="Q229" s="32" t="n">
        <v>13</v>
      </c>
      <c r="R229" s="31" t="n">
        <v>36</v>
      </c>
      <c r="S229" s="31" t="n">
        <v>36</v>
      </c>
      <c r="T229" s="30" t="inlineStr">
        <is>
          <t>AMR1</t>
        </is>
      </c>
      <c r="U229" s="31" t="n">
        <v>53.3</v>
      </c>
      <c r="V229" s="31" t="n">
        <v>53.3</v>
      </c>
      <c r="W229" s="30" t="inlineStr">
        <is>
          <t>AMR3</t>
        </is>
      </c>
      <c r="X229" s="32" t="n">
        <v>0</v>
      </c>
      <c r="Y229" s="32" t="n">
        <v>0</v>
      </c>
      <c r="Z229" s="31" t="n">
        <v>0</v>
      </c>
      <c r="AA229" s="32" t="n">
        <v>0</v>
      </c>
      <c r="AB229" s="32" t="n">
        <v>1</v>
      </c>
      <c r="AC229" s="32" t="n">
        <v>1</v>
      </c>
      <c r="AD229" s="32" t="n">
        <v>1</v>
      </c>
      <c r="AE229" s="31" t="n">
        <v>13.5</v>
      </c>
      <c r="AF229" s="32" t="n">
        <v>1</v>
      </c>
      <c r="AG229" s="31" t="n">
        <v>8.5</v>
      </c>
      <c r="AH229" s="32" t="n">
        <v>43</v>
      </c>
      <c r="AI229" s="31" t="n">
        <v>48.5</v>
      </c>
      <c r="AJ229" s="31" t="n">
        <v>46.6</v>
      </c>
      <c r="AK229" s="31" t="n">
        <v>18.7</v>
      </c>
      <c r="AL229" s="30" t="inlineStr">
        <is>
          <t>T-0378</t>
        </is>
      </c>
      <c r="AM229" s="30" t="inlineStr">
        <is>
          <t>D-01-03</t>
        </is>
      </c>
      <c r="AN229" s="30" t="inlineStr">
        <is>
          <t>T-0253</t>
        </is>
      </c>
      <c r="AO229" s="30" t="inlineStr">
        <is>
          <t>D-05-02</t>
        </is>
      </c>
    </row>
    <row r="230">
      <c r="A230" s="30" t="inlineStr">
        <is>
          <t>O0229</t>
        </is>
      </c>
      <c r="B230" s="30" t="inlineStr">
        <is>
          <t>F</t>
        </is>
      </c>
      <c r="C230" s="31" t="n">
        <v>4104.2</v>
      </c>
      <c r="D230" s="31" t="n">
        <v>11091.7</v>
      </c>
      <c r="E230" s="31" t="n">
        <v>11091.7</v>
      </c>
      <c r="F230" s="31" t="n">
        <v>11102.2</v>
      </c>
      <c r="G230" s="31" t="n">
        <v>11136.9</v>
      </c>
      <c r="H230" s="31" t="n">
        <v>11160.5</v>
      </c>
      <c r="I230" s="31" t="n">
        <v>11193.9</v>
      </c>
      <c r="J230" s="31" t="n">
        <v>11229.4</v>
      </c>
      <c r="K230" s="31" t="n">
        <v>7125.2</v>
      </c>
      <c r="L230" s="31" t="n">
        <v>6987.5</v>
      </c>
      <c r="M230" s="30" t="inlineStr">
        <is>
          <t>AMR1</t>
        </is>
      </c>
      <c r="N230" s="30" t="inlineStr">
        <is>
          <t>AMR1</t>
        </is>
      </c>
      <c r="O230" s="32" t="n">
        <v>0</v>
      </c>
      <c r="P230" s="32" t="n">
        <v>0</v>
      </c>
      <c r="Q230" s="32" t="n">
        <v>23</v>
      </c>
      <c r="R230" s="31" t="n">
        <v>42.7</v>
      </c>
      <c r="S230" s="31" t="n">
        <v>42.7</v>
      </c>
      <c r="T230" s="30" t="inlineStr">
        <is>
          <t>AMR1</t>
        </is>
      </c>
      <c r="U230" s="31" t="n">
        <v>67.09999999999999</v>
      </c>
      <c r="V230" s="31" t="n">
        <v>67.09999999999999</v>
      </c>
      <c r="W230" s="30" t="inlineStr">
        <is>
          <t>AMR1</t>
        </is>
      </c>
      <c r="X230" s="32" t="n">
        <v>0</v>
      </c>
      <c r="Y230" s="32" t="n">
        <v>0</v>
      </c>
      <c r="Z230" s="31" t="n">
        <v>0</v>
      </c>
      <c r="AA230" s="32" t="n">
        <v>0</v>
      </c>
      <c r="AB230" s="32" t="n">
        <v>0</v>
      </c>
      <c r="AC230" s="32" t="n">
        <v>0</v>
      </c>
      <c r="AD230" s="32" t="n">
        <v>0</v>
      </c>
      <c r="AE230" s="31" t="n">
        <v>0</v>
      </c>
      <c r="AF230" s="32" t="n">
        <v>0</v>
      </c>
      <c r="AG230" s="31" t="n">
        <v>0</v>
      </c>
      <c r="AH230" s="32" t="n">
        <v>69</v>
      </c>
      <c r="AI230" s="31" t="n">
        <v>69.5</v>
      </c>
      <c r="AJ230" s="31" t="n">
        <v>44.6</v>
      </c>
      <c r="AK230" s="31" t="n">
        <v>0</v>
      </c>
      <c r="AL230" s="30" t="inlineStr">
        <is>
          <t>T-0379</t>
        </is>
      </c>
      <c r="AM230" s="30" t="inlineStr">
        <is>
          <t>F-02-02</t>
        </is>
      </c>
      <c r="AN230" s="30" t="inlineStr">
        <is>
          <t>T-0211</t>
        </is>
      </c>
      <c r="AO230" s="30" t="inlineStr">
        <is>
          <t>F-03-02</t>
        </is>
      </c>
    </row>
    <row r="231">
      <c r="A231" s="30" t="inlineStr">
        <is>
          <t>O0230</t>
        </is>
      </c>
      <c r="B231" s="30" t="inlineStr">
        <is>
          <t>D</t>
        </is>
      </c>
      <c r="C231" s="31" t="n">
        <v>4107.5</v>
      </c>
      <c r="D231" s="31" t="n">
        <v>11169.2</v>
      </c>
      <c r="E231" s="31" t="n">
        <v>11169.2</v>
      </c>
      <c r="F231" s="31" t="n">
        <v>11185.1</v>
      </c>
      <c r="G231" s="31" t="n">
        <v>11208.3</v>
      </c>
      <c r="H231" s="31" t="n">
        <v>11223.1</v>
      </c>
      <c r="I231" s="31" t="n">
        <v>11251.2</v>
      </c>
      <c r="J231" s="31" t="n">
        <v>11281.3</v>
      </c>
      <c r="K231" s="31" t="n">
        <v>7173.8</v>
      </c>
      <c r="L231" s="31" t="n">
        <v>7061.7</v>
      </c>
      <c r="M231" s="30" t="inlineStr">
        <is>
          <t>AMR2</t>
        </is>
      </c>
      <c r="N231" s="30" t="inlineStr">
        <is>
          <t>AMR2</t>
        </is>
      </c>
      <c r="O231" s="32" t="n">
        <v>0</v>
      </c>
      <c r="P231" s="32" t="n">
        <v>0</v>
      </c>
      <c r="Q231" s="32" t="n">
        <v>13</v>
      </c>
      <c r="R231" s="31" t="n">
        <v>36.6</v>
      </c>
      <c r="S231" s="31" t="n">
        <v>36.6</v>
      </c>
      <c r="T231" s="30" t="inlineStr">
        <is>
          <t>AMR2</t>
        </is>
      </c>
      <c r="U231" s="31" t="n">
        <v>53.4</v>
      </c>
      <c r="V231" s="31" t="n">
        <v>53.4</v>
      </c>
      <c r="W231" s="30" t="inlineStr">
        <is>
          <t>AMR2</t>
        </is>
      </c>
      <c r="X231" s="32" t="n">
        <v>0</v>
      </c>
      <c r="Y231" s="32" t="n">
        <v>0</v>
      </c>
      <c r="Z231" s="31" t="n">
        <v>0</v>
      </c>
      <c r="AA231" s="32" t="n">
        <v>0</v>
      </c>
      <c r="AB231" s="32" t="n">
        <v>0</v>
      </c>
      <c r="AC231" s="32" t="n">
        <v>0</v>
      </c>
      <c r="AD231" s="32" t="n">
        <v>0</v>
      </c>
      <c r="AE231" s="31" t="n">
        <v>0</v>
      </c>
      <c r="AF231" s="32" t="n">
        <v>0</v>
      </c>
      <c r="AG231" s="31" t="n">
        <v>0</v>
      </c>
      <c r="AH231" s="32" t="n">
        <v>47</v>
      </c>
      <c r="AI231" s="31" t="n">
        <v>50</v>
      </c>
      <c r="AJ231" s="31" t="n">
        <v>47.3</v>
      </c>
      <c r="AK231" s="31" t="n">
        <v>0</v>
      </c>
      <c r="AL231" s="30" t="inlineStr">
        <is>
          <t>T-0380</t>
        </is>
      </c>
      <c r="AM231" s="30" t="inlineStr">
        <is>
          <t>D-05-02</t>
        </is>
      </c>
      <c r="AN231" s="30" t="inlineStr">
        <is>
          <t>T-0274</t>
        </is>
      </c>
      <c r="AO231" s="30" t="inlineStr">
        <is>
          <t>D-06-02</t>
        </is>
      </c>
    </row>
    <row r="232">
      <c r="A232" s="30" t="inlineStr">
        <is>
          <t>O0231</t>
        </is>
      </c>
      <c r="B232" s="30" t="inlineStr">
        <is>
          <t>H</t>
        </is>
      </c>
      <c r="C232" s="31" t="n">
        <v>4113.2</v>
      </c>
      <c r="D232" s="31" t="n">
        <v>11185.8</v>
      </c>
      <c r="E232" s="31" t="n">
        <v>11185.8</v>
      </c>
      <c r="F232" s="31" t="n">
        <v>11197.3</v>
      </c>
      <c r="G232" s="31" t="n">
        <v>11224.1</v>
      </c>
      <c r="H232" s="31" t="n">
        <v>11238.3</v>
      </c>
      <c r="I232" s="31" t="n">
        <v>11262.3</v>
      </c>
      <c r="J232" s="31" t="n">
        <v>11293.7</v>
      </c>
      <c r="K232" s="31" t="n">
        <v>7180.5</v>
      </c>
      <c r="L232" s="31" t="n">
        <v>7072.6</v>
      </c>
      <c r="M232" s="30" t="inlineStr">
        <is>
          <t>AMR3</t>
        </is>
      </c>
      <c r="N232" s="30" t="inlineStr">
        <is>
          <t>AMR3</t>
        </is>
      </c>
      <c r="O232" s="32" t="n">
        <v>0</v>
      </c>
      <c r="P232" s="32" t="n">
        <v>0</v>
      </c>
      <c r="Q232" s="32" t="n">
        <v>15</v>
      </c>
      <c r="R232" s="31" t="n">
        <v>37.4</v>
      </c>
      <c r="S232" s="31" t="n">
        <v>37.4</v>
      </c>
      <c r="T232" s="30" t="inlineStr">
        <is>
          <t>AMR3</t>
        </is>
      </c>
      <c r="U232" s="31" t="n">
        <v>47.7</v>
      </c>
      <c r="V232" s="31" t="n">
        <v>47.7</v>
      </c>
      <c r="W232" s="30" t="inlineStr">
        <is>
          <t>AMR3</t>
        </is>
      </c>
      <c r="X232" s="32" t="n">
        <v>0</v>
      </c>
      <c r="Y232" s="32" t="n">
        <v>0</v>
      </c>
      <c r="Z232" s="31" t="n">
        <v>0</v>
      </c>
      <c r="AA232" s="32" t="n">
        <v>0</v>
      </c>
      <c r="AB232" s="32" t="n">
        <v>0</v>
      </c>
      <c r="AC232" s="32" t="n">
        <v>0</v>
      </c>
      <c r="AD232" s="32" t="n">
        <v>1</v>
      </c>
      <c r="AE232" s="31" t="n">
        <v>7.9</v>
      </c>
      <c r="AF232" s="32" t="n">
        <v>1</v>
      </c>
      <c r="AG232" s="31" t="n">
        <v>2.9</v>
      </c>
      <c r="AH232" s="32" t="n">
        <v>41</v>
      </c>
      <c r="AI232" s="31" t="n">
        <v>46</v>
      </c>
      <c r="AJ232" s="31" t="n">
        <v>39.8</v>
      </c>
      <c r="AK232" s="31" t="n">
        <v>7.9</v>
      </c>
      <c r="AL232" s="30" t="inlineStr">
        <is>
          <t>T-0381</t>
        </is>
      </c>
      <c r="AM232" s="30" t="inlineStr">
        <is>
          <t>H-01-01</t>
        </is>
      </c>
      <c r="AN232" s="30" t="inlineStr">
        <is>
          <t>T-0281</t>
        </is>
      </c>
      <c r="AO232" s="30" t="inlineStr">
        <is>
          <t>H-01-03</t>
        </is>
      </c>
    </row>
    <row r="233">
      <c r="A233" s="30" t="inlineStr">
        <is>
          <t>O0232</t>
        </is>
      </c>
      <c r="B233" s="30" t="inlineStr">
        <is>
          <t>H</t>
        </is>
      </c>
      <c r="C233" s="31" t="n">
        <v>4120.2</v>
      </c>
      <c r="D233" s="31" t="n">
        <v>11253.1</v>
      </c>
      <c r="E233" s="31" t="n">
        <v>11253.1</v>
      </c>
      <c r="F233" s="31" t="n">
        <v>11263.6</v>
      </c>
      <c r="G233" s="31" t="n">
        <v>11284.6</v>
      </c>
      <c r="H233" s="31" t="n">
        <v>11298.1</v>
      </c>
      <c r="I233" s="31" t="n">
        <v>11324.4</v>
      </c>
      <c r="J233" s="31" t="n">
        <v>11351.1</v>
      </c>
      <c r="K233" s="31" t="n">
        <v>7230.9</v>
      </c>
      <c r="L233" s="31" t="n">
        <v>7132.9</v>
      </c>
      <c r="M233" s="30" t="inlineStr">
        <is>
          <t>AMR1</t>
        </is>
      </c>
      <c r="N233" s="30" t="inlineStr">
        <is>
          <t>AMR1</t>
        </is>
      </c>
      <c r="O233" s="32" t="n">
        <v>0</v>
      </c>
      <c r="P233" s="32" t="n">
        <v>0</v>
      </c>
      <c r="Q233" s="32" t="n">
        <v>15</v>
      </c>
      <c r="R233" s="31" t="n">
        <v>31.4</v>
      </c>
      <c r="S233" s="31" t="n">
        <v>31.4</v>
      </c>
      <c r="T233" s="30" t="inlineStr">
        <is>
          <t>AMR1</t>
        </is>
      </c>
      <c r="U233" s="31" t="n">
        <v>54.2</v>
      </c>
      <c r="V233" s="31" t="n">
        <v>54.2</v>
      </c>
      <c r="W233" s="30" t="inlineStr">
        <is>
          <t>AMR1</t>
        </is>
      </c>
      <c r="X233" s="32" t="n">
        <v>0</v>
      </c>
      <c r="Y233" s="32" t="n">
        <v>0</v>
      </c>
      <c r="Z233" s="31" t="n">
        <v>0</v>
      </c>
      <c r="AA233" s="32" t="n">
        <v>0</v>
      </c>
      <c r="AB233" s="32" t="n">
        <v>0</v>
      </c>
      <c r="AC233" s="32" t="n">
        <v>0</v>
      </c>
      <c r="AD233" s="32" t="n">
        <v>0</v>
      </c>
      <c r="AE233" s="31" t="n">
        <v>0</v>
      </c>
      <c r="AF233" s="32" t="n">
        <v>0</v>
      </c>
      <c r="AG233" s="31" t="n">
        <v>0</v>
      </c>
      <c r="AH233" s="32" t="n">
        <v>40</v>
      </c>
      <c r="AI233" s="31" t="n">
        <v>44.2</v>
      </c>
      <c r="AJ233" s="31" t="n">
        <v>40.3</v>
      </c>
      <c r="AK233" s="31" t="n">
        <v>0</v>
      </c>
      <c r="AL233" s="30" t="inlineStr">
        <is>
          <t>T-0382</t>
        </is>
      </c>
      <c r="AM233" s="30" t="inlineStr">
        <is>
          <t>H-06-02</t>
        </is>
      </c>
      <c r="AN233" s="30" t="inlineStr">
        <is>
          <t>T-0282</t>
        </is>
      </c>
      <c r="AO233" s="30" t="inlineStr">
        <is>
          <t>H-02-03</t>
        </is>
      </c>
    </row>
    <row r="234">
      <c r="A234" s="30" t="inlineStr">
        <is>
          <t>O0233</t>
        </is>
      </c>
      <c r="B234" s="30" t="inlineStr">
        <is>
          <t>D</t>
        </is>
      </c>
      <c r="C234" s="31" t="n">
        <v>4125</v>
      </c>
      <c r="D234" s="31" t="n">
        <v>11305</v>
      </c>
      <c r="E234" s="31" t="n">
        <v>11305</v>
      </c>
      <c r="F234" s="31" t="n">
        <v>11318.3</v>
      </c>
      <c r="G234" s="31" t="n">
        <v>11344.2</v>
      </c>
      <c r="H234" s="31" t="n">
        <v>11366.1</v>
      </c>
      <c r="I234" s="31" t="n">
        <v>11399.3</v>
      </c>
      <c r="J234" s="31" t="n">
        <v>11431.4</v>
      </c>
      <c r="K234" s="31" t="n">
        <v>7306.4</v>
      </c>
      <c r="L234" s="31" t="n">
        <v>7180</v>
      </c>
      <c r="M234" s="30" t="inlineStr">
        <is>
          <t>AMR2</t>
        </is>
      </c>
      <c r="N234" s="30" t="inlineStr">
        <is>
          <t>AMR2</t>
        </is>
      </c>
      <c r="O234" s="32" t="n">
        <v>0</v>
      </c>
      <c r="P234" s="32" t="n">
        <v>0</v>
      </c>
      <c r="Q234" s="32" t="n">
        <v>13</v>
      </c>
      <c r="R234" s="31" t="n">
        <v>35.9</v>
      </c>
      <c r="S234" s="31" t="n">
        <v>35.9</v>
      </c>
      <c r="T234" s="30" t="inlineStr">
        <is>
          <t>AMR2</t>
        </is>
      </c>
      <c r="U234" s="31" t="n">
        <v>48.6</v>
      </c>
      <c r="V234" s="31" t="n">
        <v>48.6</v>
      </c>
      <c r="W234" s="30" t="inlineStr">
        <is>
          <t>AMR2</t>
        </is>
      </c>
      <c r="X234" s="32" t="n">
        <v>0</v>
      </c>
      <c r="Y234" s="32" t="n">
        <v>0</v>
      </c>
      <c r="Z234" s="31" t="n">
        <v>0</v>
      </c>
      <c r="AA234" s="32" t="n">
        <v>0</v>
      </c>
      <c r="AB234" s="32" t="n">
        <v>2</v>
      </c>
      <c r="AC234" s="32" t="n">
        <v>1</v>
      </c>
      <c r="AD234" s="32" t="n">
        <v>0</v>
      </c>
      <c r="AE234" s="31" t="n">
        <v>0</v>
      </c>
      <c r="AF234" s="32" t="n">
        <v>1</v>
      </c>
      <c r="AG234" s="31" t="n">
        <v>3</v>
      </c>
      <c r="AH234" s="32" t="n">
        <v>46</v>
      </c>
      <c r="AI234" s="31" t="n">
        <v>51.7</v>
      </c>
      <c r="AJ234" s="31" t="n">
        <v>41.8</v>
      </c>
      <c r="AK234" s="31" t="n">
        <v>11</v>
      </c>
      <c r="AL234" s="30" t="inlineStr">
        <is>
          <t>T-0383</t>
        </is>
      </c>
      <c r="AM234" s="30" t="inlineStr">
        <is>
          <t>D-06-02</t>
        </is>
      </c>
      <c r="AN234" s="30" t="inlineStr">
        <is>
          <t>T-0279</t>
        </is>
      </c>
      <c r="AO234" s="30" t="inlineStr">
        <is>
          <t>D-04-03</t>
        </is>
      </c>
    </row>
    <row r="235">
      <c r="A235" s="30" t="inlineStr">
        <is>
          <t>O0234</t>
        </is>
      </c>
      <c r="B235" s="30" t="inlineStr">
        <is>
          <t>D</t>
        </is>
      </c>
      <c r="C235" s="31" t="n">
        <v>4130.9</v>
      </c>
      <c r="D235" s="31" t="n">
        <v>11317.4</v>
      </c>
      <c r="E235" s="31" t="n">
        <v>11317.4</v>
      </c>
      <c r="F235" s="31" t="n">
        <v>11332.8</v>
      </c>
      <c r="G235" s="31" t="n">
        <v>11356</v>
      </c>
      <c r="H235" s="31" t="n">
        <v>11376.4</v>
      </c>
      <c r="I235" s="31" t="n">
        <v>11404.6</v>
      </c>
      <c r="J235" s="31" t="n">
        <v>11445.4</v>
      </c>
      <c r="K235" s="31" t="n">
        <v>7314.5</v>
      </c>
      <c r="L235" s="31" t="n">
        <v>7186.5</v>
      </c>
      <c r="M235" s="30" t="inlineStr">
        <is>
          <t>AMR3</t>
        </is>
      </c>
      <c r="N235" s="30" t="inlineStr">
        <is>
          <t>AMR3</t>
        </is>
      </c>
      <c r="O235" s="32" t="n">
        <v>0</v>
      </c>
      <c r="P235" s="32" t="n">
        <v>0</v>
      </c>
      <c r="Q235" s="32" t="n">
        <v>13</v>
      </c>
      <c r="R235" s="31" t="n">
        <v>37.7</v>
      </c>
      <c r="S235" s="31" t="n">
        <v>37.7</v>
      </c>
      <c r="T235" s="30" t="inlineStr">
        <is>
          <t>AMR3</t>
        </is>
      </c>
      <c r="U235" s="31" t="n">
        <v>49.8</v>
      </c>
      <c r="V235" s="31" t="n">
        <v>49.8</v>
      </c>
      <c r="W235" s="30" t="inlineStr">
        <is>
          <t>AMR3</t>
        </is>
      </c>
      <c r="X235" s="32" t="n">
        <v>0</v>
      </c>
      <c r="Y235" s="32" t="n">
        <v>0</v>
      </c>
      <c r="Z235" s="31" t="n">
        <v>0</v>
      </c>
      <c r="AA235" s="32" t="n">
        <v>0</v>
      </c>
      <c r="AB235" s="32" t="n">
        <v>1</v>
      </c>
      <c r="AC235" s="32" t="n">
        <v>0</v>
      </c>
      <c r="AD235" s="32" t="n">
        <v>2</v>
      </c>
      <c r="AE235" s="31" t="n">
        <v>9.9</v>
      </c>
      <c r="AF235" s="32" t="n">
        <v>1</v>
      </c>
      <c r="AG235" s="31" t="n">
        <v>3.7</v>
      </c>
      <c r="AH235" s="32" t="n">
        <v>41</v>
      </c>
      <c r="AI235" s="31" t="n">
        <v>45.4</v>
      </c>
      <c r="AJ235" s="31" t="n">
        <v>44.8</v>
      </c>
      <c r="AK235" s="31" t="n">
        <v>17.4</v>
      </c>
      <c r="AL235" s="30" t="inlineStr">
        <is>
          <t>T-0384</t>
        </is>
      </c>
      <c r="AM235" s="30" t="inlineStr">
        <is>
          <t>D-02-03</t>
        </is>
      </c>
      <c r="AN235" s="30" t="inlineStr">
        <is>
          <t>T-0283</t>
        </is>
      </c>
      <c r="AO235" s="30" t="inlineStr">
        <is>
          <t>D-03-03</t>
        </is>
      </c>
    </row>
    <row r="236">
      <c r="A236" s="30" t="inlineStr">
        <is>
          <t>O0235</t>
        </is>
      </c>
      <c r="B236" s="30" t="inlineStr">
        <is>
          <t>H</t>
        </is>
      </c>
      <c r="C236" s="31" t="n">
        <v>4134.8</v>
      </c>
      <c r="D236" s="31" t="n">
        <v>11387</v>
      </c>
      <c r="E236" s="31" t="n">
        <v>11387</v>
      </c>
      <c r="F236" s="31" t="n">
        <v>11403.3</v>
      </c>
      <c r="G236" s="31" t="n">
        <v>11428.1</v>
      </c>
      <c r="H236" s="31" t="n">
        <v>11442.3</v>
      </c>
      <c r="I236" s="31" t="n">
        <v>11464.8</v>
      </c>
      <c r="J236" s="31" t="n">
        <v>11487.9</v>
      </c>
      <c r="K236" s="31" t="n">
        <v>7353.1</v>
      </c>
      <c r="L236" s="31" t="n">
        <v>7252.2</v>
      </c>
      <c r="M236" s="30" t="inlineStr">
        <is>
          <t>AMR1</t>
        </is>
      </c>
      <c r="N236" s="30" t="inlineStr">
        <is>
          <t>AMR1</t>
        </is>
      </c>
      <c r="O236" s="32" t="n">
        <v>0</v>
      </c>
      <c r="P236" s="32" t="n">
        <v>0</v>
      </c>
      <c r="Q236" s="32" t="n">
        <v>15</v>
      </c>
      <c r="R236" s="31" t="n">
        <v>40.2</v>
      </c>
      <c r="S236" s="31" t="n">
        <v>40.2</v>
      </c>
      <c r="T236" s="30" t="inlineStr">
        <is>
          <t>AMR1</t>
        </is>
      </c>
      <c r="U236" s="31" t="n">
        <v>48.3</v>
      </c>
      <c r="V236" s="31" t="n">
        <v>48.3</v>
      </c>
      <c r="W236" s="30" t="inlineStr">
        <is>
          <t>AMR1</t>
        </is>
      </c>
      <c r="X236" s="32" t="n">
        <v>0</v>
      </c>
      <c r="Y236" s="32" t="n">
        <v>0</v>
      </c>
      <c r="Z236" s="31" t="n">
        <v>0</v>
      </c>
      <c r="AA236" s="32" t="n">
        <v>0</v>
      </c>
      <c r="AB236" s="32" t="n">
        <v>0</v>
      </c>
      <c r="AC236" s="32" t="n">
        <v>0</v>
      </c>
      <c r="AD236" s="32" t="n">
        <v>0</v>
      </c>
      <c r="AE236" s="31" t="n">
        <v>0</v>
      </c>
      <c r="AF236" s="32" t="n">
        <v>0</v>
      </c>
      <c r="AG236" s="31" t="n">
        <v>0</v>
      </c>
      <c r="AH236" s="32" t="n">
        <v>39</v>
      </c>
      <c r="AI236" s="31" t="n">
        <v>43.5</v>
      </c>
      <c r="AJ236" s="31" t="n">
        <v>43.2</v>
      </c>
      <c r="AK236" s="31" t="n">
        <v>0</v>
      </c>
      <c r="AL236" s="30" t="inlineStr">
        <is>
          <t>T-0385</t>
        </is>
      </c>
      <c r="AM236" s="30" t="inlineStr">
        <is>
          <t>H-01-03</t>
        </is>
      </c>
      <c r="AN236" s="30" t="inlineStr">
        <is>
          <t>T-0307</t>
        </is>
      </c>
      <c r="AO236" s="30" t="inlineStr">
        <is>
          <t>H-06-01</t>
        </is>
      </c>
    </row>
    <row r="237">
      <c r="A237" s="30" t="inlineStr">
        <is>
          <t>O0236</t>
        </is>
      </c>
      <c r="B237" s="30" t="inlineStr">
        <is>
          <t>H</t>
        </is>
      </c>
      <c r="C237" s="31" t="n">
        <v>4141.1</v>
      </c>
      <c r="D237" s="31" t="n">
        <v>11455.1</v>
      </c>
      <c r="E237" s="31" t="n">
        <v>11455.1</v>
      </c>
      <c r="F237" s="31" t="n">
        <v>11466.5</v>
      </c>
      <c r="G237" s="31" t="n">
        <v>11491.1</v>
      </c>
      <c r="H237" s="31" t="n">
        <v>11504.6</v>
      </c>
      <c r="I237" s="31" t="n">
        <v>11530.2</v>
      </c>
      <c r="J237" s="31" t="n">
        <v>11554.5</v>
      </c>
      <c r="K237" s="31" t="n">
        <v>7413.4</v>
      </c>
      <c r="L237" s="31" t="n">
        <v>7314</v>
      </c>
      <c r="M237" s="30" t="inlineStr">
        <is>
          <t>AMR2</t>
        </is>
      </c>
      <c r="N237" s="30" t="inlineStr">
        <is>
          <t>AMR2</t>
        </is>
      </c>
      <c r="O237" s="32" t="n">
        <v>0</v>
      </c>
      <c r="P237" s="32" t="n">
        <v>0</v>
      </c>
      <c r="Q237" s="32" t="n">
        <v>15</v>
      </c>
      <c r="R237" s="31" t="n">
        <v>35.9</v>
      </c>
      <c r="S237" s="31" t="n">
        <v>35.9</v>
      </c>
      <c r="T237" s="30" t="inlineStr">
        <is>
          <t>AMR2</t>
        </is>
      </c>
      <c r="U237" s="31" t="n">
        <v>50</v>
      </c>
      <c r="V237" s="31" t="n">
        <v>50</v>
      </c>
      <c r="W237" s="30" t="inlineStr">
        <is>
          <t>AMR2</t>
        </is>
      </c>
      <c r="X237" s="32" t="n">
        <v>0</v>
      </c>
      <c r="Y237" s="32" t="n">
        <v>0</v>
      </c>
      <c r="Z237" s="31" t="n">
        <v>0</v>
      </c>
      <c r="AA237" s="32" t="n">
        <v>0</v>
      </c>
      <c r="AB237" s="32" t="n">
        <v>0</v>
      </c>
      <c r="AC237" s="32" t="n">
        <v>0</v>
      </c>
      <c r="AD237" s="32" t="n">
        <v>0</v>
      </c>
      <c r="AE237" s="31" t="n">
        <v>0</v>
      </c>
      <c r="AF237" s="32" t="n">
        <v>0</v>
      </c>
      <c r="AG237" s="31" t="n">
        <v>0</v>
      </c>
      <c r="AH237" s="32" t="n">
        <v>42</v>
      </c>
      <c r="AI237" s="31" t="n">
        <v>45.3</v>
      </c>
      <c r="AJ237" s="31" t="n">
        <v>40.6</v>
      </c>
      <c r="AK237" s="31" t="n">
        <v>0</v>
      </c>
      <c r="AL237" s="30" t="inlineStr">
        <is>
          <t>T-0386</t>
        </is>
      </c>
      <c r="AM237" s="30" t="inlineStr">
        <is>
          <t>H-06-01</t>
        </is>
      </c>
      <c r="AN237" s="30" t="inlineStr">
        <is>
          <t>T-0322</t>
        </is>
      </c>
      <c r="AO237" s="30" t="inlineStr">
        <is>
          <t>H-03-03</t>
        </is>
      </c>
    </row>
    <row r="238">
      <c r="A238" s="30" t="inlineStr">
        <is>
          <t>O0237</t>
        </is>
      </c>
      <c r="B238" s="30" t="inlineStr">
        <is>
          <t>B</t>
        </is>
      </c>
      <c r="C238" s="31" t="n">
        <v>4145.3</v>
      </c>
      <c r="D238" s="31" t="n">
        <v>11469.1</v>
      </c>
      <c r="E238" s="31" t="n">
        <v>11469.1</v>
      </c>
      <c r="F238" s="31" t="n">
        <v>11484.6</v>
      </c>
      <c r="G238" s="31" t="n">
        <v>11510.3</v>
      </c>
      <c r="H238" s="31" t="n">
        <v>11511.6</v>
      </c>
      <c r="I238" s="31" t="n">
        <v>11534.5</v>
      </c>
      <c r="J238" s="31" t="n">
        <v>11570.9</v>
      </c>
      <c r="K238" s="31" t="n">
        <v>7425.6</v>
      </c>
      <c r="L238" s="31" t="n">
        <v>7323.8</v>
      </c>
      <c r="M238" s="30" t="inlineStr">
        <is>
          <t>AMR3</t>
        </is>
      </c>
      <c r="N238" s="30" t="inlineStr">
        <is>
          <t>AMR1</t>
        </is>
      </c>
      <c r="O238" s="32" t="n">
        <v>0</v>
      </c>
      <c r="P238" s="32" t="n">
        <v>0</v>
      </c>
      <c r="Q238" s="32" t="n">
        <v>15</v>
      </c>
      <c r="R238" s="31" t="n">
        <v>38.7</v>
      </c>
      <c r="S238" s="31" t="n">
        <v>38.7</v>
      </c>
      <c r="T238" s="30" t="inlineStr">
        <is>
          <t>AMR3</t>
        </is>
      </c>
      <c r="U238" s="31" t="n">
        <v>55.7</v>
      </c>
      <c r="V238" s="31" t="n">
        <v>55.7</v>
      </c>
      <c r="W238" s="30" t="inlineStr">
        <is>
          <t>AMR1</t>
        </is>
      </c>
      <c r="X238" s="32" t="n">
        <v>0</v>
      </c>
      <c r="Y238" s="32" t="n">
        <v>0</v>
      </c>
      <c r="Z238" s="31" t="n">
        <v>0</v>
      </c>
      <c r="AA238" s="32" t="n">
        <v>0</v>
      </c>
      <c r="AB238" s="32" t="n">
        <v>0</v>
      </c>
      <c r="AC238" s="32" t="n">
        <v>0</v>
      </c>
      <c r="AD238" s="32" t="n">
        <v>1</v>
      </c>
      <c r="AE238" s="31" t="n">
        <v>4.3</v>
      </c>
      <c r="AF238" s="32" t="n">
        <v>0</v>
      </c>
      <c r="AG238" s="31" t="n">
        <v>0</v>
      </c>
      <c r="AH238" s="32" t="n">
        <v>47</v>
      </c>
      <c r="AI238" s="31" t="n">
        <v>49.1</v>
      </c>
      <c r="AJ238" s="31" t="n">
        <v>47.1</v>
      </c>
      <c r="AK238" s="31" t="n">
        <v>4.3</v>
      </c>
      <c r="AL238" s="30" t="inlineStr">
        <is>
          <t>T-0387</t>
        </is>
      </c>
      <c r="AM238" s="30" t="inlineStr">
        <is>
          <t>B-01-03</t>
        </is>
      </c>
      <c r="AN238" s="30" t="inlineStr">
        <is>
          <t>T-0213</t>
        </is>
      </c>
      <c r="AO238" s="30" t="inlineStr">
        <is>
          <t>B-05-02</t>
        </is>
      </c>
    </row>
    <row r="239">
      <c r="A239" s="30" t="inlineStr">
        <is>
          <t>O0238</t>
        </is>
      </c>
      <c r="B239" s="30" t="inlineStr">
        <is>
          <t>H</t>
        </is>
      </c>
      <c r="C239" s="31" t="n">
        <v>4148.5</v>
      </c>
      <c r="D239" s="31" t="n">
        <v>11528.4</v>
      </c>
      <c r="E239" s="31" t="n">
        <v>11528.4</v>
      </c>
      <c r="F239" s="31" t="n">
        <v>11540.1</v>
      </c>
      <c r="G239" s="31" t="n">
        <v>11564.3</v>
      </c>
      <c r="H239" s="31" t="n">
        <v>11578.2</v>
      </c>
      <c r="I239" s="31" t="n">
        <v>11610.6</v>
      </c>
      <c r="J239" s="31" t="n">
        <v>11635.5</v>
      </c>
      <c r="K239" s="31" t="n">
        <v>7487</v>
      </c>
      <c r="L239" s="31" t="n">
        <v>7379.9</v>
      </c>
      <c r="M239" s="30" t="inlineStr">
        <is>
          <t>AMR3</t>
        </is>
      </c>
      <c r="N239" s="30" t="inlineStr">
        <is>
          <t>AMR2</t>
        </is>
      </c>
      <c r="O239" s="32" t="n">
        <v>0</v>
      </c>
      <c r="P239" s="32" t="n">
        <v>0</v>
      </c>
      <c r="Q239" s="32" t="n">
        <v>15</v>
      </c>
      <c r="R239" s="31" t="n">
        <v>35</v>
      </c>
      <c r="S239" s="31" t="n">
        <v>35</v>
      </c>
      <c r="T239" s="30" t="inlineStr">
        <is>
          <t>AMR3</t>
        </is>
      </c>
      <c r="U239" s="31" t="n">
        <v>53.5</v>
      </c>
      <c r="V239" s="31" t="n">
        <v>53.5</v>
      </c>
      <c r="W239" s="30" t="inlineStr">
        <is>
          <t>AMR2</t>
        </is>
      </c>
      <c r="X239" s="32" t="n">
        <v>0</v>
      </c>
      <c r="Y239" s="32" t="n">
        <v>0</v>
      </c>
      <c r="Z239" s="31" t="n">
        <v>0</v>
      </c>
      <c r="AA239" s="32" t="n">
        <v>0</v>
      </c>
      <c r="AB239" s="32" t="n">
        <v>0</v>
      </c>
      <c r="AC239" s="32" t="n">
        <v>1</v>
      </c>
      <c r="AD239" s="32" t="n">
        <v>0</v>
      </c>
      <c r="AE239" s="31" t="n">
        <v>0</v>
      </c>
      <c r="AF239" s="32" t="n">
        <v>0</v>
      </c>
      <c r="AG239" s="31" t="n">
        <v>0</v>
      </c>
      <c r="AH239" s="32" t="n">
        <v>41</v>
      </c>
      <c r="AI239" s="31" t="n">
        <v>47</v>
      </c>
      <c r="AJ239" s="31" t="n">
        <v>43.2</v>
      </c>
      <c r="AK239" s="31" t="n">
        <v>3</v>
      </c>
      <c r="AL239" s="30" t="inlineStr">
        <is>
          <t>T-0388</t>
        </is>
      </c>
      <c r="AM239" s="30" t="inlineStr">
        <is>
          <t>H-02-03</t>
        </is>
      </c>
      <c r="AN239" s="30" t="inlineStr">
        <is>
          <t>T-0324</t>
        </is>
      </c>
      <c r="AO239" s="30" t="inlineStr">
        <is>
          <t>H-01-02</t>
        </is>
      </c>
    </row>
    <row r="240">
      <c r="A240" s="30" t="inlineStr">
        <is>
          <t>O0239</t>
        </is>
      </c>
      <c r="B240" s="30" t="inlineStr">
        <is>
          <t>F</t>
        </is>
      </c>
      <c r="C240" s="31" t="n">
        <v>4155.3</v>
      </c>
      <c r="D240" s="31" t="n">
        <v>11584.6</v>
      </c>
      <c r="E240" s="31" t="n">
        <v>11584.6</v>
      </c>
      <c r="F240" s="31" t="n">
        <v>11598.4</v>
      </c>
      <c r="G240" s="31" t="n">
        <v>11631.2</v>
      </c>
      <c r="H240" s="31" t="n">
        <v>11654.1</v>
      </c>
      <c r="I240" s="31" t="n">
        <v>11684.7</v>
      </c>
      <c r="J240" s="31" t="n">
        <v>11724</v>
      </c>
      <c r="K240" s="31" t="n">
        <v>7568.7</v>
      </c>
      <c r="L240" s="31" t="n">
        <v>7429.3</v>
      </c>
      <c r="M240" s="30" t="inlineStr">
        <is>
          <t>AMR3</t>
        </is>
      </c>
      <c r="N240" s="30" t="inlineStr">
        <is>
          <t>AMR3</t>
        </is>
      </c>
      <c r="O240" s="32" t="n">
        <v>0</v>
      </c>
      <c r="P240" s="32" t="n">
        <v>0</v>
      </c>
      <c r="Q240" s="32" t="n">
        <v>23</v>
      </c>
      <c r="R240" s="31" t="n">
        <v>44.9</v>
      </c>
      <c r="S240" s="31" t="n">
        <v>44.9</v>
      </c>
      <c r="T240" s="30" t="inlineStr">
        <is>
          <t>AMR3</t>
        </is>
      </c>
      <c r="U240" s="31" t="n">
        <v>63.5</v>
      </c>
      <c r="V240" s="31" t="n">
        <v>63.5</v>
      </c>
      <c r="W240" s="30" t="inlineStr">
        <is>
          <t>AMR3</t>
        </is>
      </c>
      <c r="X240" s="32" t="n">
        <v>0</v>
      </c>
      <c r="Y240" s="32" t="n">
        <v>0</v>
      </c>
      <c r="Z240" s="31" t="n">
        <v>0</v>
      </c>
      <c r="AA240" s="32" t="n">
        <v>0</v>
      </c>
      <c r="AB240" s="32" t="n">
        <v>0</v>
      </c>
      <c r="AC240" s="32" t="n">
        <v>0</v>
      </c>
      <c r="AD240" s="32" t="n">
        <v>1</v>
      </c>
      <c r="AE240" s="31" t="n">
        <v>6.1</v>
      </c>
      <c r="AF240" s="32" t="n">
        <v>1</v>
      </c>
      <c r="AG240" s="31" t="n">
        <v>1.1</v>
      </c>
      <c r="AH240" s="32" t="n">
        <v>66</v>
      </c>
      <c r="AI240" s="31" t="n">
        <v>67.2</v>
      </c>
      <c r="AJ240" s="31" t="n">
        <v>43.2</v>
      </c>
      <c r="AK240" s="31" t="n">
        <v>6.1</v>
      </c>
      <c r="AL240" s="30" t="inlineStr">
        <is>
          <t>T-0389</t>
        </is>
      </c>
      <c r="AM240" s="30" t="inlineStr">
        <is>
          <t>F-03-02</t>
        </is>
      </c>
      <c r="AN240" s="30" t="inlineStr">
        <is>
          <t>T-0225</t>
        </is>
      </c>
      <c r="AO240" s="30" t="inlineStr">
        <is>
          <t>F-05-02</t>
        </is>
      </c>
    </row>
    <row r="241">
      <c r="A241" s="30" t="inlineStr">
        <is>
          <t>O0240</t>
        </is>
      </c>
      <c r="B241" s="30" t="inlineStr">
        <is>
          <t>I</t>
        </is>
      </c>
      <c r="C241" s="31" t="n">
        <v>4161.7</v>
      </c>
      <c r="D241" s="31" t="n">
        <v>11598.5</v>
      </c>
      <c r="E241" s="31" t="n">
        <v>11598.5</v>
      </c>
      <c r="F241" s="31" t="n">
        <v>11609.7</v>
      </c>
      <c r="G241" s="31" t="n">
        <v>11639.3</v>
      </c>
      <c r="H241" s="31" t="n">
        <v>11656.8</v>
      </c>
      <c r="I241" s="31" t="n">
        <v>11686.3</v>
      </c>
      <c r="J241" s="31" t="n">
        <v>11710.3</v>
      </c>
      <c r="K241" s="31" t="n">
        <v>7548.6</v>
      </c>
      <c r="L241" s="31" t="n">
        <v>7436.8</v>
      </c>
      <c r="M241" s="30" t="inlineStr">
        <is>
          <t>AMR1</t>
        </is>
      </c>
      <c r="N241" s="30" t="inlineStr">
        <is>
          <t>AMR1</t>
        </is>
      </c>
      <c r="O241" s="32" t="n">
        <v>0</v>
      </c>
      <c r="P241" s="32" t="n">
        <v>0</v>
      </c>
      <c r="Q241" s="32" t="n">
        <v>15</v>
      </c>
      <c r="R241" s="31" t="n">
        <v>37.5</v>
      </c>
      <c r="S241" s="31" t="n">
        <v>37.5</v>
      </c>
      <c r="T241" s="30" t="inlineStr">
        <is>
          <t>AMR1</t>
        </is>
      </c>
      <c r="U241" s="31" t="n">
        <v>48.8</v>
      </c>
      <c r="V241" s="31" t="n">
        <v>48.8</v>
      </c>
      <c r="W241" s="30" t="inlineStr">
        <is>
          <t>AMR1</t>
        </is>
      </c>
      <c r="X241" s="32" t="n">
        <v>0</v>
      </c>
      <c r="Y241" s="32" t="n">
        <v>0</v>
      </c>
      <c r="Z241" s="31" t="n">
        <v>0</v>
      </c>
      <c r="AA241" s="32" t="n">
        <v>0</v>
      </c>
      <c r="AB241" s="32" t="n">
        <v>1</v>
      </c>
      <c r="AC241" s="32" t="n">
        <v>1</v>
      </c>
      <c r="AD241" s="32" t="n">
        <v>0</v>
      </c>
      <c r="AE241" s="31" t="n">
        <v>0</v>
      </c>
      <c r="AF241" s="32" t="n">
        <v>0</v>
      </c>
      <c r="AG241" s="31" t="n">
        <v>0</v>
      </c>
      <c r="AH241" s="32" t="n">
        <v>44</v>
      </c>
      <c r="AI241" s="31" t="n">
        <v>48.9</v>
      </c>
      <c r="AJ241" s="31" t="n">
        <v>40.5</v>
      </c>
      <c r="AK241" s="31" t="n">
        <v>4.9</v>
      </c>
      <c r="AL241" s="30" t="inlineStr">
        <is>
          <t>T-0390</t>
        </is>
      </c>
      <c r="AM241" s="30" t="inlineStr">
        <is>
          <t>I-06-01</t>
        </is>
      </c>
      <c r="AN241" s="30" t="inlineStr">
        <is>
          <t>T-0292</t>
        </is>
      </c>
      <c r="AO241" s="30" t="inlineStr">
        <is>
          <t>I-01-02</t>
        </is>
      </c>
    </row>
    <row r="242">
      <c r="A242" s="30" t="inlineStr">
        <is>
          <t>O0241</t>
        </is>
      </c>
      <c r="B242" s="30" t="inlineStr">
        <is>
          <t>C</t>
        </is>
      </c>
      <c r="C242" s="31" t="n">
        <v>4166.5</v>
      </c>
      <c r="D242" s="31" t="n">
        <v>11666.6</v>
      </c>
      <c r="E242" s="31" t="n">
        <v>11666.6</v>
      </c>
      <c r="F242" s="31" t="n">
        <v>11678.5</v>
      </c>
      <c r="G242" s="31" t="n">
        <v>11699.1</v>
      </c>
      <c r="H242" s="31" t="n">
        <v>11711.3</v>
      </c>
      <c r="I242" s="31" t="n">
        <v>11735.6</v>
      </c>
      <c r="J242" s="31" t="n">
        <v>11765.5</v>
      </c>
      <c r="K242" s="31" t="n">
        <v>7599</v>
      </c>
      <c r="L242" s="31" t="n">
        <v>7500.1</v>
      </c>
      <c r="M242" s="30" t="inlineStr">
        <is>
          <t>AMR2</t>
        </is>
      </c>
      <c r="N242" s="30" t="inlineStr">
        <is>
          <t>AMR2</t>
        </is>
      </c>
      <c r="O242" s="32" t="n">
        <v>0</v>
      </c>
      <c r="P242" s="32" t="n">
        <v>0</v>
      </c>
      <c r="Q242" s="32" t="n">
        <v>13</v>
      </c>
      <c r="R242" s="31" t="n">
        <v>31.6</v>
      </c>
      <c r="S242" s="31" t="n">
        <v>31.6</v>
      </c>
      <c r="T242" s="30" t="inlineStr">
        <is>
          <t>AMR2</t>
        </is>
      </c>
      <c r="U242" s="31" t="n">
        <v>53.3</v>
      </c>
      <c r="V242" s="31" t="n">
        <v>53.3</v>
      </c>
      <c r="W242" s="30" t="inlineStr">
        <is>
          <t>AMR2</t>
        </is>
      </c>
      <c r="X242" s="32" t="n">
        <v>0</v>
      </c>
      <c r="Y242" s="32" t="n">
        <v>0</v>
      </c>
      <c r="Z242" s="31" t="n">
        <v>0</v>
      </c>
      <c r="AA242" s="32" t="n">
        <v>0</v>
      </c>
      <c r="AB242" s="32" t="n">
        <v>0</v>
      </c>
      <c r="AC242" s="32" t="n">
        <v>0</v>
      </c>
      <c r="AD242" s="32" t="n">
        <v>0</v>
      </c>
      <c r="AE242" s="31" t="n">
        <v>0</v>
      </c>
      <c r="AF242" s="32" t="n">
        <v>0</v>
      </c>
      <c r="AG242" s="31" t="n">
        <v>0</v>
      </c>
      <c r="AH242" s="32" t="n">
        <v>41</v>
      </c>
      <c r="AI242" s="31" t="n">
        <v>44</v>
      </c>
      <c r="AJ242" s="31" t="n">
        <v>42.7</v>
      </c>
      <c r="AK242" s="31" t="n">
        <v>0</v>
      </c>
      <c r="AL242" s="30" t="inlineStr">
        <is>
          <t>T-0391</t>
        </is>
      </c>
      <c r="AM242" s="30" t="inlineStr">
        <is>
          <t>C-01-02</t>
        </is>
      </c>
      <c r="AN242" s="30" t="inlineStr">
        <is>
          <t>T-0266</t>
        </is>
      </c>
      <c r="AO242" s="30" t="inlineStr">
        <is>
          <t>C-03-02</t>
        </is>
      </c>
    </row>
    <row r="243">
      <c r="A243" s="30" t="inlineStr">
        <is>
          <t>O0242</t>
        </is>
      </c>
      <c r="B243" s="30" t="inlineStr">
        <is>
          <t>C</t>
        </is>
      </c>
      <c r="C243" s="31" t="n">
        <v>4173.3</v>
      </c>
      <c r="D243" s="31" t="n">
        <v>11734</v>
      </c>
      <c r="E243" s="31" t="n">
        <v>11734</v>
      </c>
      <c r="F243" s="31" t="n">
        <v>11747.1</v>
      </c>
      <c r="G243" s="31" t="n">
        <v>11767</v>
      </c>
      <c r="H243" s="31" t="n">
        <v>11783.5</v>
      </c>
      <c r="I243" s="31" t="n">
        <v>11811</v>
      </c>
      <c r="J243" s="31" t="n">
        <v>11840.6</v>
      </c>
      <c r="K243" s="31" t="n">
        <v>7667.3</v>
      </c>
      <c r="L243" s="31" t="n">
        <v>7560.7</v>
      </c>
      <c r="M243" s="30" t="inlineStr">
        <is>
          <t>AMR1</t>
        </is>
      </c>
      <c r="N243" s="30" t="inlineStr">
        <is>
          <t>AMR1</t>
        </is>
      </c>
      <c r="O243" s="32" t="n">
        <v>0</v>
      </c>
      <c r="P243" s="32" t="n">
        <v>0</v>
      </c>
      <c r="Q243" s="32" t="n">
        <v>13</v>
      </c>
      <c r="R243" s="31" t="n">
        <v>32.1</v>
      </c>
      <c r="S243" s="31" t="n">
        <v>32.1</v>
      </c>
      <c r="T243" s="30" t="inlineStr">
        <is>
          <t>AMR1</t>
        </is>
      </c>
      <c r="U243" s="31" t="n">
        <v>51.8</v>
      </c>
      <c r="V243" s="31" t="n">
        <v>51.8</v>
      </c>
      <c r="W243" s="30" t="inlineStr">
        <is>
          <t>AMR1</t>
        </is>
      </c>
      <c r="X243" s="32" t="n">
        <v>0</v>
      </c>
      <c r="Y243" s="32" t="n">
        <v>0</v>
      </c>
      <c r="Z243" s="31" t="n">
        <v>0</v>
      </c>
      <c r="AA243" s="32" t="n">
        <v>0</v>
      </c>
      <c r="AB243" s="32" t="n">
        <v>0</v>
      </c>
      <c r="AC243" s="32" t="n">
        <v>1</v>
      </c>
      <c r="AD243" s="32" t="n">
        <v>0</v>
      </c>
      <c r="AE243" s="31" t="n">
        <v>0</v>
      </c>
      <c r="AF243" s="32" t="n">
        <v>0</v>
      </c>
      <c r="AG243" s="31" t="n">
        <v>0</v>
      </c>
      <c r="AH243" s="32" t="n">
        <v>41</v>
      </c>
      <c r="AI243" s="31" t="n">
        <v>45.4</v>
      </c>
      <c r="AJ243" s="31" t="n">
        <v>41.7</v>
      </c>
      <c r="AK243" s="31" t="n">
        <v>3</v>
      </c>
      <c r="AL243" s="30" t="inlineStr">
        <is>
          <t>T-0392</t>
        </is>
      </c>
      <c r="AM243" s="30" t="inlineStr">
        <is>
          <t>C-02-02</t>
        </is>
      </c>
      <c r="AN243" s="30" t="inlineStr">
        <is>
          <t>T-0267</t>
        </is>
      </c>
      <c r="AO243" s="30" t="inlineStr">
        <is>
          <t>C-05-02</t>
        </is>
      </c>
    </row>
    <row r="244">
      <c r="A244" s="30" t="inlineStr">
        <is>
          <t>O0243</t>
        </is>
      </c>
      <c r="B244" s="30" t="inlineStr">
        <is>
          <t>C</t>
        </is>
      </c>
      <c r="C244" s="31" t="n">
        <v>4178.2</v>
      </c>
      <c r="D244" s="31" t="n">
        <v>11747.7</v>
      </c>
      <c r="E244" s="31" t="n">
        <v>11747.7</v>
      </c>
      <c r="F244" s="31" t="n">
        <v>11761.6</v>
      </c>
      <c r="G244" s="31" t="n">
        <v>11791.2</v>
      </c>
      <c r="H244" s="31" t="n">
        <v>11808.9</v>
      </c>
      <c r="I244" s="31" t="n">
        <v>11829.4</v>
      </c>
      <c r="J244" s="31" t="n">
        <v>11864.7</v>
      </c>
      <c r="K244" s="31" t="n">
        <v>7686.5</v>
      </c>
      <c r="L244" s="31" t="n">
        <v>7569.5</v>
      </c>
      <c r="M244" s="30" t="inlineStr">
        <is>
          <t>AMR3</t>
        </is>
      </c>
      <c r="N244" s="30" t="inlineStr">
        <is>
          <t>AMR3</t>
        </is>
      </c>
      <c r="O244" s="32" t="n">
        <v>0</v>
      </c>
      <c r="P244" s="32" t="n">
        <v>0</v>
      </c>
      <c r="Q244" s="32" t="n">
        <v>13</v>
      </c>
      <c r="R244" s="31" t="n">
        <v>35.4</v>
      </c>
      <c r="S244" s="31" t="n">
        <v>35.4</v>
      </c>
      <c r="T244" s="30" t="inlineStr">
        <is>
          <t>AMR3</t>
        </is>
      </c>
      <c r="U244" s="31" t="n">
        <v>51.9</v>
      </c>
      <c r="V244" s="31" t="n">
        <v>51.9</v>
      </c>
      <c r="W244" s="30" t="inlineStr">
        <is>
          <t>AMR3</t>
        </is>
      </c>
      <c r="X244" s="32" t="n">
        <v>0</v>
      </c>
      <c r="Y244" s="32" t="n">
        <v>0</v>
      </c>
      <c r="Z244" s="31" t="n">
        <v>0</v>
      </c>
      <c r="AA244" s="32" t="n">
        <v>0</v>
      </c>
      <c r="AB244" s="32" t="n">
        <v>2</v>
      </c>
      <c r="AC244" s="32" t="n">
        <v>2</v>
      </c>
      <c r="AD244" s="32" t="n">
        <v>0</v>
      </c>
      <c r="AE244" s="31" t="n">
        <v>0</v>
      </c>
      <c r="AF244" s="32" t="n">
        <v>0</v>
      </c>
      <c r="AG244" s="31" t="n">
        <v>0</v>
      </c>
      <c r="AH244" s="32" t="n">
        <v>44</v>
      </c>
      <c r="AI244" s="31" t="n">
        <v>48.2</v>
      </c>
      <c r="AJ244" s="31" t="n">
        <v>45.1</v>
      </c>
      <c r="AK244" s="31" t="n">
        <v>6</v>
      </c>
      <c r="AL244" s="30" t="inlineStr">
        <is>
          <t>T-0393</t>
        </is>
      </c>
      <c r="AM244" s="30" t="inlineStr">
        <is>
          <t>C-03-02</t>
        </is>
      </c>
      <c r="AN244" s="30" t="inlineStr">
        <is>
          <t>T-0272</t>
        </is>
      </c>
      <c r="AO244" s="30" t="inlineStr">
        <is>
          <t>C-02-03</t>
        </is>
      </c>
    </row>
    <row r="245">
      <c r="A245" s="30" t="inlineStr">
        <is>
          <t>O0244</t>
        </is>
      </c>
      <c r="B245" s="30" t="inlineStr">
        <is>
          <t>H</t>
        </is>
      </c>
      <c r="C245" s="31" t="n">
        <v>4181.8</v>
      </c>
      <c r="D245" s="31" t="n">
        <v>11790.7</v>
      </c>
      <c r="E245" s="31" t="n">
        <v>11790.7</v>
      </c>
      <c r="F245" s="31" t="n">
        <v>11802.1</v>
      </c>
      <c r="G245" s="31" t="n">
        <v>11827.9</v>
      </c>
      <c r="H245" s="31" t="n">
        <v>11847.2</v>
      </c>
      <c r="I245" s="31" t="n">
        <v>11872.1</v>
      </c>
      <c r="J245" s="31" t="n">
        <v>11896.7</v>
      </c>
      <c r="K245" s="31" t="n">
        <v>7714.9</v>
      </c>
      <c r="L245" s="31" t="n">
        <v>7608.9</v>
      </c>
      <c r="M245" s="30" t="inlineStr">
        <is>
          <t>AMR2</t>
        </is>
      </c>
      <c r="N245" s="30" t="inlineStr">
        <is>
          <t>AMR2</t>
        </is>
      </c>
      <c r="O245" s="32" t="n">
        <v>0</v>
      </c>
      <c r="P245" s="32" t="n">
        <v>0</v>
      </c>
      <c r="Q245" s="32" t="n">
        <v>15</v>
      </c>
      <c r="R245" s="31" t="n">
        <v>36.3</v>
      </c>
      <c r="S245" s="31" t="n">
        <v>36.3</v>
      </c>
      <c r="T245" s="30" t="inlineStr">
        <is>
          <t>AMR2</t>
        </is>
      </c>
      <c r="U245" s="31" t="n">
        <v>49.7</v>
      </c>
      <c r="V245" s="31" t="n">
        <v>49.7</v>
      </c>
      <c r="W245" s="30" t="inlineStr">
        <is>
          <t>AMR2</t>
        </is>
      </c>
      <c r="X245" s="32" t="n">
        <v>0</v>
      </c>
      <c r="Y245" s="32" t="n">
        <v>0</v>
      </c>
      <c r="Z245" s="31" t="n">
        <v>0</v>
      </c>
      <c r="AA245" s="32" t="n">
        <v>0</v>
      </c>
      <c r="AB245" s="32" t="n">
        <v>0</v>
      </c>
      <c r="AC245" s="32" t="n">
        <v>0</v>
      </c>
      <c r="AD245" s="32" t="n">
        <v>0</v>
      </c>
      <c r="AE245" s="31" t="n">
        <v>0</v>
      </c>
      <c r="AF245" s="32" t="n">
        <v>0</v>
      </c>
      <c r="AG245" s="31" t="n">
        <v>0</v>
      </c>
      <c r="AH245" s="32" t="n">
        <v>41</v>
      </c>
      <c r="AI245" s="31" t="n">
        <v>46</v>
      </c>
      <c r="AJ245" s="31" t="n">
        <v>40.7</v>
      </c>
      <c r="AK245" s="31" t="n">
        <v>0</v>
      </c>
      <c r="AL245" s="30" t="inlineStr">
        <is>
          <t>T-0394</t>
        </is>
      </c>
      <c r="AM245" s="30" t="inlineStr">
        <is>
          <t>H-01-02</t>
        </is>
      </c>
      <c r="AN245" s="30" t="inlineStr">
        <is>
          <t>T-0327</t>
        </is>
      </c>
      <c r="AO245" s="30" t="inlineStr">
        <is>
          <t>H-02-01</t>
        </is>
      </c>
    </row>
    <row r="246">
      <c r="A246" s="30" t="inlineStr">
        <is>
          <t>O0245</t>
        </is>
      </c>
      <c r="B246" s="30" t="inlineStr">
        <is>
          <t>I</t>
        </is>
      </c>
      <c r="C246" s="31" t="n">
        <v>4188.8</v>
      </c>
      <c r="D246" s="31" t="n">
        <v>11864.3</v>
      </c>
      <c r="E246" s="31" t="n">
        <v>11864.3</v>
      </c>
      <c r="F246" s="31" t="n">
        <v>11880.4</v>
      </c>
      <c r="G246" s="31" t="n">
        <v>11908.5</v>
      </c>
      <c r="H246" s="31" t="n">
        <v>11920.4</v>
      </c>
      <c r="I246" s="31" t="n">
        <v>11946.6</v>
      </c>
      <c r="J246" s="31" t="n">
        <v>11972</v>
      </c>
      <c r="K246" s="31" t="n">
        <v>7783.2</v>
      </c>
      <c r="L246" s="31" t="n">
        <v>7675.5</v>
      </c>
      <c r="M246" s="30" t="inlineStr">
        <is>
          <t>AMR1</t>
        </is>
      </c>
      <c r="N246" s="30" t="inlineStr">
        <is>
          <t>AMR2</t>
        </is>
      </c>
      <c r="O246" s="32" t="n">
        <v>0</v>
      </c>
      <c r="P246" s="32" t="n">
        <v>0</v>
      </c>
      <c r="Q246" s="32" t="n">
        <v>15</v>
      </c>
      <c r="R246" s="31" t="n">
        <v>38.3</v>
      </c>
      <c r="S246" s="31" t="n">
        <v>38.3</v>
      </c>
      <c r="T246" s="30" t="inlineStr">
        <is>
          <t>AMR1</t>
        </is>
      </c>
      <c r="U246" s="31" t="n">
        <v>51.8</v>
      </c>
      <c r="V246" s="31" t="n">
        <v>51.8</v>
      </c>
      <c r="W246" s="30" t="inlineStr">
        <is>
          <t>AMR2</t>
        </is>
      </c>
      <c r="X246" s="32" t="n">
        <v>0</v>
      </c>
      <c r="Y246" s="32" t="n">
        <v>0</v>
      </c>
      <c r="Z246" s="31" t="n">
        <v>0</v>
      </c>
      <c r="AA246" s="32" t="n">
        <v>0</v>
      </c>
      <c r="AB246" s="32" t="n">
        <v>2</v>
      </c>
      <c r="AC246" s="32" t="n">
        <v>1</v>
      </c>
      <c r="AD246" s="32" t="n">
        <v>0</v>
      </c>
      <c r="AE246" s="31" t="n">
        <v>0</v>
      </c>
      <c r="AF246" s="32" t="n">
        <v>0</v>
      </c>
      <c r="AG246" s="31" t="n">
        <v>0</v>
      </c>
      <c r="AH246" s="32" t="n">
        <v>41</v>
      </c>
      <c r="AI246" s="31" t="n">
        <v>46.5</v>
      </c>
      <c r="AJ246" s="31" t="n">
        <v>44.3</v>
      </c>
      <c r="AK246" s="31" t="n">
        <v>5</v>
      </c>
      <c r="AL246" s="30" t="inlineStr">
        <is>
          <t>T-0395</t>
        </is>
      </c>
      <c r="AM246" s="30" t="inlineStr">
        <is>
          <t>I-01-02</t>
        </is>
      </c>
      <c r="AN246" s="30" t="inlineStr">
        <is>
          <t>T-0295</t>
        </is>
      </c>
      <c r="AO246" s="30" t="inlineStr">
        <is>
          <t>I-02-02</t>
        </is>
      </c>
    </row>
    <row r="247">
      <c r="A247" s="30" t="inlineStr">
        <is>
          <t>O0246</t>
        </is>
      </c>
      <c r="B247" s="30" t="inlineStr">
        <is>
          <t>G</t>
        </is>
      </c>
      <c r="C247" s="31" t="n">
        <v>4194.2</v>
      </c>
      <c r="D247" s="31" t="n">
        <v>11892.4</v>
      </c>
      <c r="E247" s="31" t="n">
        <v>11892.4</v>
      </c>
      <c r="F247" s="31" t="n">
        <v>11907.6</v>
      </c>
      <c r="G247" s="31" t="n">
        <v>11930.6</v>
      </c>
      <c r="H247" s="31" t="n">
        <v>11946.1</v>
      </c>
      <c r="I247" s="31" t="n">
        <v>11974.1</v>
      </c>
      <c r="J247" s="31" t="n">
        <v>11999.3</v>
      </c>
      <c r="K247" s="31" t="n">
        <v>7805.1</v>
      </c>
      <c r="L247" s="31" t="n">
        <v>7698.2</v>
      </c>
      <c r="M247" s="30" t="inlineStr">
        <is>
          <t>AMR3</t>
        </is>
      </c>
      <c r="N247" s="30" t="inlineStr">
        <is>
          <t>AMR3</t>
        </is>
      </c>
      <c r="O247" s="32" t="n">
        <v>0</v>
      </c>
      <c r="P247" s="32" t="n">
        <v>0</v>
      </c>
      <c r="Q247" s="32" t="n">
        <v>17</v>
      </c>
      <c r="R247" s="31" t="n">
        <v>38.1</v>
      </c>
      <c r="S247" s="31" t="n">
        <v>38.1</v>
      </c>
      <c r="T247" s="30" t="inlineStr">
        <is>
          <t>AMR3</t>
        </is>
      </c>
      <c r="U247" s="31" t="n">
        <v>52.9</v>
      </c>
      <c r="V247" s="31" t="n">
        <v>52.9</v>
      </c>
      <c r="W247" s="30" t="inlineStr">
        <is>
          <t>AMR3</t>
        </is>
      </c>
      <c r="X247" s="32" t="n">
        <v>0</v>
      </c>
      <c r="Y247" s="32" t="n">
        <v>0</v>
      </c>
      <c r="Z247" s="31" t="n">
        <v>0</v>
      </c>
      <c r="AA247" s="32" t="n">
        <v>0</v>
      </c>
      <c r="AB247" s="32" t="n">
        <v>0</v>
      </c>
      <c r="AC247" s="32" t="n">
        <v>0</v>
      </c>
      <c r="AD247" s="32" t="n">
        <v>0</v>
      </c>
      <c r="AE247" s="31" t="n">
        <v>0</v>
      </c>
      <c r="AF247" s="32" t="n">
        <v>0</v>
      </c>
      <c r="AG247" s="31" t="n">
        <v>0</v>
      </c>
      <c r="AH247" s="32" t="n">
        <v>46</v>
      </c>
      <c r="AI247" s="31" t="n">
        <v>50.8</v>
      </c>
      <c r="AJ247" s="31" t="n">
        <v>40.6</v>
      </c>
      <c r="AK247" s="31" t="n">
        <v>0</v>
      </c>
      <c r="AL247" s="30" t="inlineStr">
        <is>
          <t>T-0396</t>
        </is>
      </c>
      <c r="AM247" s="30" t="inlineStr">
        <is>
          <t>G-06-01</t>
        </is>
      </c>
      <c r="AN247" s="30" t="inlineStr">
        <is>
          <t>T-0185</t>
        </is>
      </c>
      <c r="AO247" s="30" t="inlineStr">
        <is>
          <t>G-04-01</t>
        </is>
      </c>
    </row>
    <row r="248">
      <c r="A248" s="30" t="inlineStr">
        <is>
          <t>O0247</t>
        </is>
      </c>
      <c r="B248" s="30" t="inlineStr">
        <is>
          <t>I</t>
        </is>
      </c>
      <c r="C248" s="31" t="n">
        <v>4199</v>
      </c>
      <c r="D248" s="31" t="n">
        <v>11927.7</v>
      </c>
      <c r="E248" s="31" t="n">
        <v>11927.7</v>
      </c>
      <c r="F248" s="31" t="n">
        <v>11939.1</v>
      </c>
      <c r="G248" s="31" t="n">
        <v>11963.6</v>
      </c>
      <c r="H248" s="31" t="n">
        <v>11980.4</v>
      </c>
      <c r="I248" s="31" t="n">
        <v>12016.5</v>
      </c>
      <c r="J248" s="31" t="n">
        <v>12045.3</v>
      </c>
      <c r="K248" s="31" t="n">
        <v>7846.3</v>
      </c>
      <c r="L248" s="31" t="n">
        <v>7728.7</v>
      </c>
      <c r="M248" s="30" t="inlineStr">
        <is>
          <t>AMR1</t>
        </is>
      </c>
      <c r="N248" s="30" t="inlineStr">
        <is>
          <t>AMR1</t>
        </is>
      </c>
      <c r="O248" s="32" t="n">
        <v>0</v>
      </c>
      <c r="P248" s="32" t="n">
        <v>0</v>
      </c>
      <c r="Q248" s="32" t="n">
        <v>15</v>
      </c>
      <c r="R248" s="31" t="n">
        <v>33.4</v>
      </c>
      <c r="S248" s="31" t="n">
        <v>33.4</v>
      </c>
      <c r="T248" s="30" t="inlineStr">
        <is>
          <t>AMR1</t>
        </is>
      </c>
      <c r="U248" s="31" t="n">
        <v>56.7</v>
      </c>
      <c r="V248" s="31" t="n">
        <v>56.7</v>
      </c>
      <c r="W248" s="30" t="inlineStr">
        <is>
          <t>AMR1</t>
        </is>
      </c>
      <c r="X248" s="32" t="n">
        <v>0</v>
      </c>
      <c r="Y248" s="32" t="n">
        <v>0</v>
      </c>
      <c r="Z248" s="31" t="n">
        <v>0</v>
      </c>
      <c r="AA248" s="32" t="n">
        <v>0</v>
      </c>
      <c r="AB248" s="32" t="n">
        <v>1</v>
      </c>
      <c r="AC248" s="32" t="n">
        <v>1</v>
      </c>
      <c r="AD248" s="32" t="n">
        <v>0</v>
      </c>
      <c r="AE248" s="31" t="n">
        <v>0</v>
      </c>
      <c r="AF248" s="32" t="n">
        <v>0</v>
      </c>
      <c r="AG248" s="31" t="n">
        <v>0</v>
      </c>
      <c r="AH248" s="32" t="n">
        <v>47</v>
      </c>
      <c r="AI248" s="31" t="n">
        <v>53.5</v>
      </c>
      <c r="AJ248" s="31" t="n">
        <v>44.3</v>
      </c>
      <c r="AK248" s="31" t="n">
        <v>3</v>
      </c>
      <c r="AL248" s="30" t="inlineStr">
        <is>
          <t>T-0397</t>
        </is>
      </c>
      <c r="AM248" s="30" t="inlineStr">
        <is>
          <t>I-05-03</t>
        </is>
      </c>
      <c r="AN248" s="30" t="inlineStr">
        <is>
          <t>T-0299</t>
        </is>
      </c>
      <c r="AO248" s="30" t="inlineStr">
        <is>
          <t>I-03-02</t>
        </is>
      </c>
    </row>
    <row r="249">
      <c r="A249" s="30" t="inlineStr">
        <is>
          <t>O0248</t>
        </is>
      </c>
      <c r="B249" s="30" t="inlineStr">
        <is>
          <t>C</t>
        </is>
      </c>
      <c r="C249" s="31" t="n">
        <v>4204.3</v>
      </c>
      <c r="D249" s="31" t="n">
        <v>12000.8</v>
      </c>
      <c r="E249" s="31" t="n">
        <v>12000.8</v>
      </c>
      <c r="F249" s="31" t="n">
        <v>12013.5</v>
      </c>
      <c r="G249" s="31" t="n">
        <v>12033.7</v>
      </c>
      <c r="H249" s="31" t="n">
        <v>12046.5</v>
      </c>
      <c r="I249" s="31" t="n">
        <v>12070</v>
      </c>
      <c r="J249" s="31" t="n">
        <v>12097.4</v>
      </c>
      <c r="K249" s="31" t="n">
        <v>7893.1</v>
      </c>
      <c r="L249" s="31" t="n">
        <v>7796.5</v>
      </c>
      <c r="M249" s="30" t="inlineStr">
        <is>
          <t>AMR2</t>
        </is>
      </c>
      <c r="N249" s="30" t="inlineStr">
        <is>
          <t>AMR2</t>
        </is>
      </c>
      <c r="O249" s="32" t="n">
        <v>0</v>
      </c>
      <c r="P249" s="32" t="n">
        <v>0</v>
      </c>
      <c r="Q249" s="32" t="n">
        <v>13</v>
      </c>
      <c r="R249" s="31" t="n">
        <v>32</v>
      </c>
      <c r="S249" s="31" t="n">
        <v>32</v>
      </c>
      <c r="T249" s="30" t="inlineStr">
        <is>
          <t>AMR2</t>
        </is>
      </c>
      <c r="U249" s="31" t="n">
        <v>50.6</v>
      </c>
      <c r="V249" s="31" t="n">
        <v>50.6</v>
      </c>
      <c r="W249" s="30" t="inlineStr">
        <is>
          <t>AMR2</t>
        </is>
      </c>
      <c r="X249" s="32" t="n">
        <v>0</v>
      </c>
      <c r="Y249" s="32" t="n">
        <v>0</v>
      </c>
      <c r="Z249" s="31" t="n">
        <v>0</v>
      </c>
      <c r="AA249" s="32" t="n">
        <v>0</v>
      </c>
      <c r="AB249" s="32" t="n">
        <v>0</v>
      </c>
      <c r="AC249" s="32" t="n">
        <v>0</v>
      </c>
      <c r="AD249" s="32" t="n">
        <v>0</v>
      </c>
      <c r="AE249" s="31" t="n">
        <v>0</v>
      </c>
      <c r="AF249" s="32" t="n">
        <v>0</v>
      </c>
      <c r="AG249" s="31" t="n">
        <v>0</v>
      </c>
      <c r="AH249" s="32" t="n">
        <v>39</v>
      </c>
      <c r="AI249" s="31" t="n">
        <v>43.4</v>
      </c>
      <c r="AJ249" s="31" t="n">
        <v>40.4</v>
      </c>
      <c r="AK249" s="31" t="n">
        <v>0</v>
      </c>
      <c r="AL249" s="30" t="inlineStr">
        <is>
          <t>T-0398</t>
        </is>
      </c>
      <c r="AM249" s="30" t="inlineStr">
        <is>
          <t>C-05-02</t>
        </is>
      </c>
      <c r="AN249" s="30" t="inlineStr">
        <is>
          <t>T-0276</t>
        </is>
      </c>
      <c r="AO249" s="30" t="inlineStr">
        <is>
          <t>C-04-02</t>
        </is>
      </c>
    </row>
    <row r="250">
      <c r="A250" s="30" t="inlineStr">
        <is>
          <t>O0249</t>
        </is>
      </c>
      <c r="B250" s="30" t="inlineStr">
        <is>
          <t>C</t>
        </is>
      </c>
      <c r="C250" s="31" t="n">
        <v>4209.8</v>
      </c>
      <c r="D250" s="31" t="n">
        <v>12023</v>
      </c>
      <c r="E250" s="31" t="n">
        <v>12023</v>
      </c>
      <c r="F250" s="31" t="n">
        <v>12034</v>
      </c>
      <c r="G250" s="31" t="n">
        <v>12055.2</v>
      </c>
      <c r="H250" s="31" t="n">
        <v>12067.4</v>
      </c>
      <c r="I250" s="31" t="n">
        <v>12091.7</v>
      </c>
      <c r="J250" s="31" t="n">
        <v>12118.9</v>
      </c>
      <c r="K250" s="31" t="n">
        <v>7909.1</v>
      </c>
      <c r="L250" s="31" t="n">
        <v>7813.2</v>
      </c>
      <c r="M250" s="30" t="inlineStr">
        <is>
          <t>AMR3</t>
        </is>
      </c>
      <c r="N250" s="30" t="inlineStr">
        <is>
          <t>AMR3</t>
        </is>
      </c>
      <c r="O250" s="32" t="n">
        <v>0</v>
      </c>
      <c r="P250" s="32" t="n">
        <v>0</v>
      </c>
      <c r="Q250" s="32" t="n">
        <v>13</v>
      </c>
      <c r="R250" s="31" t="n">
        <v>31.3</v>
      </c>
      <c r="S250" s="31" t="n">
        <v>31.3</v>
      </c>
      <c r="T250" s="30" t="inlineStr">
        <is>
          <t>AMR3</t>
        </is>
      </c>
      <c r="U250" s="31" t="n">
        <v>50.6</v>
      </c>
      <c r="V250" s="31" t="n">
        <v>50.6</v>
      </c>
      <c r="W250" s="30" t="inlineStr">
        <is>
          <t>AMR3</t>
        </is>
      </c>
      <c r="X250" s="32" t="n">
        <v>0</v>
      </c>
      <c r="Y250" s="32" t="n">
        <v>0</v>
      </c>
      <c r="Z250" s="31" t="n">
        <v>0</v>
      </c>
      <c r="AA250" s="32" t="n">
        <v>0</v>
      </c>
      <c r="AB250" s="32" t="n">
        <v>0</v>
      </c>
      <c r="AC250" s="32" t="n">
        <v>0</v>
      </c>
      <c r="AD250" s="32" t="n">
        <v>0</v>
      </c>
      <c r="AE250" s="31" t="n">
        <v>0</v>
      </c>
      <c r="AF250" s="32" t="n">
        <v>0</v>
      </c>
      <c r="AG250" s="31" t="n">
        <v>0</v>
      </c>
      <c r="AH250" s="32" t="n">
        <v>41</v>
      </c>
      <c r="AI250" s="31" t="n">
        <v>44</v>
      </c>
      <c r="AJ250" s="31" t="n">
        <v>39.7</v>
      </c>
      <c r="AK250" s="31" t="n">
        <v>0</v>
      </c>
      <c r="AL250" s="30" t="inlineStr">
        <is>
          <t>T-0399</t>
        </is>
      </c>
      <c r="AM250" s="30" t="inlineStr">
        <is>
          <t>C-02-03</t>
        </is>
      </c>
      <c r="AN250" s="30" t="inlineStr">
        <is>
          <t>T-0277</t>
        </is>
      </c>
      <c r="AO250" s="30" t="inlineStr">
        <is>
          <t>C-03-03</t>
        </is>
      </c>
    </row>
    <row r="251">
      <c r="A251" s="30" t="inlineStr">
        <is>
          <t>O0250</t>
        </is>
      </c>
      <c r="B251" s="30" t="inlineStr">
        <is>
          <t>D</t>
        </is>
      </c>
      <c r="C251" s="31" t="n">
        <v>4213.7</v>
      </c>
      <c r="D251" s="31" t="n">
        <v>12070.9</v>
      </c>
      <c r="E251" s="31" t="n">
        <v>12070.9</v>
      </c>
      <c r="F251" s="31" t="n">
        <v>12086.7</v>
      </c>
      <c r="G251" s="31" t="n">
        <v>12111.7</v>
      </c>
      <c r="H251" s="31" t="n">
        <v>12121.1</v>
      </c>
      <c r="I251" s="31" t="n">
        <v>12158.7</v>
      </c>
      <c r="J251" s="31" t="n">
        <v>12190.4</v>
      </c>
      <c r="K251" s="31" t="n">
        <v>7976.7</v>
      </c>
      <c r="L251" s="31" t="n">
        <v>7857.2</v>
      </c>
      <c r="M251" s="30" t="inlineStr">
        <is>
          <t>AMR1</t>
        </is>
      </c>
      <c r="N251" s="30" t="inlineStr">
        <is>
          <t>AMR2</t>
        </is>
      </c>
      <c r="O251" s="32" t="n">
        <v>0</v>
      </c>
      <c r="P251" s="32" t="n">
        <v>0</v>
      </c>
      <c r="Q251" s="32" t="n">
        <v>13</v>
      </c>
      <c r="R251" s="31" t="n">
        <v>39.1</v>
      </c>
      <c r="S251" s="31" t="n">
        <v>39.1</v>
      </c>
      <c r="T251" s="30" t="inlineStr">
        <is>
          <t>AMR1</t>
        </is>
      </c>
      <c r="U251" s="31" t="n">
        <v>54.6</v>
      </c>
      <c r="V251" s="31" t="n">
        <v>54.6</v>
      </c>
      <c r="W251" s="30" t="inlineStr">
        <is>
          <t>AMR2</t>
        </is>
      </c>
      <c r="X251" s="32" t="n">
        <v>0</v>
      </c>
      <c r="Y251" s="32" t="n">
        <v>0</v>
      </c>
      <c r="Z251" s="31" t="n">
        <v>0</v>
      </c>
      <c r="AA251" s="32" t="n">
        <v>0</v>
      </c>
      <c r="AB251" s="32" t="n">
        <v>2</v>
      </c>
      <c r="AC251" s="32" t="n">
        <v>2</v>
      </c>
      <c r="AD251" s="32" t="n">
        <v>0</v>
      </c>
      <c r="AE251" s="31" t="n">
        <v>0</v>
      </c>
      <c r="AF251" s="32" t="n">
        <v>0</v>
      </c>
      <c r="AG251" s="31" t="n">
        <v>0</v>
      </c>
      <c r="AH251" s="32" t="n">
        <v>46</v>
      </c>
      <c r="AI251" s="31" t="n">
        <v>53.1</v>
      </c>
      <c r="AJ251" s="31" t="n">
        <v>51</v>
      </c>
      <c r="AK251" s="31" t="n">
        <v>6</v>
      </c>
      <c r="AL251" s="30" t="inlineStr">
        <is>
          <t>T-0400</t>
        </is>
      </c>
      <c r="AM251" s="30" t="inlineStr">
        <is>
          <t>D-03-03</t>
        </is>
      </c>
      <c r="AN251" s="30" t="inlineStr">
        <is>
          <t>T-0284</t>
        </is>
      </c>
      <c r="AO251" s="30" t="inlineStr">
        <is>
          <t>D-05-03</t>
        </is>
      </c>
    </row>
    <row r="252">
      <c r="A252" s="30" t="inlineStr">
        <is>
          <t>O0251</t>
        </is>
      </c>
      <c r="B252" s="30" t="inlineStr">
        <is>
          <t>F</t>
        </is>
      </c>
      <c r="C252" s="31" t="n">
        <v>4218.4</v>
      </c>
      <c r="D252" s="31" t="n">
        <v>12131</v>
      </c>
      <c r="E252" s="31" t="n">
        <v>12131</v>
      </c>
      <c r="F252" s="31" t="n">
        <v>12144.8</v>
      </c>
      <c r="G252" s="31" t="n">
        <v>12177.1</v>
      </c>
      <c r="H252" s="31" t="n">
        <v>12199.3</v>
      </c>
      <c r="I252" s="31" t="n">
        <v>12240.7</v>
      </c>
      <c r="J252" s="31" t="n">
        <v>12277.2</v>
      </c>
      <c r="K252" s="31" t="n">
        <v>8058.8</v>
      </c>
      <c r="L252" s="31" t="n">
        <v>7912.6</v>
      </c>
      <c r="M252" s="30" t="inlineStr">
        <is>
          <t>AMR1</t>
        </is>
      </c>
      <c r="N252" s="30" t="inlineStr">
        <is>
          <t>AMR1</t>
        </is>
      </c>
      <c r="O252" s="32" t="n">
        <v>0</v>
      </c>
      <c r="P252" s="32" t="n">
        <v>0</v>
      </c>
      <c r="Q252" s="32" t="n">
        <v>23</v>
      </c>
      <c r="R252" s="31" t="n">
        <v>45.2</v>
      </c>
      <c r="S252" s="31" t="n">
        <v>45.2</v>
      </c>
      <c r="T252" s="30" t="inlineStr">
        <is>
          <t>AMR1</t>
        </is>
      </c>
      <c r="U252" s="31" t="n">
        <v>67.8</v>
      </c>
      <c r="V252" s="31" t="n">
        <v>67.8</v>
      </c>
      <c r="W252" s="30" t="inlineStr">
        <is>
          <t>AMR1</t>
        </is>
      </c>
      <c r="X252" s="32" t="n">
        <v>0</v>
      </c>
      <c r="Y252" s="32" t="n">
        <v>0</v>
      </c>
      <c r="Z252" s="31" t="n">
        <v>0</v>
      </c>
      <c r="AA252" s="32" t="n">
        <v>0</v>
      </c>
      <c r="AB252" s="32" t="n">
        <v>1</v>
      </c>
      <c r="AC252" s="32" t="n">
        <v>1</v>
      </c>
      <c r="AD252" s="32" t="n">
        <v>0</v>
      </c>
      <c r="AE252" s="31" t="n">
        <v>0</v>
      </c>
      <c r="AF252" s="32" t="n">
        <v>0</v>
      </c>
      <c r="AG252" s="31" t="n">
        <v>0</v>
      </c>
      <c r="AH252" s="32" t="n">
        <v>69</v>
      </c>
      <c r="AI252" s="31" t="n">
        <v>73.2</v>
      </c>
      <c r="AJ252" s="31" t="n">
        <v>47.8</v>
      </c>
      <c r="AK252" s="31" t="n">
        <v>3</v>
      </c>
      <c r="AL252" s="30" t="inlineStr">
        <is>
          <t>T-0401</t>
        </is>
      </c>
      <c r="AM252" s="30" t="inlineStr">
        <is>
          <t>F-05-02</t>
        </is>
      </c>
      <c r="AN252" s="30" t="inlineStr">
        <is>
          <t>T-0248</t>
        </is>
      </c>
      <c r="AO252" s="30" t="inlineStr">
        <is>
          <t>F-02-03</t>
        </is>
      </c>
    </row>
    <row r="253">
      <c r="A253" s="30" t="inlineStr">
        <is>
          <t>O0252</t>
        </is>
      </c>
      <c r="B253" s="30" t="inlineStr">
        <is>
          <t>H</t>
        </is>
      </c>
      <c r="C253" s="31" t="n">
        <v>4221.5</v>
      </c>
      <c r="D253" s="31" t="n">
        <v>12147.9</v>
      </c>
      <c r="E253" s="31" t="n">
        <v>12147.9</v>
      </c>
      <c r="F253" s="31" t="n">
        <v>12159.9</v>
      </c>
      <c r="G253" s="31" t="n">
        <v>12185.6</v>
      </c>
      <c r="H253" s="31" t="n">
        <v>12208.1</v>
      </c>
      <c r="I253" s="31" t="n">
        <v>12233.6</v>
      </c>
      <c r="J253" s="31" t="n">
        <v>12260.1</v>
      </c>
      <c r="K253" s="31" t="n">
        <v>8038.6</v>
      </c>
      <c r="L253" s="31" t="n">
        <v>7926.4</v>
      </c>
      <c r="M253" s="30" t="inlineStr">
        <is>
          <t>AMR3</t>
        </is>
      </c>
      <c r="N253" s="30" t="inlineStr">
        <is>
          <t>AMR3</t>
        </is>
      </c>
      <c r="O253" s="32" t="n">
        <v>0</v>
      </c>
      <c r="P253" s="32" t="n">
        <v>0</v>
      </c>
      <c r="Q253" s="32" t="n">
        <v>15</v>
      </c>
      <c r="R253" s="31" t="n">
        <v>36.8</v>
      </c>
      <c r="S253" s="31" t="n">
        <v>36.8</v>
      </c>
      <c r="T253" s="30" t="inlineStr">
        <is>
          <t>AMR3</t>
        </is>
      </c>
      <c r="U253" s="31" t="n">
        <v>52.7</v>
      </c>
      <c r="V253" s="31" t="n">
        <v>52.7</v>
      </c>
      <c r="W253" s="30" t="inlineStr">
        <is>
          <t>AMR3</t>
        </is>
      </c>
      <c r="X253" s="32" t="n">
        <v>0</v>
      </c>
      <c r="Y253" s="32" t="n">
        <v>0</v>
      </c>
      <c r="Z253" s="31" t="n">
        <v>0</v>
      </c>
      <c r="AA253" s="32" t="n">
        <v>0</v>
      </c>
      <c r="AB253" s="32" t="n">
        <v>0</v>
      </c>
      <c r="AC253" s="32" t="n">
        <v>0</v>
      </c>
      <c r="AD253" s="32" t="n">
        <v>0</v>
      </c>
      <c r="AE253" s="31" t="n">
        <v>0</v>
      </c>
      <c r="AF253" s="32" t="n">
        <v>0</v>
      </c>
      <c r="AG253" s="31" t="n">
        <v>0</v>
      </c>
      <c r="AH253" s="32" t="n">
        <v>41</v>
      </c>
      <c r="AI253" s="31" t="n">
        <v>45.5</v>
      </c>
      <c r="AJ253" s="31" t="n">
        <v>44.2</v>
      </c>
      <c r="AK253" s="31" t="n">
        <v>0</v>
      </c>
      <c r="AL253" s="30" t="inlineStr">
        <is>
          <t>T-0402</t>
        </is>
      </c>
      <c r="AM253" s="30" t="inlineStr">
        <is>
          <t>H-02-01</t>
        </is>
      </c>
      <c r="AN253" s="30" t="inlineStr">
        <is>
          <t>T-0336</t>
        </is>
      </c>
      <c r="AO253" s="30" t="inlineStr">
        <is>
          <t>H-04-03</t>
        </is>
      </c>
    </row>
    <row r="254">
      <c r="A254" s="30" t="inlineStr">
        <is>
          <t>O0253</t>
        </is>
      </c>
      <c r="B254" s="30" t="inlineStr">
        <is>
          <t>D</t>
        </is>
      </c>
      <c r="C254" s="31" t="n">
        <v>4227.9</v>
      </c>
      <c r="D254" s="31" t="n">
        <v>12215.4</v>
      </c>
      <c r="E254" s="31" t="n">
        <v>12215.4</v>
      </c>
      <c r="F254" s="31" t="n">
        <v>12227.2</v>
      </c>
      <c r="G254" s="31" t="n">
        <v>12253.6</v>
      </c>
      <c r="H254" s="31" t="n">
        <v>12268.4</v>
      </c>
      <c r="I254" s="31" t="n">
        <v>12299.1</v>
      </c>
      <c r="J254" s="31" t="n">
        <v>12328.6</v>
      </c>
      <c r="K254" s="31" t="n">
        <v>8100.7</v>
      </c>
      <c r="L254" s="31" t="n">
        <v>7987.5</v>
      </c>
      <c r="M254" s="30" t="inlineStr">
        <is>
          <t>AMR2</t>
        </is>
      </c>
      <c r="N254" s="30" t="inlineStr">
        <is>
          <t>AMR2</t>
        </is>
      </c>
      <c r="O254" s="32" t="n">
        <v>0</v>
      </c>
      <c r="P254" s="32" t="n">
        <v>0</v>
      </c>
      <c r="Q254" s="32" t="n">
        <v>13</v>
      </c>
      <c r="R254" s="31" t="n">
        <v>35.7</v>
      </c>
      <c r="S254" s="31" t="n">
        <v>35.7</v>
      </c>
      <c r="T254" s="30" t="inlineStr">
        <is>
          <t>AMR2</t>
        </is>
      </c>
      <c r="U254" s="31" t="n">
        <v>54</v>
      </c>
      <c r="V254" s="31" t="n">
        <v>54</v>
      </c>
      <c r="W254" s="30" t="inlineStr">
        <is>
          <t>AMR2</t>
        </is>
      </c>
      <c r="X254" s="32" t="n">
        <v>0</v>
      </c>
      <c r="Y254" s="32" t="n">
        <v>0</v>
      </c>
      <c r="Z254" s="31" t="n">
        <v>0</v>
      </c>
      <c r="AA254" s="32" t="n">
        <v>0</v>
      </c>
      <c r="AB254" s="32" t="n">
        <v>1</v>
      </c>
      <c r="AC254" s="32" t="n">
        <v>1</v>
      </c>
      <c r="AD254" s="32" t="n">
        <v>0</v>
      </c>
      <c r="AE254" s="31" t="n">
        <v>0</v>
      </c>
      <c r="AF254" s="32" t="n">
        <v>0</v>
      </c>
      <c r="AG254" s="31" t="n">
        <v>0</v>
      </c>
      <c r="AH254" s="32" t="n">
        <v>43</v>
      </c>
      <c r="AI254" s="31" t="n">
        <v>48.4</v>
      </c>
      <c r="AJ254" s="31" t="n">
        <v>47</v>
      </c>
      <c r="AK254" s="31" t="n">
        <v>3</v>
      </c>
      <c r="AL254" s="30" t="inlineStr">
        <is>
          <t>T-0403</t>
        </is>
      </c>
      <c r="AM254" s="30" t="inlineStr">
        <is>
          <t>D-04-03</t>
        </is>
      </c>
      <c r="AN254" s="30" t="inlineStr">
        <is>
          <t>T-0296</t>
        </is>
      </c>
      <c r="AO254" s="30" t="inlineStr">
        <is>
          <t>D-01-01</t>
        </is>
      </c>
    </row>
    <row r="255">
      <c r="A255" s="30" t="inlineStr">
        <is>
          <t>O0254</t>
        </is>
      </c>
      <c r="B255" s="30" t="inlineStr">
        <is>
          <t>J</t>
        </is>
      </c>
      <c r="C255" s="31" t="n">
        <v>4234.1</v>
      </c>
      <c r="D255" s="31" t="n">
        <v>12288.8</v>
      </c>
      <c r="E255" s="31" t="n">
        <v>12288.8</v>
      </c>
      <c r="F255" s="31" t="n">
        <v>12299.7</v>
      </c>
      <c r="G255" s="31" t="n">
        <v>12329.8</v>
      </c>
      <c r="H255" s="31" t="n">
        <v>12349.6</v>
      </c>
      <c r="I255" s="31" t="n">
        <v>12387.2</v>
      </c>
      <c r="J255" s="31" t="n">
        <v>12420.5</v>
      </c>
      <c r="K255" s="31" t="n">
        <v>8186.4</v>
      </c>
      <c r="L255" s="31" t="n">
        <v>8054.7</v>
      </c>
      <c r="M255" s="30" t="inlineStr">
        <is>
          <t>AMR3</t>
        </is>
      </c>
      <c r="N255" s="30" t="inlineStr">
        <is>
          <t>AMR1</t>
        </is>
      </c>
      <c r="O255" s="32" t="n">
        <v>0</v>
      </c>
      <c r="P255" s="32" t="n">
        <v>0</v>
      </c>
      <c r="Q255" s="32" t="n">
        <v>21</v>
      </c>
      <c r="R255" s="31" t="n">
        <v>40.1</v>
      </c>
      <c r="S255" s="31" t="n">
        <v>40.1</v>
      </c>
      <c r="T255" s="30" t="inlineStr">
        <is>
          <t>AMR3</t>
        </is>
      </c>
      <c r="U255" s="31" t="n">
        <v>62.4</v>
      </c>
      <c r="V255" s="31" t="n">
        <v>62.4</v>
      </c>
      <c r="W255" s="30" t="inlineStr">
        <is>
          <t>AMR1</t>
        </is>
      </c>
      <c r="X255" s="32" t="n">
        <v>0</v>
      </c>
      <c r="Y255" s="32" t="n">
        <v>0</v>
      </c>
      <c r="Z255" s="31" t="n">
        <v>0</v>
      </c>
      <c r="AA255" s="32" t="n">
        <v>0</v>
      </c>
      <c r="AB255" s="32" t="n">
        <v>1</v>
      </c>
      <c r="AC255" s="32" t="n">
        <v>1</v>
      </c>
      <c r="AD255" s="32" t="n">
        <v>0</v>
      </c>
      <c r="AE255" s="31" t="n">
        <v>0</v>
      </c>
      <c r="AF255" s="32" t="n">
        <v>1</v>
      </c>
      <c r="AG255" s="31" t="n">
        <v>0.2</v>
      </c>
      <c r="AH255" s="32" t="n">
        <v>63</v>
      </c>
      <c r="AI255" s="31" t="n">
        <v>64.8</v>
      </c>
      <c r="AJ255" s="31" t="n">
        <v>41.9</v>
      </c>
      <c r="AK255" s="31" t="n">
        <v>5.2</v>
      </c>
      <c r="AL255" s="30" t="inlineStr">
        <is>
          <t>T-0404</t>
        </is>
      </c>
      <c r="AM255" s="30" t="inlineStr">
        <is>
          <t>J-02-01</t>
        </is>
      </c>
      <c r="AN255" s="30" t="inlineStr">
        <is>
          <t>T-0167</t>
        </is>
      </c>
      <c r="AO255" s="30" t="inlineStr">
        <is>
          <t>J-04-01</t>
        </is>
      </c>
    </row>
    <row r="256">
      <c r="A256" s="30" t="inlineStr">
        <is>
          <t>O0255</t>
        </is>
      </c>
      <c r="B256" s="30" t="inlineStr">
        <is>
          <t>D</t>
        </is>
      </c>
      <c r="C256" s="31" t="n">
        <v>4238.8</v>
      </c>
      <c r="D256" s="31" t="n">
        <v>12300.9</v>
      </c>
      <c r="E256" s="31" t="n">
        <v>12300.9</v>
      </c>
      <c r="F256" s="31" t="n">
        <v>12314.3</v>
      </c>
      <c r="G256" s="31" t="n">
        <v>12336.8</v>
      </c>
      <c r="H256" s="31" t="n">
        <v>12356.5</v>
      </c>
      <c r="I256" s="31" t="n">
        <v>12379.7</v>
      </c>
      <c r="J256" s="31" t="n">
        <v>12407.5</v>
      </c>
      <c r="K256" s="31" t="n">
        <v>8168.7</v>
      </c>
      <c r="L256" s="31" t="n">
        <v>8062.1</v>
      </c>
      <c r="M256" s="30" t="inlineStr">
        <is>
          <t>AMR1</t>
        </is>
      </c>
      <c r="N256" s="30" t="inlineStr">
        <is>
          <t>AMR3</t>
        </is>
      </c>
      <c r="O256" s="32" t="n">
        <v>0</v>
      </c>
      <c r="P256" s="32" t="n">
        <v>0</v>
      </c>
      <c r="Q256" s="32" t="n">
        <v>13</v>
      </c>
      <c r="R256" s="31" t="n">
        <v>35</v>
      </c>
      <c r="S256" s="31" t="n">
        <v>35</v>
      </c>
      <c r="T256" s="30" t="inlineStr">
        <is>
          <t>AMR1</t>
        </is>
      </c>
      <c r="U256" s="31" t="n">
        <v>47.6</v>
      </c>
      <c r="V256" s="31" t="n">
        <v>47.6</v>
      </c>
      <c r="W256" s="30" t="inlineStr">
        <is>
          <t>AMR3</t>
        </is>
      </c>
      <c r="X256" s="32" t="n">
        <v>0</v>
      </c>
      <c r="Y256" s="32" t="n">
        <v>0</v>
      </c>
      <c r="Z256" s="31" t="n">
        <v>0</v>
      </c>
      <c r="AA256" s="32" t="n">
        <v>0</v>
      </c>
      <c r="AB256" s="32" t="n">
        <v>0</v>
      </c>
      <c r="AC256" s="32" t="n">
        <v>0</v>
      </c>
      <c r="AD256" s="32" t="n">
        <v>0</v>
      </c>
      <c r="AE256" s="31" t="n">
        <v>0</v>
      </c>
      <c r="AF256" s="32" t="n">
        <v>0</v>
      </c>
      <c r="AG256" s="31" t="n">
        <v>0</v>
      </c>
      <c r="AH256" s="32" t="n">
        <v>41</v>
      </c>
      <c r="AI256" s="31" t="n">
        <v>45.4</v>
      </c>
      <c r="AJ256" s="31" t="n">
        <v>39.9</v>
      </c>
      <c r="AK256" s="31" t="n">
        <v>1.6</v>
      </c>
      <c r="AL256" s="30" t="inlineStr">
        <is>
          <t>T-0405</t>
        </is>
      </c>
      <c r="AM256" s="30" t="inlineStr">
        <is>
          <t>D-01-01</t>
        </is>
      </c>
      <c r="AN256" s="30" t="inlineStr">
        <is>
          <t>T-0308</t>
        </is>
      </c>
      <c r="AO256" s="30" t="inlineStr">
        <is>
          <t>D-03-01</t>
        </is>
      </c>
    </row>
    <row r="257">
      <c r="A257" s="30" t="inlineStr">
        <is>
          <t>O0256</t>
        </is>
      </c>
      <c r="B257" s="30" t="inlineStr">
        <is>
          <t>D</t>
        </is>
      </c>
      <c r="C257" s="31" t="n">
        <v>4245.1</v>
      </c>
      <c r="D257" s="31" t="n">
        <v>12363.5</v>
      </c>
      <c r="E257" s="31" t="n">
        <v>12363.5</v>
      </c>
      <c r="F257" s="31" t="n">
        <v>12377.7</v>
      </c>
      <c r="G257" s="31" t="n">
        <v>12401.6</v>
      </c>
      <c r="H257" s="31" t="n">
        <v>12416.4</v>
      </c>
      <c r="I257" s="31" t="n">
        <v>12449.1</v>
      </c>
      <c r="J257" s="31" t="n">
        <v>12481.6</v>
      </c>
      <c r="K257" s="31" t="n">
        <v>8236.5</v>
      </c>
      <c r="L257" s="31" t="n">
        <v>8118.4</v>
      </c>
      <c r="M257" s="30" t="inlineStr">
        <is>
          <t>AMR2</t>
        </is>
      </c>
      <c r="N257" s="30" t="inlineStr">
        <is>
          <t>AMR2</t>
        </is>
      </c>
      <c r="O257" s="32" t="n">
        <v>0</v>
      </c>
      <c r="P257" s="32" t="n">
        <v>0</v>
      </c>
      <c r="Q257" s="32" t="n">
        <v>13</v>
      </c>
      <c r="R257" s="31" t="n">
        <v>35.6</v>
      </c>
      <c r="S257" s="31" t="n">
        <v>35.6</v>
      </c>
      <c r="T257" s="30" t="inlineStr">
        <is>
          <t>AMR2</t>
        </is>
      </c>
      <c r="U257" s="31" t="n">
        <v>55.5</v>
      </c>
      <c r="V257" s="31" t="n">
        <v>55.5</v>
      </c>
      <c r="W257" s="30" t="inlineStr">
        <is>
          <t>AMR2</t>
        </is>
      </c>
      <c r="X257" s="32" t="n">
        <v>0</v>
      </c>
      <c r="Y257" s="32" t="n">
        <v>0</v>
      </c>
      <c r="Z257" s="31" t="n">
        <v>0</v>
      </c>
      <c r="AA257" s="32" t="n">
        <v>0</v>
      </c>
      <c r="AB257" s="32" t="n">
        <v>1</v>
      </c>
      <c r="AC257" s="32" t="n">
        <v>1</v>
      </c>
      <c r="AD257" s="32" t="n">
        <v>0</v>
      </c>
      <c r="AE257" s="31" t="n">
        <v>0</v>
      </c>
      <c r="AF257" s="32" t="n">
        <v>0</v>
      </c>
      <c r="AG257" s="31" t="n">
        <v>0</v>
      </c>
      <c r="AH257" s="32" t="n">
        <v>47</v>
      </c>
      <c r="AI257" s="31" t="n">
        <v>51.9</v>
      </c>
      <c r="AJ257" s="31" t="n">
        <v>48.4</v>
      </c>
      <c r="AK257" s="31" t="n">
        <v>3</v>
      </c>
      <c r="AL257" s="30" t="inlineStr">
        <is>
          <t>T-0406</t>
        </is>
      </c>
      <c r="AM257" s="30" t="inlineStr">
        <is>
          <t>D-05-03</t>
        </is>
      </c>
      <c r="AN257" s="30" t="inlineStr">
        <is>
          <t>T-0312</t>
        </is>
      </c>
      <c r="AO257" s="30" t="inlineStr">
        <is>
          <t>D-04-01</t>
        </is>
      </c>
    </row>
    <row r="258">
      <c r="A258" s="30" t="inlineStr">
        <is>
          <t>O0257</t>
        </is>
      </c>
      <c r="B258" s="30" t="inlineStr">
        <is>
          <t>E</t>
        </is>
      </c>
      <c r="C258" s="31" t="n">
        <v>4250.5</v>
      </c>
      <c r="D258" s="31" t="n">
        <v>12436.8</v>
      </c>
      <c r="E258" s="31" t="n">
        <v>12436.8</v>
      </c>
      <c r="F258" s="31" t="n">
        <v>12449.2</v>
      </c>
      <c r="G258" s="31" t="n">
        <v>12476.4</v>
      </c>
      <c r="H258" s="31" t="n">
        <v>12496.6</v>
      </c>
      <c r="I258" s="31" t="n">
        <v>12521.6</v>
      </c>
      <c r="J258" s="31" t="n">
        <v>12556.5</v>
      </c>
      <c r="K258" s="31" t="n">
        <v>8306</v>
      </c>
      <c r="L258" s="31" t="n">
        <v>8186.3</v>
      </c>
      <c r="M258" s="30" t="inlineStr">
        <is>
          <t>AMR3</t>
        </is>
      </c>
      <c r="N258" s="30" t="inlineStr">
        <is>
          <t>AMR3</t>
        </is>
      </c>
      <c r="O258" s="32" t="n">
        <v>0</v>
      </c>
      <c r="P258" s="32" t="n">
        <v>0</v>
      </c>
      <c r="Q258" s="32" t="n">
        <v>19</v>
      </c>
      <c r="R258" s="31" t="n">
        <v>37.1</v>
      </c>
      <c r="S258" s="31" t="n">
        <v>37.1</v>
      </c>
      <c r="T258" s="30" t="inlineStr">
        <is>
          <t>AMR3</t>
        </is>
      </c>
      <c r="U258" s="31" t="n">
        <v>60.1</v>
      </c>
      <c r="V258" s="31" t="n">
        <v>60.1</v>
      </c>
      <c r="W258" s="30" t="inlineStr">
        <is>
          <t>AMR3</t>
        </is>
      </c>
      <c r="X258" s="32" t="n">
        <v>0</v>
      </c>
      <c r="Y258" s="32" t="n">
        <v>0</v>
      </c>
      <c r="Z258" s="31" t="n">
        <v>0</v>
      </c>
      <c r="AA258" s="32" t="n">
        <v>0</v>
      </c>
      <c r="AB258" s="32" t="n">
        <v>0</v>
      </c>
      <c r="AC258" s="32" t="n">
        <v>0</v>
      </c>
      <c r="AD258" s="32" t="n">
        <v>0</v>
      </c>
      <c r="AE258" s="31" t="n">
        <v>0</v>
      </c>
      <c r="AF258" s="32" t="n">
        <v>0</v>
      </c>
      <c r="AG258" s="31" t="n">
        <v>0</v>
      </c>
      <c r="AH258" s="32" t="n">
        <v>59</v>
      </c>
      <c r="AI258" s="31" t="n">
        <v>59.8</v>
      </c>
      <c r="AJ258" s="31" t="n">
        <v>39.7</v>
      </c>
      <c r="AK258" s="31" t="n">
        <v>0</v>
      </c>
      <c r="AL258" s="30" t="inlineStr">
        <is>
          <t>T-0407</t>
        </is>
      </c>
      <c r="AM258" s="30" t="inlineStr">
        <is>
          <t>E-04-01</t>
        </is>
      </c>
      <c r="AN258" s="30" t="inlineStr">
        <is>
          <t>T-0193</t>
        </is>
      </c>
      <c r="AO258" s="30" t="inlineStr">
        <is>
          <t>E-01-02</t>
        </is>
      </c>
    </row>
    <row r="259">
      <c r="A259" s="30" t="inlineStr">
        <is>
          <t>O0258</t>
        </is>
      </c>
      <c r="B259" s="30" t="inlineStr">
        <is>
          <t>J</t>
        </is>
      </c>
      <c r="C259" s="31" t="n">
        <v>4254</v>
      </c>
      <c r="D259" s="31" t="n">
        <v>12449.3</v>
      </c>
      <c r="E259" s="31" t="n">
        <v>12449.3</v>
      </c>
      <c r="F259" s="31" t="n">
        <v>12463.1</v>
      </c>
      <c r="G259" s="31" t="n">
        <v>12497</v>
      </c>
      <c r="H259" s="31" t="n">
        <v>12505.3</v>
      </c>
      <c r="I259" s="31" t="n">
        <v>12535.2</v>
      </c>
      <c r="J259" s="31" t="n">
        <v>12575.6</v>
      </c>
      <c r="K259" s="31" t="n">
        <v>8321.6</v>
      </c>
      <c r="L259" s="31" t="n">
        <v>8195.299999999999</v>
      </c>
      <c r="M259" s="30" t="inlineStr">
        <is>
          <t>AMR1</t>
        </is>
      </c>
      <c r="N259" s="30" t="inlineStr">
        <is>
          <t>AMR2</t>
        </is>
      </c>
      <c r="O259" s="32" t="n">
        <v>0</v>
      </c>
      <c r="P259" s="32" t="n">
        <v>0</v>
      </c>
      <c r="Q259" s="32" t="n">
        <v>21</v>
      </c>
      <c r="R259" s="31" t="n">
        <v>45.2</v>
      </c>
      <c r="S259" s="31" t="n">
        <v>45.2</v>
      </c>
      <c r="T259" s="30" t="inlineStr">
        <is>
          <t>AMR1</t>
        </is>
      </c>
      <c r="U259" s="31" t="n">
        <v>59.6</v>
      </c>
      <c r="V259" s="31" t="n">
        <v>59.6</v>
      </c>
      <c r="W259" s="30" t="inlineStr">
        <is>
          <t>AMR2</t>
        </is>
      </c>
      <c r="X259" s="32" t="n">
        <v>0</v>
      </c>
      <c r="Y259" s="32" t="n">
        <v>0</v>
      </c>
      <c r="Z259" s="31" t="n">
        <v>0</v>
      </c>
      <c r="AA259" s="32" t="n">
        <v>0</v>
      </c>
      <c r="AB259" s="32" t="n">
        <v>0</v>
      </c>
      <c r="AC259" s="32" t="n">
        <v>1</v>
      </c>
      <c r="AD259" s="32" t="n">
        <v>1</v>
      </c>
      <c r="AE259" s="31" t="n">
        <v>2</v>
      </c>
      <c r="AF259" s="32" t="n">
        <v>0</v>
      </c>
      <c r="AG259" s="31" t="n">
        <v>0</v>
      </c>
      <c r="AH259" s="32" t="n">
        <v>69</v>
      </c>
      <c r="AI259" s="31" t="n">
        <v>70.8</v>
      </c>
      <c r="AJ259" s="31" t="n">
        <v>44.2</v>
      </c>
      <c r="AK259" s="31" t="n">
        <v>3</v>
      </c>
      <c r="AL259" s="30" t="inlineStr">
        <is>
          <t>T-0408</t>
        </is>
      </c>
      <c r="AM259" s="30" t="inlineStr">
        <is>
          <t>J-04-01</t>
        </is>
      </c>
      <c r="AN259" s="30" t="inlineStr">
        <is>
          <t>T-0184</t>
        </is>
      </c>
      <c r="AO259" s="30" t="inlineStr">
        <is>
          <t>J-06-01</t>
        </is>
      </c>
    </row>
    <row r="260">
      <c r="A260" s="30" t="inlineStr">
        <is>
          <t>O0259</t>
        </is>
      </c>
      <c r="B260" s="30" t="inlineStr">
        <is>
          <t>I</t>
        </is>
      </c>
      <c r="C260" s="31" t="n">
        <v>4260.7</v>
      </c>
      <c r="D260" s="31" t="n">
        <v>12519.2</v>
      </c>
      <c r="E260" s="31" t="n">
        <v>12519.2</v>
      </c>
      <c r="F260" s="31" t="n">
        <v>12532.1</v>
      </c>
      <c r="G260" s="31" t="n">
        <v>12564.3</v>
      </c>
      <c r="H260" s="31" t="n">
        <v>12579.1</v>
      </c>
      <c r="I260" s="31" t="n">
        <v>12616.4</v>
      </c>
      <c r="J260" s="31" t="n">
        <v>12648</v>
      </c>
      <c r="K260" s="31" t="n">
        <v>8387.299999999999</v>
      </c>
      <c r="L260" s="31" t="n">
        <v>8258.5</v>
      </c>
      <c r="M260" s="30" t="inlineStr">
        <is>
          <t>AMR1</t>
        </is>
      </c>
      <c r="N260" s="30" t="inlineStr">
        <is>
          <t>AMR1</t>
        </is>
      </c>
      <c r="O260" s="32" t="n">
        <v>0</v>
      </c>
      <c r="P260" s="32" t="n">
        <v>0</v>
      </c>
      <c r="Q260" s="32" t="n">
        <v>15</v>
      </c>
      <c r="R260" s="31" t="n">
        <v>38.4</v>
      </c>
      <c r="S260" s="31" t="n">
        <v>38.4</v>
      </c>
      <c r="T260" s="30" t="inlineStr">
        <is>
          <t>AMR1</t>
        </is>
      </c>
      <c r="U260" s="31" t="n">
        <v>48.7</v>
      </c>
      <c r="V260" s="31" t="n">
        <v>48.7</v>
      </c>
      <c r="W260" s="30" t="inlineStr">
        <is>
          <t>AMR1</t>
        </is>
      </c>
      <c r="X260" s="32" t="n">
        <v>0</v>
      </c>
      <c r="Y260" s="32" t="n">
        <v>0</v>
      </c>
      <c r="Z260" s="31" t="n">
        <v>0</v>
      </c>
      <c r="AA260" s="32" t="n">
        <v>0</v>
      </c>
      <c r="AB260" s="32" t="n">
        <v>2</v>
      </c>
      <c r="AC260" s="32" t="n">
        <v>3</v>
      </c>
      <c r="AD260" s="32" t="n">
        <v>0</v>
      </c>
      <c r="AE260" s="31" t="n">
        <v>0</v>
      </c>
      <c r="AF260" s="32" t="n">
        <v>1</v>
      </c>
      <c r="AG260" s="31" t="n">
        <v>0.8</v>
      </c>
      <c r="AH260" s="32" t="n">
        <v>49</v>
      </c>
      <c r="AI260" s="31" t="n">
        <v>55.9</v>
      </c>
      <c r="AJ260" s="31" t="n">
        <v>41.3</v>
      </c>
      <c r="AK260" s="31" t="n">
        <v>16.8</v>
      </c>
      <c r="AL260" s="30" t="inlineStr">
        <is>
          <t>T-0409</t>
        </is>
      </c>
      <c r="AM260" s="30" t="inlineStr">
        <is>
          <t>I-02-02</t>
        </is>
      </c>
      <c r="AN260" s="30" t="inlineStr">
        <is>
          <t>T-0301</t>
        </is>
      </c>
      <c r="AO260" s="30" t="inlineStr">
        <is>
          <t>I-05-02</t>
        </is>
      </c>
    </row>
    <row r="261">
      <c r="A261" s="30" t="inlineStr">
        <is>
          <t>O0260</t>
        </is>
      </c>
      <c r="B261" s="30" t="inlineStr">
        <is>
          <t>I</t>
        </is>
      </c>
      <c r="C261" s="31" t="n">
        <v>4264.1</v>
      </c>
      <c r="D261" s="31" t="n">
        <v>12589</v>
      </c>
      <c r="E261" s="31" t="n">
        <v>12589</v>
      </c>
      <c r="F261" s="31" t="n">
        <v>12601.8</v>
      </c>
      <c r="G261" s="31" t="n">
        <v>12627.6</v>
      </c>
      <c r="H261" s="31" t="n">
        <v>12643.7</v>
      </c>
      <c r="I261" s="31" t="n">
        <v>12670.5</v>
      </c>
      <c r="J261" s="31" t="n">
        <v>12701.4</v>
      </c>
      <c r="K261" s="31" t="n">
        <v>8437.299999999999</v>
      </c>
      <c r="L261" s="31" t="n">
        <v>8324.9</v>
      </c>
      <c r="M261" s="30" t="inlineStr">
        <is>
          <t>AMR3</t>
        </is>
      </c>
      <c r="N261" s="30" t="inlineStr">
        <is>
          <t>AMR3</t>
        </is>
      </c>
      <c r="O261" s="32" t="n">
        <v>0</v>
      </c>
      <c r="P261" s="32" t="n">
        <v>0</v>
      </c>
      <c r="Q261" s="32" t="n">
        <v>15</v>
      </c>
      <c r="R261" s="31" t="n">
        <v>36.9</v>
      </c>
      <c r="S261" s="31" t="n">
        <v>36.9</v>
      </c>
      <c r="T261" s="30" t="inlineStr">
        <is>
          <t>AMR3</t>
        </is>
      </c>
      <c r="U261" s="31" t="n">
        <v>54.4</v>
      </c>
      <c r="V261" s="31" t="n">
        <v>54.4</v>
      </c>
      <c r="W261" s="30" t="inlineStr">
        <is>
          <t>AMR3</t>
        </is>
      </c>
      <c r="X261" s="32" t="n">
        <v>0</v>
      </c>
      <c r="Y261" s="32" t="n">
        <v>0</v>
      </c>
      <c r="Z261" s="31" t="n">
        <v>0</v>
      </c>
      <c r="AA261" s="32" t="n">
        <v>0</v>
      </c>
      <c r="AB261" s="32" t="n">
        <v>0</v>
      </c>
      <c r="AC261" s="32" t="n">
        <v>0</v>
      </c>
      <c r="AD261" s="32" t="n">
        <v>0</v>
      </c>
      <c r="AE261" s="31" t="n">
        <v>0</v>
      </c>
      <c r="AF261" s="32" t="n">
        <v>0</v>
      </c>
      <c r="AG261" s="31" t="n">
        <v>0</v>
      </c>
      <c r="AH261" s="32" t="n">
        <v>46</v>
      </c>
      <c r="AI261" s="31" t="n">
        <v>50.8</v>
      </c>
      <c r="AJ261" s="31" t="n">
        <v>45.5</v>
      </c>
      <c r="AK261" s="31" t="n">
        <v>0</v>
      </c>
      <c r="AL261" s="30" t="inlineStr">
        <is>
          <t>T-0410</t>
        </is>
      </c>
      <c r="AM261" s="30" t="inlineStr">
        <is>
          <t>I-03-02</t>
        </is>
      </c>
      <c r="AN261" s="30" t="inlineStr">
        <is>
          <t>T-0310</t>
        </is>
      </c>
      <c r="AO261" s="30" t="inlineStr">
        <is>
          <t>I-04-02</t>
        </is>
      </c>
    </row>
    <row r="262">
      <c r="A262" s="30" t="inlineStr">
        <is>
          <t>O0261</t>
        </is>
      </c>
      <c r="B262" s="30" t="inlineStr">
        <is>
          <t>C</t>
        </is>
      </c>
      <c r="C262" s="31" t="n">
        <v>4268.4</v>
      </c>
      <c r="D262" s="31" t="n">
        <v>12604.5</v>
      </c>
      <c r="E262" s="31" t="n">
        <v>12604.5</v>
      </c>
      <c r="F262" s="31" t="n">
        <v>12616.5</v>
      </c>
      <c r="G262" s="31" t="n">
        <v>12641.7</v>
      </c>
      <c r="H262" s="31" t="n">
        <v>12654.5</v>
      </c>
      <c r="I262" s="31" t="n">
        <v>12678.9</v>
      </c>
      <c r="J262" s="31" t="n">
        <v>12717.9</v>
      </c>
      <c r="K262" s="31" t="n">
        <v>8449.5</v>
      </c>
      <c r="L262" s="31" t="n">
        <v>8336.1</v>
      </c>
      <c r="M262" s="30" t="inlineStr">
        <is>
          <t>AMR2</t>
        </is>
      </c>
      <c r="N262" s="30" t="inlineStr">
        <is>
          <t>AMR2</t>
        </is>
      </c>
      <c r="O262" s="32" t="n">
        <v>0</v>
      </c>
      <c r="P262" s="32" t="n">
        <v>0</v>
      </c>
      <c r="Q262" s="32" t="n">
        <v>13</v>
      </c>
      <c r="R262" s="31" t="n">
        <v>36.3</v>
      </c>
      <c r="S262" s="31" t="n">
        <v>36.3</v>
      </c>
      <c r="T262" s="30" t="inlineStr">
        <is>
          <t>AMR2</t>
        </is>
      </c>
      <c r="U262" s="31" t="n">
        <v>55.2</v>
      </c>
      <c r="V262" s="31" t="n">
        <v>55.2</v>
      </c>
      <c r="W262" s="30" t="inlineStr">
        <is>
          <t>AMR2</t>
        </is>
      </c>
      <c r="X262" s="32" t="n">
        <v>0</v>
      </c>
      <c r="Y262" s="32" t="n">
        <v>0</v>
      </c>
      <c r="Z262" s="31" t="n">
        <v>0</v>
      </c>
      <c r="AA262" s="32" t="n">
        <v>0</v>
      </c>
      <c r="AB262" s="32" t="n">
        <v>0</v>
      </c>
      <c r="AC262" s="32" t="n">
        <v>0</v>
      </c>
      <c r="AD262" s="32" t="n">
        <v>1</v>
      </c>
      <c r="AE262" s="31" t="n">
        <v>9.4</v>
      </c>
      <c r="AF262" s="32" t="n">
        <v>1</v>
      </c>
      <c r="AG262" s="31" t="n">
        <v>4.4</v>
      </c>
      <c r="AH262" s="32" t="n">
        <v>39</v>
      </c>
      <c r="AI262" s="31" t="n">
        <v>41.9</v>
      </c>
      <c r="AJ262" s="31" t="n">
        <v>49.3</v>
      </c>
      <c r="AK262" s="31" t="n">
        <v>9.4</v>
      </c>
      <c r="AL262" s="30" t="inlineStr">
        <is>
          <t>T-0411</t>
        </is>
      </c>
      <c r="AM262" s="30" t="inlineStr">
        <is>
          <t>C-04-02</t>
        </is>
      </c>
      <c r="AN262" s="30" t="inlineStr">
        <is>
          <t>T-0303</t>
        </is>
      </c>
      <c r="AO262" s="30" t="inlineStr">
        <is>
          <t>C-02-01</t>
        </is>
      </c>
    </row>
    <row r="263">
      <c r="A263" s="30" t="inlineStr">
        <is>
          <t>O0262</t>
        </is>
      </c>
      <c r="B263" s="30" t="inlineStr">
        <is>
          <t>G</t>
        </is>
      </c>
      <c r="C263" s="31" t="n">
        <v>4275.2</v>
      </c>
      <c r="D263" s="31" t="n">
        <v>12673.2</v>
      </c>
      <c r="E263" s="31" t="n">
        <v>12673.2</v>
      </c>
      <c r="F263" s="31" t="n">
        <v>12688.8</v>
      </c>
      <c r="G263" s="31" t="n">
        <v>12718</v>
      </c>
      <c r="H263" s="31" t="n">
        <v>12725.1</v>
      </c>
      <c r="I263" s="31" t="n">
        <v>12753.7</v>
      </c>
      <c r="J263" s="31" t="n">
        <v>12784.7</v>
      </c>
      <c r="K263" s="31" t="n">
        <v>8509.5</v>
      </c>
      <c r="L263" s="31" t="n">
        <v>8398</v>
      </c>
      <c r="M263" s="30" t="inlineStr">
        <is>
          <t>AMR1</t>
        </is>
      </c>
      <c r="N263" s="30" t="inlineStr">
        <is>
          <t>AMR3</t>
        </is>
      </c>
      <c r="O263" s="32" t="n">
        <v>0</v>
      </c>
      <c r="P263" s="32" t="n">
        <v>0</v>
      </c>
      <c r="Q263" s="32" t="n">
        <v>17</v>
      </c>
      <c r="R263" s="31" t="n">
        <v>43.9</v>
      </c>
      <c r="S263" s="31" t="n">
        <v>43.9</v>
      </c>
      <c r="T263" s="30" t="inlineStr">
        <is>
          <t>AMR1</t>
        </is>
      </c>
      <c r="U263" s="31" t="n">
        <v>58.8</v>
      </c>
      <c r="V263" s="31" t="n">
        <v>58.8</v>
      </c>
      <c r="W263" s="30" t="inlineStr">
        <is>
          <t>AMR3</t>
        </is>
      </c>
      <c r="X263" s="32" t="n">
        <v>0</v>
      </c>
      <c r="Y263" s="32" t="n">
        <v>0</v>
      </c>
      <c r="Z263" s="31" t="n">
        <v>0</v>
      </c>
      <c r="AA263" s="32" t="n">
        <v>0</v>
      </c>
      <c r="AB263" s="32" t="n">
        <v>0</v>
      </c>
      <c r="AC263" s="32" t="n">
        <v>0</v>
      </c>
      <c r="AD263" s="32" t="n">
        <v>0</v>
      </c>
      <c r="AE263" s="31" t="n">
        <v>0</v>
      </c>
      <c r="AF263" s="32" t="n">
        <v>0</v>
      </c>
      <c r="AG263" s="31" t="n">
        <v>0</v>
      </c>
      <c r="AH263" s="32" t="n">
        <v>49</v>
      </c>
      <c r="AI263" s="31" t="n">
        <v>52.1</v>
      </c>
      <c r="AJ263" s="31" t="n">
        <v>52.3</v>
      </c>
      <c r="AK263" s="31" t="n">
        <v>0</v>
      </c>
      <c r="AL263" s="30" t="inlineStr">
        <is>
          <t>T-0412</t>
        </is>
      </c>
      <c r="AM263" s="30" t="inlineStr">
        <is>
          <t>G-04-01</t>
        </is>
      </c>
      <c r="AN263" s="30" t="inlineStr">
        <is>
          <t>T-0223</t>
        </is>
      </c>
      <c r="AO263" s="30" t="inlineStr">
        <is>
          <t>G-03-02</t>
        </is>
      </c>
    </row>
    <row r="264">
      <c r="A264" s="30" t="inlineStr">
        <is>
          <t>O0263</t>
        </is>
      </c>
      <c r="B264" s="30" t="inlineStr">
        <is>
          <t>J</t>
        </is>
      </c>
      <c r="C264" s="31" t="n">
        <v>4282</v>
      </c>
      <c r="D264" s="31" t="n">
        <v>12734.8</v>
      </c>
      <c r="E264" s="31" t="n">
        <v>12734.8</v>
      </c>
      <c r="F264" s="31" t="n">
        <v>12757.9</v>
      </c>
      <c r="G264" s="31" t="n">
        <v>12789</v>
      </c>
      <c r="H264" s="31" t="n">
        <v>12798.8</v>
      </c>
      <c r="I264" s="31" t="n">
        <v>12831.7</v>
      </c>
      <c r="J264" s="31" t="n">
        <v>12873.5</v>
      </c>
      <c r="K264" s="31" t="n">
        <v>8591.5</v>
      </c>
      <c r="L264" s="31" t="n">
        <v>8452.799999999999</v>
      </c>
      <c r="M264" s="30" t="inlineStr">
        <is>
          <t>AMR1</t>
        </is>
      </c>
      <c r="N264" s="30" t="inlineStr">
        <is>
          <t>AMR2</t>
        </is>
      </c>
      <c r="O264" s="32" t="n">
        <v>0</v>
      </c>
      <c r="P264" s="32" t="n">
        <v>0</v>
      </c>
      <c r="Q264" s="32" t="n">
        <v>21</v>
      </c>
      <c r="R264" s="31" t="n">
        <v>50.9</v>
      </c>
      <c r="S264" s="31" t="n">
        <v>50.9</v>
      </c>
      <c r="T264" s="30" t="inlineStr">
        <is>
          <t>AMR1</t>
        </is>
      </c>
      <c r="U264" s="31" t="n">
        <v>64.8</v>
      </c>
      <c r="V264" s="31" t="n">
        <v>64.8</v>
      </c>
      <c r="W264" s="30" t="inlineStr">
        <is>
          <t>AMR2</t>
        </is>
      </c>
      <c r="X264" s="32" t="n">
        <v>0</v>
      </c>
      <c r="Y264" s="32" t="n">
        <v>0</v>
      </c>
      <c r="Z264" s="31" t="n">
        <v>0</v>
      </c>
      <c r="AA264" s="32" t="n">
        <v>0</v>
      </c>
      <c r="AB264" s="32" t="n">
        <v>0</v>
      </c>
      <c r="AC264" s="32" t="n">
        <v>0</v>
      </c>
      <c r="AD264" s="32" t="n">
        <v>1</v>
      </c>
      <c r="AE264" s="31" t="n">
        <v>9.1</v>
      </c>
      <c r="AF264" s="32" t="n">
        <v>1</v>
      </c>
      <c r="AG264" s="31" t="n">
        <v>4.1</v>
      </c>
      <c r="AH264" s="32" t="n">
        <v>64</v>
      </c>
      <c r="AI264" s="31" t="n">
        <v>64.7</v>
      </c>
      <c r="AJ264" s="31" t="n">
        <v>55.1</v>
      </c>
      <c r="AK264" s="31" t="n">
        <v>9.1</v>
      </c>
      <c r="AL264" s="30" t="inlineStr">
        <is>
          <t>T-0414</t>
        </is>
      </c>
      <c r="AM264" s="30" t="inlineStr">
        <is>
          <t>J-06-01</t>
        </is>
      </c>
      <c r="AN264" s="30" t="inlineStr">
        <is>
          <t>T-0208</t>
        </is>
      </c>
      <c r="AO264" s="30" t="inlineStr">
        <is>
          <t>J-03-01</t>
        </is>
      </c>
    </row>
    <row r="265">
      <c r="A265" s="30" t="inlineStr">
        <is>
          <t>O0264</t>
        </is>
      </c>
      <c r="B265" s="30" t="inlineStr">
        <is>
          <t>B</t>
        </is>
      </c>
      <c r="C265" s="31" t="n">
        <v>4287.3</v>
      </c>
      <c r="D265" s="31" t="n">
        <v>12747.9</v>
      </c>
      <c r="E265" s="31" t="n">
        <v>12747.9</v>
      </c>
      <c r="F265" s="31" t="n">
        <v>12762.3</v>
      </c>
      <c r="G265" s="31" t="n">
        <v>12784</v>
      </c>
      <c r="H265" s="31" t="n">
        <v>12808.4</v>
      </c>
      <c r="I265" s="31" t="n">
        <v>12829</v>
      </c>
      <c r="J265" s="31" t="n">
        <v>12859.4</v>
      </c>
      <c r="K265" s="31" t="n">
        <v>8572.1</v>
      </c>
      <c r="L265" s="31" t="n">
        <v>8460.6</v>
      </c>
      <c r="M265" s="30" t="inlineStr">
        <is>
          <t>AMR2</t>
        </is>
      </c>
      <c r="N265" s="30" t="inlineStr">
        <is>
          <t>AMR3</t>
        </is>
      </c>
      <c r="O265" s="32" t="n">
        <v>0</v>
      </c>
      <c r="P265" s="32" t="n">
        <v>0</v>
      </c>
      <c r="Q265" s="32" t="n">
        <v>15</v>
      </c>
      <c r="R265" s="31" t="n">
        <v>33</v>
      </c>
      <c r="S265" s="31" t="n">
        <v>33</v>
      </c>
      <c r="T265" s="30" t="inlineStr">
        <is>
          <t>AMR2</t>
        </is>
      </c>
      <c r="U265" s="31" t="n">
        <v>53.7</v>
      </c>
      <c r="V265" s="31" t="n">
        <v>53.7</v>
      </c>
      <c r="W265" s="30" t="inlineStr">
        <is>
          <t>AMR3</t>
        </is>
      </c>
      <c r="X265" s="32" t="n">
        <v>0</v>
      </c>
      <c r="Y265" s="32" t="n">
        <v>0</v>
      </c>
      <c r="Z265" s="31" t="n">
        <v>0</v>
      </c>
      <c r="AA265" s="32" t="n">
        <v>0</v>
      </c>
      <c r="AB265" s="32" t="n">
        <v>0</v>
      </c>
      <c r="AC265" s="32" t="n">
        <v>0</v>
      </c>
      <c r="AD265" s="32" t="n">
        <v>1</v>
      </c>
      <c r="AE265" s="31" t="n">
        <v>2.2</v>
      </c>
      <c r="AF265" s="32" t="n">
        <v>0</v>
      </c>
      <c r="AG265" s="31" t="n">
        <v>0</v>
      </c>
      <c r="AH265" s="32" t="n">
        <v>43</v>
      </c>
      <c r="AI265" s="31" t="n">
        <v>45.5</v>
      </c>
      <c r="AJ265" s="31" t="n">
        <v>39.4</v>
      </c>
      <c r="AK265" s="31" t="n">
        <v>2.2</v>
      </c>
      <c r="AL265" s="30" t="inlineStr">
        <is>
          <t>T-0413</t>
        </is>
      </c>
      <c r="AM265" s="30" t="inlineStr">
        <is>
          <t>B-05-02</t>
        </is>
      </c>
      <c r="AN265" s="30" t="inlineStr">
        <is>
          <t>T-0222</t>
        </is>
      </c>
      <c r="AO265" s="30" t="inlineStr">
        <is>
          <t>B-06-02</t>
        </is>
      </c>
    </row>
    <row r="266">
      <c r="A266" s="30" t="inlineStr">
        <is>
          <t>O0265</t>
        </is>
      </c>
      <c r="B266" s="30" t="inlineStr">
        <is>
          <t>H</t>
        </is>
      </c>
      <c r="C266" s="31" t="n">
        <v>4292.4</v>
      </c>
      <c r="D266" s="31" t="n">
        <v>12813</v>
      </c>
      <c r="E266" s="31" t="n">
        <v>12813</v>
      </c>
      <c r="F266" s="31" t="n">
        <v>12827.4</v>
      </c>
      <c r="G266" s="31" t="n">
        <v>12855.4</v>
      </c>
      <c r="H266" s="31" t="n">
        <v>12869.9</v>
      </c>
      <c r="I266" s="31" t="n">
        <v>12893</v>
      </c>
      <c r="J266" s="31" t="n">
        <v>12918.7</v>
      </c>
      <c r="K266" s="31" t="n">
        <v>8626.299999999999</v>
      </c>
      <c r="L266" s="31" t="n">
        <v>8520.6</v>
      </c>
      <c r="M266" s="30" t="inlineStr">
        <is>
          <t>AMR1</t>
        </is>
      </c>
      <c r="N266" s="30" t="inlineStr">
        <is>
          <t>AMR1</t>
        </is>
      </c>
      <c r="O266" s="32" t="n">
        <v>0</v>
      </c>
      <c r="P266" s="32" t="n">
        <v>0</v>
      </c>
      <c r="Q266" s="32" t="n">
        <v>15</v>
      </c>
      <c r="R266" s="31" t="n">
        <v>40.7</v>
      </c>
      <c r="S266" s="31" t="n">
        <v>40.7</v>
      </c>
      <c r="T266" s="30" t="inlineStr">
        <is>
          <t>AMR1</t>
        </is>
      </c>
      <c r="U266" s="31" t="n">
        <v>48.5</v>
      </c>
      <c r="V266" s="31" t="n">
        <v>48.5</v>
      </c>
      <c r="W266" s="30" t="inlineStr">
        <is>
          <t>AMR1</t>
        </is>
      </c>
      <c r="X266" s="32" t="n">
        <v>0</v>
      </c>
      <c r="Y266" s="32" t="n">
        <v>0</v>
      </c>
      <c r="Z266" s="31" t="n">
        <v>0</v>
      </c>
      <c r="AA266" s="32" t="n">
        <v>0</v>
      </c>
      <c r="AB266" s="32" t="n">
        <v>0</v>
      </c>
      <c r="AC266" s="32" t="n">
        <v>0</v>
      </c>
      <c r="AD266" s="32" t="n">
        <v>0</v>
      </c>
      <c r="AE266" s="31" t="n">
        <v>0</v>
      </c>
      <c r="AF266" s="32" t="n">
        <v>0</v>
      </c>
      <c r="AG266" s="31" t="n">
        <v>0</v>
      </c>
      <c r="AH266" s="32" t="n">
        <v>42</v>
      </c>
      <c r="AI266" s="31" t="n">
        <v>47.3</v>
      </c>
      <c r="AJ266" s="31" t="n">
        <v>43.9</v>
      </c>
      <c r="AK266" s="31" t="n">
        <v>0</v>
      </c>
      <c r="AL266" s="30" t="inlineStr">
        <is>
          <t>T-0415</t>
        </is>
      </c>
      <c r="AM266" s="30" t="inlineStr">
        <is>
          <t>H-03-03</t>
        </is>
      </c>
      <c r="AN266" s="30" t="inlineStr">
        <is>
          <t>T-0343</t>
        </is>
      </c>
      <c r="AO266" s="30" t="inlineStr">
        <is>
          <t>H-04-01</t>
        </is>
      </c>
    </row>
    <row r="267">
      <c r="A267" s="30" t="inlineStr">
        <is>
          <t>O0266</t>
        </is>
      </c>
      <c r="B267" s="30" t="inlineStr">
        <is>
          <t>I</t>
        </is>
      </c>
      <c r="C267" s="31" t="n">
        <v>4299.4</v>
      </c>
      <c r="D267" s="31" t="n">
        <v>12883.1</v>
      </c>
      <c r="E267" s="31" t="n">
        <v>12883.1</v>
      </c>
      <c r="F267" s="31" t="n">
        <v>12896.5</v>
      </c>
      <c r="G267" s="31" t="n">
        <v>12923.1</v>
      </c>
      <c r="H267" s="31" t="n">
        <v>12939.9</v>
      </c>
      <c r="I267" s="31" t="n">
        <v>12970.6</v>
      </c>
      <c r="J267" s="31" t="n">
        <v>12999.9</v>
      </c>
      <c r="K267" s="31" t="n">
        <v>8700.5</v>
      </c>
      <c r="L267" s="31" t="n">
        <v>8583.700000000001</v>
      </c>
      <c r="M267" s="30" t="inlineStr">
        <is>
          <t>AMR3</t>
        </is>
      </c>
      <c r="N267" s="30" t="inlineStr">
        <is>
          <t>AMR3</t>
        </is>
      </c>
      <c r="O267" s="32" t="n">
        <v>0</v>
      </c>
      <c r="P267" s="32" t="n">
        <v>0</v>
      </c>
      <c r="Q267" s="32" t="n">
        <v>15</v>
      </c>
      <c r="R267" s="31" t="n">
        <v>37.5</v>
      </c>
      <c r="S267" s="31" t="n">
        <v>37.5</v>
      </c>
      <c r="T267" s="30" t="inlineStr">
        <is>
          <t>AMR3</t>
        </is>
      </c>
      <c r="U267" s="31" t="n">
        <v>50.3</v>
      </c>
      <c r="V267" s="31" t="n">
        <v>50.3</v>
      </c>
      <c r="W267" s="30" t="inlineStr">
        <is>
          <t>AMR3</t>
        </is>
      </c>
      <c r="X267" s="32" t="n">
        <v>0</v>
      </c>
      <c r="Y267" s="32" t="n">
        <v>0</v>
      </c>
      <c r="Z267" s="31" t="n">
        <v>0</v>
      </c>
      <c r="AA267" s="32" t="n">
        <v>0</v>
      </c>
      <c r="AB267" s="32" t="n">
        <v>2</v>
      </c>
      <c r="AC267" s="32" t="n">
        <v>1</v>
      </c>
      <c r="AD267" s="32" t="n">
        <v>0</v>
      </c>
      <c r="AE267" s="31" t="n">
        <v>0</v>
      </c>
      <c r="AF267" s="32" t="n">
        <v>0</v>
      </c>
      <c r="AG267" s="31" t="n">
        <v>0</v>
      </c>
      <c r="AH267" s="32" t="n">
        <v>49</v>
      </c>
      <c r="AI267" s="31" t="n">
        <v>53.1</v>
      </c>
      <c r="AJ267" s="31" t="n">
        <v>42</v>
      </c>
      <c r="AK267" s="31" t="n">
        <v>4.9</v>
      </c>
      <c r="AL267" s="30" t="inlineStr">
        <is>
          <t>T-0416</t>
        </is>
      </c>
      <c r="AM267" s="30" t="inlineStr">
        <is>
          <t>I-04-02</t>
        </is>
      </c>
      <c r="AN267" s="30" t="inlineStr">
        <is>
          <t>T-0320</t>
        </is>
      </c>
      <c r="AO267" s="30" t="inlineStr">
        <is>
          <t>I-06-02</t>
        </is>
      </c>
    </row>
    <row r="268">
      <c r="A268" s="30" t="inlineStr">
        <is>
          <t>O0267</t>
        </is>
      </c>
      <c r="B268" s="30" t="inlineStr">
        <is>
          <t>H</t>
        </is>
      </c>
      <c r="C268" s="31" t="n">
        <v>4304.3</v>
      </c>
      <c r="D268" s="31" t="n">
        <v>12897.2</v>
      </c>
      <c r="E268" s="31" t="n">
        <v>12897.2</v>
      </c>
      <c r="F268" s="31" t="n">
        <v>12910.1</v>
      </c>
      <c r="G268" s="31" t="n">
        <v>12932.3</v>
      </c>
      <c r="H268" s="31" t="n">
        <v>12949.8</v>
      </c>
      <c r="I268" s="31" t="n">
        <v>12974</v>
      </c>
      <c r="J268" s="31" t="n">
        <v>13011.9</v>
      </c>
      <c r="K268" s="31" t="n">
        <v>8707.6</v>
      </c>
      <c r="L268" s="31" t="n">
        <v>8592.9</v>
      </c>
      <c r="M268" s="30" t="inlineStr">
        <is>
          <t>AMR2</t>
        </is>
      </c>
      <c r="N268" s="30" t="inlineStr">
        <is>
          <t>AMR1</t>
        </is>
      </c>
      <c r="O268" s="32" t="n">
        <v>0</v>
      </c>
      <c r="P268" s="32" t="n">
        <v>0</v>
      </c>
      <c r="Q268" s="32" t="n">
        <v>15</v>
      </c>
      <c r="R268" s="31" t="n">
        <v>34.2</v>
      </c>
      <c r="S268" s="31" t="n">
        <v>34.2</v>
      </c>
      <c r="T268" s="30" t="inlineStr">
        <is>
          <t>AMR2</t>
        </is>
      </c>
      <c r="U268" s="31" t="n">
        <v>47.4</v>
      </c>
      <c r="V268" s="31" t="n">
        <v>47.4</v>
      </c>
      <c r="W268" s="30" t="inlineStr">
        <is>
          <t>AMR1</t>
        </is>
      </c>
      <c r="X268" s="32" t="n">
        <v>0</v>
      </c>
      <c r="Y268" s="32" t="n">
        <v>0</v>
      </c>
      <c r="Z268" s="31" t="n">
        <v>0</v>
      </c>
      <c r="AA268" s="32" t="n">
        <v>0</v>
      </c>
      <c r="AB268" s="32" t="n">
        <v>1</v>
      </c>
      <c r="AC268" s="32" t="n">
        <v>0</v>
      </c>
      <c r="AD268" s="32" t="n">
        <v>1</v>
      </c>
      <c r="AE268" s="31" t="n">
        <v>10.9</v>
      </c>
      <c r="AF268" s="32" t="n">
        <v>1</v>
      </c>
      <c r="AG268" s="31" t="n">
        <v>5.9</v>
      </c>
      <c r="AH268" s="32" t="n">
        <v>41</v>
      </c>
      <c r="AI268" s="31" t="n">
        <v>46.5</v>
      </c>
      <c r="AJ268" s="31" t="n">
        <v>36.3</v>
      </c>
      <c r="AK268" s="31" t="n">
        <v>14.4</v>
      </c>
      <c r="AL268" s="30" t="inlineStr">
        <is>
          <t>T-0417</t>
        </is>
      </c>
      <c r="AM268" s="30" t="inlineStr">
        <is>
          <t>H-04-01</t>
        </is>
      </c>
      <c r="AN268" s="30" t="inlineStr">
        <is>
          <t>T-0344</t>
        </is>
      </c>
      <c r="AO268" s="30" t="inlineStr">
        <is>
          <t>H-05-03</t>
        </is>
      </c>
    </row>
    <row r="269">
      <c r="A269" s="30" t="inlineStr">
        <is>
          <t>O0268</t>
        </is>
      </c>
      <c r="B269" s="30" t="inlineStr">
        <is>
          <t>I</t>
        </is>
      </c>
      <c r="C269" s="31" t="n">
        <v>4307.7</v>
      </c>
      <c r="D269" s="31" t="n">
        <v>12953.1</v>
      </c>
      <c r="E269" s="31" t="n">
        <v>12953.1</v>
      </c>
      <c r="F269" s="31" t="n">
        <v>12965.6</v>
      </c>
      <c r="G269" s="31" t="n">
        <v>12992</v>
      </c>
      <c r="H269" s="31" t="n">
        <v>13008.8</v>
      </c>
      <c r="I269" s="31" t="n">
        <v>13041.7</v>
      </c>
      <c r="J269" s="31" t="n">
        <v>13070.4</v>
      </c>
      <c r="K269" s="31" t="n">
        <v>8762.700000000001</v>
      </c>
      <c r="L269" s="31" t="n">
        <v>8645.4</v>
      </c>
      <c r="M269" s="30" t="inlineStr">
        <is>
          <t>AMR2</t>
        </is>
      </c>
      <c r="N269" s="30" t="inlineStr">
        <is>
          <t>AMR2</t>
        </is>
      </c>
      <c r="O269" s="32" t="n">
        <v>0</v>
      </c>
      <c r="P269" s="32" t="n">
        <v>0</v>
      </c>
      <c r="Q269" s="32" t="n">
        <v>15</v>
      </c>
      <c r="R269" s="31" t="n">
        <v>35.3</v>
      </c>
      <c r="S269" s="31" t="n">
        <v>35.3</v>
      </c>
      <c r="T269" s="30" t="inlineStr">
        <is>
          <t>AMR2</t>
        </is>
      </c>
      <c r="U269" s="31" t="n">
        <v>55.4</v>
      </c>
      <c r="V269" s="31" t="n">
        <v>55.4</v>
      </c>
      <c r="W269" s="30" t="inlineStr">
        <is>
          <t>AMR2</t>
        </is>
      </c>
      <c r="X269" s="32" t="n">
        <v>0</v>
      </c>
      <c r="Y269" s="32" t="n">
        <v>0</v>
      </c>
      <c r="Z269" s="31" t="n">
        <v>0</v>
      </c>
      <c r="AA269" s="32" t="n">
        <v>0</v>
      </c>
      <c r="AB269" s="32" t="n">
        <v>0</v>
      </c>
      <c r="AC269" s="32" t="n">
        <v>1</v>
      </c>
      <c r="AD269" s="32" t="n">
        <v>0</v>
      </c>
      <c r="AE269" s="31" t="n">
        <v>0</v>
      </c>
      <c r="AF269" s="32" t="n">
        <v>0</v>
      </c>
      <c r="AG269" s="31" t="n">
        <v>0</v>
      </c>
      <c r="AH269" s="32" t="n">
        <v>45</v>
      </c>
      <c r="AI269" s="31" t="n">
        <v>51.5</v>
      </c>
      <c r="AJ269" s="31" t="n">
        <v>44.9</v>
      </c>
      <c r="AK269" s="31" t="n">
        <v>4.1</v>
      </c>
      <c r="AL269" s="30" t="inlineStr">
        <is>
          <t>T-0418</t>
        </is>
      </c>
      <c r="AM269" s="30" t="inlineStr">
        <is>
          <t>I-05-02</t>
        </is>
      </c>
      <c r="AN269" s="30" t="inlineStr">
        <is>
          <t>T-0323</t>
        </is>
      </c>
      <c r="AO269" s="30" t="inlineStr">
        <is>
          <t>I-02-03</t>
        </is>
      </c>
    </row>
    <row r="270">
      <c r="A270" s="30" t="inlineStr">
        <is>
          <t>O0269</t>
        </is>
      </c>
      <c r="B270" s="30" t="inlineStr">
        <is>
          <t>F</t>
        </is>
      </c>
      <c r="C270" s="31" t="n">
        <v>4312.6</v>
      </c>
      <c r="D270" s="31" t="n">
        <v>13029.2</v>
      </c>
      <c r="E270" s="31" t="n">
        <v>13029.2</v>
      </c>
      <c r="F270" s="31" t="n">
        <v>13043.6</v>
      </c>
      <c r="G270" s="31" t="n">
        <v>13074.3</v>
      </c>
      <c r="H270" s="31" t="n">
        <v>13094.1</v>
      </c>
      <c r="I270" s="31" t="n">
        <v>13134.4</v>
      </c>
      <c r="J270" s="31" t="n">
        <v>13170.3</v>
      </c>
      <c r="K270" s="31" t="n">
        <v>8857.700000000001</v>
      </c>
      <c r="L270" s="31" t="n">
        <v>8716.6</v>
      </c>
      <c r="M270" s="30" t="inlineStr">
        <is>
          <t>AMR3</t>
        </is>
      </c>
      <c r="N270" s="30" t="inlineStr">
        <is>
          <t>AMR2</t>
        </is>
      </c>
      <c r="O270" s="32" t="n">
        <v>0</v>
      </c>
      <c r="P270" s="32" t="n">
        <v>0</v>
      </c>
      <c r="Q270" s="32" t="n">
        <v>23</v>
      </c>
      <c r="R270" s="31" t="n">
        <v>42.6</v>
      </c>
      <c r="S270" s="31" t="n">
        <v>42.6</v>
      </c>
      <c r="T270" s="30" t="inlineStr">
        <is>
          <t>AMR3</t>
        </is>
      </c>
      <c r="U270" s="31" t="n">
        <v>68.09999999999999</v>
      </c>
      <c r="V270" s="31" t="n">
        <v>68.09999999999999</v>
      </c>
      <c r="W270" s="30" t="inlineStr">
        <is>
          <t>AMR2</t>
        </is>
      </c>
      <c r="X270" s="32" t="n">
        <v>0</v>
      </c>
      <c r="Y270" s="32" t="n">
        <v>0</v>
      </c>
      <c r="Z270" s="31" t="n">
        <v>0</v>
      </c>
      <c r="AA270" s="32" t="n">
        <v>0</v>
      </c>
      <c r="AB270" s="32" t="n">
        <v>1</v>
      </c>
      <c r="AC270" s="32" t="n">
        <v>1</v>
      </c>
      <c r="AD270" s="32" t="n">
        <v>0</v>
      </c>
      <c r="AE270" s="31" t="n">
        <v>0</v>
      </c>
      <c r="AF270" s="32" t="n">
        <v>0</v>
      </c>
      <c r="AG270" s="31" t="n">
        <v>0</v>
      </c>
      <c r="AH270" s="32" t="n">
        <v>67</v>
      </c>
      <c r="AI270" s="31" t="n">
        <v>69.8</v>
      </c>
      <c r="AJ270" s="31" t="n">
        <v>45.5</v>
      </c>
      <c r="AK270" s="31" t="n">
        <v>6</v>
      </c>
      <c r="AL270" s="30" t="inlineStr">
        <is>
          <t>T-0419</t>
        </is>
      </c>
      <c r="AM270" s="30" t="inlineStr">
        <is>
          <t>F-02-03</t>
        </is>
      </c>
      <c r="AN270" s="30" t="inlineStr">
        <is>
          <t>T-0254</t>
        </is>
      </c>
      <c r="AO270" s="30" t="inlineStr">
        <is>
          <t>F-04-02</t>
        </is>
      </c>
    </row>
    <row r="271">
      <c r="A271" s="30" t="inlineStr">
        <is>
          <t>O0270</t>
        </is>
      </c>
      <c r="B271" s="30" t="inlineStr">
        <is>
          <t>H</t>
        </is>
      </c>
      <c r="C271" s="31" t="n">
        <v>4315.8</v>
      </c>
      <c r="D271" s="31" t="n">
        <v>13043.7</v>
      </c>
      <c r="E271" s="31" t="n">
        <v>13043.7</v>
      </c>
      <c r="F271" s="31" t="n">
        <v>13056.3</v>
      </c>
      <c r="G271" s="31" t="n">
        <v>13079.7</v>
      </c>
      <c r="H271" s="31" t="n">
        <v>13097.5</v>
      </c>
      <c r="I271" s="31" t="n">
        <v>13124.9</v>
      </c>
      <c r="J271" s="31" t="n">
        <v>13148.3</v>
      </c>
      <c r="K271" s="31" t="n">
        <v>8832.5</v>
      </c>
      <c r="L271" s="31" t="n">
        <v>8727.9</v>
      </c>
      <c r="M271" s="30" t="inlineStr">
        <is>
          <t>AMR1</t>
        </is>
      </c>
      <c r="N271" s="30" t="inlineStr">
        <is>
          <t>AMR1</t>
        </is>
      </c>
      <c r="O271" s="32" t="n">
        <v>0</v>
      </c>
      <c r="P271" s="32" t="n">
        <v>0</v>
      </c>
      <c r="Q271" s="32" t="n">
        <v>15</v>
      </c>
      <c r="R271" s="31" t="n">
        <v>35.1</v>
      </c>
      <c r="S271" s="31" t="n">
        <v>35.1</v>
      </c>
      <c r="T271" s="30" t="inlineStr">
        <is>
          <t>AMR1</t>
        </is>
      </c>
      <c r="U271" s="31" t="n">
        <v>50.5</v>
      </c>
      <c r="V271" s="31" t="n">
        <v>50.5</v>
      </c>
      <c r="W271" s="30" t="inlineStr">
        <is>
          <t>AMR1</t>
        </is>
      </c>
      <c r="X271" s="32" t="n">
        <v>0</v>
      </c>
      <c r="Y271" s="32" t="n">
        <v>0</v>
      </c>
      <c r="Z271" s="31" t="n">
        <v>0</v>
      </c>
      <c r="AA271" s="32" t="n">
        <v>0</v>
      </c>
      <c r="AB271" s="32" t="n">
        <v>0</v>
      </c>
      <c r="AC271" s="32" t="n">
        <v>0</v>
      </c>
      <c r="AD271" s="32" t="n">
        <v>0</v>
      </c>
      <c r="AE271" s="31" t="n">
        <v>0</v>
      </c>
      <c r="AF271" s="32" t="n">
        <v>0</v>
      </c>
      <c r="AG271" s="31" t="n">
        <v>0</v>
      </c>
      <c r="AH271" s="32" t="n">
        <v>41</v>
      </c>
      <c r="AI271" s="31" t="n">
        <v>46.5</v>
      </c>
      <c r="AJ271" s="31" t="n">
        <v>40.3</v>
      </c>
      <c r="AK271" s="31" t="n">
        <v>0</v>
      </c>
      <c r="AL271" s="30" t="inlineStr">
        <is>
          <t>T-0420</t>
        </is>
      </c>
      <c r="AM271" s="30" t="inlineStr">
        <is>
          <t>H-04-03</t>
        </is>
      </c>
      <c r="AN271" s="30" t="inlineStr">
        <is>
          <t>T-0346</t>
        </is>
      </c>
      <c r="AO271" s="30" t="inlineStr">
        <is>
          <t>H-05-01</t>
        </is>
      </c>
    </row>
    <row r="272">
      <c r="A272" s="30" t="inlineStr">
        <is>
          <t>O0271</t>
        </is>
      </c>
      <c r="B272" s="30" t="inlineStr">
        <is>
          <t>G</t>
        </is>
      </c>
      <c r="C272" s="31" t="n">
        <v>4319.3</v>
      </c>
      <c r="D272" s="31" t="n">
        <v>13101.9</v>
      </c>
      <c r="E272" s="31" t="n">
        <v>13101.9</v>
      </c>
      <c r="F272" s="31" t="n">
        <v>13114</v>
      </c>
      <c r="G272" s="31" t="n">
        <v>13141.7</v>
      </c>
      <c r="H272" s="31" t="n">
        <v>13159.9</v>
      </c>
      <c r="I272" s="31" t="n">
        <v>13188.1</v>
      </c>
      <c r="J272" s="31" t="n">
        <v>13214.9</v>
      </c>
      <c r="K272" s="31" t="n">
        <v>8895.6</v>
      </c>
      <c r="L272" s="31" t="n">
        <v>8782.6</v>
      </c>
      <c r="M272" s="30" t="inlineStr">
        <is>
          <t>AMR3</t>
        </is>
      </c>
      <c r="N272" s="30" t="inlineStr">
        <is>
          <t>AMR3</t>
        </is>
      </c>
      <c r="O272" s="32" t="n">
        <v>0</v>
      </c>
      <c r="P272" s="32" t="n">
        <v>0</v>
      </c>
      <c r="Q272" s="32" t="n">
        <v>17</v>
      </c>
      <c r="R272" s="31" t="n">
        <v>37.3</v>
      </c>
      <c r="S272" s="31" t="n">
        <v>37.3</v>
      </c>
      <c r="T272" s="30" t="inlineStr">
        <is>
          <t>AMR3</t>
        </is>
      </c>
      <c r="U272" s="31" t="n">
        <v>51.7</v>
      </c>
      <c r="V272" s="31" t="n">
        <v>51.7</v>
      </c>
      <c r="W272" s="30" t="inlineStr">
        <is>
          <t>AMR3</t>
        </is>
      </c>
      <c r="X272" s="32" t="n">
        <v>0</v>
      </c>
      <c r="Y272" s="32" t="n">
        <v>0</v>
      </c>
      <c r="Z272" s="31" t="n">
        <v>0</v>
      </c>
      <c r="AA272" s="32" t="n">
        <v>0</v>
      </c>
      <c r="AB272" s="32" t="n">
        <v>0</v>
      </c>
      <c r="AC272" s="32" t="n">
        <v>0</v>
      </c>
      <c r="AD272" s="32" t="n">
        <v>0</v>
      </c>
      <c r="AE272" s="31" t="n">
        <v>0</v>
      </c>
      <c r="AF272" s="32" t="n">
        <v>0</v>
      </c>
      <c r="AG272" s="31" t="n">
        <v>0</v>
      </c>
      <c r="AH272" s="32" t="n">
        <v>53</v>
      </c>
      <c r="AI272" s="31" t="n">
        <v>56.2</v>
      </c>
      <c r="AJ272" s="31" t="n">
        <v>38.6</v>
      </c>
      <c r="AK272" s="31" t="n">
        <v>0</v>
      </c>
      <c r="AL272" s="30" t="inlineStr">
        <is>
          <t>T-0421</t>
        </is>
      </c>
      <c r="AM272" s="30" t="inlineStr">
        <is>
          <t>G-01-02</t>
        </is>
      </c>
      <c r="AN272" s="30" t="inlineStr">
        <is>
          <t>T-0227</t>
        </is>
      </c>
      <c r="AO272" s="30" t="inlineStr">
        <is>
          <t>G-02-02</t>
        </is>
      </c>
    </row>
    <row r="273">
      <c r="A273" s="30" t="inlineStr">
        <is>
          <t>O0272</t>
        </is>
      </c>
      <c r="B273" s="30" t="inlineStr">
        <is>
          <t>I</t>
        </is>
      </c>
      <c r="C273" s="31" t="n">
        <v>4324.9</v>
      </c>
      <c r="D273" s="31" t="n">
        <v>13172</v>
      </c>
      <c r="E273" s="31" t="n">
        <v>13172</v>
      </c>
      <c r="F273" s="31" t="n">
        <v>13183</v>
      </c>
      <c r="G273" s="31" t="n">
        <v>13218.1</v>
      </c>
      <c r="H273" s="31" t="n">
        <v>13235.6</v>
      </c>
      <c r="I273" s="31" t="n">
        <v>13267.9</v>
      </c>
      <c r="J273" s="31" t="n">
        <v>13314.2</v>
      </c>
      <c r="K273" s="31" t="n">
        <v>8989.299999999999</v>
      </c>
      <c r="L273" s="31" t="n">
        <v>8847.1</v>
      </c>
      <c r="M273" s="30" t="inlineStr">
        <is>
          <t>AMR1</t>
        </is>
      </c>
      <c r="N273" s="30" t="inlineStr">
        <is>
          <t>AMR1</t>
        </is>
      </c>
      <c r="O273" s="32" t="n">
        <v>0</v>
      </c>
      <c r="P273" s="32" t="n">
        <v>0</v>
      </c>
      <c r="Q273" s="32" t="n">
        <v>15</v>
      </c>
      <c r="R273" s="31" t="n">
        <v>37.8</v>
      </c>
      <c r="S273" s="31" t="n">
        <v>37.8</v>
      </c>
      <c r="T273" s="30" t="inlineStr">
        <is>
          <t>AMR1</t>
        </is>
      </c>
      <c r="U273" s="31" t="n">
        <v>53.3</v>
      </c>
      <c r="V273" s="31" t="n">
        <v>53.3</v>
      </c>
      <c r="W273" s="30" t="inlineStr">
        <is>
          <t>AMR1</t>
        </is>
      </c>
      <c r="X273" s="32" t="n">
        <v>0</v>
      </c>
      <c r="Y273" s="32" t="n">
        <v>0</v>
      </c>
      <c r="Z273" s="31" t="n">
        <v>0</v>
      </c>
      <c r="AA273" s="32" t="n">
        <v>0</v>
      </c>
      <c r="AB273" s="32" t="n">
        <v>2</v>
      </c>
      <c r="AC273" s="32" t="n">
        <v>2</v>
      </c>
      <c r="AD273" s="32" t="n">
        <v>2</v>
      </c>
      <c r="AE273" s="31" t="n">
        <v>12.9</v>
      </c>
      <c r="AF273" s="32" t="n">
        <v>2</v>
      </c>
      <c r="AG273" s="31" t="n">
        <v>6.4</v>
      </c>
      <c r="AH273" s="32" t="n">
        <v>48</v>
      </c>
      <c r="AI273" s="31" t="n">
        <v>53.4</v>
      </c>
      <c r="AJ273" s="31" t="n">
        <v>45.3</v>
      </c>
      <c r="AK273" s="31" t="n">
        <v>26</v>
      </c>
      <c r="AL273" s="30" t="inlineStr">
        <is>
          <t>T-0422</t>
        </is>
      </c>
      <c r="AM273" s="30" t="inlineStr">
        <is>
          <t>I-06-02</t>
        </is>
      </c>
      <c r="AN273" s="30" t="inlineStr">
        <is>
          <t>T-0325</t>
        </is>
      </c>
      <c r="AO273" s="30" t="inlineStr">
        <is>
          <t>I-03-03</t>
        </is>
      </c>
    </row>
    <row r="274">
      <c r="A274" s="30" t="inlineStr">
        <is>
          <t>O0273</t>
        </is>
      </c>
      <c r="B274" s="30" t="inlineStr">
        <is>
          <t>I</t>
        </is>
      </c>
      <c r="C274" s="31" t="n">
        <v>4328.6</v>
      </c>
      <c r="D274" s="31" t="n">
        <v>13198.4</v>
      </c>
      <c r="E274" s="31" t="n">
        <v>13198.4</v>
      </c>
      <c r="F274" s="31" t="n">
        <v>13213.9</v>
      </c>
      <c r="G274" s="31" t="n">
        <v>13236.6</v>
      </c>
      <c r="H274" s="31" t="n">
        <v>13246</v>
      </c>
      <c r="I274" s="31" t="n">
        <v>13272</v>
      </c>
      <c r="J274" s="31" t="n">
        <v>13299.1</v>
      </c>
      <c r="K274" s="31" t="n">
        <v>8970.5</v>
      </c>
      <c r="L274" s="31" t="n">
        <v>8869.799999999999</v>
      </c>
      <c r="M274" s="30" t="inlineStr">
        <is>
          <t>AMR2</t>
        </is>
      </c>
      <c r="N274" s="30" t="inlineStr">
        <is>
          <t>AMR3</t>
        </is>
      </c>
      <c r="O274" s="32" t="n">
        <v>0</v>
      </c>
      <c r="P274" s="32" t="n">
        <v>0</v>
      </c>
      <c r="Q274" s="32" t="n">
        <v>15</v>
      </c>
      <c r="R274" s="31" t="n">
        <v>37.3</v>
      </c>
      <c r="S274" s="31" t="n">
        <v>37.3</v>
      </c>
      <c r="T274" s="30" t="inlineStr">
        <is>
          <t>AMR2</t>
        </is>
      </c>
      <c r="U274" s="31" t="n">
        <v>53.3</v>
      </c>
      <c r="V274" s="31" t="n">
        <v>53.3</v>
      </c>
      <c r="W274" s="30" t="inlineStr">
        <is>
          <t>AMR3</t>
        </is>
      </c>
      <c r="X274" s="32" t="n">
        <v>0</v>
      </c>
      <c r="Y274" s="32" t="n">
        <v>0</v>
      </c>
      <c r="Z274" s="31" t="n">
        <v>0</v>
      </c>
      <c r="AA274" s="32" t="n">
        <v>0</v>
      </c>
      <c r="AB274" s="32" t="n">
        <v>2</v>
      </c>
      <c r="AC274" s="32" t="n">
        <v>0</v>
      </c>
      <c r="AD274" s="32" t="n">
        <v>0</v>
      </c>
      <c r="AE274" s="31" t="n">
        <v>0</v>
      </c>
      <c r="AF274" s="32" t="n">
        <v>0</v>
      </c>
      <c r="AG274" s="31" t="n">
        <v>0</v>
      </c>
      <c r="AH274" s="32" t="n">
        <v>41</v>
      </c>
      <c r="AI274" s="31" t="n">
        <v>46.5</v>
      </c>
      <c r="AJ274" s="31" t="n">
        <v>44.8</v>
      </c>
      <c r="AK274" s="31" t="n">
        <v>0</v>
      </c>
      <c r="AL274" s="30" t="inlineStr">
        <is>
          <t>T-0423</t>
        </is>
      </c>
      <c r="AM274" s="30" t="inlineStr">
        <is>
          <t>I-02-03</t>
        </is>
      </c>
      <c r="AN274" s="30" t="inlineStr">
        <is>
          <t>T-0326</t>
        </is>
      </c>
      <c r="AO274" s="30" t="inlineStr">
        <is>
          <t>I-01-03</t>
        </is>
      </c>
    </row>
    <row r="275">
      <c r="A275" s="30" t="inlineStr">
        <is>
          <t>O0274</t>
        </is>
      </c>
      <c r="B275" s="30" t="inlineStr">
        <is>
          <t>H</t>
        </is>
      </c>
      <c r="C275" s="31" t="n">
        <v>4333.4</v>
      </c>
      <c r="D275" s="31" t="n">
        <v>13253.3</v>
      </c>
      <c r="E275" s="31" t="n">
        <v>13253.3</v>
      </c>
      <c r="F275" s="31" t="n">
        <v>13268.8</v>
      </c>
      <c r="G275" s="31" t="n">
        <v>13293.8</v>
      </c>
      <c r="H275" s="31" t="n">
        <v>13308.6</v>
      </c>
      <c r="I275" s="31" t="n">
        <v>13335.8</v>
      </c>
      <c r="J275" s="31" t="n">
        <v>13361.2</v>
      </c>
      <c r="K275" s="31" t="n">
        <v>9027.799999999999</v>
      </c>
      <c r="L275" s="31" t="n">
        <v>8919.9</v>
      </c>
      <c r="M275" s="30" t="inlineStr">
        <is>
          <t>AMR2</t>
        </is>
      </c>
      <c r="N275" s="30" t="inlineStr">
        <is>
          <t>AMR2</t>
        </is>
      </c>
      <c r="O275" s="32" t="n">
        <v>0</v>
      </c>
      <c r="P275" s="32" t="n">
        <v>0</v>
      </c>
      <c r="Q275" s="32" t="n">
        <v>15</v>
      </c>
      <c r="R275" s="31" t="n">
        <v>37.6</v>
      </c>
      <c r="S275" s="31" t="n">
        <v>37.6</v>
      </c>
      <c r="T275" s="30" t="inlineStr">
        <is>
          <t>AMR2</t>
        </is>
      </c>
      <c r="U275" s="31" t="n">
        <v>53.8</v>
      </c>
      <c r="V275" s="31" t="n">
        <v>53.8</v>
      </c>
      <c r="W275" s="30" t="inlineStr">
        <is>
          <t>AMR2</t>
        </is>
      </c>
      <c r="X275" s="32" t="n">
        <v>0</v>
      </c>
      <c r="Y275" s="32" t="n">
        <v>0</v>
      </c>
      <c r="Z275" s="31" t="n">
        <v>0</v>
      </c>
      <c r="AA275" s="32" t="n">
        <v>0</v>
      </c>
      <c r="AB275" s="32" t="n">
        <v>0</v>
      </c>
      <c r="AC275" s="32" t="n">
        <v>0</v>
      </c>
      <c r="AD275" s="32" t="n">
        <v>0</v>
      </c>
      <c r="AE275" s="31" t="n">
        <v>0</v>
      </c>
      <c r="AF275" s="32" t="n">
        <v>0</v>
      </c>
      <c r="AG275" s="31" t="n">
        <v>0</v>
      </c>
      <c r="AH275" s="32" t="n">
        <v>41</v>
      </c>
      <c r="AI275" s="31" t="n">
        <v>45</v>
      </c>
      <c r="AJ275" s="31" t="n">
        <v>46.1</v>
      </c>
      <c r="AK275" s="31" t="n">
        <v>2</v>
      </c>
      <c r="AL275" s="30" t="inlineStr">
        <is>
          <t>T-0424</t>
        </is>
      </c>
      <c r="AM275" s="30" t="inlineStr">
        <is>
          <t>H-05-01</t>
        </is>
      </c>
      <c r="AN275" s="30" t="inlineStr">
        <is>
          <t>T-0350</t>
        </is>
      </c>
      <c r="AO275" s="30" t="inlineStr">
        <is>
          <t>H-02-02</t>
        </is>
      </c>
    </row>
    <row r="276">
      <c r="A276" s="30" t="inlineStr">
        <is>
          <t>O0275</t>
        </is>
      </c>
      <c r="B276" s="30" t="inlineStr">
        <is>
          <t>I</t>
        </is>
      </c>
      <c r="C276" s="31" t="n">
        <v>4336.9</v>
      </c>
      <c r="D276" s="31" t="n">
        <v>13322.8</v>
      </c>
      <c r="E276" s="31" t="n">
        <v>13322.8</v>
      </c>
      <c r="F276" s="31" t="n">
        <v>13334.7</v>
      </c>
      <c r="G276" s="31" t="n">
        <v>13360.7</v>
      </c>
      <c r="H276" s="31" t="n">
        <v>13375.5</v>
      </c>
      <c r="I276" s="31" t="n">
        <v>13410</v>
      </c>
      <c r="J276" s="31" t="n">
        <v>13434.8</v>
      </c>
      <c r="K276" s="31" t="n">
        <v>9097.9</v>
      </c>
      <c r="L276" s="31" t="n">
        <v>8985.9</v>
      </c>
      <c r="M276" s="30" t="inlineStr">
        <is>
          <t>AMR3</t>
        </is>
      </c>
      <c r="N276" s="30" t="inlineStr">
        <is>
          <t>AMR3</t>
        </is>
      </c>
      <c r="O276" s="32" t="n">
        <v>0</v>
      </c>
      <c r="P276" s="32" t="n">
        <v>0</v>
      </c>
      <c r="Q276" s="32" t="n">
        <v>15</v>
      </c>
      <c r="R276" s="31" t="n">
        <v>37</v>
      </c>
      <c r="S276" s="31" t="n">
        <v>37</v>
      </c>
      <c r="T276" s="30" t="inlineStr">
        <is>
          <t>AMR3</t>
        </is>
      </c>
      <c r="U276" s="31" t="n">
        <v>53.9</v>
      </c>
      <c r="V276" s="31" t="n">
        <v>53.9</v>
      </c>
      <c r="W276" s="30" t="inlineStr">
        <is>
          <t>AMR3</t>
        </is>
      </c>
      <c r="X276" s="32" t="n">
        <v>0</v>
      </c>
      <c r="Y276" s="32" t="n">
        <v>0</v>
      </c>
      <c r="Z276" s="31" t="n">
        <v>0</v>
      </c>
      <c r="AA276" s="32" t="n">
        <v>0</v>
      </c>
      <c r="AB276" s="32" t="n">
        <v>1</v>
      </c>
      <c r="AC276" s="32" t="n">
        <v>1</v>
      </c>
      <c r="AD276" s="32" t="n">
        <v>0</v>
      </c>
      <c r="AE276" s="31" t="n">
        <v>0</v>
      </c>
      <c r="AF276" s="32" t="n">
        <v>1</v>
      </c>
      <c r="AG276" s="31" t="n">
        <v>0.6</v>
      </c>
      <c r="AH276" s="32" t="n">
        <v>41</v>
      </c>
      <c r="AI276" s="31" t="n">
        <v>46.5</v>
      </c>
      <c r="AJ276" s="31" t="n">
        <v>45.1</v>
      </c>
      <c r="AK276" s="31" t="n">
        <v>5.6</v>
      </c>
      <c r="AL276" s="30" t="inlineStr">
        <is>
          <t>T-0425</t>
        </is>
      </c>
      <c r="AM276" s="30" t="inlineStr">
        <is>
          <t>I-01-03</t>
        </is>
      </c>
      <c r="AN276" s="30" t="inlineStr">
        <is>
          <t>T-0329</t>
        </is>
      </c>
      <c r="AO276" s="30" t="inlineStr">
        <is>
          <t>I-01-01</t>
        </is>
      </c>
    </row>
    <row r="277">
      <c r="A277" s="30" t="inlineStr">
        <is>
          <t>O0276</t>
        </is>
      </c>
      <c r="B277" s="30" t="inlineStr">
        <is>
          <t>B</t>
        </is>
      </c>
      <c r="C277" s="31" t="n">
        <v>4340.1</v>
      </c>
      <c r="D277" s="31" t="n">
        <v>13337.9</v>
      </c>
      <c r="E277" s="31" t="n">
        <v>13337.9</v>
      </c>
      <c r="F277" s="31" t="n">
        <v>13350.5</v>
      </c>
      <c r="G277" s="31" t="n">
        <v>13372.5</v>
      </c>
      <c r="H277" s="31" t="n">
        <v>13386</v>
      </c>
      <c r="I277" s="31" t="n">
        <v>13409.5</v>
      </c>
      <c r="J277" s="31" t="n">
        <v>13447.4</v>
      </c>
      <c r="K277" s="31" t="n">
        <v>9107.299999999999</v>
      </c>
      <c r="L277" s="31" t="n">
        <v>8997.799999999999</v>
      </c>
      <c r="M277" s="30" t="inlineStr">
        <is>
          <t>AMR1</t>
        </is>
      </c>
      <c r="N277" s="30" t="inlineStr">
        <is>
          <t>AMR1</t>
        </is>
      </c>
      <c r="O277" s="32" t="n">
        <v>0</v>
      </c>
      <c r="P277" s="32" t="n">
        <v>0</v>
      </c>
      <c r="Q277" s="32" t="n">
        <v>15</v>
      </c>
      <c r="R277" s="31" t="n">
        <v>34.5</v>
      </c>
      <c r="S277" s="31" t="n">
        <v>34.5</v>
      </c>
      <c r="T277" s="30" t="inlineStr">
        <is>
          <t>AMR1</t>
        </is>
      </c>
      <c r="U277" s="31" t="n">
        <v>50.8</v>
      </c>
      <c r="V277" s="31" t="n">
        <v>50.8</v>
      </c>
      <c r="W277" s="30" t="inlineStr">
        <is>
          <t>AMR1</t>
        </is>
      </c>
      <c r="X277" s="32" t="n">
        <v>0</v>
      </c>
      <c r="Y277" s="32" t="n">
        <v>0</v>
      </c>
      <c r="Z277" s="31" t="n">
        <v>0</v>
      </c>
      <c r="AA277" s="32" t="n">
        <v>0</v>
      </c>
      <c r="AB277" s="32" t="n">
        <v>0</v>
      </c>
      <c r="AC277" s="32" t="n">
        <v>0</v>
      </c>
      <c r="AD277" s="32" t="n">
        <v>1</v>
      </c>
      <c r="AE277" s="31" t="n">
        <v>8.800000000000001</v>
      </c>
      <c r="AF277" s="32" t="n">
        <v>1</v>
      </c>
      <c r="AG277" s="31" t="n">
        <v>3.8</v>
      </c>
      <c r="AH277" s="32" t="n">
        <v>46</v>
      </c>
      <c r="AI277" s="31" t="n">
        <v>49.2</v>
      </c>
      <c r="AJ277" s="31" t="n">
        <v>38</v>
      </c>
      <c r="AK277" s="31" t="n">
        <v>8.800000000000001</v>
      </c>
      <c r="AL277" s="30" t="inlineStr">
        <is>
          <t>T-0426</t>
        </is>
      </c>
      <c r="AM277" s="30" t="inlineStr">
        <is>
          <t>B-06-02</t>
        </is>
      </c>
      <c r="AN277" s="30" t="inlineStr">
        <is>
          <t>T-0242</t>
        </is>
      </c>
      <c r="AO277" s="30" t="inlineStr">
        <is>
          <t>B-03-01</t>
        </is>
      </c>
    </row>
    <row r="278">
      <c r="A278" s="30" t="inlineStr">
        <is>
          <t>O0277</t>
        </is>
      </c>
      <c r="B278" s="30" t="inlineStr">
        <is>
          <t>I</t>
        </is>
      </c>
      <c r="C278" s="31" t="n">
        <v>4343.7</v>
      </c>
      <c r="D278" s="31" t="n">
        <v>13388.9</v>
      </c>
      <c r="E278" s="31" t="n">
        <v>13388.9</v>
      </c>
      <c r="F278" s="31" t="n">
        <v>13399.6</v>
      </c>
      <c r="G278" s="31" t="n">
        <v>13428.7</v>
      </c>
      <c r="H278" s="31" t="n">
        <v>13444.8</v>
      </c>
      <c r="I278" s="31" t="n">
        <v>13477</v>
      </c>
      <c r="J278" s="31" t="n">
        <v>13505.3</v>
      </c>
      <c r="K278" s="31" t="n">
        <v>9161.6</v>
      </c>
      <c r="L278" s="31" t="n">
        <v>9045.200000000001</v>
      </c>
      <c r="M278" s="30" t="inlineStr">
        <is>
          <t>AMR2</t>
        </is>
      </c>
      <c r="N278" s="30" t="inlineStr">
        <is>
          <t>AMR2</t>
        </is>
      </c>
      <c r="O278" s="32" t="n">
        <v>0</v>
      </c>
      <c r="P278" s="32" t="n">
        <v>0</v>
      </c>
      <c r="Q278" s="32" t="n">
        <v>15</v>
      </c>
      <c r="R278" s="31" t="n">
        <v>34.5</v>
      </c>
      <c r="S278" s="31" t="n">
        <v>34.5</v>
      </c>
      <c r="T278" s="30" t="inlineStr">
        <is>
          <t>AMR2</t>
        </is>
      </c>
      <c r="U278" s="31" t="n">
        <v>50.8</v>
      </c>
      <c r="V278" s="31" t="n">
        <v>50.8</v>
      </c>
      <c r="W278" s="30" t="inlineStr">
        <is>
          <t>AMR2</t>
        </is>
      </c>
      <c r="X278" s="32" t="n">
        <v>0</v>
      </c>
      <c r="Y278" s="32" t="n">
        <v>0</v>
      </c>
      <c r="Z278" s="31" t="n">
        <v>0</v>
      </c>
      <c r="AA278" s="32" t="n">
        <v>0</v>
      </c>
      <c r="AB278" s="32" t="n">
        <v>2</v>
      </c>
      <c r="AC278" s="32" t="n">
        <v>1</v>
      </c>
      <c r="AD278" s="32" t="n">
        <v>0</v>
      </c>
      <c r="AE278" s="31" t="n">
        <v>0</v>
      </c>
      <c r="AF278" s="32" t="n">
        <v>0</v>
      </c>
      <c r="AG278" s="31" t="n">
        <v>0</v>
      </c>
      <c r="AH278" s="32" t="n">
        <v>48</v>
      </c>
      <c r="AI278" s="31" t="n">
        <v>54.2</v>
      </c>
      <c r="AJ278" s="31" t="n">
        <v>39.5</v>
      </c>
      <c r="AK278" s="31" t="n">
        <v>6.6</v>
      </c>
      <c r="AL278" s="30" t="inlineStr">
        <is>
          <t>T-0427</t>
        </is>
      </c>
      <c r="AM278" s="30" t="inlineStr">
        <is>
          <t>I-03-03</t>
        </is>
      </c>
      <c r="AN278" s="30" t="inlineStr">
        <is>
          <t>T-0342</t>
        </is>
      </c>
      <c r="AO278" s="30" t="inlineStr">
        <is>
          <t>I-04-03</t>
        </is>
      </c>
    </row>
    <row r="279">
      <c r="A279" s="30" t="inlineStr">
        <is>
          <t>O0278</t>
        </is>
      </c>
      <c r="B279" s="30" t="inlineStr">
        <is>
          <t>A</t>
        </is>
      </c>
      <c r="C279" s="31" t="n">
        <v>4347.6</v>
      </c>
      <c r="D279" s="31" t="n">
        <v>13463.8</v>
      </c>
      <c r="E279" s="31" t="n">
        <v>13463.8</v>
      </c>
      <c r="F279" s="31" t="n">
        <v>13475.3</v>
      </c>
      <c r="G279" s="31" t="n">
        <v>13502.9</v>
      </c>
      <c r="H279" s="31" t="n">
        <v>13529</v>
      </c>
      <c r="I279" s="31" t="n">
        <v>13567.3</v>
      </c>
      <c r="J279" s="31" t="n">
        <v>13602.7</v>
      </c>
      <c r="K279" s="31" t="n">
        <v>9255.1</v>
      </c>
      <c r="L279" s="31" t="n">
        <v>9116.200000000001</v>
      </c>
      <c r="M279" s="30" t="inlineStr">
        <is>
          <t>AMR3</t>
        </is>
      </c>
      <c r="N279" s="30" t="inlineStr">
        <is>
          <t>AMR2</t>
        </is>
      </c>
      <c r="O279" s="32" t="n">
        <v>0</v>
      </c>
      <c r="P279" s="32" t="n">
        <v>0</v>
      </c>
      <c r="Q279" s="32" t="n">
        <v>21</v>
      </c>
      <c r="R279" s="31" t="n">
        <v>36.6</v>
      </c>
      <c r="S279" s="31" t="n">
        <v>36.6</v>
      </c>
      <c r="T279" s="30" t="inlineStr">
        <is>
          <t>AMR3</t>
        </is>
      </c>
      <c r="U279" s="31" t="n">
        <v>66.09999999999999</v>
      </c>
      <c r="V279" s="31" t="n">
        <v>66.09999999999999</v>
      </c>
      <c r="W279" s="30" t="inlineStr">
        <is>
          <t>AMR2</t>
        </is>
      </c>
      <c r="X279" s="32" t="n">
        <v>0</v>
      </c>
      <c r="Y279" s="32" t="n">
        <v>0</v>
      </c>
      <c r="Z279" s="31" t="n">
        <v>0</v>
      </c>
      <c r="AA279" s="32" t="n">
        <v>0</v>
      </c>
      <c r="AB279" s="32" t="n">
        <v>0</v>
      </c>
      <c r="AC279" s="32" t="n">
        <v>1</v>
      </c>
      <c r="AD279" s="32" t="n">
        <v>0</v>
      </c>
      <c r="AE279" s="31" t="n">
        <v>0</v>
      </c>
      <c r="AF279" s="32" t="n">
        <v>0</v>
      </c>
      <c r="AG279" s="31" t="n">
        <v>0</v>
      </c>
      <c r="AH279" s="32" t="n">
        <v>67</v>
      </c>
      <c r="AI279" s="31" t="n">
        <v>69.2</v>
      </c>
      <c r="AJ279" s="31" t="n">
        <v>40.6</v>
      </c>
      <c r="AK279" s="31" t="n">
        <v>3</v>
      </c>
      <c r="AL279" s="30" t="inlineStr">
        <is>
          <t>T-0428</t>
        </is>
      </c>
      <c r="AM279" s="30" t="inlineStr">
        <is>
          <t>A-01-02</t>
        </is>
      </c>
      <c r="AN279" s="30" t="inlineStr">
        <is>
          <t>T-0195</t>
        </is>
      </c>
      <c r="AO279" s="30" t="inlineStr">
        <is>
          <t>A-03-02</t>
        </is>
      </c>
    </row>
    <row r="280">
      <c r="A280" s="30" t="inlineStr">
        <is>
          <t>O0279</t>
        </is>
      </c>
      <c r="B280" s="30" t="inlineStr">
        <is>
          <t>B</t>
        </is>
      </c>
      <c r="C280" s="31" t="n">
        <v>4354.4</v>
      </c>
      <c r="D280" s="31" t="n">
        <v>13475.4</v>
      </c>
      <c r="E280" s="31" t="n">
        <v>13475.4</v>
      </c>
      <c r="F280" s="31" t="n">
        <v>13488.7</v>
      </c>
      <c r="G280" s="31" t="n">
        <v>13514.1</v>
      </c>
      <c r="H280" s="31" t="n">
        <v>13535.5</v>
      </c>
      <c r="I280" s="31" t="n">
        <v>13560.7</v>
      </c>
      <c r="J280" s="31" t="n">
        <v>13588.9</v>
      </c>
      <c r="K280" s="31" t="n">
        <v>9234.5</v>
      </c>
      <c r="L280" s="31" t="n">
        <v>9121</v>
      </c>
      <c r="M280" s="30" t="inlineStr">
        <is>
          <t>AMR1</t>
        </is>
      </c>
      <c r="N280" s="30" t="inlineStr">
        <is>
          <t>AMR1</t>
        </is>
      </c>
      <c r="O280" s="32" t="n">
        <v>0</v>
      </c>
      <c r="P280" s="32" t="n">
        <v>0</v>
      </c>
      <c r="Q280" s="32" t="n">
        <v>15</v>
      </c>
      <c r="R280" s="31" t="n">
        <v>37</v>
      </c>
      <c r="S280" s="31" t="n">
        <v>37</v>
      </c>
      <c r="T280" s="30" t="inlineStr">
        <is>
          <t>AMR1</t>
        </is>
      </c>
      <c r="U280" s="31" t="n">
        <v>51.6</v>
      </c>
      <c r="V280" s="31" t="n">
        <v>51.6</v>
      </c>
      <c r="W280" s="30" t="inlineStr">
        <is>
          <t>AMR1</t>
        </is>
      </c>
      <c r="X280" s="32" t="n">
        <v>0</v>
      </c>
      <c r="Y280" s="32" t="n">
        <v>0</v>
      </c>
      <c r="Z280" s="31" t="n">
        <v>0</v>
      </c>
      <c r="AA280" s="32" t="n">
        <v>0</v>
      </c>
      <c r="AB280" s="32" t="n">
        <v>0</v>
      </c>
      <c r="AC280" s="32" t="n">
        <v>0</v>
      </c>
      <c r="AD280" s="32" t="n">
        <v>0</v>
      </c>
      <c r="AE280" s="31" t="n">
        <v>0</v>
      </c>
      <c r="AF280" s="32" t="n">
        <v>0</v>
      </c>
      <c r="AG280" s="31" t="n">
        <v>0</v>
      </c>
      <c r="AH280" s="32" t="n">
        <v>48</v>
      </c>
      <c r="AI280" s="31" t="n">
        <v>50.8</v>
      </c>
      <c r="AJ280" s="31" t="n">
        <v>41.3</v>
      </c>
      <c r="AK280" s="31" t="n">
        <v>0</v>
      </c>
      <c r="AL280" s="30" t="inlineStr">
        <is>
          <t>T-0429</t>
        </is>
      </c>
      <c r="AM280" s="30" t="inlineStr">
        <is>
          <t>B-03-01</t>
        </is>
      </c>
      <c r="AN280" s="30" t="inlineStr">
        <is>
          <t>T-0251</t>
        </is>
      </c>
      <c r="AO280" s="30" t="inlineStr">
        <is>
          <t>B-03-03</t>
        </is>
      </c>
    </row>
    <row r="281">
      <c r="A281" s="30" t="inlineStr">
        <is>
          <t>O0280</t>
        </is>
      </c>
      <c r="B281" s="30" t="inlineStr">
        <is>
          <t>H</t>
        </is>
      </c>
      <c r="C281" s="31" t="n">
        <v>4361.1</v>
      </c>
      <c r="D281" s="31" t="n">
        <v>13543.1</v>
      </c>
      <c r="E281" s="31" t="n">
        <v>13543.1</v>
      </c>
      <c r="F281" s="31" t="n">
        <v>13558.9</v>
      </c>
      <c r="G281" s="31" t="n">
        <v>13584.4</v>
      </c>
      <c r="H281" s="31" t="n">
        <v>13598.6</v>
      </c>
      <c r="I281" s="31" t="n">
        <v>13623.9</v>
      </c>
      <c r="J281" s="31" t="n">
        <v>13650.4</v>
      </c>
      <c r="K281" s="31" t="n">
        <v>9289.299999999999</v>
      </c>
      <c r="L281" s="31" t="n">
        <v>9182</v>
      </c>
      <c r="M281" s="30" t="inlineStr">
        <is>
          <t>AMR3</t>
        </is>
      </c>
      <c r="N281" s="30" t="inlineStr">
        <is>
          <t>AMR3</t>
        </is>
      </c>
      <c r="O281" s="32" t="n">
        <v>0</v>
      </c>
      <c r="P281" s="32" t="n">
        <v>0</v>
      </c>
      <c r="Q281" s="32" t="n">
        <v>15</v>
      </c>
      <c r="R281" s="31" t="n">
        <v>39.1</v>
      </c>
      <c r="S281" s="31" t="n">
        <v>39.1</v>
      </c>
      <c r="T281" s="30" t="inlineStr">
        <is>
          <t>AMR3</t>
        </is>
      </c>
      <c r="U281" s="31" t="n">
        <v>52.5</v>
      </c>
      <c r="V281" s="31" t="n">
        <v>52.5</v>
      </c>
      <c r="W281" s="30" t="inlineStr">
        <is>
          <t>AMR3</t>
        </is>
      </c>
      <c r="X281" s="32" t="n">
        <v>0</v>
      </c>
      <c r="Y281" s="32" t="n">
        <v>0</v>
      </c>
      <c r="Z281" s="31" t="n">
        <v>0</v>
      </c>
      <c r="AA281" s="32" t="n">
        <v>0</v>
      </c>
      <c r="AB281" s="32" t="n">
        <v>0</v>
      </c>
      <c r="AC281" s="32" t="n">
        <v>0</v>
      </c>
      <c r="AD281" s="32" t="n">
        <v>1</v>
      </c>
      <c r="AE281" s="31" t="n">
        <v>1.3</v>
      </c>
      <c r="AF281" s="32" t="n">
        <v>0</v>
      </c>
      <c r="AG281" s="31" t="n">
        <v>0</v>
      </c>
      <c r="AH281" s="32" t="n">
        <v>41</v>
      </c>
      <c r="AI281" s="31" t="n">
        <v>45.5</v>
      </c>
      <c r="AJ281" s="31" t="n">
        <v>46.3</v>
      </c>
      <c r="AK281" s="31" t="n">
        <v>1.3</v>
      </c>
      <c r="AL281" s="30" t="inlineStr">
        <is>
          <t>T-0430</t>
        </is>
      </c>
      <c r="AM281" s="30" t="inlineStr">
        <is>
          <t>H-02-02</t>
        </is>
      </c>
      <c r="AN281" s="30" t="inlineStr">
        <is>
          <t>T-0358</t>
        </is>
      </c>
      <c r="AO281" s="30" t="inlineStr">
        <is>
          <t>H-04-02</t>
        </is>
      </c>
    </row>
    <row r="282">
      <c r="A282" s="30" t="inlineStr">
        <is>
          <t>O0281</t>
        </is>
      </c>
      <c r="B282" s="30" t="inlineStr">
        <is>
          <t>B</t>
        </is>
      </c>
      <c r="C282" s="31" t="n">
        <v>4367.4</v>
      </c>
      <c r="D282" s="31" t="n">
        <v>13612.6</v>
      </c>
      <c r="E282" s="31" t="n">
        <v>13612.6</v>
      </c>
      <c r="F282" s="31" t="n">
        <v>13625.4</v>
      </c>
      <c r="G282" s="31" t="n">
        <v>13649.4</v>
      </c>
      <c r="H282" s="31" t="n">
        <v>13665.6</v>
      </c>
      <c r="I282" s="31" t="n">
        <v>13688.5</v>
      </c>
      <c r="J282" s="31" t="n">
        <v>13718.5</v>
      </c>
      <c r="K282" s="31" t="n">
        <v>9351.1</v>
      </c>
      <c r="L282" s="31" t="n">
        <v>9245.200000000001</v>
      </c>
      <c r="M282" s="30" t="inlineStr">
        <is>
          <t>AMR1</t>
        </is>
      </c>
      <c r="N282" s="30" t="inlineStr">
        <is>
          <t>AMR1</t>
        </is>
      </c>
      <c r="O282" s="32" t="n">
        <v>0</v>
      </c>
      <c r="P282" s="32" t="n">
        <v>0</v>
      </c>
      <c r="Q282" s="32" t="n">
        <v>15</v>
      </c>
      <c r="R282" s="31" t="n">
        <v>34.3</v>
      </c>
      <c r="S282" s="31" t="n">
        <v>34.3</v>
      </c>
      <c r="T282" s="30" t="inlineStr">
        <is>
          <t>AMR1</t>
        </is>
      </c>
      <c r="U282" s="31" t="n">
        <v>52.6</v>
      </c>
      <c r="V282" s="31" t="n">
        <v>52.6</v>
      </c>
      <c r="W282" s="30" t="inlineStr">
        <is>
          <t>AMR1</t>
        </is>
      </c>
      <c r="X282" s="32" t="n">
        <v>0</v>
      </c>
      <c r="Y282" s="32" t="n">
        <v>0</v>
      </c>
      <c r="Z282" s="31" t="n">
        <v>0</v>
      </c>
      <c r="AA282" s="32" t="n">
        <v>0</v>
      </c>
      <c r="AB282" s="32" t="n">
        <v>0</v>
      </c>
      <c r="AC282" s="32" t="n">
        <v>0</v>
      </c>
      <c r="AD282" s="32" t="n">
        <v>0</v>
      </c>
      <c r="AE282" s="31" t="n">
        <v>0</v>
      </c>
      <c r="AF282" s="32" t="n">
        <v>0</v>
      </c>
      <c r="AG282" s="31" t="n">
        <v>0</v>
      </c>
      <c r="AH282" s="32" t="n">
        <v>47</v>
      </c>
      <c r="AI282" s="31" t="n">
        <v>50.1</v>
      </c>
      <c r="AJ282" s="31" t="n">
        <v>39.6</v>
      </c>
      <c r="AK282" s="31" t="n">
        <v>0</v>
      </c>
      <c r="AL282" s="30" t="inlineStr">
        <is>
          <t>T-0431</t>
        </is>
      </c>
      <c r="AM282" s="30" t="inlineStr">
        <is>
          <t>B-02-03</t>
        </is>
      </c>
      <c r="AN282" s="30" t="inlineStr">
        <is>
          <t>T-0259</t>
        </is>
      </c>
      <c r="AO282" s="30" t="inlineStr">
        <is>
          <t>B-04-03</t>
        </is>
      </c>
    </row>
    <row r="283">
      <c r="A283" s="30" t="inlineStr">
        <is>
          <t>O0282</t>
        </is>
      </c>
      <c r="B283" s="30" t="inlineStr">
        <is>
          <t>D</t>
        </is>
      </c>
      <c r="C283" s="31" t="n">
        <v>4372.6</v>
      </c>
      <c r="D283" s="31" t="n">
        <v>13626.4</v>
      </c>
      <c r="E283" s="31" t="n">
        <v>13626.4</v>
      </c>
      <c r="F283" s="31" t="n">
        <v>13639.6</v>
      </c>
      <c r="G283" s="31" t="n">
        <v>13662.8</v>
      </c>
      <c r="H283" s="31" t="n">
        <v>13674.1</v>
      </c>
      <c r="I283" s="31" t="n">
        <v>13702.4</v>
      </c>
      <c r="J283" s="31" t="n">
        <v>13731.9</v>
      </c>
      <c r="K283" s="31" t="n">
        <v>9359.299999999999</v>
      </c>
      <c r="L283" s="31" t="n">
        <v>9253.799999999999</v>
      </c>
      <c r="M283" s="30" t="inlineStr">
        <is>
          <t>AMR2</t>
        </is>
      </c>
      <c r="N283" s="30" t="inlineStr">
        <is>
          <t>AMR3</t>
        </is>
      </c>
      <c r="O283" s="32" t="n">
        <v>0</v>
      </c>
      <c r="P283" s="32" t="n">
        <v>0</v>
      </c>
      <c r="Q283" s="32" t="n">
        <v>13</v>
      </c>
      <c r="R283" s="31" t="n">
        <v>34.7</v>
      </c>
      <c r="S283" s="31" t="n">
        <v>34.7</v>
      </c>
      <c r="T283" s="30" t="inlineStr">
        <is>
          <t>AMR2</t>
        </is>
      </c>
      <c r="U283" s="31" t="n">
        <v>48</v>
      </c>
      <c r="V283" s="31" t="n">
        <v>48</v>
      </c>
      <c r="W283" s="30" t="inlineStr">
        <is>
          <t>AMR3</t>
        </is>
      </c>
      <c r="X283" s="32" t="n">
        <v>0</v>
      </c>
      <c r="Y283" s="32" t="n">
        <v>0</v>
      </c>
      <c r="Z283" s="31" t="n">
        <v>0</v>
      </c>
      <c r="AA283" s="32" t="n">
        <v>0</v>
      </c>
      <c r="AB283" s="32" t="n">
        <v>1</v>
      </c>
      <c r="AC283" s="32" t="n">
        <v>1</v>
      </c>
      <c r="AD283" s="32" t="n">
        <v>0</v>
      </c>
      <c r="AE283" s="31" t="n">
        <v>0</v>
      </c>
      <c r="AF283" s="32" t="n">
        <v>0</v>
      </c>
      <c r="AG283" s="31" t="n">
        <v>0</v>
      </c>
      <c r="AH283" s="32" t="n">
        <v>46</v>
      </c>
      <c r="AI283" s="31" t="n">
        <v>51.2</v>
      </c>
      <c r="AJ283" s="31" t="n">
        <v>40</v>
      </c>
      <c r="AK283" s="31" t="n">
        <v>3</v>
      </c>
      <c r="AL283" s="30" t="inlineStr">
        <is>
          <t>T-0432</t>
        </is>
      </c>
      <c r="AM283" s="30" t="inlineStr">
        <is>
          <t>D-03-01</t>
        </is>
      </c>
      <c r="AN283" s="30" t="inlineStr">
        <is>
          <t>T-0313</t>
        </is>
      </c>
      <c r="AO283" s="30" t="inlineStr">
        <is>
          <t>D-06-01</t>
        </is>
      </c>
    </row>
    <row r="284">
      <c r="A284" s="30" t="inlineStr">
        <is>
          <t>O0283</t>
        </is>
      </c>
      <c r="B284" s="30" t="inlineStr">
        <is>
          <t>F</t>
        </is>
      </c>
      <c r="C284" s="31" t="n">
        <v>4376.8</v>
      </c>
      <c r="D284" s="31" t="n">
        <v>13684</v>
      </c>
      <c r="E284" s="31" t="n">
        <v>13684</v>
      </c>
      <c r="F284" s="31" t="n">
        <v>13697.9</v>
      </c>
      <c r="G284" s="31" t="n">
        <v>13728.7</v>
      </c>
      <c r="H284" s="31" t="n">
        <v>13742.2</v>
      </c>
      <c r="I284" s="31" t="n">
        <v>13776.6</v>
      </c>
      <c r="J284" s="31" t="n">
        <v>13809</v>
      </c>
      <c r="K284" s="31" t="n">
        <v>9432.200000000001</v>
      </c>
      <c r="L284" s="31" t="n">
        <v>9307.200000000001</v>
      </c>
      <c r="M284" s="30" t="inlineStr">
        <is>
          <t>AMR2</t>
        </is>
      </c>
      <c r="N284" s="30" t="inlineStr">
        <is>
          <t>AMR1</t>
        </is>
      </c>
      <c r="O284" s="32" t="n">
        <v>0</v>
      </c>
      <c r="P284" s="32" t="n">
        <v>0</v>
      </c>
      <c r="Q284" s="32" t="n">
        <v>23</v>
      </c>
      <c r="R284" s="31" t="n">
        <v>43.8</v>
      </c>
      <c r="S284" s="31" t="n">
        <v>43.8</v>
      </c>
      <c r="T284" s="30" t="inlineStr">
        <is>
          <t>AMR2</t>
        </is>
      </c>
      <c r="U284" s="31" t="n">
        <v>66</v>
      </c>
      <c r="V284" s="31" t="n">
        <v>66</v>
      </c>
      <c r="W284" s="30" t="inlineStr">
        <is>
          <t>AMR1</t>
        </is>
      </c>
      <c r="X284" s="32" t="n">
        <v>0</v>
      </c>
      <c r="Y284" s="32" t="n">
        <v>0</v>
      </c>
      <c r="Z284" s="31" t="n">
        <v>0</v>
      </c>
      <c r="AA284" s="32" t="n">
        <v>0</v>
      </c>
      <c r="AB284" s="32" t="n">
        <v>0</v>
      </c>
      <c r="AC284" s="32" t="n">
        <v>0</v>
      </c>
      <c r="AD284" s="32" t="n">
        <v>0</v>
      </c>
      <c r="AE284" s="31" t="n">
        <v>0</v>
      </c>
      <c r="AF284" s="32" t="n">
        <v>0</v>
      </c>
      <c r="AG284" s="31" t="n">
        <v>0</v>
      </c>
      <c r="AH284" s="32" t="n">
        <v>67</v>
      </c>
      <c r="AI284" s="31" t="n">
        <v>66.90000000000001</v>
      </c>
      <c r="AJ284" s="31" t="n">
        <v>44.6</v>
      </c>
      <c r="AK284" s="31" t="n">
        <v>0</v>
      </c>
      <c r="AL284" s="30" t="inlineStr">
        <is>
          <t>T-0433</t>
        </is>
      </c>
      <c r="AM284" s="30" t="inlineStr">
        <is>
          <t>F-04-02</t>
        </is>
      </c>
      <c r="AN284" s="30" t="inlineStr">
        <is>
          <t>T-0255</t>
        </is>
      </c>
      <c r="AO284" s="30" t="inlineStr">
        <is>
          <t>F-03-03</t>
        </is>
      </c>
    </row>
    <row r="285">
      <c r="A285" s="30" t="inlineStr">
        <is>
          <t>O0284</t>
        </is>
      </c>
      <c r="B285" s="30" t="inlineStr">
        <is>
          <t>C</t>
        </is>
      </c>
      <c r="C285" s="31" t="n">
        <v>4383.5</v>
      </c>
      <c r="D285" s="31" t="n">
        <v>13750.9</v>
      </c>
      <c r="E285" s="31" t="n">
        <v>13750.9</v>
      </c>
      <c r="F285" s="31" t="n">
        <v>13763</v>
      </c>
      <c r="G285" s="31" t="n">
        <v>13786.8</v>
      </c>
      <c r="H285" s="31" t="n">
        <v>13799</v>
      </c>
      <c r="I285" s="31" t="n">
        <v>13818</v>
      </c>
      <c r="J285" s="31" t="n">
        <v>13846.1</v>
      </c>
      <c r="K285" s="31" t="n">
        <v>9462.6</v>
      </c>
      <c r="L285" s="31" t="n">
        <v>9367.4</v>
      </c>
      <c r="M285" s="30" t="inlineStr">
        <is>
          <t>AMR2</t>
        </is>
      </c>
      <c r="N285" s="30" t="inlineStr">
        <is>
          <t>AMR2</t>
        </is>
      </c>
      <c r="O285" s="32" t="n">
        <v>0</v>
      </c>
      <c r="P285" s="32" t="n">
        <v>0</v>
      </c>
      <c r="Q285" s="32" t="n">
        <v>13</v>
      </c>
      <c r="R285" s="31" t="n">
        <v>35</v>
      </c>
      <c r="S285" s="31" t="n">
        <v>35</v>
      </c>
      <c r="T285" s="30" t="inlineStr">
        <is>
          <t>AMR2</t>
        </is>
      </c>
      <c r="U285" s="31" t="n">
        <v>49.8</v>
      </c>
      <c r="V285" s="31" t="n">
        <v>49.8</v>
      </c>
      <c r="W285" s="30" t="inlineStr">
        <is>
          <t>AMR2</t>
        </is>
      </c>
      <c r="X285" s="32" t="n">
        <v>0</v>
      </c>
      <c r="Y285" s="32" t="n">
        <v>0</v>
      </c>
      <c r="Z285" s="31" t="n">
        <v>0</v>
      </c>
      <c r="AA285" s="32" t="n">
        <v>0</v>
      </c>
      <c r="AB285" s="32" t="n">
        <v>0</v>
      </c>
      <c r="AC285" s="32" t="n">
        <v>0</v>
      </c>
      <c r="AD285" s="32" t="n">
        <v>0</v>
      </c>
      <c r="AE285" s="31" t="n">
        <v>0</v>
      </c>
      <c r="AF285" s="32" t="n">
        <v>0</v>
      </c>
      <c r="AG285" s="31" t="n">
        <v>0</v>
      </c>
      <c r="AH285" s="32" t="n">
        <v>37</v>
      </c>
      <c r="AI285" s="31" t="n">
        <v>40.4</v>
      </c>
      <c r="AJ285" s="31" t="n">
        <v>42.6</v>
      </c>
      <c r="AK285" s="31" t="n">
        <v>0</v>
      </c>
      <c r="AL285" s="30" t="inlineStr">
        <is>
          <t>T-0434</t>
        </is>
      </c>
      <c r="AM285" s="30" t="inlineStr">
        <is>
          <t>C-02-01</t>
        </is>
      </c>
      <c r="AN285" s="30" t="inlineStr">
        <is>
          <t>T-0309</t>
        </is>
      </c>
      <c r="AO285" s="30" t="inlineStr">
        <is>
          <t>C-06-02</t>
        </is>
      </c>
    </row>
    <row r="286">
      <c r="A286" s="30" t="inlineStr">
        <is>
          <t>O0285</t>
        </is>
      </c>
      <c r="B286" s="30" t="inlineStr">
        <is>
          <t>G</t>
        </is>
      </c>
      <c r="C286" s="31" t="n">
        <v>4389.4</v>
      </c>
      <c r="D286" s="31" t="n">
        <v>13763</v>
      </c>
      <c r="E286" s="31" t="n">
        <v>13763</v>
      </c>
      <c r="F286" s="31" t="n">
        <v>13774.9</v>
      </c>
      <c r="G286" s="31" t="n">
        <v>13806.3</v>
      </c>
      <c r="H286" s="31" t="n">
        <v>13824.5</v>
      </c>
      <c r="I286" s="31" t="n">
        <v>13854.7</v>
      </c>
      <c r="J286" s="31" t="n">
        <v>13884.9</v>
      </c>
      <c r="K286" s="31" t="n">
        <v>9495.5</v>
      </c>
      <c r="L286" s="31" t="n">
        <v>9373.6</v>
      </c>
      <c r="M286" s="30" t="inlineStr">
        <is>
          <t>AMR3</t>
        </is>
      </c>
      <c r="N286" s="30" t="inlineStr">
        <is>
          <t>AMR3</t>
        </is>
      </c>
      <c r="O286" s="32" t="n">
        <v>0</v>
      </c>
      <c r="P286" s="32" t="n">
        <v>0</v>
      </c>
      <c r="Q286" s="32" t="n">
        <v>17</v>
      </c>
      <c r="R286" s="31" t="n">
        <v>38.9</v>
      </c>
      <c r="S286" s="31" t="n">
        <v>38.9</v>
      </c>
      <c r="T286" s="30" t="inlineStr">
        <is>
          <t>AMR3</t>
        </is>
      </c>
      <c r="U286" s="31" t="n">
        <v>60.1</v>
      </c>
      <c r="V286" s="31" t="n">
        <v>60.1</v>
      </c>
      <c r="W286" s="30" t="inlineStr">
        <is>
          <t>AMR3</t>
        </is>
      </c>
      <c r="X286" s="32" t="n">
        <v>0</v>
      </c>
      <c r="Y286" s="32" t="n">
        <v>0</v>
      </c>
      <c r="Z286" s="31" t="n">
        <v>0</v>
      </c>
      <c r="AA286" s="32" t="n">
        <v>0</v>
      </c>
      <c r="AB286" s="32" t="n">
        <v>0</v>
      </c>
      <c r="AC286" s="32" t="n">
        <v>0</v>
      </c>
      <c r="AD286" s="32" t="n">
        <v>0</v>
      </c>
      <c r="AE286" s="31" t="n">
        <v>0</v>
      </c>
      <c r="AF286" s="32" t="n">
        <v>0</v>
      </c>
      <c r="AG286" s="31" t="n">
        <v>0</v>
      </c>
      <c r="AH286" s="32" t="n">
        <v>49</v>
      </c>
      <c r="AI286" s="31" t="n">
        <v>53.2</v>
      </c>
      <c r="AJ286" s="31" t="n">
        <v>48.6</v>
      </c>
      <c r="AK286" s="31" t="n">
        <v>1.9</v>
      </c>
      <c r="AL286" s="30" t="inlineStr">
        <is>
          <t>T-0435</t>
        </is>
      </c>
      <c r="AM286" s="30" t="inlineStr">
        <is>
          <t>G-02-02</t>
        </is>
      </c>
      <c r="AN286" s="30" t="inlineStr">
        <is>
          <t>T-0234</t>
        </is>
      </c>
      <c r="AO286" s="30" t="inlineStr">
        <is>
          <t>G-04-02</t>
        </is>
      </c>
    </row>
    <row r="287">
      <c r="A287" s="30" t="inlineStr">
        <is>
          <t>O0286</t>
        </is>
      </c>
      <c r="B287" s="30" t="inlineStr">
        <is>
          <t>I</t>
        </is>
      </c>
      <c r="C287" s="31" t="n">
        <v>4394.4</v>
      </c>
      <c r="D287" s="31" t="n">
        <v>13832.7</v>
      </c>
      <c r="E287" s="31" t="n">
        <v>13832.7</v>
      </c>
      <c r="F287" s="31" t="n">
        <v>13847.8</v>
      </c>
      <c r="G287" s="31" t="n">
        <v>13878.8</v>
      </c>
      <c r="H287" s="31" t="n">
        <v>13893.6</v>
      </c>
      <c r="I287" s="31" t="n">
        <v>13925.1</v>
      </c>
      <c r="J287" s="31" t="n">
        <v>13953.2</v>
      </c>
      <c r="K287" s="31" t="n">
        <v>9558.799999999999</v>
      </c>
      <c r="L287" s="31" t="n">
        <v>9438.299999999999</v>
      </c>
      <c r="M287" s="30" t="inlineStr">
        <is>
          <t>AMR1</t>
        </is>
      </c>
      <c r="N287" s="30" t="inlineStr">
        <is>
          <t>AMR1</t>
        </is>
      </c>
      <c r="O287" s="32" t="n">
        <v>0</v>
      </c>
      <c r="P287" s="32" t="n">
        <v>0</v>
      </c>
      <c r="Q287" s="32" t="n">
        <v>15</v>
      </c>
      <c r="R287" s="31" t="n">
        <v>40.4</v>
      </c>
      <c r="S287" s="31" t="n">
        <v>40.4</v>
      </c>
      <c r="T287" s="30" t="inlineStr">
        <is>
          <t>AMR1</t>
        </is>
      </c>
      <c r="U287" s="31" t="n">
        <v>53.4</v>
      </c>
      <c r="V287" s="31" t="n">
        <v>53.4</v>
      </c>
      <c r="W287" s="30" t="inlineStr">
        <is>
          <t>AMR1</t>
        </is>
      </c>
      <c r="X287" s="32" t="n">
        <v>0</v>
      </c>
      <c r="Y287" s="32" t="n">
        <v>0</v>
      </c>
      <c r="Z287" s="31" t="n">
        <v>0</v>
      </c>
      <c r="AA287" s="32" t="n">
        <v>0</v>
      </c>
      <c r="AB287" s="32" t="n">
        <v>2</v>
      </c>
      <c r="AC287" s="32" t="n">
        <v>2</v>
      </c>
      <c r="AD287" s="32" t="n">
        <v>0</v>
      </c>
      <c r="AE287" s="31" t="n">
        <v>0</v>
      </c>
      <c r="AF287" s="32" t="n">
        <v>0</v>
      </c>
      <c r="AG287" s="31" t="n">
        <v>0</v>
      </c>
      <c r="AH287" s="32" t="n">
        <v>43</v>
      </c>
      <c r="AI287" s="31" t="n">
        <v>49.9</v>
      </c>
      <c r="AJ287" s="31" t="n">
        <v>48</v>
      </c>
      <c r="AK287" s="31" t="n">
        <v>7.8</v>
      </c>
      <c r="AL287" s="30" t="inlineStr">
        <is>
          <t>T-0436</t>
        </is>
      </c>
      <c r="AM287" s="30" t="inlineStr">
        <is>
          <t>I-01-01</t>
        </is>
      </c>
      <c r="AN287" s="30" t="inlineStr">
        <is>
          <t>T-0347</t>
        </is>
      </c>
      <c r="AO287" s="30" t="inlineStr">
        <is>
          <t>I-02-01</t>
        </is>
      </c>
    </row>
    <row r="288">
      <c r="A288" s="30" t="inlineStr">
        <is>
          <t>O0287</t>
        </is>
      </c>
      <c r="B288" s="30" t="inlineStr">
        <is>
          <t>F</t>
        </is>
      </c>
      <c r="C288" s="31" t="n">
        <v>4398.7</v>
      </c>
      <c r="D288" s="31" t="n">
        <v>13874.2</v>
      </c>
      <c r="E288" s="31" t="n">
        <v>13874.2</v>
      </c>
      <c r="F288" s="31" t="n">
        <v>13890.1</v>
      </c>
      <c r="G288" s="31" t="n">
        <v>13919.4</v>
      </c>
      <c r="H288" s="31" t="n">
        <v>13942.3</v>
      </c>
      <c r="I288" s="31" t="n">
        <v>13973.9</v>
      </c>
      <c r="J288" s="31" t="n">
        <v>14005.3</v>
      </c>
      <c r="K288" s="31" t="n">
        <v>9606.6</v>
      </c>
      <c r="L288" s="31" t="n">
        <v>9475.5</v>
      </c>
      <c r="M288" s="30" t="inlineStr">
        <is>
          <t>AMR2</t>
        </is>
      </c>
      <c r="N288" s="30" t="inlineStr">
        <is>
          <t>AMR2</t>
        </is>
      </c>
      <c r="O288" s="32" t="n">
        <v>0</v>
      </c>
      <c r="P288" s="32" t="n">
        <v>0</v>
      </c>
      <c r="Q288" s="32" t="n">
        <v>23</v>
      </c>
      <c r="R288" s="31" t="n">
        <v>43.5</v>
      </c>
      <c r="S288" s="31" t="n">
        <v>43.5</v>
      </c>
      <c r="T288" s="30" t="inlineStr">
        <is>
          <t>AMR2</t>
        </is>
      </c>
      <c r="U288" s="31" t="n">
        <v>64.7</v>
      </c>
      <c r="V288" s="31" t="n">
        <v>64.7</v>
      </c>
      <c r="W288" s="30" t="inlineStr">
        <is>
          <t>AMR2</t>
        </is>
      </c>
      <c r="X288" s="32" t="n">
        <v>0</v>
      </c>
      <c r="Y288" s="32" t="n">
        <v>0</v>
      </c>
      <c r="Z288" s="31" t="n">
        <v>0</v>
      </c>
      <c r="AA288" s="32" t="n">
        <v>0</v>
      </c>
      <c r="AB288" s="32" t="n">
        <v>0</v>
      </c>
      <c r="AC288" s="32" t="n">
        <v>0</v>
      </c>
      <c r="AD288" s="32" t="n">
        <v>0</v>
      </c>
      <c r="AE288" s="31" t="n">
        <v>0</v>
      </c>
      <c r="AF288" s="32" t="n">
        <v>0</v>
      </c>
      <c r="AG288" s="31" t="n">
        <v>0</v>
      </c>
      <c r="AH288" s="32" t="n">
        <v>64</v>
      </c>
      <c r="AI288" s="31" t="n">
        <v>65.2</v>
      </c>
      <c r="AJ288" s="31" t="n">
        <v>43</v>
      </c>
      <c r="AK288" s="31" t="n">
        <v>0</v>
      </c>
      <c r="AL288" s="30" t="inlineStr">
        <is>
          <t>T-0437</t>
        </is>
      </c>
      <c r="AM288" s="30" t="inlineStr">
        <is>
          <t>F-03-03</t>
        </is>
      </c>
      <c r="AN288" s="30" t="inlineStr">
        <is>
          <t>T-0262</t>
        </is>
      </c>
      <c r="AO288" s="30" t="inlineStr">
        <is>
          <t>F-06-02</t>
        </is>
      </c>
    </row>
    <row r="289">
      <c r="A289" s="30" t="inlineStr">
        <is>
          <t>O0288</t>
        </is>
      </c>
      <c r="B289" s="30" t="inlineStr">
        <is>
          <t>J</t>
        </is>
      </c>
      <c r="C289" s="31" t="n">
        <v>4405.4</v>
      </c>
      <c r="D289" s="31" t="n">
        <v>13914</v>
      </c>
      <c r="E289" s="31" t="n">
        <v>13914</v>
      </c>
      <c r="F289" s="31" t="n">
        <v>13926.8</v>
      </c>
      <c r="G289" s="31" t="n">
        <v>13958.6</v>
      </c>
      <c r="H289" s="31" t="n">
        <v>13976.9</v>
      </c>
      <c r="I289" s="31" t="n">
        <v>14015.1</v>
      </c>
      <c r="J289" s="31" t="n">
        <v>14056.5</v>
      </c>
      <c r="K289" s="31" t="n">
        <v>9651.1</v>
      </c>
      <c r="L289" s="31" t="n">
        <v>9508.6</v>
      </c>
      <c r="M289" s="30" t="inlineStr">
        <is>
          <t>AMR3</t>
        </is>
      </c>
      <c r="N289" s="30" t="inlineStr">
        <is>
          <t>AMR1</t>
        </is>
      </c>
      <c r="O289" s="32" t="n">
        <v>0</v>
      </c>
      <c r="P289" s="32" t="n">
        <v>0</v>
      </c>
      <c r="Q289" s="32" t="n">
        <v>21</v>
      </c>
      <c r="R289" s="31" t="n">
        <v>42.9</v>
      </c>
      <c r="S289" s="31" t="n">
        <v>42.9</v>
      </c>
      <c r="T289" s="30" t="inlineStr">
        <is>
          <t>AMR3</t>
        </is>
      </c>
      <c r="U289" s="31" t="n">
        <v>61.7</v>
      </c>
      <c r="V289" s="31" t="n">
        <v>61.7</v>
      </c>
      <c r="W289" s="30" t="inlineStr">
        <is>
          <t>AMR1</t>
        </is>
      </c>
      <c r="X289" s="32" t="n">
        <v>0</v>
      </c>
      <c r="Y289" s="32" t="n">
        <v>0</v>
      </c>
      <c r="Z289" s="31" t="n">
        <v>0</v>
      </c>
      <c r="AA289" s="32" t="n">
        <v>0</v>
      </c>
      <c r="AB289" s="32" t="n">
        <v>2</v>
      </c>
      <c r="AC289" s="32" t="n">
        <v>2</v>
      </c>
      <c r="AD289" s="32" t="n">
        <v>0</v>
      </c>
      <c r="AE289" s="31" t="n">
        <v>0</v>
      </c>
      <c r="AF289" s="32" t="n">
        <v>0</v>
      </c>
      <c r="AG289" s="31" t="n">
        <v>0</v>
      </c>
      <c r="AH289" s="32" t="n">
        <v>64</v>
      </c>
      <c r="AI289" s="31" t="n">
        <v>71.2</v>
      </c>
      <c r="AJ289" s="31" t="n">
        <v>44</v>
      </c>
      <c r="AK289" s="31" t="n">
        <v>9</v>
      </c>
      <c r="AL289" s="30" t="inlineStr">
        <is>
          <t>T-0438</t>
        </is>
      </c>
      <c r="AM289" s="30" t="inlineStr">
        <is>
          <t>J-03-01</t>
        </is>
      </c>
      <c r="AN289" s="30" t="inlineStr">
        <is>
          <t>T-0220</t>
        </is>
      </c>
      <c r="AO289" s="30" t="inlineStr">
        <is>
          <t>J-01-02</t>
        </is>
      </c>
    </row>
    <row r="290">
      <c r="A290" s="30" t="inlineStr">
        <is>
          <t>O0289</t>
        </is>
      </c>
      <c r="B290" s="30" t="inlineStr">
        <is>
          <t>I</t>
        </is>
      </c>
      <c r="C290" s="31" t="n">
        <v>4410.7</v>
      </c>
      <c r="D290" s="31" t="n">
        <v>13986.7</v>
      </c>
      <c r="E290" s="31" t="n">
        <v>13986.7</v>
      </c>
      <c r="F290" s="31" t="n">
        <v>14001.9</v>
      </c>
      <c r="G290" s="31" t="n">
        <v>14026.8</v>
      </c>
      <c r="H290" s="31" t="n">
        <v>14030.1</v>
      </c>
      <c r="I290" s="31" t="n">
        <v>14058.1</v>
      </c>
      <c r="J290" s="31" t="n">
        <v>14083.8</v>
      </c>
      <c r="K290" s="31" t="n">
        <v>9673.1</v>
      </c>
      <c r="L290" s="31" t="n">
        <v>9576</v>
      </c>
      <c r="M290" s="30" t="inlineStr">
        <is>
          <t>AMR3</t>
        </is>
      </c>
      <c r="N290" s="30" t="inlineStr">
        <is>
          <t>AMR2</t>
        </is>
      </c>
      <c r="O290" s="32" t="n">
        <v>0</v>
      </c>
      <c r="P290" s="32" t="n">
        <v>0</v>
      </c>
      <c r="Q290" s="32" t="n">
        <v>15</v>
      </c>
      <c r="R290" s="31" t="n">
        <v>39.2</v>
      </c>
      <c r="S290" s="31" t="n">
        <v>39.2</v>
      </c>
      <c r="T290" s="30" t="inlineStr">
        <is>
          <t>AMR3</t>
        </is>
      </c>
      <c r="U290" s="31" t="n">
        <v>51.9</v>
      </c>
      <c r="V290" s="31" t="n">
        <v>51.9</v>
      </c>
      <c r="W290" s="30" t="inlineStr">
        <is>
          <t>AMR2</t>
        </is>
      </c>
      <c r="X290" s="32" t="n">
        <v>0</v>
      </c>
      <c r="Y290" s="32" t="n">
        <v>0</v>
      </c>
      <c r="Z290" s="31" t="n">
        <v>0</v>
      </c>
      <c r="AA290" s="32" t="n">
        <v>0</v>
      </c>
      <c r="AB290" s="32" t="n">
        <v>0</v>
      </c>
      <c r="AC290" s="32" t="n">
        <v>0</v>
      </c>
      <c r="AD290" s="32" t="n">
        <v>0</v>
      </c>
      <c r="AE290" s="31" t="n">
        <v>0</v>
      </c>
      <c r="AF290" s="32" t="n">
        <v>0</v>
      </c>
      <c r="AG290" s="31" t="n">
        <v>0</v>
      </c>
      <c r="AH290" s="32" t="n">
        <v>43</v>
      </c>
      <c r="AI290" s="31" t="n">
        <v>48.5</v>
      </c>
      <c r="AJ290" s="31" t="n">
        <v>45.3</v>
      </c>
      <c r="AK290" s="31" t="n">
        <v>0</v>
      </c>
      <c r="AL290" s="30" t="inlineStr">
        <is>
          <t>T-0439</t>
        </is>
      </c>
      <c r="AM290" s="30" t="inlineStr">
        <is>
          <t>I-02-01</t>
        </is>
      </c>
      <c r="AN290" s="30" t="inlineStr">
        <is>
          <t>T-0365</t>
        </is>
      </c>
      <c r="AO290" s="30" t="inlineStr">
        <is>
          <t>I-03-01</t>
        </is>
      </c>
    </row>
    <row r="291">
      <c r="A291" s="30" t="inlineStr">
        <is>
          <t>O0290</t>
        </is>
      </c>
      <c r="B291" s="30" t="inlineStr">
        <is>
          <t>I</t>
        </is>
      </c>
      <c r="C291" s="31" t="n">
        <v>4415</v>
      </c>
      <c r="D291" s="31" t="n">
        <v>14046.9</v>
      </c>
      <c r="E291" s="31" t="n">
        <v>14046.9</v>
      </c>
      <c r="F291" s="31" t="n">
        <v>14058</v>
      </c>
      <c r="G291" s="31" t="n">
        <v>14089.1</v>
      </c>
      <c r="H291" s="31" t="n">
        <v>14105.9</v>
      </c>
      <c r="I291" s="31" t="n">
        <v>14136.2</v>
      </c>
      <c r="J291" s="31" t="n">
        <v>14166.7</v>
      </c>
      <c r="K291" s="31" t="n">
        <v>9751.700000000001</v>
      </c>
      <c r="L291" s="31" t="n">
        <v>9631.9</v>
      </c>
      <c r="M291" s="30" t="inlineStr">
        <is>
          <t>AMR3</t>
        </is>
      </c>
      <c r="N291" s="30" t="inlineStr">
        <is>
          <t>AMR3</t>
        </is>
      </c>
      <c r="O291" s="32" t="n">
        <v>0</v>
      </c>
      <c r="P291" s="32" t="n">
        <v>0</v>
      </c>
      <c r="Q291" s="32" t="n">
        <v>15</v>
      </c>
      <c r="R291" s="31" t="n">
        <v>34.8</v>
      </c>
      <c r="S291" s="31" t="n">
        <v>34.8</v>
      </c>
      <c r="T291" s="30" t="inlineStr">
        <is>
          <t>AMR3</t>
        </is>
      </c>
      <c r="U291" s="31" t="n">
        <v>51.1</v>
      </c>
      <c r="V291" s="31" t="n">
        <v>51.1</v>
      </c>
      <c r="W291" s="30" t="inlineStr">
        <is>
          <t>AMR3</t>
        </is>
      </c>
      <c r="X291" s="32" t="n">
        <v>0</v>
      </c>
      <c r="Y291" s="32" t="n">
        <v>0</v>
      </c>
      <c r="Z291" s="31" t="n">
        <v>0</v>
      </c>
      <c r="AA291" s="32" t="n">
        <v>0</v>
      </c>
      <c r="AB291" s="32" t="n">
        <v>2</v>
      </c>
      <c r="AC291" s="32" t="n">
        <v>2</v>
      </c>
      <c r="AD291" s="32" t="n">
        <v>0</v>
      </c>
      <c r="AE291" s="31" t="n">
        <v>0</v>
      </c>
      <c r="AF291" s="32" t="n">
        <v>0</v>
      </c>
      <c r="AG291" s="31" t="n">
        <v>0</v>
      </c>
      <c r="AH291" s="32" t="n">
        <v>47</v>
      </c>
      <c r="AI291" s="31" t="n">
        <v>53.6</v>
      </c>
      <c r="AJ291" s="31" t="n">
        <v>40.1</v>
      </c>
      <c r="AK291" s="31" t="n">
        <v>9.300000000000001</v>
      </c>
      <c r="AL291" s="30" t="inlineStr">
        <is>
          <t>T-0440</t>
        </is>
      </c>
      <c r="AM291" s="30" t="inlineStr">
        <is>
          <t>I-04-03</t>
        </is>
      </c>
      <c r="AN291" s="30" t="inlineStr">
        <is>
          <t>T-0370</t>
        </is>
      </c>
      <c r="AO291" s="30" t="inlineStr">
        <is>
          <t>I-04-01</t>
        </is>
      </c>
    </row>
    <row r="292">
      <c r="A292" s="30" t="inlineStr">
        <is>
          <t>O0291</t>
        </is>
      </c>
      <c r="B292" s="30" t="inlineStr">
        <is>
          <t>J</t>
        </is>
      </c>
      <c r="C292" s="31" t="n">
        <v>4421.9</v>
      </c>
      <c r="D292" s="31" t="n">
        <v>14084.6</v>
      </c>
      <c r="E292" s="31" t="n">
        <v>14084.6</v>
      </c>
      <c r="F292" s="31" t="n">
        <v>14100.5</v>
      </c>
      <c r="G292" s="31" t="n">
        <v>14131.2</v>
      </c>
      <c r="H292" s="31" t="n">
        <v>14158.1</v>
      </c>
      <c r="I292" s="31" t="n">
        <v>14189.9</v>
      </c>
      <c r="J292" s="31" t="n">
        <v>14231.1</v>
      </c>
      <c r="K292" s="31" t="n">
        <v>9809.200000000001</v>
      </c>
      <c r="L292" s="31" t="n">
        <v>9662.700000000001</v>
      </c>
      <c r="M292" s="30" t="inlineStr">
        <is>
          <t>AMR1</t>
        </is>
      </c>
      <c r="N292" s="30" t="inlineStr">
        <is>
          <t>AMR1</t>
        </is>
      </c>
      <c r="O292" s="32" t="n">
        <v>0</v>
      </c>
      <c r="P292" s="32" t="n">
        <v>0</v>
      </c>
      <c r="Q292" s="32" t="n">
        <v>21</v>
      </c>
      <c r="R292" s="31" t="n">
        <v>44.3</v>
      </c>
      <c r="S292" s="31" t="n">
        <v>44.3</v>
      </c>
      <c r="T292" s="30" t="inlineStr">
        <is>
          <t>AMR1</t>
        </is>
      </c>
      <c r="U292" s="31" t="n">
        <v>62.2</v>
      </c>
      <c r="V292" s="31" t="n">
        <v>62.2</v>
      </c>
      <c r="W292" s="30" t="inlineStr">
        <is>
          <t>AMR1</t>
        </is>
      </c>
      <c r="X292" s="32" t="n">
        <v>0</v>
      </c>
      <c r="Y292" s="32" t="n">
        <v>0</v>
      </c>
      <c r="Z292" s="31" t="n">
        <v>0</v>
      </c>
      <c r="AA292" s="32" t="n">
        <v>0</v>
      </c>
      <c r="AB292" s="32" t="n">
        <v>0</v>
      </c>
      <c r="AC292" s="32" t="n">
        <v>0</v>
      </c>
      <c r="AD292" s="32" t="n">
        <v>1</v>
      </c>
      <c r="AE292" s="31" t="n">
        <v>8.300000000000001</v>
      </c>
      <c r="AF292" s="32" t="n">
        <v>1</v>
      </c>
      <c r="AG292" s="31" t="n">
        <v>3.3</v>
      </c>
      <c r="AH292" s="32" t="n">
        <v>59</v>
      </c>
      <c r="AI292" s="31" t="n">
        <v>61.3</v>
      </c>
      <c r="AJ292" s="31" t="n">
        <v>45.9</v>
      </c>
      <c r="AK292" s="31" t="n">
        <v>12.4</v>
      </c>
      <c r="AL292" s="30" t="inlineStr">
        <is>
          <t>T-0441</t>
        </is>
      </c>
      <c r="AM292" s="30" t="inlineStr">
        <is>
          <t>J-01-02</t>
        </is>
      </c>
      <c r="AN292" s="30" t="inlineStr">
        <is>
          <t>T-0244</t>
        </is>
      </c>
      <c r="AO292" s="30" t="inlineStr">
        <is>
          <t>J-02-02</t>
        </is>
      </c>
    </row>
    <row r="293">
      <c r="A293" s="30" t="inlineStr">
        <is>
          <t>O0292</t>
        </is>
      </c>
      <c r="B293" s="30" t="inlineStr">
        <is>
          <t>H</t>
        </is>
      </c>
      <c r="C293" s="31" t="n">
        <v>4426.9</v>
      </c>
      <c r="D293" s="31" t="n">
        <v>14114.8</v>
      </c>
      <c r="E293" s="31" t="n">
        <v>14114.8</v>
      </c>
      <c r="F293" s="31" t="n">
        <v>14127.5</v>
      </c>
      <c r="G293" s="31" t="n">
        <v>14151</v>
      </c>
      <c r="H293" s="31" t="n">
        <v>14165.8</v>
      </c>
      <c r="I293" s="31" t="n">
        <v>14194.5</v>
      </c>
      <c r="J293" s="31" t="n">
        <v>14218.2</v>
      </c>
      <c r="K293" s="31" t="n">
        <v>9791.299999999999</v>
      </c>
      <c r="L293" s="31" t="n">
        <v>9687.9</v>
      </c>
      <c r="M293" s="30" t="inlineStr">
        <is>
          <t>AMR2</t>
        </is>
      </c>
      <c r="N293" s="30" t="inlineStr">
        <is>
          <t>AMR2</t>
        </is>
      </c>
      <c r="O293" s="32" t="n">
        <v>0</v>
      </c>
      <c r="P293" s="32" t="n">
        <v>0</v>
      </c>
      <c r="Q293" s="32" t="n">
        <v>15</v>
      </c>
      <c r="R293" s="31" t="n">
        <v>35.3</v>
      </c>
      <c r="S293" s="31" t="n">
        <v>35.3</v>
      </c>
      <c r="T293" s="30" t="inlineStr">
        <is>
          <t>AMR2</t>
        </is>
      </c>
      <c r="U293" s="31" t="n">
        <v>52.5</v>
      </c>
      <c r="V293" s="31" t="n">
        <v>52.5</v>
      </c>
      <c r="W293" s="30" t="inlineStr">
        <is>
          <t>AMR2</t>
        </is>
      </c>
      <c r="X293" s="32" t="n">
        <v>0</v>
      </c>
      <c r="Y293" s="32" t="n">
        <v>0</v>
      </c>
      <c r="Z293" s="31" t="n">
        <v>0</v>
      </c>
      <c r="AA293" s="32" t="n">
        <v>0</v>
      </c>
      <c r="AB293" s="32" t="n">
        <v>0</v>
      </c>
      <c r="AC293" s="32" t="n">
        <v>0</v>
      </c>
      <c r="AD293" s="32" t="n">
        <v>0</v>
      </c>
      <c r="AE293" s="31" t="n">
        <v>0</v>
      </c>
      <c r="AF293" s="32" t="n">
        <v>0</v>
      </c>
      <c r="AG293" s="31" t="n">
        <v>0</v>
      </c>
      <c r="AH293" s="32" t="n">
        <v>43</v>
      </c>
      <c r="AI293" s="31" t="n">
        <v>46.1</v>
      </c>
      <c r="AJ293" s="31" t="n">
        <v>42.5</v>
      </c>
      <c r="AK293" s="31" t="n">
        <v>0</v>
      </c>
      <c r="AL293" s="30" t="inlineStr">
        <is>
          <t>T-0442</t>
        </is>
      </c>
      <c r="AM293" s="30" t="inlineStr">
        <is>
          <t>H-04-02</t>
        </is>
      </c>
      <c r="AN293" s="30" t="inlineStr">
        <is>
          <t>T-0366</t>
        </is>
      </c>
      <c r="AO293" s="30" t="inlineStr">
        <is>
          <t>H-03-01</t>
        </is>
      </c>
    </row>
    <row r="294">
      <c r="A294" s="30" t="inlineStr">
        <is>
          <t>O0293</t>
        </is>
      </c>
      <c r="B294" s="30" t="inlineStr">
        <is>
          <t>I</t>
        </is>
      </c>
      <c r="C294" s="31" t="n">
        <v>4433.4</v>
      </c>
      <c r="D294" s="31" t="n">
        <v>14190.4</v>
      </c>
      <c r="E294" s="31" t="n">
        <v>14190.4</v>
      </c>
      <c r="F294" s="31" t="n">
        <v>14201.8</v>
      </c>
      <c r="G294" s="31" t="n">
        <v>14225.4</v>
      </c>
      <c r="H294" s="31" t="n">
        <v>14241.5</v>
      </c>
      <c r="I294" s="31" t="n">
        <v>14279.8</v>
      </c>
      <c r="J294" s="31" t="n">
        <v>14308.7</v>
      </c>
      <c r="K294" s="31" t="n">
        <v>9875.299999999999</v>
      </c>
      <c r="L294" s="31" t="n">
        <v>9757</v>
      </c>
      <c r="M294" s="30" t="inlineStr">
        <is>
          <t>AMR3</t>
        </is>
      </c>
      <c r="N294" s="30" t="inlineStr">
        <is>
          <t>AMR3</t>
        </is>
      </c>
      <c r="O294" s="32" t="n">
        <v>0</v>
      </c>
      <c r="P294" s="32" t="n">
        <v>0</v>
      </c>
      <c r="Q294" s="32" t="n">
        <v>15</v>
      </c>
      <c r="R294" s="31" t="n">
        <v>33.3</v>
      </c>
      <c r="S294" s="31" t="n">
        <v>33.3</v>
      </c>
      <c r="T294" s="30" t="inlineStr">
        <is>
          <t>AMR3</t>
        </is>
      </c>
      <c r="U294" s="31" t="n">
        <v>54.4</v>
      </c>
      <c r="V294" s="31" t="n">
        <v>54.4</v>
      </c>
      <c r="W294" s="30" t="inlineStr">
        <is>
          <t>AMR3</t>
        </is>
      </c>
      <c r="X294" s="32" t="n">
        <v>0</v>
      </c>
      <c r="Y294" s="32" t="n">
        <v>0</v>
      </c>
      <c r="Z294" s="31" t="n">
        <v>0</v>
      </c>
      <c r="AA294" s="32" t="n">
        <v>0</v>
      </c>
      <c r="AB294" s="32" t="n">
        <v>2</v>
      </c>
      <c r="AC294" s="32" t="n">
        <v>2</v>
      </c>
      <c r="AD294" s="32" t="n">
        <v>0</v>
      </c>
      <c r="AE294" s="31" t="n">
        <v>0</v>
      </c>
      <c r="AF294" s="32" t="n">
        <v>0</v>
      </c>
      <c r="AG294" s="31" t="n">
        <v>0</v>
      </c>
      <c r="AH294" s="32" t="n">
        <v>46</v>
      </c>
      <c r="AI294" s="31" t="n">
        <v>50.8</v>
      </c>
      <c r="AJ294" s="31" t="n">
        <v>41.9</v>
      </c>
      <c r="AK294" s="31" t="n">
        <v>9.5</v>
      </c>
      <c r="AL294" s="30" t="inlineStr">
        <is>
          <t>T-0443</t>
        </is>
      </c>
      <c r="AM294" s="30" t="inlineStr">
        <is>
          <t>I-03-01</t>
        </is>
      </c>
      <c r="AN294" s="30" t="inlineStr">
        <is>
          <t>T-0373</t>
        </is>
      </c>
      <c r="AO294" s="30" t="inlineStr">
        <is>
          <t>I-05-01</t>
        </is>
      </c>
    </row>
    <row r="295">
      <c r="A295" s="30" t="inlineStr">
        <is>
          <t>O0294</t>
        </is>
      </c>
      <c r="B295" s="30" t="inlineStr">
        <is>
          <t>D</t>
        </is>
      </c>
      <c r="C295" s="31" t="n">
        <v>4439.3</v>
      </c>
      <c r="D295" s="31" t="n">
        <v>14251.5</v>
      </c>
      <c r="E295" s="31" t="n">
        <v>14251.5</v>
      </c>
      <c r="F295" s="31" t="n">
        <v>14269.7</v>
      </c>
      <c r="G295" s="31" t="n">
        <v>14291.2</v>
      </c>
      <c r="H295" s="31" t="n">
        <v>14306</v>
      </c>
      <c r="I295" s="31" t="n">
        <v>14330.2</v>
      </c>
      <c r="J295" s="31" t="n">
        <v>14357.5</v>
      </c>
      <c r="K295" s="31" t="n">
        <v>9918.200000000001</v>
      </c>
      <c r="L295" s="31" t="n">
        <v>9812.200000000001</v>
      </c>
      <c r="M295" s="30" t="inlineStr">
        <is>
          <t>AMR2</t>
        </is>
      </c>
      <c r="N295" s="30" t="inlineStr">
        <is>
          <t>AMR2</t>
        </is>
      </c>
      <c r="O295" s="32" t="n">
        <v>0</v>
      </c>
      <c r="P295" s="32" t="n">
        <v>0</v>
      </c>
      <c r="Q295" s="32" t="n">
        <v>13</v>
      </c>
      <c r="R295" s="31" t="n">
        <v>30.8</v>
      </c>
      <c r="S295" s="31" t="n">
        <v>30.8</v>
      </c>
      <c r="T295" s="30" t="inlineStr">
        <is>
          <t>AMR2</t>
        </is>
      </c>
      <c r="U295" s="31" t="n">
        <v>46.8</v>
      </c>
      <c r="V295" s="31" t="n">
        <v>46.8</v>
      </c>
      <c r="W295" s="30" t="inlineStr">
        <is>
          <t>AMR2</t>
        </is>
      </c>
      <c r="X295" s="32" t="n">
        <v>0</v>
      </c>
      <c r="Y295" s="32" t="n">
        <v>0</v>
      </c>
      <c r="Z295" s="31" t="n">
        <v>0</v>
      </c>
      <c r="AA295" s="32" t="n">
        <v>0</v>
      </c>
      <c r="AB295" s="32" t="n">
        <v>0</v>
      </c>
      <c r="AC295" s="32" t="n">
        <v>1</v>
      </c>
      <c r="AD295" s="32" t="n">
        <v>1</v>
      </c>
      <c r="AE295" s="31" t="n">
        <v>1.4</v>
      </c>
      <c r="AF295" s="32" t="n">
        <v>0</v>
      </c>
      <c r="AG295" s="31" t="n">
        <v>0</v>
      </c>
      <c r="AH295" s="32" t="n">
        <v>47</v>
      </c>
      <c r="AI295" s="31" t="n">
        <v>51.9</v>
      </c>
      <c r="AJ295" s="31" t="n">
        <v>34.9</v>
      </c>
      <c r="AK295" s="31" t="n">
        <v>4.4</v>
      </c>
      <c r="AL295" s="30" t="inlineStr">
        <is>
          <t>T-0444</t>
        </is>
      </c>
      <c r="AM295" s="30" t="inlineStr">
        <is>
          <t>D-04-01</t>
        </is>
      </c>
      <c r="AN295" s="30" t="inlineStr">
        <is>
          <t>T-0314</t>
        </is>
      </c>
      <c r="AO295" s="30" t="inlineStr">
        <is>
          <t>D-05-01</t>
        </is>
      </c>
    </row>
    <row r="296">
      <c r="A296" s="30" t="inlineStr">
        <is>
          <t>O0295</t>
        </is>
      </c>
      <c r="B296" s="30" t="inlineStr">
        <is>
          <t>E</t>
        </is>
      </c>
      <c r="C296" s="31" t="n">
        <v>4444.2</v>
      </c>
      <c r="D296" s="31" t="n">
        <v>14266.4</v>
      </c>
      <c r="E296" s="31" t="n">
        <v>14266.4</v>
      </c>
      <c r="F296" s="31" t="n">
        <v>14280.4</v>
      </c>
      <c r="G296" s="31" t="n">
        <v>14307.6</v>
      </c>
      <c r="H296" s="31" t="n">
        <v>14325.8</v>
      </c>
      <c r="I296" s="31" t="n">
        <v>14355</v>
      </c>
      <c r="J296" s="31" t="n">
        <v>14388.4</v>
      </c>
      <c r="K296" s="31" t="n">
        <v>9944.200000000001</v>
      </c>
      <c r="L296" s="31" t="n">
        <v>9822.200000000001</v>
      </c>
      <c r="M296" s="30" t="inlineStr">
        <is>
          <t>AMR1</t>
        </is>
      </c>
      <c r="N296" s="30" t="inlineStr">
        <is>
          <t>AMR1</t>
        </is>
      </c>
      <c r="O296" s="32" t="n">
        <v>0</v>
      </c>
      <c r="P296" s="32" t="n">
        <v>0</v>
      </c>
      <c r="Q296" s="32" t="n">
        <v>19</v>
      </c>
      <c r="R296" s="31" t="n">
        <v>40.3</v>
      </c>
      <c r="S296" s="31" t="n">
        <v>40.3</v>
      </c>
      <c r="T296" s="30" t="inlineStr">
        <is>
          <t>AMR1</t>
        </is>
      </c>
      <c r="U296" s="31" t="n">
        <v>59.3</v>
      </c>
      <c r="V296" s="31" t="n">
        <v>59.3</v>
      </c>
      <c r="W296" s="30" t="inlineStr">
        <is>
          <t>AMR1</t>
        </is>
      </c>
      <c r="X296" s="32" t="n">
        <v>0</v>
      </c>
      <c r="Y296" s="32" t="n">
        <v>0</v>
      </c>
      <c r="Z296" s="31" t="n">
        <v>0</v>
      </c>
      <c r="AA296" s="32" t="n">
        <v>0</v>
      </c>
      <c r="AB296" s="32" t="n">
        <v>1</v>
      </c>
      <c r="AC296" s="32" t="n">
        <v>0</v>
      </c>
      <c r="AD296" s="32" t="n">
        <v>0</v>
      </c>
      <c r="AE296" s="31" t="n">
        <v>0</v>
      </c>
      <c r="AF296" s="32" t="n">
        <v>0</v>
      </c>
      <c r="AG296" s="31" t="n">
        <v>0</v>
      </c>
      <c r="AH296" s="32" t="n">
        <v>61</v>
      </c>
      <c r="AI296" s="31" t="n">
        <v>61.7</v>
      </c>
      <c r="AJ296" s="31" t="n">
        <v>42.1</v>
      </c>
      <c r="AK296" s="31" t="n">
        <v>0</v>
      </c>
      <c r="AL296" s="30" t="inlineStr">
        <is>
          <t>T-0445</t>
        </is>
      </c>
      <c r="AM296" s="30" t="inlineStr">
        <is>
          <t>E-01-02</t>
        </is>
      </c>
      <c r="AN296" s="30" t="inlineStr">
        <is>
          <t>T-0194</t>
        </is>
      </c>
      <c r="AO296" s="30" t="inlineStr">
        <is>
          <t>E-04-02</t>
        </is>
      </c>
    </row>
    <row r="297">
      <c r="A297" s="30" t="inlineStr">
        <is>
          <t>O0296</t>
        </is>
      </c>
      <c r="B297" s="30" t="inlineStr">
        <is>
          <t>E</t>
        </is>
      </c>
      <c r="C297" s="31" t="n">
        <v>4449.9</v>
      </c>
      <c r="D297" s="31" t="n">
        <v>14334.4</v>
      </c>
      <c r="E297" s="31" t="n">
        <v>14334.4</v>
      </c>
      <c r="F297" s="31" t="n">
        <v>14348</v>
      </c>
      <c r="G297" s="31" t="n">
        <v>14376</v>
      </c>
      <c r="H297" s="31" t="n">
        <v>14381.2</v>
      </c>
      <c r="I297" s="31" t="n">
        <v>14412.8</v>
      </c>
      <c r="J297" s="31" t="n">
        <v>14449.7</v>
      </c>
      <c r="K297" s="31" t="n">
        <v>9999.799999999999</v>
      </c>
      <c r="L297" s="31" t="n">
        <v>9884.5</v>
      </c>
      <c r="M297" s="30" t="inlineStr">
        <is>
          <t>AMR3</t>
        </is>
      </c>
      <c r="N297" s="30" t="inlineStr">
        <is>
          <t>AMR2</t>
        </is>
      </c>
      <c r="O297" s="32" t="n">
        <v>0</v>
      </c>
      <c r="P297" s="32" t="n">
        <v>0</v>
      </c>
      <c r="Q297" s="32" t="n">
        <v>19</v>
      </c>
      <c r="R297" s="31" t="n">
        <v>39.1</v>
      </c>
      <c r="S297" s="31" t="n">
        <v>39.1</v>
      </c>
      <c r="T297" s="30" t="inlineStr">
        <is>
          <t>AMR3</t>
        </is>
      </c>
      <c r="U297" s="31" t="n">
        <v>65.2</v>
      </c>
      <c r="V297" s="31" t="n">
        <v>65.2</v>
      </c>
      <c r="W297" s="30" t="inlineStr">
        <is>
          <t>AMR2</t>
        </is>
      </c>
      <c r="X297" s="32" t="n">
        <v>0</v>
      </c>
      <c r="Y297" s="32" t="n">
        <v>0</v>
      </c>
      <c r="Z297" s="31" t="n">
        <v>0</v>
      </c>
      <c r="AA297" s="32" t="n">
        <v>0</v>
      </c>
      <c r="AB297" s="32" t="n">
        <v>0</v>
      </c>
      <c r="AC297" s="32" t="n">
        <v>0</v>
      </c>
      <c r="AD297" s="32" t="n">
        <v>0</v>
      </c>
      <c r="AE297" s="31" t="n">
        <v>0</v>
      </c>
      <c r="AF297" s="32" t="n">
        <v>0</v>
      </c>
      <c r="AG297" s="31" t="n">
        <v>0</v>
      </c>
      <c r="AH297" s="32" t="n">
        <v>63</v>
      </c>
      <c r="AI297" s="31" t="n">
        <v>63.3</v>
      </c>
      <c r="AJ297" s="31" t="n">
        <v>46.8</v>
      </c>
      <c r="AK297" s="31" t="n">
        <v>0</v>
      </c>
      <c r="AL297" s="30" t="inlineStr">
        <is>
          <t>T-0446</t>
        </is>
      </c>
      <c r="AM297" s="30" t="inlineStr">
        <is>
          <t>E-05-03</t>
        </is>
      </c>
      <c r="AN297" s="30" t="inlineStr">
        <is>
          <t>T-0197</t>
        </is>
      </c>
      <c r="AO297" s="30" t="inlineStr">
        <is>
          <t>E-05-01</t>
        </is>
      </c>
    </row>
    <row r="298">
      <c r="A298" s="30" t="inlineStr">
        <is>
          <t>O0297</t>
        </is>
      </c>
      <c r="B298" s="30" t="inlineStr">
        <is>
          <t>H</t>
        </is>
      </c>
      <c r="C298" s="31" t="n">
        <v>4456.4</v>
      </c>
      <c r="D298" s="31" t="n">
        <v>14396.2</v>
      </c>
      <c r="E298" s="31" t="n">
        <v>14396.2</v>
      </c>
      <c r="F298" s="31" t="n">
        <v>14408.3</v>
      </c>
      <c r="G298" s="31" t="n">
        <v>14435.4</v>
      </c>
      <c r="H298" s="31" t="n">
        <v>14449.9</v>
      </c>
      <c r="I298" s="31" t="n">
        <v>14482.4</v>
      </c>
      <c r="J298" s="31" t="n">
        <v>14510.1</v>
      </c>
      <c r="K298" s="31" t="n">
        <v>10053.7</v>
      </c>
      <c r="L298" s="31" t="n">
        <v>9939.799999999999</v>
      </c>
      <c r="M298" s="30" t="inlineStr">
        <is>
          <t>AMR3</t>
        </is>
      </c>
      <c r="N298" s="30" t="inlineStr">
        <is>
          <t>AMR3</t>
        </is>
      </c>
      <c r="O298" s="32" t="n">
        <v>0</v>
      </c>
      <c r="P298" s="32" t="n">
        <v>0</v>
      </c>
      <c r="Q298" s="32" t="n">
        <v>15</v>
      </c>
      <c r="R298" s="31" t="n">
        <v>37.5</v>
      </c>
      <c r="S298" s="31" t="n">
        <v>37.5</v>
      </c>
      <c r="T298" s="30" t="inlineStr">
        <is>
          <t>AMR3</t>
        </is>
      </c>
      <c r="U298" s="31" t="n">
        <v>55.6</v>
      </c>
      <c r="V298" s="31" t="n">
        <v>55.6</v>
      </c>
      <c r="W298" s="30" t="inlineStr">
        <is>
          <t>AMR3</t>
        </is>
      </c>
      <c r="X298" s="32" t="n">
        <v>0</v>
      </c>
      <c r="Y298" s="32" t="n">
        <v>0</v>
      </c>
      <c r="Z298" s="31" t="n">
        <v>0</v>
      </c>
      <c r="AA298" s="32" t="n">
        <v>0</v>
      </c>
      <c r="AB298" s="32" t="n">
        <v>1</v>
      </c>
      <c r="AC298" s="32" t="n">
        <v>1</v>
      </c>
      <c r="AD298" s="32" t="n">
        <v>0</v>
      </c>
      <c r="AE298" s="31" t="n">
        <v>0</v>
      </c>
      <c r="AF298" s="32" t="n">
        <v>0</v>
      </c>
      <c r="AG298" s="31" t="n">
        <v>0</v>
      </c>
      <c r="AH298" s="32" t="n">
        <v>44</v>
      </c>
      <c r="AI298" s="31" t="n">
        <v>46.9</v>
      </c>
      <c r="AJ298" s="31" t="n">
        <v>47.8</v>
      </c>
      <c r="AK298" s="31" t="n">
        <v>4.7</v>
      </c>
      <c r="AL298" s="30" t="inlineStr">
        <is>
          <t>T-0447</t>
        </is>
      </c>
      <c r="AM298" s="30" t="inlineStr">
        <is>
          <t>H-03-01</t>
        </is>
      </c>
      <c r="AN298" s="30" t="inlineStr">
        <is>
          <t>T-0369</t>
        </is>
      </c>
      <c r="AO298" s="30" t="inlineStr">
        <is>
          <t>H-03-02</t>
        </is>
      </c>
    </row>
    <row r="299">
      <c r="A299" s="30" t="inlineStr">
        <is>
          <t>O0298</t>
        </is>
      </c>
      <c r="B299" s="30" t="inlineStr">
        <is>
          <t>G</t>
        </is>
      </c>
      <c r="C299" s="31" t="n">
        <v>4462.3</v>
      </c>
      <c r="D299" s="31" t="n">
        <v>14412.1</v>
      </c>
      <c r="E299" s="31" t="n">
        <v>14412.1</v>
      </c>
      <c r="F299" s="31" t="n">
        <v>14426.5</v>
      </c>
      <c r="G299" s="31" t="n">
        <v>14455.1</v>
      </c>
      <c r="H299" s="31" t="n">
        <v>14473.4</v>
      </c>
      <c r="I299" s="31" t="n">
        <v>14506.7</v>
      </c>
      <c r="J299" s="31" t="n">
        <v>14533.3</v>
      </c>
      <c r="K299" s="31" t="n">
        <v>10071</v>
      </c>
      <c r="L299" s="31" t="n">
        <v>9949.799999999999</v>
      </c>
      <c r="M299" s="30" t="inlineStr">
        <is>
          <t>AMR1</t>
        </is>
      </c>
      <c r="N299" s="30" t="inlineStr">
        <is>
          <t>AMR2</t>
        </is>
      </c>
      <c r="O299" s="32" t="n">
        <v>0</v>
      </c>
      <c r="P299" s="32" t="n">
        <v>0</v>
      </c>
      <c r="Q299" s="32" t="n">
        <v>17</v>
      </c>
      <c r="R299" s="31" t="n">
        <v>41.3</v>
      </c>
      <c r="S299" s="31" t="n">
        <v>41.3</v>
      </c>
      <c r="T299" s="30" t="inlineStr">
        <is>
          <t>AMR1</t>
        </is>
      </c>
      <c r="U299" s="31" t="n">
        <v>55.6</v>
      </c>
      <c r="V299" s="31" t="n">
        <v>55.6</v>
      </c>
      <c r="W299" s="30" t="inlineStr">
        <is>
          <t>AMR2</t>
        </is>
      </c>
      <c r="X299" s="32" t="n">
        <v>0</v>
      </c>
      <c r="Y299" s="32" t="n">
        <v>0</v>
      </c>
      <c r="Z299" s="31" t="n">
        <v>0</v>
      </c>
      <c r="AA299" s="32" t="n">
        <v>0</v>
      </c>
      <c r="AB299" s="32" t="n">
        <v>2</v>
      </c>
      <c r="AC299" s="32" t="n">
        <v>1</v>
      </c>
      <c r="AD299" s="32" t="n">
        <v>0</v>
      </c>
      <c r="AE299" s="31" t="n">
        <v>0</v>
      </c>
      <c r="AF299" s="32" t="n">
        <v>0</v>
      </c>
      <c r="AG299" s="31" t="n">
        <v>0</v>
      </c>
      <c r="AH299" s="32" t="n">
        <v>48</v>
      </c>
      <c r="AI299" s="31" t="n">
        <v>53.4</v>
      </c>
      <c r="AJ299" s="31" t="n">
        <v>46.5</v>
      </c>
      <c r="AK299" s="31" t="n">
        <v>3</v>
      </c>
      <c r="AL299" s="30" t="inlineStr">
        <is>
          <t>T-0448</t>
        </is>
      </c>
      <c r="AM299" s="30" t="inlineStr">
        <is>
          <t>G-03-02</t>
        </is>
      </c>
      <c r="AN299" s="30" t="inlineStr">
        <is>
          <t>T-0268</t>
        </is>
      </c>
      <c r="AO299" s="30" t="inlineStr">
        <is>
          <t>G-05-02</t>
        </is>
      </c>
    </row>
    <row r="300">
      <c r="A300" s="30" t="inlineStr">
        <is>
          <t>O0299</t>
        </is>
      </c>
      <c r="B300" s="30" t="inlineStr">
        <is>
          <t>H</t>
        </is>
      </c>
      <c r="C300" s="31" t="n">
        <v>4467.7</v>
      </c>
      <c r="D300" s="31" t="n">
        <v>14482.7</v>
      </c>
      <c r="E300" s="31" t="n">
        <v>14482.7</v>
      </c>
      <c r="F300" s="31" t="n">
        <v>14499</v>
      </c>
      <c r="G300" s="31" t="n">
        <v>14527.6</v>
      </c>
      <c r="H300" s="31" t="n">
        <v>14533.8</v>
      </c>
      <c r="I300" s="31" t="n">
        <v>14571.6</v>
      </c>
      <c r="J300" s="31" t="n">
        <v>14599.3</v>
      </c>
      <c r="K300" s="31" t="n">
        <v>10131.6</v>
      </c>
      <c r="L300" s="31" t="n">
        <v>10015</v>
      </c>
      <c r="M300" s="30" t="inlineStr">
        <is>
          <t>AMR1</t>
        </is>
      </c>
      <c r="N300" s="30" t="inlineStr">
        <is>
          <t>AMR3</t>
        </is>
      </c>
      <c r="O300" s="32" t="n">
        <v>0</v>
      </c>
      <c r="P300" s="32" t="n">
        <v>0</v>
      </c>
      <c r="Q300" s="32" t="n">
        <v>15</v>
      </c>
      <c r="R300" s="31" t="n">
        <v>39.3</v>
      </c>
      <c r="S300" s="31" t="n">
        <v>39.3</v>
      </c>
      <c r="T300" s="30" t="inlineStr">
        <is>
          <t>AMR1</t>
        </is>
      </c>
      <c r="U300" s="31" t="n">
        <v>53.8</v>
      </c>
      <c r="V300" s="31" t="n">
        <v>53.8</v>
      </c>
      <c r="W300" s="30" t="inlineStr">
        <is>
          <t>AMR3</t>
        </is>
      </c>
      <c r="X300" s="32" t="n">
        <v>0</v>
      </c>
      <c r="Y300" s="32" t="n">
        <v>0</v>
      </c>
      <c r="Z300" s="31" t="n">
        <v>0</v>
      </c>
      <c r="AA300" s="32" t="n">
        <v>0</v>
      </c>
      <c r="AB300" s="32" t="n">
        <v>3</v>
      </c>
      <c r="AC300" s="32" t="n">
        <v>2</v>
      </c>
      <c r="AD300" s="32" t="n">
        <v>0</v>
      </c>
      <c r="AE300" s="31" t="n">
        <v>0</v>
      </c>
      <c r="AF300" s="32" t="n">
        <v>0</v>
      </c>
      <c r="AG300" s="31" t="n">
        <v>0</v>
      </c>
      <c r="AH300" s="32" t="n">
        <v>44</v>
      </c>
      <c r="AI300" s="31" t="n">
        <v>52.7</v>
      </c>
      <c r="AJ300" s="31" t="n">
        <v>47.8</v>
      </c>
      <c r="AK300" s="31" t="n">
        <v>9.9</v>
      </c>
      <c r="AL300" s="30" t="inlineStr">
        <is>
          <t>T-0449</t>
        </is>
      </c>
      <c r="AM300" s="30" t="inlineStr">
        <is>
          <t>H-03-02</t>
        </is>
      </c>
      <c r="AN300" s="30" t="inlineStr">
        <is>
          <t>T-0376</t>
        </is>
      </c>
      <c r="AO300" s="30" t="inlineStr">
        <is>
          <t>H-05-02</t>
        </is>
      </c>
    </row>
    <row r="301">
      <c r="A301" s="30" t="inlineStr">
        <is>
          <t>O0300</t>
        </is>
      </c>
      <c r="B301" s="30" t="inlineStr">
        <is>
          <t>C</t>
        </is>
      </c>
      <c r="C301" s="31" t="n">
        <v>4473.7</v>
      </c>
      <c r="D301" s="31" t="n">
        <v>14547.5</v>
      </c>
      <c r="E301" s="31" t="n">
        <v>14547.5</v>
      </c>
      <c r="F301" s="31" t="n">
        <v>14562.2</v>
      </c>
      <c r="G301" s="31" t="n">
        <v>14583.6</v>
      </c>
      <c r="H301" s="31" t="n">
        <v>14595.1</v>
      </c>
      <c r="I301" s="31" t="n">
        <v>14614.9</v>
      </c>
      <c r="J301" s="31" t="n">
        <v>14644.6</v>
      </c>
      <c r="K301" s="31" t="n">
        <v>10170.9</v>
      </c>
      <c r="L301" s="31" t="n">
        <v>10073.8</v>
      </c>
      <c r="M301" s="30" t="inlineStr">
        <is>
          <t>AMR1</t>
        </is>
      </c>
      <c r="N301" s="30" t="inlineStr">
        <is>
          <t>AMR1</t>
        </is>
      </c>
      <c r="O301" s="32" t="n">
        <v>0</v>
      </c>
      <c r="P301" s="32" t="n">
        <v>0</v>
      </c>
      <c r="Q301" s="32" t="n">
        <v>13</v>
      </c>
      <c r="R301" s="31" t="n">
        <v>36</v>
      </c>
      <c r="S301" s="31" t="n">
        <v>36</v>
      </c>
      <c r="T301" s="30" t="inlineStr">
        <is>
          <t>AMR1</t>
        </is>
      </c>
      <c r="U301" s="31" t="n">
        <v>50.7</v>
      </c>
      <c r="V301" s="31" t="n">
        <v>50.7</v>
      </c>
      <c r="W301" s="30" t="inlineStr">
        <is>
          <t>AMR1</t>
        </is>
      </c>
      <c r="X301" s="32" t="n">
        <v>0</v>
      </c>
      <c r="Y301" s="32" t="n">
        <v>0</v>
      </c>
      <c r="Z301" s="31" t="n">
        <v>0</v>
      </c>
      <c r="AA301" s="32" t="n">
        <v>0</v>
      </c>
      <c r="AB301" s="32" t="n">
        <v>0</v>
      </c>
      <c r="AC301" s="32" t="n">
        <v>0</v>
      </c>
      <c r="AD301" s="32" t="n">
        <v>0</v>
      </c>
      <c r="AE301" s="31" t="n">
        <v>0</v>
      </c>
      <c r="AF301" s="32" t="n">
        <v>0</v>
      </c>
      <c r="AG301" s="31" t="n">
        <v>0</v>
      </c>
      <c r="AH301" s="32" t="n">
        <v>38</v>
      </c>
      <c r="AI301" s="31" t="n">
        <v>41.1</v>
      </c>
      <c r="AJ301" s="31" t="n">
        <v>44.5</v>
      </c>
      <c r="AK301" s="31" t="n">
        <v>0</v>
      </c>
      <c r="AL301" s="30" t="inlineStr">
        <is>
          <t>T-0450</t>
        </is>
      </c>
      <c r="AM301" s="30" t="inlineStr">
        <is>
          <t>C-06-02</t>
        </is>
      </c>
      <c r="AN301" s="30" t="inlineStr">
        <is>
          <t>T-0318</t>
        </is>
      </c>
      <c r="AO301" s="30" t="inlineStr">
        <is>
          <t>C-01-03</t>
        </is>
      </c>
    </row>
    <row r="302">
      <c r="A302" s="30" t="inlineStr">
        <is>
          <t>O0301</t>
        </is>
      </c>
      <c r="B302" s="30" t="inlineStr">
        <is>
          <t>D</t>
        </is>
      </c>
      <c r="C302" s="31" t="n">
        <v>4479.5</v>
      </c>
      <c r="D302" s="31" t="n">
        <v>14562.1</v>
      </c>
      <c r="E302" s="31" t="n">
        <v>14562.1</v>
      </c>
      <c r="F302" s="31" t="n">
        <v>14577.3</v>
      </c>
      <c r="G302" s="31" t="n">
        <v>14599.1</v>
      </c>
      <c r="H302" s="31" t="n">
        <v>14613.9</v>
      </c>
      <c r="I302" s="31" t="n">
        <v>14644.7</v>
      </c>
      <c r="J302" s="31" t="n">
        <v>14671</v>
      </c>
      <c r="K302" s="31" t="n">
        <v>10191.5</v>
      </c>
      <c r="L302" s="31" t="n">
        <v>10082.6</v>
      </c>
      <c r="M302" s="30" t="inlineStr">
        <is>
          <t>AMR2</t>
        </is>
      </c>
      <c r="N302" s="30" t="inlineStr">
        <is>
          <t>AMR2</t>
        </is>
      </c>
      <c r="O302" s="32" t="n">
        <v>0</v>
      </c>
      <c r="P302" s="32" t="n">
        <v>0</v>
      </c>
      <c r="Q302" s="32" t="n">
        <v>13</v>
      </c>
      <c r="R302" s="31" t="n">
        <v>34.5</v>
      </c>
      <c r="S302" s="31" t="n">
        <v>34.5</v>
      </c>
      <c r="T302" s="30" t="inlineStr">
        <is>
          <t>AMR2</t>
        </is>
      </c>
      <c r="U302" s="31" t="n">
        <v>51.9</v>
      </c>
      <c r="V302" s="31" t="n">
        <v>51.9</v>
      </c>
      <c r="W302" s="30" t="inlineStr">
        <is>
          <t>AMR2</t>
        </is>
      </c>
      <c r="X302" s="32" t="n">
        <v>0</v>
      </c>
      <c r="Y302" s="32" t="n">
        <v>0</v>
      </c>
      <c r="Z302" s="31" t="n">
        <v>0</v>
      </c>
      <c r="AA302" s="32" t="n">
        <v>0</v>
      </c>
      <c r="AB302" s="32" t="n">
        <v>2</v>
      </c>
      <c r="AC302" s="32" t="n">
        <v>1</v>
      </c>
      <c r="AD302" s="32" t="n">
        <v>0</v>
      </c>
      <c r="AE302" s="31" t="n">
        <v>0</v>
      </c>
      <c r="AF302" s="32" t="n">
        <v>1</v>
      </c>
      <c r="AG302" s="31" t="n">
        <v>0.4</v>
      </c>
      <c r="AH302" s="32" t="n">
        <v>41</v>
      </c>
      <c r="AI302" s="31" t="n">
        <v>45</v>
      </c>
      <c r="AJ302" s="31" t="n">
        <v>43.7</v>
      </c>
      <c r="AK302" s="31" t="n">
        <v>5.4</v>
      </c>
      <c r="AL302" s="30" t="inlineStr">
        <is>
          <t>T-0451</t>
        </is>
      </c>
      <c r="AM302" s="30" t="inlineStr">
        <is>
          <t>D-05-01</t>
        </is>
      </c>
      <c r="AN302" s="30" t="inlineStr">
        <is>
          <t>T-0321</t>
        </is>
      </c>
      <c r="AO302" s="30" t="inlineStr">
        <is>
          <t>D-01-02</t>
        </is>
      </c>
    </row>
    <row r="303">
      <c r="A303" s="30" t="inlineStr">
        <is>
          <t>O0302</t>
        </is>
      </c>
      <c r="B303" s="30" t="inlineStr">
        <is>
          <t>H</t>
        </is>
      </c>
      <c r="C303" s="31" t="n">
        <v>4483.7</v>
      </c>
      <c r="D303" s="31" t="n">
        <v>14627</v>
      </c>
      <c r="E303" s="31" t="n">
        <v>14627</v>
      </c>
      <c r="F303" s="31" t="n">
        <v>14639.9</v>
      </c>
      <c r="G303" s="31" t="n">
        <v>14667</v>
      </c>
      <c r="H303" s="31" t="n">
        <v>14668.3</v>
      </c>
      <c r="I303" s="31" t="n">
        <v>14690.9</v>
      </c>
      <c r="J303" s="31" t="n">
        <v>14718.9</v>
      </c>
      <c r="K303" s="31" t="n">
        <v>10235.2</v>
      </c>
      <c r="L303" s="31" t="n">
        <v>10143.3</v>
      </c>
      <c r="M303" s="30" t="inlineStr">
        <is>
          <t>AMR3</t>
        </is>
      </c>
      <c r="N303" s="30" t="inlineStr">
        <is>
          <t>AMR1</t>
        </is>
      </c>
      <c r="O303" s="32" t="n">
        <v>0</v>
      </c>
      <c r="P303" s="32" t="n">
        <v>0</v>
      </c>
      <c r="Q303" s="32" t="n">
        <v>15</v>
      </c>
      <c r="R303" s="31" t="n">
        <v>36.1</v>
      </c>
      <c r="S303" s="31" t="n">
        <v>36.1</v>
      </c>
      <c r="T303" s="30" t="inlineStr">
        <is>
          <t>AMR3</t>
        </is>
      </c>
      <c r="U303" s="31" t="n">
        <v>51.8</v>
      </c>
      <c r="V303" s="31" t="n">
        <v>51.8</v>
      </c>
      <c r="W303" s="30" t="inlineStr">
        <is>
          <t>AMR1</t>
        </is>
      </c>
      <c r="X303" s="32" t="n">
        <v>0</v>
      </c>
      <c r="Y303" s="32" t="n">
        <v>0</v>
      </c>
      <c r="Z303" s="31" t="n">
        <v>0</v>
      </c>
      <c r="AA303" s="32" t="n">
        <v>0</v>
      </c>
      <c r="AB303" s="32" t="n">
        <v>1</v>
      </c>
      <c r="AC303" s="32" t="n">
        <v>0</v>
      </c>
      <c r="AD303" s="32" t="n">
        <v>1</v>
      </c>
      <c r="AE303" s="31" t="n">
        <v>3</v>
      </c>
      <c r="AF303" s="32" t="n">
        <v>0</v>
      </c>
      <c r="AG303" s="31" t="n">
        <v>0</v>
      </c>
      <c r="AH303" s="32" t="n">
        <v>41</v>
      </c>
      <c r="AI303" s="31" t="n">
        <v>45</v>
      </c>
      <c r="AJ303" s="31" t="n">
        <v>42.6</v>
      </c>
      <c r="AK303" s="31" t="n">
        <v>3</v>
      </c>
      <c r="AL303" s="30" t="inlineStr">
        <is>
          <t>T-0452</t>
        </is>
      </c>
      <c r="AM303" s="30" t="inlineStr">
        <is>
          <t>H-05-02</t>
        </is>
      </c>
      <c r="AN303" s="30" t="inlineStr">
        <is>
          <t>T-0381</t>
        </is>
      </c>
      <c r="AO303" s="30" t="inlineStr">
        <is>
          <t>H-01-01</t>
        </is>
      </c>
    </row>
    <row r="304">
      <c r="A304" s="30" t="inlineStr">
        <is>
          <t>O0303</t>
        </is>
      </c>
      <c r="B304" s="30" t="inlineStr">
        <is>
          <t>D</t>
        </is>
      </c>
      <c r="C304" s="31" t="n">
        <v>4487.9</v>
      </c>
      <c r="D304" s="31" t="n">
        <v>14681.8</v>
      </c>
      <c r="E304" s="31" t="n">
        <v>14681.8</v>
      </c>
      <c r="F304" s="31" t="n">
        <v>14697.8</v>
      </c>
      <c r="G304" s="31" t="n">
        <v>14724.6</v>
      </c>
      <c r="H304" s="31" t="n">
        <v>14742.6</v>
      </c>
      <c r="I304" s="31" t="n">
        <v>14771.3</v>
      </c>
      <c r="J304" s="31" t="n">
        <v>14805.1</v>
      </c>
      <c r="K304" s="31" t="n">
        <v>10317.2</v>
      </c>
      <c r="L304" s="31" t="n">
        <v>10193.9</v>
      </c>
      <c r="M304" s="30" t="inlineStr">
        <is>
          <t>AMR3</t>
        </is>
      </c>
      <c r="N304" s="30" t="inlineStr">
        <is>
          <t>AMR1</t>
        </is>
      </c>
      <c r="O304" s="32" t="n">
        <v>0</v>
      </c>
      <c r="P304" s="32" t="n">
        <v>0</v>
      </c>
      <c r="Q304" s="32" t="n">
        <v>13</v>
      </c>
      <c r="R304" s="31" t="n">
        <v>39.5</v>
      </c>
      <c r="S304" s="31" t="n">
        <v>39.5</v>
      </c>
      <c r="T304" s="30" t="inlineStr">
        <is>
          <t>AMR3</t>
        </is>
      </c>
      <c r="U304" s="31" t="n">
        <v>53.9</v>
      </c>
      <c r="V304" s="31" t="n">
        <v>53.9</v>
      </c>
      <c r="W304" s="30" t="inlineStr">
        <is>
          <t>AMR1</t>
        </is>
      </c>
      <c r="X304" s="32" t="n">
        <v>0</v>
      </c>
      <c r="Y304" s="32" t="n">
        <v>0</v>
      </c>
      <c r="Z304" s="31" t="n">
        <v>0</v>
      </c>
      <c r="AA304" s="32" t="n">
        <v>0</v>
      </c>
      <c r="AB304" s="32" t="n">
        <v>1</v>
      </c>
      <c r="AC304" s="32" t="n">
        <v>2</v>
      </c>
      <c r="AD304" s="32" t="n">
        <v>1</v>
      </c>
      <c r="AE304" s="31" t="n">
        <v>2</v>
      </c>
      <c r="AF304" s="32" t="n">
        <v>1</v>
      </c>
      <c r="AG304" s="31" t="n">
        <v>0.4</v>
      </c>
      <c r="AH304" s="32" t="n">
        <v>42</v>
      </c>
      <c r="AI304" s="31" t="n">
        <v>46.2</v>
      </c>
      <c r="AJ304" s="31" t="n">
        <v>50.7</v>
      </c>
      <c r="AK304" s="31" t="n">
        <v>8.4</v>
      </c>
      <c r="AL304" s="30" t="inlineStr">
        <is>
          <t>T-0453</t>
        </is>
      </c>
      <c r="AM304" s="30" t="inlineStr">
        <is>
          <t>D-06-01</t>
        </is>
      </c>
      <c r="AN304" s="30" t="inlineStr">
        <is>
          <t>T-0328</t>
        </is>
      </c>
      <c r="AO304" s="30" t="inlineStr">
        <is>
          <t>D-02-02</t>
        </is>
      </c>
    </row>
    <row r="305">
      <c r="A305" s="30" t="inlineStr">
        <is>
          <t>O0304</t>
        </is>
      </c>
      <c r="B305" s="30" t="inlineStr">
        <is>
          <t>D</t>
        </is>
      </c>
      <c r="C305" s="31" t="n">
        <v>4493</v>
      </c>
      <c r="D305" s="31" t="n">
        <v>14697.9</v>
      </c>
      <c r="E305" s="31" t="n">
        <v>14697.9</v>
      </c>
      <c r="F305" s="31" t="n">
        <v>14710.5</v>
      </c>
      <c r="G305" s="31" t="n">
        <v>14734.8</v>
      </c>
      <c r="H305" s="31" t="n">
        <v>14752.9</v>
      </c>
      <c r="I305" s="31" t="n">
        <v>14787.4</v>
      </c>
      <c r="J305" s="31" t="n">
        <v>14817.3</v>
      </c>
      <c r="K305" s="31" t="n">
        <v>10324.3</v>
      </c>
      <c r="L305" s="31" t="n">
        <v>10204.9</v>
      </c>
      <c r="M305" s="30" t="inlineStr">
        <is>
          <t>AMR2</t>
        </is>
      </c>
      <c r="N305" s="30" t="inlineStr">
        <is>
          <t>AMR3</t>
        </is>
      </c>
      <c r="O305" s="32" t="n">
        <v>0</v>
      </c>
      <c r="P305" s="32" t="n">
        <v>0</v>
      </c>
      <c r="Q305" s="32" t="n">
        <v>13</v>
      </c>
      <c r="R305" s="31" t="n">
        <v>36</v>
      </c>
      <c r="S305" s="31" t="n">
        <v>36</v>
      </c>
      <c r="T305" s="30" t="inlineStr">
        <is>
          <t>AMR2</t>
        </is>
      </c>
      <c r="U305" s="31" t="n">
        <v>47.4</v>
      </c>
      <c r="V305" s="31" t="n">
        <v>47.4</v>
      </c>
      <c r="W305" s="30" t="inlineStr">
        <is>
          <t>AMR3</t>
        </is>
      </c>
      <c r="X305" s="32" t="n">
        <v>0</v>
      </c>
      <c r="Y305" s="32" t="n">
        <v>0</v>
      </c>
      <c r="Z305" s="31" t="n">
        <v>0</v>
      </c>
      <c r="AA305" s="32" t="n">
        <v>0</v>
      </c>
      <c r="AB305" s="32" t="n">
        <v>0</v>
      </c>
      <c r="AC305" s="32" t="n">
        <v>1</v>
      </c>
      <c r="AD305" s="32" t="n">
        <v>1</v>
      </c>
      <c r="AE305" s="31" t="n">
        <v>4</v>
      </c>
      <c r="AF305" s="32" t="n">
        <v>1</v>
      </c>
      <c r="AG305" s="31" t="n">
        <v>8.199999999999999</v>
      </c>
      <c r="AH305" s="32" t="n">
        <v>39</v>
      </c>
      <c r="AI305" s="31" t="n">
        <v>43.4</v>
      </c>
      <c r="AJ305" s="31" t="n">
        <v>40.7</v>
      </c>
      <c r="AK305" s="31" t="n">
        <v>17.2</v>
      </c>
      <c r="AL305" s="30" t="inlineStr">
        <is>
          <t>T-0454</t>
        </is>
      </c>
      <c r="AM305" s="30" t="inlineStr">
        <is>
          <t>D-01-02</t>
        </is>
      </c>
      <c r="AN305" s="30" t="inlineStr">
        <is>
          <t>T-0351</t>
        </is>
      </c>
      <c r="AO305" s="30" t="inlineStr">
        <is>
          <t>D-02-01</t>
        </is>
      </c>
    </row>
    <row r="306">
      <c r="A306" s="30" t="inlineStr">
        <is>
          <t>O0305</t>
        </is>
      </c>
      <c r="B306" s="30" t="inlineStr">
        <is>
          <t>F</t>
        </is>
      </c>
      <c r="C306" s="31" t="n">
        <v>4496.7</v>
      </c>
      <c r="D306" s="31" t="n">
        <v>14756.3</v>
      </c>
      <c r="E306" s="31" t="n">
        <v>14756.3</v>
      </c>
      <c r="F306" s="31" t="n">
        <v>14767.2</v>
      </c>
      <c r="G306" s="31" t="n">
        <v>14796.5</v>
      </c>
      <c r="H306" s="31" t="n">
        <v>14817.4</v>
      </c>
      <c r="I306" s="31" t="n">
        <v>14848.5</v>
      </c>
      <c r="J306" s="31" t="n">
        <v>14883.1</v>
      </c>
      <c r="K306" s="31" t="n">
        <v>10386.4</v>
      </c>
      <c r="L306" s="31" t="n">
        <v>10259.6</v>
      </c>
      <c r="M306" s="30" t="inlineStr">
        <is>
          <t>AMR2</t>
        </is>
      </c>
      <c r="N306" s="30" t="inlineStr">
        <is>
          <t>AMR2</t>
        </is>
      </c>
      <c r="O306" s="32" t="n">
        <v>0</v>
      </c>
      <c r="P306" s="32" t="n">
        <v>0</v>
      </c>
      <c r="Q306" s="32" t="n">
        <v>23</v>
      </c>
      <c r="R306" s="31" t="n">
        <v>40.1</v>
      </c>
      <c r="S306" s="31" t="n">
        <v>40.1</v>
      </c>
      <c r="T306" s="30" t="inlineStr">
        <is>
          <t>AMR2</t>
        </is>
      </c>
      <c r="U306" s="31" t="n">
        <v>62.4</v>
      </c>
      <c r="V306" s="31" t="n">
        <v>62.4</v>
      </c>
      <c r="W306" s="30" t="inlineStr">
        <is>
          <t>AMR2</t>
        </is>
      </c>
      <c r="X306" s="32" t="n">
        <v>0</v>
      </c>
      <c r="Y306" s="32" t="n">
        <v>0</v>
      </c>
      <c r="Z306" s="31" t="n">
        <v>0</v>
      </c>
      <c r="AA306" s="32" t="n">
        <v>0</v>
      </c>
      <c r="AB306" s="32" t="n">
        <v>0</v>
      </c>
      <c r="AC306" s="32" t="n">
        <v>0</v>
      </c>
      <c r="AD306" s="32" t="n">
        <v>0</v>
      </c>
      <c r="AE306" s="31" t="n">
        <v>0</v>
      </c>
      <c r="AF306" s="32" t="n">
        <v>0</v>
      </c>
      <c r="AG306" s="31" t="n">
        <v>0</v>
      </c>
      <c r="AH306" s="32" t="n">
        <v>68</v>
      </c>
      <c r="AI306" s="31" t="n">
        <v>68.59999999999999</v>
      </c>
      <c r="AJ306" s="31" t="n">
        <v>37.3</v>
      </c>
      <c r="AK306" s="31" t="n">
        <v>0</v>
      </c>
      <c r="AL306" s="30" t="inlineStr">
        <is>
          <t>T-0455</t>
        </is>
      </c>
      <c r="AM306" s="30" t="inlineStr">
        <is>
          <t>F-06-02</t>
        </is>
      </c>
      <c r="AN306" s="30" t="inlineStr">
        <is>
          <t>T-0278</t>
        </is>
      </c>
      <c r="AO306" s="30" t="inlineStr">
        <is>
          <t>F-01-02</t>
        </is>
      </c>
    </row>
    <row r="307">
      <c r="A307" s="30" t="inlineStr">
        <is>
          <t>O0306</t>
        </is>
      </c>
      <c r="B307" s="30" t="inlineStr">
        <is>
          <t>D</t>
        </is>
      </c>
      <c r="C307" s="31" t="n">
        <v>4502.4</v>
      </c>
      <c r="D307" s="31" t="n">
        <v>14828.8</v>
      </c>
      <c r="E307" s="31" t="n">
        <v>14828.8</v>
      </c>
      <c r="F307" s="31" t="n">
        <v>14843.5</v>
      </c>
      <c r="G307" s="31" t="n">
        <v>14863.5</v>
      </c>
      <c r="H307" s="31" t="n">
        <v>14876.3</v>
      </c>
      <c r="I307" s="31" t="n">
        <v>14898.1</v>
      </c>
      <c r="J307" s="31" t="n">
        <v>14925.2</v>
      </c>
      <c r="K307" s="31" t="n">
        <v>10422.8</v>
      </c>
      <c r="L307" s="31" t="n">
        <v>10326.4</v>
      </c>
      <c r="M307" s="30" t="inlineStr">
        <is>
          <t>AMR1</t>
        </is>
      </c>
      <c r="N307" s="30" t="inlineStr">
        <is>
          <t>AMR1</t>
        </is>
      </c>
      <c r="O307" s="32" t="n">
        <v>0</v>
      </c>
      <c r="P307" s="32" t="n">
        <v>0</v>
      </c>
      <c r="Q307" s="32" t="n">
        <v>13</v>
      </c>
      <c r="R307" s="31" t="n">
        <v>33.8</v>
      </c>
      <c r="S307" s="31" t="n">
        <v>33.8</v>
      </c>
      <c r="T307" s="30" t="inlineStr">
        <is>
          <t>AMR1</t>
        </is>
      </c>
      <c r="U307" s="31" t="n">
        <v>47.1</v>
      </c>
      <c r="V307" s="31" t="n">
        <v>47.1</v>
      </c>
      <c r="W307" s="30" t="inlineStr">
        <is>
          <t>AMR1</t>
        </is>
      </c>
      <c r="X307" s="32" t="n">
        <v>0</v>
      </c>
      <c r="Y307" s="32" t="n">
        <v>0</v>
      </c>
      <c r="Z307" s="31" t="n">
        <v>0</v>
      </c>
      <c r="AA307" s="32" t="n">
        <v>0</v>
      </c>
      <c r="AB307" s="32" t="n">
        <v>0</v>
      </c>
      <c r="AC307" s="32" t="n">
        <v>0</v>
      </c>
      <c r="AD307" s="32" t="n">
        <v>0</v>
      </c>
      <c r="AE307" s="31" t="n">
        <v>0</v>
      </c>
      <c r="AF307" s="32" t="n">
        <v>0</v>
      </c>
      <c r="AG307" s="31" t="n">
        <v>0</v>
      </c>
      <c r="AH307" s="32" t="n">
        <v>41</v>
      </c>
      <c r="AI307" s="31" t="n">
        <v>45.4</v>
      </c>
      <c r="AJ307" s="31" t="n">
        <v>38.2</v>
      </c>
      <c r="AK307" s="31" t="n">
        <v>0</v>
      </c>
      <c r="AL307" s="30" t="inlineStr">
        <is>
          <t>T-0456</t>
        </is>
      </c>
      <c r="AM307" s="30" t="inlineStr">
        <is>
          <t>D-02-01</t>
        </is>
      </c>
      <c r="AN307" s="30" t="inlineStr">
        <is>
          <t>T-0362</t>
        </is>
      </c>
      <c r="AO307" s="30" t="inlineStr">
        <is>
          <t>D-03-02</t>
        </is>
      </c>
    </row>
    <row r="308">
      <c r="A308" s="30" t="inlineStr">
        <is>
          <t>O0307</t>
        </is>
      </c>
      <c r="B308" s="30" t="inlineStr">
        <is>
          <t>H</t>
        </is>
      </c>
      <c r="C308" s="31" t="n">
        <v>4507.3</v>
      </c>
      <c r="D308" s="31" t="n">
        <v>14843.5</v>
      </c>
      <c r="E308" s="31" t="n">
        <v>14843.5</v>
      </c>
      <c r="F308" s="31" t="n">
        <v>14858.4</v>
      </c>
      <c r="G308" s="31" t="n">
        <v>14885.5</v>
      </c>
      <c r="H308" s="31" t="n">
        <v>14899.7</v>
      </c>
      <c r="I308" s="31" t="n">
        <v>14922.1</v>
      </c>
      <c r="J308" s="31" t="n">
        <v>14948.7</v>
      </c>
      <c r="K308" s="31" t="n">
        <v>10441.4</v>
      </c>
      <c r="L308" s="31" t="n">
        <v>10336.2</v>
      </c>
      <c r="M308" s="30" t="inlineStr">
        <is>
          <t>AMR3</t>
        </is>
      </c>
      <c r="N308" s="30" t="inlineStr">
        <is>
          <t>AMR3</t>
        </is>
      </c>
      <c r="O308" s="32" t="n">
        <v>0</v>
      </c>
      <c r="P308" s="32" t="n">
        <v>0</v>
      </c>
      <c r="Q308" s="32" t="n">
        <v>15</v>
      </c>
      <c r="R308" s="31" t="n">
        <v>41.1</v>
      </c>
      <c r="S308" s="31" t="n">
        <v>41.1</v>
      </c>
      <c r="T308" s="30" t="inlineStr">
        <is>
          <t>AMR3</t>
        </is>
      </c>
      <c r="U308" s="31" t="n">
        <v>51.7</v>
      </c>
      <c r="V308" s="31" t="n">
        <v>51.7</v>
      </c>
      <c r="W308" s="30" t="inlineStr">
        <is>
          <t>AMR3</t>
        </is>
      </c>
      <c r="X308" s="32" t="n">
        <v>0</v>
      </c>
      <c r="Y308" s="32" t="n">
        <v>0</v>
      </c>
      <c r="Z308" s="31" t="n">
        <v>0</v>
      </c>
      <c r="AA308" s="32" t="n">
        <v>0</v>
      </c>
      <c r="AB308" s="32" t="n">
        <v>0</v>
      </c>
      <c r="AC308" s="32" t="n">
        <v>0</v>
      </c>
      <c r="AD308" s="32" t="n">
        <v>0</v>
      </c>
      <c r="AE308" s="31" t="n">
        <v>0</v>
      </c>
      <c r="AF308" s="32" t="n">
        <v>0</v>
      </c>
      <c r="AG308" s="31" t="n">
        <v>0</v>
      </c>
      <c r="AH308" s="32" t="n">
        <v>39</v>
      </c>
      <c r="AI308" s="31" t="n">
        <v>43.5</v>
      </c>
      <c r="AJ308" s="31" t="n">
        <v>47.5</v>
      </c>
      <c r="AK308" s="31" t="n">
        <v>0</v>
      </c>
      <c r="AL308" s="30" t="inlineStr">
        <is>
          <t>T-0457</t>
        </is>
      </c>
      <c r="AM308" s="30" t="inlineStr">
        <is>
          <t>H-01-01</t>
        </is>
      </c>
      <c r="AN308" s="30" t="inlineStr">
        <is>
          <t>T-0382</t>
        </is>
      </c>
      <c r="AO308" s="30" t="inlineStr">
        <is>
          <t>H-06-02</t>
        </is>
      </c>
    </row>
    <row r="309">
      <c r="A309" s="30" t="inlineStr">
        <is>
          <t>O0308</t>
        </is>
      </c>
      <c r="B309" s="30" t="inlineStr">
        <is>
          <t>E</t>
        </is>
      </c>
      <c r="C309" s="31" t="n">
        <v>4510.3</v>
      </c>
      <c r="D309" s="31" t="n">
        <v>14906.8</v>
      </c>
      <c r="E309" s="31" t="n">
        <v>14906.8</v>
      </c>
      <c r="F309" s="31" t="n">
        <v>14920.8</v>
      </c>
      <c r="G309" s="31" t="n">
        <v>14947.9</v>
      </c>
      <c r="H309" s="31" t="n">
        <v>14948.9</v>
      </c>
      <c r="I309" s="31" t="n">
        <v>14978.5</v>
      </c>
      <c r="J309" s="31" t="n">
        <v>15011.5</v>
      </c>
      <c r="K309" s="31" t="n">
        <v>10501.2</v>
      </c>
      <c r="L309" s="31" t="n">
        <v>10396.5</v>
      </c>
      <c r="M309" s="30" t="inlineStr">
        <is>
          <t>AMR2</t>
        </is>
      </c>
      <c r="N309" s="30" t="inlineStr">
        <is>
          <t>AMR1</t>
        </is>
      </c>
      <c r="O309" s="32" t="n">
        <v>0</v>
      </c>
      <c r="P309" s="32" t="n">
        <v>0</v>
      </c>
      <c r="Q309" s="32" t="n">
        <v>19</v>
      </c>
      <c r="R309" s="31" t="n">
        <v>38.6</v>
      </c>
      <c r="S309" s="31" t="n">
        <v>38.6</v>
      </c>
      <c r="T309" s="30" t="inlineStr">
        <is>
          <t>AMR2</t>
        </is>
      </c>
      <c r="U309" s="31" t="n">
        <v>62.8</v>
      </c>
      <c r="V309" s="31" t="n">
        <v>62.8</v>
      </c>
      <c r="W309" s="30" t="inlineStr">
        <is>
          <t>AMR1</t>
        </is>
      </c>
      <c r="X309" s="32" t="n">
        <v>0</v>
      </c>
      <c r="Y309" s="32" t="n">
        <v>0</v>
      </c>
      <c r="Z309" s="31" t="n">
        <v>0</v>
      </c>
      <c r="AA309" s="32" t="n">
        <v>0</v>
      </c>
      <c r="AB309" s="32" t="n">
        <v>0</v>
      </c>
      <c r="AC309" s="32" t="n">
        <v>0</v>
      </c>
      <c r="AD309" s="32" t="n">
        <v>0</v>
      </c>
      <c r="AE309" s="31" t="n">
        <v>0</v>
      </c>
      <c r="AF309" s="32" t="n">
        <v>0</v>
      </c>
      <c r="AG309" s="31" t="n">
        <v>0</v>
      </c>
      <c r="AH309" s="32" t="n">
        <v>59</v>
      </c>
      <c r="AI309" s="31" t="n">
        <v>59.8</v>
      </c>
      <c r="AJ309" s="31" t="n">
        <v>43.9</v>
      </c>
      <c r="AK309" s="31" t="n">
        <v>0</v>
      </c>
      <c r="AL309" s="30" t="inlineStr">
        <is>
          <t>T-0458</t>
        </is>
      </c>
      <c r="AM309" s="30" t="inlineStr">
        <is>
          <t>E-05-01</t>
        </is>
      </c>
      <c r="AN309" s="30" t="inlineStr">
        <is>
          <t>T-0210</t>
        </is>
      </c>
      <c r="AO309" s="30" t="inlineStr">
        <is>
          <t>E-02-02</t>
        </is>
      </c>
    </row>
    <row r="310">
      <c r="A310" s="30" t="inlineStr">
        <is>
          <t>O0309</t>
        </is>
      </c>
      <c r="B310" s="30" t="inlineStr">
        <is>
          <t>H</t>
        </is>
      </c>
      <c r="C310" s="31" t="n">
        <v>4515.5</v>
      </c>
      <c r="D310" s="31" t="n">
        <v>14968.1</v>
      </c>
      <c r="E310" s="31" t="n">
        <v>14968.1</v>
      </c>
      <c r="F310" s="31" t="n">
        <v>14980.6</v>
      </c>
      <c r="G310" s="31" t="n">
        <v>15008.2</v>
      </c>
      <c r="H310" s="31" t="n">
        <v>15021.7</v>
      </c>
      <c r="I310" s="31" t="n">
        <v>15049.2</v>
      </c>
      <c r="J310" s="31" t="n">
        <v>15077.5</v>
      </c>
      <c r="K310" s="31" t="n">
        <v>10562</v>
      </c>
      <c r="L310" s="31" t="n">
        <v>10452.6</v>
      </c>
      <c r="M310" s="30" t="inlineStr">
        <is>
          <t>AMR2</t>
        </is>
      </c>
      <c r="N310" s="30" t="inlineStr">
        <is>
          <t>AMR2</t>
        </is>
      </c>
      <c r="O310" s="32" t="n">
        <v>0</v>
      </c>
      <c r="P310" s="32" t="n">
        <v>0</v>
      </c>
      <c r="Q310" s="32" t="n">
        <v>15</v>
      </c>
      <c r="R310" s="31" t="n">
        <v>38.1</v>
      </c>
      <c r="S310" s="31" t="n">
        <v>38.1</v>
      </c>
      <c r="T310" s="30" t="inlineStr">
        <is>
          <t>AMR2</t>
        </is>
      </c>
      <c r="U310" s="31" t="n">
        <v>57</v>
      </c>
      <c r="V310" s="31" t="n">
        <v>57</v>
      </c>
      <c r="W310" s="30" t="inlineStr">
        <is>
          <t>AMR2</t>
        </is>
      </c>
      <c r="X310" s="32" t="n">
        <v>0</v>
      </c>
      <c r="Y310" s="32" t="n">
        <v>0</v>
      </c>
      <c r="Z310" s="31" t="n">
        <v>0</v>
      </c>
      <c r="AA310" s="32" t="n">
        <v>0</v>
      </c>
      <c r="AB310" s="32" t="n">
        <v>0</v>
      </c>
      <c r="AC310" s="32" t="n">
        <v>0</v>
      </c>
      <c r="AD310" s="32" t="n">
        <v>1</v>
      </c>
      <c r="AE310" s="31" t="n">
        <v>1.9</v>
      </c>
      <c r="AF310" s="32" t="n">
        <v>0</v>
      </c>
      <c r="AG310" s="31" t="n">
        <v>0</v>
      </c>
      <c r="AH310" s="32" t="n">
        <v>40</v>
      </c>
      <c r="AI310" s="31" t="n">
        <v>44.2</v>
      </c>
      <c r="AJ310" s="31" t="n">
        <v>49.8</v>
      </c>
      <c r="AK310" s="31" t="n">
        <v>1.9</v>
      </c>
      <c r="AL310" s="30" t="inlineStr">
        <is>
          <t>T-0459</t>
        </is>
      </c>
      <c r="AM310" s="30" t="inlineStr">
        <is>
          <t>H-06-02</t>
        </is>
      </c>
      <c r="AN310" s="30" t="inlineStr">
        <is>
          <t>T-0385</t>
        </is>
      </c>
      <c r="AO310" s="30" t="inlineStr">
        <is>
          <t>H-01-03</t>
        </is>
      </c>
    </row>
    <row r="311">
      <c r="A311" s="30" t="inlineStr">
        <is>
          <t>O0310</t>
        </is>
      </c>
      <c r="B311" s="30" t="inlineStr">
        <is>
          <t>J</t>
        </is>
      </c>
      <c r="C311" s="31" t="n">
        <v>4519.7</v>
      </c>
      <c r="D311" s="31" t="n">
        <v>14980.6</v>
      </c>
      <c r="E311" s="31" t="n">
        <v>14980.6</v>
      </c>
      <c r="F311" s="31" t="n">
        <v>14994.5</v>
      </c>
      <c r="G311" s="31" t="n">
        <v>15026.3</v>
      </c>
      <c r="H311" s="31" t="n">
        <v>15035.2</v>
      </c>
      <c r="I311" s="31" t="n">
        <v>15066.1</v>
      </c>
      <c r="J311" s="31" t="n">
        <v>15105.3</v>
      </c>
      <c r="K311" s="31" t="n">
        <v>10585.6</v>
      </c>
      <c r="L311" s="31" t="n">
        <v>10460.9</v>
      </c>
      <c r="M311" s="30" t="inlineStr">
        <is>
          <t>AMR3</t>
        </is>
      </c>
      <c r="N311" s="30" t="inlineStr">
        <is>
          <t>AMR1</t>
        </is>
      </c>
      <c r="O311" s="32" t="n">
        <v>0</v>
      </c>
      <c r="P311" s="32" t="n">
        <v>0</v>
      </c>
      <c r="Q311" s="32" t="n">
        <v>21</v>
      </c>
      <c r="R311" s="31" t="n">
        <v>44.8</v>
      </c>
      <c r="S311" s="31" t="n">
        <v>44.8</v>
      </c>
      <c r="T311" s="30" t="inlineStr">
        <is>
          <t>AMR3</t>
        </is>
      </c>
      <c r="U311" s="31" t="n">
        <v>61.9</v>
      </c>
      <c r="V311" s="31" t="n">
        <v>61.9</v>
      </c>
      <c r="W311" s="30" t="inlineStr">
        <is>
          <t>AMR1</t>
        </is>
      </c>
      <c r="X311" s="32" t="n">
        <v>0</v>
      </c>
      <c r="Y311" s="32" t="n">
        <v>0</v>
      </c>
      <c r="Z311" s="31" t="n">
        <v>0</v>
      </c>
      <c r="AA311" s="32" t="n">
        <v>0</v>
      </c>
      <c r="AB311" s="32" t="n">
        <v>1</v>
      </c>
      <c r="AC311" s="32" t="n">
        <v>1</v>
      </c>
      <c r="AD311" s="32" t="n">
        <v>0</v>
      </c>
      <c r="AE311" s="31" t="n">
        <v>0</v>
      </c>
      <c r="AF311" s="32" t="n">
        <v>0</v>
      </c>
      <c r="AG311" s="31" t="n">
        <v>0</v>
      </c>
      <c r="AH311" s="32" t="n">
        <v>63</v>
      </c>
      <c r="AI311" s="31" t="n">
        <v>66.7</v>
      </c>
      <c r="AJ311" s="31" t="n">
        <v>46.1</v>
      </c>
      <c r="AK311" s="31" t="n">
        <v>3</v>
      </c>
      <c r="AL311" s="30" t="inlineStr">
        <is>
          <t>T-0460</t>
        </is>
      </c>
      <c r="AM311" s="30" t="inlineStr">
        <is>
          <t>J-02-02</t>
        </is>
      </c>
      <c r="AN311" s="30" t="inlineStr">
        <is>
          <t>T-0246</t>
        </is>
      </c>
      <c r="AO311" s="30" t="inlineStr">
        <is>
          <t>J-03-02</t>
        </is>
      </c>
    </row>
    <row r="312">
      <c r="A312" s="30" t="inlineStr">
        <is>
          <t>O0311</t>
        </is>
      </c>
      <c r="B312" s="30" t="inlineStr">
        <is>
          <t>I</t>
        </is>
      </c>
      <c r="C312" s="31" t="n">
        <v>4524.5</v>
      </c>
      <c r="D312" s="31" t="n">
        <v>15046.5</v>
      </c>
      <c r="E312" s="31" t="n">
        <v>15046.5</v>
      </c>
      <c r="F312" s="31" t="n">
        <v>15059.4</v>
      </c>
      <c r="G312" s="31" t="n">
        <v>15089.4</v>
      </c>
      <c r="H312" s="31" t="n">
        <v>15101.2</v>
      </c>
      <c r="I312" s="31" t="n">
        <v>15128.5</v>
      </c>
      <c r="J312" s="31" t="n">
        <v>15156.7</v>
      </c>
      <c r="K312" s="31" t="n">
        <v>10632.2</v>
      </c>
      <c r="L312" s="31" t="n">
        <v>10522</v>
      </c>
      <c r="M312" s="30" t="inlineStr">
        <is>
          <t>AMR3</t>
        </is>
      </c>
      <c r="N312" s="30" t="inlineStr">
        <is>
          <t>AMR2</t>
        </is>
      </c>
      <c r="O312" s="32" t="n">
        <v>0</v>
      </c>
      <c r="P312" s="32" t="n">
        <v>0</v>
      </c>
      <c r="Q312" s="32" t="n">
        <v>15</v>
      </c>
      <c r="R312" s="31" t="n">
        <v>35.2</v>
      </c>
      <c r="S312" s="31" t="n">
        <v>35.2</v>
      </c>
      <c r="T312" s="30" t="inlineStr">
        <is>
          <t>AMR3</t>
        </is>
      </c>
      <c r="U312" s="31" t="n">
        <v>50.7</v>
      </c>
      <c r="V312" s="31" t="n">
        <v>50.7</v>
      </c>
      <c r="W312" s="30" t="inlineStr">
        <is>
          <t>AMR2</t>
        </is>
      </c>
      <c r="X312" s="32" t="n">
        <v>0</v>
      </c>
      <c r="Y312" s="32" t="n">
        <v>0</v>
      </c>
      <c r="Z312" s="31" t="n">
        <v>0</v>
      </c>
      <c r="AA312" s="32" t="n">
        <v>0</v>
      </c>
      <c r="AB312" s="32" t="n">
        <v>2</v>
      </c>
      <c r="AC312" s="32" t="n">
        <v>1</v>
      </c>
      <c r="AD312" s="32" t="n">
        <v>0</v>
      </c>
      <c r="AE312" s="31" t="n">
        <v>0</v>
      </c>
      <c r="AF312" s="32" t="n">
        <v>1</v>
      </c>
      <c r="AG312" s="31" t="n">
        <v>0.2</v>
      </c>
      <c r="AH312" s="32" t="n">
        <v>49</v>
      </c>
      <c r="AI312" s="31" t="n">
        <v>53.1</v>
      </c>
      <c r="AJ312" s="31" t="n">
        <v>40.1</v>
      </c>
      <c r="AK312" s="31" t="n">
        <v>5.2</v>
      </c>
      <c r="AL312" s="30" t="inlineStr">
        <is>
          <t>T-0461</t>
        </is>
      </c>
      <c r="AM312" s="30" t="inlineStr">
        <is>
          <t>I-04-01</t>
        </is>
      </c>
      <c r="AN312" s="30" t="inlineStr">
        <is>
          <t>T-0390</t>
        </is>
      </c>
      <c r="AO312" s="30" t="inlineStr">
        <is>
          <t>I-06-01</t>
        </is>
      </c>
    </row>
    <row r="313">
      <c r="A313" s="30" t="inlineStr">
        <is>
          <t>O0312</t>
        </is>
      </c>
      <c r="B313" s="30" t="inlineStr">
        <is>
          <t>H</t>
        </is>
      </c>
      <c r="C313" s="31" t="n">
        <v>4528</v>
      </c>
      <c r="D313" s="31" t="n">
        <v>15108.4</v>
      </c>
      <c r="E313" s="31" t="n">
        <v>15108.4</v>
      </c>
      <c r="F313" s="31" t="n">
        <v>15124.3</v>
      </c>
      <c r="G313" s="31" t="n">
        <v>15151.5</v>
      </c>
      <c r="H313" s="31" t="n">
        <v>15165.7</v>
      </c>
      <c r="I313" s="31" t="n">
        <v>15189.8</v>
      </c>
      <c r="J313" s="31" t="n">
        <v>15214.3</v>
      </c>
      <c r="K313" s="31" t="n">
        <v>10686.3</v>
      </c>
      <c r="L313" s="31" t="n">
        <v>10580.4</v>
      </c>
      <c r="M313" s="30" t="inlineStr">
        <is>
          <t>AMR3</t>
        </is>
      </c>
      <c r="N313" s="30" t="inlineStr">
        <is>
          <t>AMR3</t>
        </is>
      </c>
      <c r="O313" s="32" t="n">
        <v>0</v>
      </c>
      <c r="P313" s="32" t="n">
        <v>0</v>
      </c>
      <c r="Q313" s="32" t="n">
        <v>15</v>
      </c>
      <c r="R313" s="31" t="n">
        <v>42.2</v>
      </c>
      <c r="S313" s="31" t="n">
        <v>42.2</v>
      </c>
      <c r="T313" s="30" t="inlineStr">
        <is>
          <t>AMR3</t>
        </is>
      </c>
      <c r="U313" s="31" t="n">
        <v>51.3</v>
      </c>
      <c r="V313" s="31" t="n">
        <v>51.3</v>
      </c>
      <c r="W313" s="30" t="inlineStr">
        <is>
          <t>AMR3</t>
        </is>
      </c>
      <c r="X313" s="32" t="n">
        <v>0</v>
      </c>
      <c r="Y313" s="32" t="n">
        <v>0</v>
      </c>
      <c r="Z313" s="31" t="n">
        <v>0</v>
      </c>
      <c r="AA313" s="32" t="n">
        <v>0</v>
      </c>
      <c r="AB313" s="32" t="n">
        <v>0</v>
      </c>
      <c r="AC313" s="32" t="n">
        <v>0</v>
      </c>
      <c r="AD313" s="32" t="n">
        <v>0</v>
      </c>
      <c r="AE313" s="31" t="n">
        <v>0</v>
      </c>
      <c r="AF313" s="32" t="n">
        <v>0</v>
      </c>
      <c r="AG313" s="31" t="n">
        <v>0</v>
      </c>
      <c r="AH313" s="32" t="n">
        <v>39</v>
      </c>
      <c r="AI313" s="31" t="n">
        <v>43.5</v>
      </c>
      <c r="AJ313" s="31" t="n">
        <v>48.2</v>
      </c>
      <c r="AK313" s="31" t="n">
        <v>0</v>
      </c>
      <c r="AL313" s="30" t="inlineStr">
        <is>
          <t>T-0462</t>
        </is>
      </c>
      <c r="AM313" s="30" t="inlineStr">
        <is>
          <t>H-01-03</t>
        </is>
      </c>
      <c r="AN313" s="30" t="inlineStr">
        <is>
          <t>T-0386</t>
        </is>
      </c>
      <c r="AO313" s="30" t="inlineStr">
        <is>
          <t>H-06-01</t>
        </is>
      </c>
    </row>
    <row r="314">
      <c r="A314" s="30" t="inlineStr">
        <is>
          <t>O0313</t>
        </is>
      </c>
      <c r="B314" s="30" t="inlineStr">
        <is>
          <t>A</t>
        </is>
      </c>
      <c r="C314" s="31" t="n">
        <v>4532.1</v>
      </c>
      <c r="D314" s="31" t="n">
        <v>15130.7</v>
      </c>
      <c r="E314" s="31" t="n">
        <v>15130.7</v>
      </c>
      <c r="F314" s="31" t="n">
        <v>15145.4</v>
      </c>
      <c r="G314" s="31" t="n">
        <v>15172.4</v>
      </c>
      <c r="H314" s="31" t="n">
        <v>15180.4</v>
      </c>
      <c r="I314" s="31" t="n">
        <v>15205.8</v>
      </c>
      <c r="J314" s="31" t="n">
        <v>15244.2</v>
      </c>
      <c r="K314" s="31" t="n">
        <v>10712.1</v>
      </c>
      <c r="L314" s="31" t="n">
        <v>10598.6</v>
      </c>
      <c r="M314" s="30" t="inlineStr">
        <is>
          <t>AMR1</t>
        </is>
      </c>
      <c r="N314" s="30" t="inlineStr">
        <is>
          <t>AMR2</t>
        </is>
      </c>
      <c r="O314" s="32" t="n">
        <v>0</v>
      </c>
      <c r="P314" s="32" t="n">
        <v>0</v>
      </c>
      <c r="Q314" s="32" t="n">
        <v>21</v>
      </c>
      <c r="R314" s="31" t="n">
        <v>40</v>
      </c>
      <c r="S314" s="31" t="n">
        <v>40</v>
      </c>
      <c r="T314" s="30" t="inlineStr">
        <is>
          <t>AMR1</t>
        </is>
      </c>
      <c r="U314" s="31" t="n">
        <v>64.5</v>
      </c>
      <c r="V314" s="31" t="n">
        <v>64.5</v>
      </c>
      <c r="W314" s="30" t="inlineStr">
        <is>
          <t>AMR2</t>
        </is>
      </c>
      <c r="X314" s="32" t="n">
        <v>0</v>
      </c>
      <c r="Y314" s="32" t="n">
        <v>0</v>
      </c>
      <c r="Z314" s="31" t="n">
        <v>0</v>
      </c>
      <c r="AA314" s="32" t="n">
        <v>0</v>
      </c>
      <c r="AB314" s="32" t="n">
        <v>0</v>
      </c>
      <c r="AC314" s="32" t="n">
        <v>0</v>
      </c>
      <c r="AD314" s="32" t="n">
        <v>0</v>
      </c>
      <c r="AE314" s="31" t="n">
        <v>0</v>
      </c>
      <c r="AF314" s="32" t="n">
        <v>0</v>
      </c>
      <c r="AG314" s="31" t="n">
        <v>0</v>
      </c>
      <c r="AH314" s="32" t="n">
        <v>64</v>
      </c>
      <c r="AI314" s="31" t="n">
        <v>63.1</v>
      </c>
      <c r="AJ314" s="31" t="n">
        <v>42.4</v>
      </c>
      <c r="AK314" s="31" t="n">
        <v>0</v>
      </c>
      <c r="AL314" s="30" t="inlineStr">
        <is>
          <t>T-0463</t>
        </is>
      </c>
      <c r="AM314" s="30" t="inlineStr">
        <is>
          <t>A-03-02</t>
        </is>
      </c>
      <c r="AN314" s="30" t="inlineStr">
        <is>
          <t>T-0215</t>
        </is>
      </c>
      <c r="AO314" s="30" t="inlineStr">
        <is>
          <t>A-04-01</t>
        </is>
      </c>
    </row>
    <row r="315">
      <c r="A315" s="30" t="inlineStr">
        <is>
          <t>O0314</t>
        </is>
      </c>
      <c r="B315" s="30" t="inlineStr">
        <is>
          <t>C</t>
        </is>
      </c>
      <c r="C315" s="31" t="n">
        <v>4536.3</v>
      </c>
      <c r="D315" s="31" t="n">
        <v>15193.3</v>
      </c>
      <c r="E315" s="31" t="n">
        <v>15193.3</v>
      </c>
      <c r="F315" s="31" t="n">
        <v>15209.7</v>
      </c>
      <c r="G315" s="31" t="n">
        <v>15231</v>
      </c>
      <c r="H315" s="31" t="n">
        <v>15238</v>
      </c>
      <c r="I315" s="31" t="n">
        <v>15261.5</v>
      </c>
      <c r="J315" s="31" t="n">
        <v>15291.3</v>
      </c>
      <c r="K315" s="31" t="n">
        <v>10755</v>
      </c>
      <c r="L315" s="31" t="n">
        <v>10657</v>
      </c>
      <c r="M315" s="30" t="inlineStr">
        <is>
          <t>AMR1</t>
        </is>
      </c>
      <c r="N315" s="30" t="inlineStr">
        <is>
          <t>AMR3</t>
        </is>
      </c>
      <c r="O315" s="32" t="n">
        <v>0</v>
      </c>
      <c r="P315" s="32" t="n">
        <v>0</v>
      </c>
      <c r="Q315" s="32" t="n">
        <v>13</v>
      </c>
      <c r="R315" s="31" t="n">
        <v>36.8</v>
      </c>
      <c r="S315" s="31" t="n">
        <v>36.8</v>
      </c>
      <c r="T315" s="30" t="inlineStr">
        <is>
          <t>AMR1</t>
        </is>
      </c>
      <c r="U315" s="31" t="n">
        <v>53</v>
      </c>
      <c r="V315" s="31" t="n">
        <v>53</v>
      </c>
      <c r="W315" s="30" t="inlineStr">
        <is>
          <t>AMR3</t>
        </is>
      </c>
      <c r="X315" s="32" t="n">
        <v>0</v>
      </c>
      <c r="Y315" s="32" t="n">
        <v>0</v>
      </c>
      <c r="Z315" s="31" t="n">
        <v>0</v>
      </c>
      <c r="AA315" s="32" t="n">
        <v>0</v>
      </c>
      <c r="AB315" s="32" t="n">
        <v>0</v>
      </c>
      <c r="AC315" s="32" t="n">
        <v>0</v>
      </c>
      <c r="AD315" s="32" t="n">
        <v>0</v>
      </c>
      <c r="AE315" s="31" t="n">
        <v>0</v>
      </c>
      <c r="AF315" s="32" t="n">
        <v>0</v>
      </c>
      <c r="AG315" s="31" t="n">
        <v>0</v>
      </c>
      <c r="AH315" s="32" t="n">
        <v>39</v>
      </c>
      <c r="AI315" s="31" t="n">
        <v>43.4</v>
      </c>
      <c r="AJ315" s="31" t="n">
        <v>47.6</v>
      </c>
      <c r="AK315" s="31" t="n">
        <v>0</v>
      </c>
      <c r="AL315" s="30" t="inlineStr">
        <is>
          <t>T-0464</t>
        </is>
      </c>
      <c r="AM315" s="30" t="inlineStr">
        <is>
          <t>C-01-03</t>
        </is>
      </c>
      <c r="AN315" s="30" t="inlineStr">
        <is>
          <t>T-0333</t>
        </is>
      </c>
      <c r="AO315" s="30" t="inlineStr">
        <is>
          <t>C-04-03</t>
        </is>
      </c>
    </row>
    <row r="316">
      <c r="A316" s="30" t="inlineStr">
        <is>
          <t>O0315</t>
        </is>
      </c>
      <c r="B316" s="30" t="inlineStr">
        <is>
          <t>E</t>
        </is>
      </c>
      <c r="C316" s="31" t="n">
        <v>4542.2</v>
      </c>
      <c r="D316" s="31" t="n">
        <v>15243.2</v>
      </c>
      <c r="E316" s="31" t="n">
        <v>15243.2</v>
      </c>
      <c r="F316" s="31" t="n">
        <v>15259.2</v>
      </c>
      <c r="G316" s="31" t="n">
        <v>15288.9</v>
      </c>
      <c r="H316" s="31" t="n">
        <v>15313.5</v>
      </c>
      <c r="I316" s="31" t="n">
        <v>15346.8</v>
      </c>
      <c r="J316" s="31" t="n">
        <v>15390</v>
      </c>
      <c r="K316" s="31" t="n">
        <v>10847.8</v>
      </c>
      <c r="L316" s="31" t="n">
        <v>10701</v>
      </c>
      <c r="M316" s="30" t="inlineStr">
        <is>
          <t>AMR1</t>
        </is>
      </c>
      <c r="N316" s="30" t="inlineStr">
        <is>
          <t>AMR1</t>
        </is>
      </c>
      <c r="O316" s="32" t="n">
        <v>0</v>
      </c>
      <c r="P316" s="32" t="n">
        <v>0</v>
      </c>
      <c r="Q316" s="32" t="n">
        <v>19</v>
      </c>
      <c r="R316" s="31" t="n">
        <v>44.8</v>
      </c>
      <c r="S316" s="31" t="n">
        <v>44.8</v>
      </c>
      <c r="T316" s="30" t="inlineStr">
        <is>
          <t>AMR1</t>
        </is>
      </c>
      <c r="U316" s="31" t="n">
        <v>58.6</v>
      </c>
      <c r="V316" s="31" t="n">
        <v>58.6</v>
      </c>
      <c r="W316" s="30" t="inlineStr">
        <is>
          <t>AMR1</t>
        </is>
      </c>
      <c r="X316" s="32" t="n">
        <v>0</v>
      </c>
      <c r="Y316" s="32" t="n">
        <v>0</v>
      </c>
      <c r="Z316" s="31" t="n">
        <v>0</v>
      </c>
      <c r="AA316" s="32" t="n">
        <v>0</v>
      </c>
      <c r="AB316" s="32" t="n">
        <v>0</v>
      </c>
      <c r="AC316" s="32" t="n">
        <v>1</v>
      </c>
      <c r="AD316" s="32" t="n">
        <v>1</v>
      </c>
      <c r="AE316" s="31" t="n">
        <v>8.4</v>
      </c>
      <c r="AF316" s="32" t="n">
        <v>1</v>
      </c>
      <c r="AG316" s="31" t="n">
        <v>3.4</v>
      </c>
      <c r="AH316" s="32" t="n">
        <v>61</v>
      </c>
      <c r="AI316" s="31" t="n">
        <v>64.90000000000001</v>
      </c>
      <c r="AJ316" s="31" t="n">
        <v>45.9</v>
      </c>
      <c r="AK316" s="31" t="n">
        <v>11.4</v>
      </c>
      <c r="AL316" s="30" t="inlineStr">
        <is>
          <t>T-0465</t>
        </is>
      </c>
      <c r="AM316" s="30" t="inlineStr">
        <is>
          <t>E-02-02</t>
        </is>
      </c>
      <c r="AN316" s="30" t="inlineStr">
        <is>
          <t>T-0247</t>
        </is>
      </c>
      <c r="AO316" s="30" t="inlineStr">
        <is>
          <t>E-05-02</t>
        </is>
      </c>
    </row>
    <row r="317">
      <c r="A317" s="30" t="inlineStr">
        <is>
          <t>O0316</t>
        </is>
      </c>
      <c r="B317" s="30" t="inlineStr">
        <is>
          <t>D</t>
        </is>
      </c>
      <c r="C317" s="31" t="n">
        <v>4547.7</v>
      </c>
      <c r="D317" s="31" t="n">
        <v>15269.6</v>
      </c>
      <c r="E317" s="31" t="n">
        <v>15269.6</v>
      </c>
      <c r="F317" s="31" t="n">
        <v>15283.3</v>
      </c>
      <c r="G317" s="31" t="n">
        <v>15304.9</v>
      </c>
      <c r="H317" s="31" t="n">
        <v>15322.3</v>
      </c>
      <c r="I317" s="31" t="n">
        <v>15347.6</v>
      </c>
      <c r="J317" s="31" t="n">
        <v>15376.7</v>
      </c>
      <c r="K317" s="31" t="n">
        <v>10829</v>
      </c>
      <c r="L317" s="31" t="n">
        <v>10721.9</v>
      </c>
      <c r="M317" s="30" t="inlineStr">
        <is>
          <t>AMR2</t>
        </is>
      </c>
      <c r="N317" s="30" t="inlineStr">
        <is>
          <t>AMR3</t>
        </is>
      </c>
      <c r="O317" s="32" t="n">
        <v>0</v>
      </c>
      <c r="P317" s="32" t="n">
        <v>0</v>
      </c>
      <c r="Q317" s="32" t="n">
        <v>13</v>
      </c>
      <c r="R317" s="31" t="n">
        <v>34.4</v>
      </c>
      <c r="S317" s="31" t="n">
        <v>34.4</v>
      </c>
      <c r="T317" s="30" t="inlineStr">
        <is>
          <t>AMR2</t>
        </is>
      </c>
      <c r="U317" s="31" t="n">
        <v>51.1</v>
      </c>
      <c r="V317" s="31" t="n">
        <v>51.1</v>
      </c>
      <c r="W317" s="30" t="inlineStr">
        <is>
          <t>AMR3</t>
        </is>
      </c>
      <c r="X317" s="32" t="n">
        <v>0</v>
      </c>
      <c r="Y317" s="32" t="n">
        <v>0</v>
      </c>
      <c r="Z317" s="31" t="n">
        <v>0</v>
      </c>
      <c r="AA317" s="32" t="n">
        <v>0</v>
      </c>
      <c r="AB317" s="32" t="n">
        <v>1</v>
      </c>
      <c r="AC317" s="32" t="n">
        <v>0</v>
      </c>
      <c r="AD317" s="32" t="n">
        <v>0</v>
      </c>
      <c r="AE317" s="31" t="n">
        <v>0</v>
      </c>
      <c r="AF317" s="32" t="n">
        <v>0</v>
      </c>
      <c r="AG317" s="31" t="n">
        <v>0</v>
      </c>
      <c r="AH317" s="32" t="n">
        <v>43</v>
      </c>
      <c r="AI317" s="31" t="n">
        <v>46.9</v>
      </c>
      <c r="AJ317" s="31" t="n">
        <v>42.8</v>
      </c>
      <c r="AK317" s="31" t="n">
        <v>0</v>
      </c>
      <c r="AL317" s="30" t="inlineStr">
        <is>
          <t>T-0466</t>
        </is>
      </c>
      <c r="AM317" s="30" t="inlineStr">
        <is>
          <t>D-02-02</t>
        </is>
      </c>
      <c r="AN317" s="30" t="inlineStr">
        <is>
          <t>T-0375</t>
        </is>
      </c>
      <c r="AO317" s="30" t="inlineStr">
        <is>
          <t>D-04-02</t>
        </is>
      </c>
    </row>
    <row r="318">
      <c r="A318" s="30" t="inlineStr">
        <is>
          <t>O0317</t>
        </is>
      </c>
      <c r="B318" s="30" t="inlineStr">
        <is>
          <t>J</t>
        </is>
      </c>
      <c r="C318" s="31" t="n">
        <v>4551.7</v>
      </c>
      <c r="D318" s="31" t="n">
        <v>15326.4</v>
      </c>
      <c r="E318" s="31" t="n">
        <v>15326.4</v>
      </c>
      <c r="F318" s="31" t="n">
        <v>15337.9</v>
      </c>
      <c r="G318" s="31" t="n">
        <v>15372.5</v>
      </c>
      <c r="H318" s="31" t="n">
        <v>15394</v>
      </c>
      <c r="I318" s="31" t="n">
        <v>15423</v>
      </c>
      <c r="J318" s="31" t="n">
        <v>15459.8</v>
      </c>
      <c r="K318" s="31" t="n">
        <v>10908.1</v>
      </c>
      <c r="L318" s="31" t="n">
        <v>10774.7</v>
      </c>
      <c r="M318" s="30" t="inlineStr">
        <is>
          <t>AMR2</t>
        </is>
      </c>
      <c r="N318" s="30" t="inlineStr">
        <is>
          <t>AMR2</t>
        </is>
      </c>
      <c r="O318" s="32" t="n">
        <v>0</v>
      </c>
      <c r="P318" s="32" t="n">
        <v>0</v>
      </c>
      <c r="Q318" s="32" t="n">
        <v>21</v>
      </c>
      <c r="R318" s="31" t="n">
        <v>42.5</v>
      </c>
      <c r="S318" s="31" t="n">
        <v>42.5</v>
      </c>
      <c r="T318" s="30" t="inlineStr">
        <is>
          <t>AMR2</t>
        </is>
      </c>
      <c r="U318" s="31" t="n">
        <v>62.5</v>
      </c>
      <c r="V318" s="31" t="n">
        <v>62.5</v>
      </c>
      <c r="W318" s="30" t="inlineStr">
        <is>
          <t>AMR2</t>
        </is>
      </c>
      <c r="X318" s="32" t="n">
        <v>0</v>
      </c>
      <c r="Y318" s="32" t="n">
        <v>0</v>
      </c>
      <c r="Z318" s="31" t="n">
        <v>0</v>
      </c>
      <c r="AA318" s="32" t="n">
        <v>0</v>
      </c>
      <c r="AB318" s="32" t="n">
        <v>1</v>
      </c>
      <c r="AC318" s="32" t="n">
        <v>0</v>
      </c>
      <c r="AD318" s="32" t="n">
        <v>0</v>
      </c>
      <c r="AE318" s="31" t="n">
        <v>0</v>
      </c>
      <c r="AF318" s="32" t="n">
        <v>0</v>
      </c>
      <c r="AG318" s="31" t="n">
        <v>0</v>
      </c>
      <c r="AH318" s="32" t="n">
        <v>64</v>
      </c>
      <c r="AI318" s="31" t="n">
        <v>65.59999999999999</v>
      </c>
      <c r="AJ318" s="31" t="n">
        <v>44.4</v>
      </c>
      <c r="AK318" s="31" t="n">
        <v>1.9</v>
      </c>
      <c r="AL318" s="30" t="inlineStr">
        <is>
          <t>T-0467</t>
        </is>
      </c>
      <c r="AM318" s="30" t="inlineStr">
        <is>
          <t>J-03-02</t>
        </is>
      </c>
      <c r="AN318" s="30" t="inlineStr">
        <is>
          <t>T-0252</t>
        </is>
      </c>
      <c r="AO318" s="30" t="inlineStr">
        <is>
          <t>J-05-01</t>
        </is>
      </c>
    </row>
    <row r="319">
      <c r="A319" s="30" t="inlineStr">
        <is>
          <t>O0318</t>
        </is>
      </c>
      <c r="B319" s="30" t="inlineStr">
        <is>
          <t>J</t>
        </is>
      </c>
      <c r="C319" s="31" t="n">
        <v>4558</v>
      </c>
      <c r="D319" s="31" t="n">
        <v>15402.6</v>
      </c>
      <c r="E319" s="31" t="n">
        <v>15402.6</v>
      </c>
      <c r="F319" s="31" t="n">
        <v>15416.5</v>
      </c>
      <c r="G319" s="31" t="n">
        <v>15448.5</v>
      </c>
      <c r="H319" s="31" t="n">
        <v>15470.7</v>
      </c>
      <c r="I319" s="31" t="n">
        <v>15500.7</v>
      </c>
      <c r="J319" s="31" t="n">
        <v>15536.7</v>
      </c>
      <c r="K319" s="31" t="n">
        <v>10978.7</v>
      </c>
      <c r="L319" s="31" t="n">
        <v>10844.6</v>
      </c>
      <c r="M319" s="30" t="inlineStr">
        <is>
          <t>AMR3</t>
        </is>
      </c>
      <c r="N319" s="30" t="inlineStr">
        <is>
          <t>AMR3</t>
        </is>
      </c>
      <c r="O319" s="32" t="n">
        <v>0</v>
      </c>
      <c r="P319" s="32" t="n">
        <v>0</v>
      </c>
      <c r="Q319" s="32" t="n">
        <v>21</v>
      </c>
      <c r="R319" s="31" t="n">
        <v>43.4</v>
      </c>
      <c r="S319" s="31" t="n">
        <v>43.4</v>
      </c>
      <c r="T319" s="30" t="inlineStr">
        <is>
          <t>AMR3</t>
        </is>
      </c>
      <c r="U319" s="31" t="n">
        <v>62.7</v>
      </c>
      <c r="V319" s="31" t="n">
        <v>62.7</v>
      </c>
      <c r="W319" s="30" t="inlineStr">
        <is>
          <t>AMR3</t>
        </is>
      </c>
      <c r="X319" s="32" t="n">
        <v>0</v>
      </c>
      <c r="Y319" s="32" t="n">
        <v>0</v>
      </c>
      <c r="Z319" s="31" t="n">
        <v>0</v>
      </c>
      <c r="AA319" s="32" t="n">
        <v>0</v>
      </c>
      <c r="AB319" s="32" t="n">
        <v>0</v>
      </c>
      <c r="AC319" s="32" t="n">
        <v>0</v>
      </c>
      <c r="AD319" s="32" t="n">
        <v>0</v>
      </c>
      <c r="AE319" s="31" t="n">
        <v>0</v>
      </c>
      <c r="AF319" s="32" t="n">
        <v>0</v>
      </c>
      <c r="AG319" s="31" t="n">
        <v>0</v>
      </c>
      <c r="AH319" s="32" t="n">
        <v>65</v>
      </c>
      <c r="AI319" s="31" t="n">
        <v>66.40000000000001</v>
      </c>
      <c r="AJ319" s="31" t="n">
        <v>45.5</v>
      </c>
      <c r="AK319" s="31" t="n">
        <v>0</v>
      </c>
      <c r="AL319" s="30" t="inlineStr">
        <is>
          <t>T-0468</t>
        </is>
      </c>
      <c r="AM319" s="30" t="inlineStr">
        <is>
          <t>J-05-03</t>
        </is>
      </c>
      <c r="AN319" s="30" t="inlineStr">
        <is>
          <t>T-0271</t>
        </is>
      </c>
      <c r="AO319" s="30" t="inlineStr">
        <is>
          <t>J-04-02</t>
        </is>
      </c>
    </row>
    <row r="320">
      <c r="A320" s="30" t="inlineStr">
        <is>
          <t>O0319</t>
        </is>
      </c>
      <c r="B320" s="30" t="inlineStr">
        <is>
          <t>A</t>
        </is>
      </c>
      <c r="C320" s="31" t="n">
        <v>4561.2</v>
      </c>
      <c r="D320" s="31" t="n">
        <v>15416.6</v>
      </c>
      <c r="E320" s="31" t="n">
        <v>15416.6</v>
      </c>
      <c r="F320" s="31" t="n">
        <v>15432</v>
      </c>
      <c r="G320" s="31" t="n">
        <v>15459.7</v>
      </c>
      <c r="H320" s="31" t="n">
        <v>15479.9</v>
      </c>
      <c r="I320" s="31" t="n">
        <v>15510.1</v>
      </c>
      <c r="J320" s="31" t="n">
        <v>15550</v>
      </c>
      <c r="K320" s="31" t="n">
        <v>10988.8</v>
      </c>
      <c r="L320" s="31" t="n">
        <v>10855.4</v>
      </c>
      <c r="M320" s="30" t="inlineStr">
        <is>
          <t>AMR1</t>
        </is>
      </c>
      <c r="N320" s="30" t="inlineStr">
        <is>
          <t>AMR1</t>
        </is>
      </c>
      <c r="O320" s="32" t="n">
        <v>0</v>
      </c>
      <c r="P320" s="32" t="n">
        <v>0</v>
      </c>
      <c r="Q320" s="32" t="n">
        <v>21</v>
      </c>
      <c r="R320" s="31" t="n">
        <v>42.2</v>
      </c>
      <c r="S320" s="31" t="n">
        <v>42.2</v>
      </c>
      <c r="T320" s="30" t="inlineStr">
        <is>
          <t>AMR1</t>
        </is>
      </c>
      <c r="U320" s="31" t="n">
        <v>64.7</v>
      </c>
      <c r="V320" s="31" t="n">
        <v>64.7</v>
      </c>
      <c r="W320" s="30" t="inlineStr">
        <is>
          <t>AMR1</t>
        </is>
      </c>
      <c r="X320" s="32" t="n">
        <v>0</v>
      </c>
      <c r="Y320" s="32" t="n">
        <v>0</v>
      </c>
      <c r="Z320" s="31" t="n">
        <v>0</v>
      </c>
      <c r="AA320" s="32" t="n">
        <v>0</v>
      </c>
      <c r="AB320" s="32" t="n">
        <v>0</v>
      </c>
      <c r="AC320" s="32" t="n">
        <v>0</v>
      </c>
      <c r="AD320" s="32" t="n">
        <v>1</v>
      </c>
      <c r="AE320" s="31" t="n">
        <v>5.1</v>
      </c>
      <c r="AF320" s="32" t="n">
        <v>1</v>
      </c>
      <c r="AG320" s="31" t="n">
        <v>0.1</v>
      </c>
      <c r="AH320" s="32" t="n">
        <v>63</v>
      </c>
      <c r="AI320" s="31" t="n">
        <v>63.3</v>
      </c>
      <c r="AJ320" s="31" t="n">
        <v>44.8</v>
      </c>
      <c r="AK320" s="31" t="n">
        <v>5.1</v>
      </c>
      <c r="AL320" s="30" t="inlineStr">
        <is>
          <t>T-0469</t>
        </is>
      </c>
      <c r="AM320" s="30" t="inlineStr">
        <is>
          <t>A-04-01</t>
        </is>
      </c>
      <c r="AN320" s="30" t="inlineStr">
        <is>
          <t>T-0216</t>
        </is>
      </c>
      <c r="AO320" s="30" t="inlineStr">
        <is>
          <t>A-05-02</t>
        </is>
      </c>
    </row>
    <row r="321">
      <c r="A321" s="30" t="inlineStr">
        <is>
          <t>O0320</t>
        </is>
      </c>
      <c r="B321" s="30" t="inlineStr">
        <is>
          <t>H</t>
        </is>
      </c>
      <c r="C321" s="31" t="n">
        <v>4567.1</v>
      </c>
      <c r="D321" s="31" t="n">
        <v>15483.5</v>
      </c>
      <c r="E321" s="31" t="n">
        <v>15483.5</v>
      </c>
      <c r="F321" s="31" t="n">
        <v>15496.7</v>
      </c>
      <c r="G321" s="31" t="n">
        <v>15518.3</v>
      </c>
      <c r="H321" s="31" t="n">
        <v>15531.8</v>
      </c>
      <c r="I321" s="31" t="n">
        <v>15558</v>
      </c>
      <c r="J321" s="31" t="n">
        <v>15582.7</v>
      </c>
      <c r="K321" s="31" t="n">
        <v>11015.6</v>
      </c>
      <c r="L321" s="31" t="n">
        <v>10916.4</v>
      </c>
      <c r="M321" s="30" t="inlineStr">
        <is>
          <t>AMR2</t>
        </is>
      </c>
      <c r="N321" s="30" t="inlineStr">
        <is>
          <t>AMR2</t>
        </is>
      </c>
      <c r="O321" s="32" t="n">
        <v>0</v>
      </c>
      <c r="P321" s="32" t="n">
        <v>0</v>
      </c>
      <c r="Q321" s="32" t="n">
        <v>15</v>
      </c>
      <c r="R321" s="31" t="n">
        <v>34.7</v>
      </c>
      <c r="S321" s="31" t="n">
        <v>34.7</v>
      </c>
      <c r="T321" s="30" t="inlineStr">
        <is>
          <t>AMR2</t>
        </is>
      </c>
      <c r="U321" s="31" t="n">
        <v>52.1</v>
      </c>
      <c r="V321" s="31" t="n">
        <v>52.1</v>
      </c>
      <c r="W321" s="30" t="inlineStr">
        <is>
          <t>AMR2</t>
        </is>
      </c>
      <c r="X321" s="32" t="n">
        <v>0</v>
      </c>
      <c r="Y321" s="32" t="n">
        <v>0</v>
      </c>
      <c r="Z321" s="31" t="n">
        <v>0</v>
      </c>
      <c r="AA321" s="32" t="n">
        <v>0</v>
      </c>
      <c r="AB321" s="32" t="n">
        <v>0</v>
      </c>
      <c r="AC321" s="32" t="n">
        <v>0</v>
      </c>
      <c r="AD321" s="32" t="n">
        <v>0</v>
      </c>
      <c r="AE321" s="31" t="n">
        <v>0</v>
      </c>
      <c r="AF321" s="32" t="n">
        <v>0</v>
      </c>
      <c r="AG321" s="31" t="n">
        <v>0</v>
      </c>
      <c r="AH321" s="32" t="n">
        <v>40</v>
      </c>
      <c r="AI321" s="31" t="n">
        <v>44.2</v>
      </c>
      <c r="AJ321" s="31" t="n">
        <v>41.5</v>
      </c>
      <c r="AK321" s="31" t="n">
        <v>0</v>
      </c>
      <c r="AL321" s="30" t="inlineStr">
        <is>
          <t>T-0470</t>
        </is>
      </c>
      <c r="AM321" s="30" t="inlineStr">
        <is>
          <t>H-06-01</t>
        </is>
      </c>
      <c r="AN321" s="30" t="inlineStr">
        <is>
          <t>T-0388</t>
        </is>
      </c>
      <c r="AO321" s="30" t="inlineStr">
        <is>
          <t>H-02-03</t>
        </is>
      </c>
    </row>
    <row r="322">
      <c r="A322" s="30" t="inlineStr">
        <is>
          <t>O0321</t>
        </is>
      </c>
      <c r="B322" s="30" t="inlineStr">
        <is>
          <t>D</t>
        </is>
      </c>
      <c r="C322" s="31" t="n">
        <v>4573.1</v>
      </c>
      <c r="D322" s="31" t="n">
        <v>15560.4</v>
      </c>
      <c r="E322" s="31" t="n">
        <v>15560.4</v>
      </c>
      <c r="F322" s="31" t="n">
        <v>15572.6</v>
      </c>
      <c r="G322" s="31" t="n">
        <v>15594.1</v>
      </c>
      <c r="H322" s="31" t="n">
        <v>15606.4</v>
      </c>
      <c r="I322" s="31" t="n">
        <v>15634.3</v>
      </c>
      <c r="J322" s="31" t="n">
        <v>15663.2</v>
      </c>
      <c r="K322" s="31" t="n">
        <v>11090.1</v>
      </c>
      <c r="L322" s="31" t="n">
        <v>10987.3</v>
      </c>
      <c r="M322" s="30" t="inlineStr">
        <is>
          <t>AMR3</t>
        </is>
      </c>
      <c r="N322" s="30" t="inlineStr">
        <is>
          <t>AMR2</t>
        </is>
      </c>
      <c r="O322" s="32" t="n">
        <v>0</v>
      </c>
      <c r="P322" s="32" t="n">
        <v>0</v>
      </c>
      <c r="Q322" s="32" t="n">
        <v>13</v>
      </c>
      <c r="R322" s="31" t="n">
        <v>32</v>
      </c>
      <c r="S322" s="31" t="n">
        <v>32</v>
      </c>
      <c r="T322" s="30" t="inlineStr">
        <is>
          <t>AMR3</t>
        </is>
      </c>
      <c r="U322" s="31" t="n">
        <v>52</v>
      </c>
      <c r="V322" s="31" t="n">
        <v>52</v>
      </c>
      <c r="W322" s="30" t="inlineStr">
        <is>
          <t>AMR2</t>
        </is>
      </c>
      <c r="X322" s="32" t="n">
        <v>0</v>
      </c>
      <c r="Y322" s="32" t="n">
        <v>0</v>
      </c>
      <c r="Z322" s="31" t="n">
        <v>0</v>
      </c>
      <c r="AA322" s="32" t="n">
        <v>0</v>
      </c>
      <c r="AB322" s="32" t="n">
        <v>1</v>
      </c>
      <c r="AC322" s="32" t="n">
        <v>1</v>
      </c>
      <c r="AD322" s="32" t="n">
        <v>0</v>
      </c>
      <c r="AE322" s="31" t="n">
        <v>0</v>
      </c>
      <c r="AF322" s="32" t="n">
        <v>0</v>
      </c>
      <c r="AG322" s="31" t="n">
        <v>0</v>
      </c>
      <c r="AH322" s="32" t="n">
        <v>40</v>
      </c>
      <c r="AI322" s="31" t="n">
        <v>46.2</v>
      </c>
      <c r="AJ322" s="31" t="n">
        <v>41.3</v>
      </c>
      <c r="AK322" s="31" t="n">
        <v>3</v>
      </c>
      <c r="AL322" s="30" t="inlineStr">
        <is>
          <t>T-0471</t>
        </is>
      </c>
      <c r="AM322" s="30" t="inlineStr">
        <is>
          <t>D-03-02</t>
        </is>
      </c>
      <c r="AN322" s="30" t="inlineStr">
        <is>
          <t>T-0378</t>
        </is>
      </c>
      <c r="AO322" s="30" t="inlineStr">
        <is>
          <t>D-01-03</t>
        </is>
      </c>
    </row>
    <row r="323">
      <c r="A323" s="30" t="inlineStr">
        <is>
          <t>O0322</t>
        </is>
      </c>
      <c r="B323" s="30" t="inlineStr">
        <is>
          <t>H</t>
        </is>
      </c>
      <c r="C323" s="31" t="n">
        <v>4579.6</v>
      </c>
      <c r="D323" s="31" t="n">
        <v>15573.7</v>
      </c>
      <c r="E323" s="31" t="n">
        <v>15573.7</v>
      </c>
      <c r="F323" s="31" t="n">
        <v>15586.7</v>
      </c>
      <c r="G323" s="31" t="n">
        <v>15613.1</v>
      </c>
      <c r="H323" s="31" t="n">
        <v>15616.2</v>
      </c>
      <c r="I323" s="31" t="n">
        <v>15649.2</v>
      </c>
      <c r="J323" s="31" t="n">
        <v>15678.1</v>
      </c>
      <c r="K323" s="31" t="n">
        <v>11098.5</v>
      </c>
      <c r="L323" s="31" t="n">
        <v>10994.1</v>
      </c>
      <c r="M323" s="30" t="inlineStr">
        <is>
          <t>AMR1</t>
        </is>
      </c>
      <c r="N323" s="30" t="inlineStr">
        <is>
          <t>AMR3</t>
        </is>
      </c>
      <c r="O323" s="32" t="n">
        <v>0</v>
      </c>
      <c r="P323" s="32" t="n">
        <v>0</v>
      </c>
      <c r="Q323" s="32" t="n">
        <v>15</v>
      </c>
      <c r="R323" s="31" t="n">
        <v>38.5</v>
      </c>
      <c r="S323" s="31" t="n">
        <v>38.5</v>
      </c>
      <c r="T323" s="30" t="inlineStr">
        <is>
          <t>AMR1</t>
        </is>
      </c>
      <c r="U323" s="31" t="n">
        <v>54.4</v>
      </c>
      <c r="V323" s="31" t="n">
        <v>54.4</v>
      </c>
      <c r="W323" s="30" t="inlineStr">
        <is>
          <t>AMR3</t>
        </is>
      </c>
      <c r="X323" s="32" t="n">
        <v>0</v>
      </c>
      <c r="Y323" s="32" t="n">
        <v>0</v>
      </c>
      <c r="Z323" s="31" t="n">
        <v>0</v>
      </c>
      <c r="AA323" s="32" t="n">
        <v>0</v>
      </c>
      <c r="AB323" s="32" t="n">
        <v>1</v>
      </c>
      <c r="AC323" s="32" t="n">
        <v>1</v>
      </c>
      <c r="AD323" s="32" t="n">
        <v>1</v>
      </c>
      <c r="AE323" s="31" t="n">
        <v>2.9</v>
      </c>
      <c r="AF323" s="32" t="n">
        <v>0</v>
      </c>
      <c r="AG323" s="31" t="n">
        <v>0</v>
      </c>
      <c r="AH323" s="32" t="n">
        <v>43</v>
      </c>
      <c r="AI323" s="31" t="n">
        <v>47.8</v>
      </c>
      <c r="AJ323" s="31" t="n">
        <v>47.6</v>
      </c>
      <c r="AK323" s="31" t="n">
        <v>5.9</v>
      </c>
      <c r="AL323" s="30" t="inlineStr">
        <is>
          <t>T-0472</t>
        </is>
      </c>
      <c r="AM323" s="30" t="inlineStr">
        <is>
          <t>H-02-03</t>
        </is>
      </c>
      <c r="AN323" s="30" t="inlineStr">
        <is>
          <t>T-0394</t>
        </is>
      </c>
      <c r="AO323" s="30" t="inlineStr">
        <is>
          <t>H-01-02</t>
        </is>
      </c>
    </row>
    <row r="324">
      <c r="A324" s="30" t="inlineStr">
        <is>
          <t>O0323</t>
        </is>
      </c>
      <c r="B324" s="30" t="inlineStr">
        <is>
          <t>F</t>
        </is>
      </c>
      <c r="C324" s="31" t="n">
        <v>4583.6</v>
      </c>
      <c r="D324" s="31" t="n">
        <v>15631.7</v>
      </c>
      <c r="E324" s="31" t="n">
        <v>15631.7</v>
      </c>
      <c r="F324" s="31" t="n">
        <v>15644.2</v>
      </c>
      <c r="G324" s="31" t="n">
        <v>15677.6</v>
      </c>
      <c r="H324" s="31" t="n">
        <v>15686.9</v>
      </c>
      <c r="I324" s="31" t="n">
        <v>15717.9</v>
      </c>
      <c r="J324" s="31" t="n">
        <v>15751.2</v>
      </c>
      <c r="K324" s="31" t="n">
        <v>11167.6</v>
      </c>
      <c r="L324" s="31" t="n">
        <v>11048.1</v>
      </c>
      <c r="M324" s="30" t="inlineStr">
        <is>
          <t>AMR1</t>
        </is>
      </c>
      <c r="N324" s="30" t="inlineStr">
        <is>
          <t>AMR2</t>
        </is>
      </c>
      <c r="O324" s="32" t="n">
        <v>0</v>
      </c>
      <c r="P324" s="32" t="n">
        <v>0</v>
      </c>
      <c r="Q324" s="32" t="n">
        <v>23</v>
      </c>
      <c r="R324" s="31" t="n">
        <v>43.4</v>
      </c>
      <c r="S324" s="31" t="n">
        <v>43.4</v>
      </c>
      <c r="T324" s="30" t="inlineStr">
        <is>
          <t>AMR1</t>
        </is>
      </c>
      <c r="U324" s="31" t="n">
        <v>62</v>
      </c>
      <c r="V324" s="31" t="n">
        <v>62</v>
      </c>
      <c r="W324" s="30" t="inlineStr">
        <is>
          <t>AMR2</t>
        </is>
      </c>
      <c r="X324" s="32" t="n">
        <v>0</v>
      </c>
      <c r="Y324" s="32" t="n">
        <v>0</v>
      </c>
      <c r="Z324" s="31" t="n">
        <v>0</v>
      </c>
      <c r="AA324" s="32" t="n">
        <v>0</v>
      </c>
      <c r="AB324" s="32" t="n">
        <v>0</v>
      </c>
      <c r="AC324" s="32" t="n">
        <v>0</v>
      </c>
      <c r="AD324" s="32" t="n">
        <v>0</v>
      </c>
      <c r="AE324" s="31" t="n">
        <v>0</v>
      </c>
      <c r="AF324" s="32" t="n">
        <v>0</v>
      </c>
      <c r="AG324" s="31" t="n">
        <v>0</v>
      </c>
      <c r="AH324" s="32" t="n">
        <v>71</v>
      </c>
      <c r="AI324" s="31" t="n">
        <v>70</v>
      </c>
      <c r="AJ324" s="31" t="n">
        <v>40.2</v>
      </c>
      <c r="AK324" s="31" t="n">
        <v>0</v>
      </c>
      <c r="AL324" s="30" t="inlineStr">
        <is>
          <t>T-0473</t>
        </is>
      </c>
      <c r="AM324" s="30" t="inlineStr">
        <is>
          <t>F-01-02</t>
        </is>
      </c>
      <c r="AN324" s="30" t="inlineStr">
        <is>
          <t>T-0291</t>
        </is>
      </c>
      <c r="AO324" s="30" t="inlineStr">
        <is>
          <t>F-01-03</t>
        </is>
      </c>
    </row>
    <row r="325">
      <c r="A325" s="30" t="inlineStr">
        <is>
          <t>O0324</t>
        </is>
      </c>
      <c r="B325" s="30" t="inlineStr">
        <is>
          <t>C</t>
        </is>
      </c>
      <c r="C325" s="31" t="n">
        <v>4589.6</v>
      </c>
      <c r="D325" s="31" t="n">
        <v>15701.2</v>
      </c>
      <c r="E325" s="31" t="n">
        <v>15701.2</v>
      </c>
      <c r="F325" s="31" t="n">
        <v>15714.7</v>
      </c>
      <c r="G325" s="31" t="n">
        <v>15736.2</v>
      </c>
      <c r="H325" s="31" t="n">
        <v>15748.7</v>
      </c>
      <c r="I325" s="31" t="n">
        <v>15781.1</v>
      </c>
      <c r="J325" s="31" t="n">
        <v>15809.9</v>
      </c>
      <c r="K325" s="31" t="n">
        <v>11220.3</v>
      </c>
      <c r="L325" s="31" t="n">
        <v>11111.6</v>
      </c>
      <c r="M325" s="30" t="inlineStr">
        <is>
          <t>AMR1</t>
        </is>
      </c>
      <c r="N325" s="30" t="inlineStr">
        <is>
          <t>AMR1</t>
        </is>
      </c>
      <c r="O325" s="32" t="n">
        <v>0</v>
      </c>
      <c r="P325" s="32" t="n">
        <v>0</v>
      </c>
      <c r="Q325" s="32" t="n">
        <v>13</v>
      </c>
      <c r="R325" s="31" t="n">
        <v>33.3</v>
      </c>
      <c r="S325" s="31" t="n">
        <v>33.3</v>
      </c>
      <c r="T325" s="30" t="inlineStr">
        <is>
          <t>AMR1</t>
        </is>
      </c>
      <c r="U325" s="31" t="n">
        <v>54.5</v>
      </c>
      <c r="V325" s="31" t="n">
        <v>54.5</v>
      </c>
      <c r="W325" s="30" t="inlineStr">
        <is>
          <t>AMR1</t>
        </is>
      </c>
      <c r="X325" s="32" t="n">
        <v>0</v>
      </c>
      <c r="Y325" s="32" t="n">
        <v>0</v>
      </c>
      <c r="Z325" s="31" t="n">
        <v>0</v>
      </c>
      <c r="AA325" s="32" t="n">
        <v>0</v>
      </c>
      <c r="AB325" s="32" t="n">
        <v>2</v>
      </c>
      <c r="AC325" s="32" t="n">
        <v>1</v>
      </c>
      <c r="AD325" s="32" t="n">
        <v>0</v>
      </c>
      <c r="AE325" s="31" t="n">
        <v>0</v>
      </c>
      <c r="AF325" s="32" t="n">
        <v>0</v>
      </c>
      <c r="AG325" s="31" t="n">
        <v>0</v>
      </c>
      <c r="AH325" s="32" t="n">
        <v>42</v>
      </c>
      <c r="AI325" s="31" t="n">
        <v>47.6</v>
      </c>
      <c r="AJ325" s="31" t="n">
        <v>45.6</v>
      </c>
      <c r="AK325" s="31" t="n">
        <v>3</v>
      </c>
      <c r="AL325" s="30" t="inlineStr">
        <is>
          <t>T-0474</t>
        </is>
      </c>
      <c r="AM325" s="30" t="inlineStr">
        <is>
          <t>C-03-03</t>
        </is>
      </c>
      <c r="AN325" s="30" t="inlineStr">
        <is>
          <t>T-0334</t>
        </is>
      </c>
      <c r="AO325" s="30" t="inlineStr">
        <is>
          <t>C-05-03</t>
        </is>
      </c>
    </row>
    <row r="326">
      <c r="A326" s="30" t="inlineStr">
        <is>
          <t>O0325</t>
        </is>
      </c>
      <c r="B326" s="30" t="inlineStr">
        <is>
          <t>D</t>
        </is>
      </c>
      <c r="C326" s="31" t="n">
        <v>4596.5</v>
      </c>
      <c r="D326" s="31" t="n">
        <v>15714.7</v>
      </c>
      <c r="E326" s="31" t="n">
        <v>15714.7</v>
      </c>
      <c r="F326" s="31" t="n">
        <v>15726.3</v>
      </c>
      <c r="G326" s="31" t="n">
        <v>15750.9</v>
      </c>
      <c r="H326" s="31" t="n">
        <v>15770.5</v>
      </c>
      <c r="I326" s="31" t="n">
        <v>15803.2</v>
      </c>
      <c r="J326" s="31" t="n">
        <v>15832.3</v>
      </c>
      <c r="K326" s="31" t="n">
        <v>11235.8</v>
      </c>
      <c r="L326" s="31" t="n">
        <v>11118.2</v>
      </c>
      <c r="M326" s="30" t="inlineStr">
        <is>
          <t>AMR3</t>
        </is>
      </c>
      <c r="N326" s="30" t="inlineStr">
        <is>
          <t>AMR3</t>
        </is>
      </c>
      <c r="O326" s="32" t="n">
        <v>0</v>
      </c>
      <c r="P326" s="32" t="n">
        <v>0</v>
      </c>
      <c r="Q326" s="32" t="n">
        <v>13</v>
      </c>
      <c r="R326" s="31" t="n">
        <v>33.7</v>
      </c>
      <c r="S326" s="31" t="n">
        <v>33.7</v>
      </c>
      <c r="T326" s="30" t="inlineStr">
        <is>
          <t>AMR3</t>
        </is>
      </c>
      <c r="U326" s="31" t="n">
        <v>51.1</v>
      </c>
      <c r="V326" s="31" t="n">
        <v>51.1</v>
      </c>
      <c r="W326" s="30" t="inlineStr">
        <is>
          <t>AMR3</t>
        </is>
      </c>
      <c r="X326" s="32" t="n">
        <v>0</v>
      </c>
      <c r="Y326" s="32" t="n">
        <v>0</v>
      </c>
      <c r="Z326" s="31" t="n">
        <v>0</v>
      </c>
      <c r="AA326" s="32" t="n">
        <v>0</v>
      </c>
      <c r="AB326" s="32" t="n">
        <v>1</v>
      </c>
      <c r="AC326" s="32" t="n">
        <v>1</v>
      </c>
      <c r="AD326" s="32" t="n">
        <v>1</v>
      </c>
      <c r="AE326" s="31" t="n">
        <v>2</v>
      </c>
      <c r="AF326" s="32" t="n">
        <v>0</v>
      </c>
      <c r="AG326" s="31" t="n">
        <v>0</v>
      </c>
      <c r="AH326" s="32" t="n">
        <v>47</v>
      </c>
      <c r="AI326" s="31" t="n">
        <v>50.9</v>
      </c>
      <c r="AJ326" s="31" t="n">
        <v>42.1</v>
      </c>
      <c r="AK326" s="31" t="n">
        <v>5</v>
      </c>
      <c r="AL326" s="30" t="inlineStr">
        <is>
          <t>T-0475</t>
        </is>
      </c>
      <c r="AM326" s="30" t="inlineStr">
        <is>
          <t>D-04-02</t>
        </is>
      </c>
      <c r="AN326" s="30" t="inlineStr">
        <is>
          <t>T-0380</t>
        </is>
      </c>
      <c r="AO326" s="30" t="inlineStr">
        <is>
          <t>D-05-02</t>
        </is>
      </c>
    </row>
    <row r="327">
      <c r="A327" s="30" t="inlineStr">
        <is>
          <t>O0326</t>
        </is>
      </c>
      <c r="B327" s="30" t="inlineStr">
        <is>
          <t>G</t>
        </is>
      </c>
      <c r="C327" s="31" t="n">
        <v>4602.4</v>
      </c>
      <c r="D327" s="31" t="n">
        <v>15783.2</v>
      </c>
      <c r="E327" s="31" t="n">
        <v>15783.2</v>
      </c>
      <c r="F327" s="31" t="n">
        <v>15794.9</v>
      </c>
      <c r="G327" s="31" t="n">
        <v>15822.3</v>
      </c>
      <c r="H327" s="31" t="n">
        <v>15833.6</v>
      </c>
      <c r="I327" s="31" t="n">
        <v>15863</v>
      </c>
      <c r="J327" s="31" t="n">
        <v>15894.7</v>
      </c>
      <c r="K327" s="31" t="n">
        <v>11292.3</v>
      </c>
      <c r="L327" s="31" t="n">
        <v>11180.8</v>
      </c>
      <c r="M327" s="30" t="inlineStr">
        <is>
          <t>AMR2</t>
        </is>
      </c>
      <c r="N327" s="30" t="inlineStr">
        <is>
          <t>AMR1</t>
        </is>
      </c>
      <c r="O327" s="32" t="n">
        <v>0</v>
      </c>
      <c r="P327" s="32" t="n">
        <v>0</v>
      </c>
      <c r="Q327" s="32" t="n">
        <v>17</v>
      </c>
      <c r="R327" s="31" t="n">
        <v>38.2</v>
      </c>
      <c r="S327" s="31" t="n">
        <v>38.2</v>
      </c>
      <c r="T327" s="30" t="inlineStr">
        <is>
          <t>AMR2</t>
        </is>
      </c>
      <c r="U327" s="31" t="n">
        <v>55.7</v>
      </c>
      <c r="V327" s="31" t="n">
        <v>55.7</v>
      </c>
      <c r="W327" s="30" t="inlineStr">
        <is>
          <t>AMR1</t>
        </is>
      </c>
      <c r="X327" s="32" t="n">
        <v>0</v>
      </c>
      <c r="Y327" s="32" t="n">
        <v>0</v>
      </c>
      <c r="Z327" s="31" t="n">
        <v>0</v>
      </c>
      <c r="AA327" s="32" t="n">
        <v>0</v>
      </c>
      <c r="AB327" s="32" t="n">
        <v>2</v>
      </c>
      <c r="AC327" s="32" t="n">
        <v>0</v>
      </c>
      <c r="AD327" s="32" t="n">
        <v>0</v>
      </c>
      <c r="AE327" s="31" t="n">
        <v>0</v>
      </c>
      <c r="AF327" s="32" t="n">
        <v>0</v>
      </c>
      <c r="AG327" s="31" t="n">
        <v>0</v>
      </c>
      <c r="AH327" s="32" t="n">
        <v>51</v>
      </c>
      <c r="AI327" s="31" t="n">
        <v>53.6</v>
      </c>
      <c r="AJ327" s="31" t="n">
        <v>43.5</v>
      </c>
      <c r="AK327" s="31" t="n">
        <v>3.1</v>
      </c>
      <c r="AL327" s="30" t="inlineStr">
        <is>
          <t>T-0476</t>
        </is>
      </c>
      <c r="AM327" s="30" t="inlineStr">
        <is>
          <t>G-04-02</t>
        </is>
      </c>
      <c r="AN327" s="30" t="inlineStr">
        <is>
          <t>T-0290</t>
        </is>
      </c>
      <c r="AO327" s="30" t="inlineStr">
        <is>
          <t>G-02-01</t>
        </is>
      </c>
    </row>
    <row r="328">
      <c r="A328" s="30" t="inlineStr">
        <is>
          <t>O0327</t>
        </is>
      </c>
      <c r="B328" s="30" t="inlineStr">
        <is>
          <t>H</t>
        </is>
      </c>
      <c r="C328" s="31" t="n">
        <v>4605.7</v>
      </c>
      <c r="D328" s="31" t="n">
        <v>15841.2</v>
      </c>
      <c r="E328" s="31" t="n">
        <v>15841.2</v>
      </c>
      <c r="F328" s="31" t="n">
        <v>15855.9</v>
      </c>
      <c r="G328" s="31" t="n">
        <v>15881.5</v>
      </c>
      <c r="H328" s="31" t="n">
        <v>15895.7</v>
      </c>
      <c r="I328" s="31" t="n">
        <v>15920.5</v>
      </c>
      <c r="J328" s="31" t="n">
        <v>15944.7</v>
      </c>
      <c r="K328" s="31" t="n">
        <v>11339</v>
      </c>
      <c r="L328" s="31" t="n">
        <v>11235.5</v>
      </c>
      <c r="M328" s="30" t="inlineStr">
        <is>
          <t>AMR2</t>
        </is>
      </c>
      <c r="N328" s="30" t="inlineStr">
        <is>
          <t>AMR2</t>
        </is>
      </c>
      <c r="O328" s="32" t="n">
        <v>0</v>
      </c>
      <c r="P328" s="32" t="n">
        <v>0</v>
      </c>
      <c r="Q328" s="32" t="n">
        <v>15</v>
      </c>
      <c r="R328" s="31" t="n">
        <v>39.4</v>
      </c>
      <c r="S328" s="31" t="n">
        <v>39.4</v>
      </c>
      <c r="T328" s="30" t="inlineStr">
        <is>
          <t>AMR2</t>
        </is>
      </c>
      <c r="U328" s="31" t="n">
        <v>49.2</v>
      </c>
      <c r="V328" s="31" t="n">
        <v>49.2</v>
      </c>
      <c r="W328" s="30" t="inlineStr">
        <is>
          <t>AMR2</t>
        </is>
      </c>
      <c r="X328" s="32" t="n">
        <v>0</v>
      </c>
      <c r="Y328" s="32" t="n">
        <v>0</v>
      </c>
      <c r="Z328" s="31" t="n">
        <v>0</v>
      </c>
      <c r="AA328" s="32" t="n">
        <v>0</v>
      </c>
      <c r="AB328" s="32" t="n">
        <v>1</v>
      </c>
      <c r="AC328" s="32" t="n">
        <v>0</v>
      </c>
      <c r="AD328" s="32" t="n">
        <v>0</v>
      </c>
      <c r="AE328" s="31" t="n">
        <v>0</v>
      </c>
      <c r="AF328" s="32" t="n">
        <v>0</v>
      </c>
      <c r="AG328" s="31" t="n">
        <v>0</v>
      </c>
      <c r="AH328" s="32" t="n">
        <v>41</v>
      </c>
      <c r="AI328" s="31" t="n">
        <v>46</v>
      </c>
      <c r="AJ328" s="31" t="n">
        <v>43.3</v>
      </c>
      <c r="AK328" s="31" t="n">
        <v>0</v>
      </c>
      <c r="AL328" s="30" t="inlineStr">
        <is>
          <t>T-0477</t>
        </is>
      </c>
      <c r="AM328" s="30" t="inlineStr">
        <is>
          <t>H-01-02</t>
        </is>
      </c>
      <c r="AN328" s="30" t="inlineStr">
        <is>
          <t>T-0402</t>
        </is>
      </c>
      <c r="AO328" s="30" t="inlineStr">
        <is>
          <t>H-02-01</t>
        </is>
      </c>
    </row>
    <row r="329">
      <c r="A329" s="30" t="inlineStr">
        <is>
          <t>O0328</t>
        </is>
      </c>
      <c r="B329" s="30" t="inlineStr">
        <is>
          <t>H</t>
        </is>
      </c>
      <c r="C329" s="31" t="n">
        <v>4609.2</v>
      </c>
      <c r="D329" s="31" t="n">
        <v>15856</v>
      </c>
      <c r="E329" s="31" t="n">
        <v>15856</v>
      </c>
      <c r="F329" s="31" t="n">
        <v>15870.7</v>
      </c>
      <c r="G329" s="31" t="n">
        <v>15897.4</v>
      </c>
      <c r="H329" s="31" t="n">
        <v>15912.2</v>
      </c>
      <c r="I329" s="31" t="n">
        <v>15939.7</v>
      </c>
      <c r="J329" s="31" t="n">
        <v>15963.7</v>
      </c>
      <c r="K329" s="31" t="n">
        <v>11354.5</v>
      </c>
      <c r="L329" s="31" t="n">
        <v>11246.8</v>
      </c>
      <c r="M329" s="30" t="inlineStr">
        <is>
          <t>AMR3</t>
        </is>
      </c>
      <c r="N329" s="30" t="inlineStr">
        <is>
          <t>AMR3</t>
        </is>
      </c>
      <c r="O329" s="32" t="n">
        <v>0</v>
      </c>
      <c r="P329" s="32" t="n">
        <v>0</v>
      </c>
      <c r="Q329" s="32" t="n">
        <v>15</v>
      </c>
      <c r="R329" s="31" t="n">
        <v>40.5</v>
      </c>
      <c r="S329" s="31" t="n">
        <v>40.5</v>
      </c>
      <c r="T329" s="30" t="inlineStr">
        <is>
          <t>AMR3</t>
        </is>
      </c>
      <c r="U329" s="31" t="n">
        <v>50.1</v>
      </c>
      <c r="V329" s="31" t="n">
        <v>50.1</v>
      </c>
      <c r="W329" s="30" t="inlineStr">
        <is>
          <t>AMR3</t>
        </is>
      </c>
      <c r="X329" s="32" t="n">
        <v>0</v>
      </c>
      <c r="Y329" s="32" t="n">
        <v>0</v>
      </c>
      <c r="Z329" s="31" t="n">
        <v>0</v>
      </c>
      <c r="AA329" s="32" t="n">
        <v>0</v>
      </c>
      <c r="AB329" s="32" t="n">
        <v>0</v>
      </c>
      <c r="AC329" s="32" t="n">
        <v>0</v>
      </c>
      <c r="AD329" s="32" t="n">
        <v>0</v>
      </c>
      <c r="AE329" s="31" t="n">
        <v>0</v>
      </c>
      <c r="AF329" s="32" t="n">
        <v>0</v>
      </c>
      <c r="AG329" s="31" t="n">
        <v>0</v>
      </c>
      <c r="AH329" s="32" t="n">
        <v>43</v>
      </c>
      <c r="AI329" s="31" t="n">
        <v>46.1</v>
      </c>
      <c r="AJ329" s="31" t="n">
        <v>45.3</v>
      </c>
      <c r="AK329" s="31" t="n">
        <v>1.5</v>
      </c>
      <c r="AL329" s="30" t="inlineStr">
        <is>
          <t>T-0478</t>
        </is>
      </c>
      <c r="AM329" s="30" t="inlineStr">
        <is>
          <t>H-05-03</t>
        </is>
      </c>
      <c r="AN329" s="30" t="inlineStr">
        <is>
          <t>T-0415</t>
        </is>
      </c>
      <c r="AO329" s="30" t="inlineStr">
        <is>
          <t>H-03-03</t>
        </is>
      </c>
    </row>
    <row r="330">
      <c r="A330" s="30" t="inlineStr">
        <is>
          <t>O0329</t>
        </is>
      </c>
      <c r="B330" s="30" t="inlineStr">
        <is>
          <t>E</t>
        </is>
      </c>
      <c r="C330" s="31" t="n">
        <v>4613.7</v>
      </c>
      <c r="D330" s="31" t="n">
        <v>15918.4</v>
      </c>
      <c r="E330" s="31" t="n">
        <v>15918.4</v>
      </c>
      <c r="F330" s="31" t="n">
        <v>15932.8</v>
      </c>
      <c r="G330" s="31" t="n">
        <v>15962.4</v>
      </c>
      <c r="H330" s="31" t="n">
        <v>15968.4</v>
      </c>
      <c r="I330" s="31" t="n">
        <v>15993.4</v>
      </c>
      <c r="J330" s="31" t="n">
        <v>16028.4</v>
      </c>
      <c r="K330" s="31" t="n">
        <v>11414.7</v>
      </c>
      <c r="L330" s="31" t="n">
        <v>11304.7</v>
      </c>
      <c r="M330" s="30" t="inlineStr">
        <is>
          <t>AMR1</t>
        </is>
      </c>
      <c r="N330" s="30" t="inlineStr">
        <is>
          <t>AMR2</t>
        </is>
      </c>
      <c r="O330" s="32" t="n">
        <v>0</v>
      </c>
      <c r="P330" s="32" t="n">
        <v>0</v>
      </c>
      <c r="Q330" s="32" t="n">
        <v>19</v>
      </c>
      <c r="R330" s="31" t="n">
        <v>41.5</v>
      </c>
      <c r="S330" s="31" t="n">
        <v>41.5</v>
      </c>
      <c r="T330" s="30" t="inlineStr">
        <is>
          <t>AMR1</t>
        </is>
      </c>
      <c r="U330" s="31" t="n">
        <v>60.2</v>
      </c>
      <c r="V330" s="31" t="n">
        <v>60.2</v>
      </c>
      <c r="W330" s="30" t="inlineStr">
        <is>
          <t>AMR2</t>
        </is>
      </c>
      <c r="X330" s="32" t="n">
        <v>0</v>
      </c>
      <c r="Y330" s="32" t="n">
        <v>0</v>
      </c>
      <c r="Z330" s="31" t="n">
        <v>0</v>
      </c>
      <c r="AA330" s="32" t="n">
        <v>0</v>
      </c>
      <c r="AB330" s="32" t="n">
        <v>0</v>
      </c>
      <c r="AC330" s="32" t="n">
        <v>0</v>
      </c>
      <c r="AD330" s="32" t="n">
        <v>0</v>
      </c>
      <c r="AE330" s="31" t="n">
        <v>0</v>
      </c>
      <c r="AF330" s="32" t="n">
        <v>0</v>
      </c>
      <c r="AG330" s="31" t="n">
        <v>0</v>
      </c>
      <c r="AH330" s="32" t="n">
        <v>59</v>
      </c>
      <c r="AI330" s="31" t="n">
        <v>59.8</v>
      </c>
      <c r="AJ330" s="31" t="n">
        <v>44.2</v>
      </c>
      <c r="AK330" s="31" t="n">
        <v>0</v>
      </c>
      <c r="AL330" s="30" t="inlineStr">
        <is>
          <t>T-0479</t>
        </is>
      </c>
      <c r="AM330" s="30" t="inlineStr">
        <is>
          <t>E-04-02</t>
        </is>
      </c>
      <c r="AN330" s="30" t="inlineStr">
        <is>
          <t>T-0261</t>
        </is>
      </c>
      <c r="AO330" s="30" t="inlineStr">
        <is>
          <t>E-01-03</t>
        </is>
      </c>
    </row>
    <row r="331">
      <c r="A331" s="30" t="inlineStr">
        <is>
          <t>O0330</t>
        </is>
      </c>
      <c r="B331" s="30" t="inlineStr">
        <is>
          <t>H</t>
        </is>
      </c>
      <c r="C331" s="31" t="n">
        <v>4619.4</v>
      </c>
      <c r="D331" s="31" t="n">
        <v>15982.6</v>
      </c>
      <c r="E331" s="31" t="n">
        <v>15982.6</v>
      </c>
      <c r="F331" s="31" t="n">
        <v>15999</v>
      </c>
      <c r="G331" s="31" t="n">
        <v>16026.5</v>
      </c>
      <c r="H331" s="31" t="n">
        <v>16040.7</v>
      </c>
      <c r="I331" s="31" t="n">
        <v>16069.2</v>
      </c>
      <c r="J331" s="31" t="n">
        <v>16095.4</v>
      </c>
      <c r="K331" s="31" t="n">
        <v>11476</v>
      </c>
      <c r="L331" s="31" t="n">
        <v>11363.2</v>
      </c>
      <c r="M331" s="30" t="inlineStr">
        <is>
          <t>AMR1</t>
        </is>
      </c>
      <c r="N331" s="30" t="inlineStr">
        <is>
          <t>AMR1</t>
        </is>
      </c>
      <c r="O331" s="32" t="n">
        <v>0</v>
      </c>
      <c r="P331" s="32" t="n">
        <v>0</v>
      </c>
      <c r="Q331" s="32" t="n">
        <v>15</v>
      </c>
      <c r="R331" s="31" t="n">
        <v>43</v>
      </c>
      <c r="S331" s="31" t="n">
        <v>43</v>
      </c>
      <c r="T331" s="30" t="inlineStr">
        <is>
          <t>AMR1</t>
        </is>
      </c>
      <c r="U331" s="31" t="n">
        <v>47.5</v>
      </c>
      <c r="V331" s="31" t="n">
        <v>47.5</v>
      </c>
      <c r="W331" s="30" t="inlineStr">
        <is>
          <t>AMR1</t>
        </is>
      </c>
      <c r="X331" s="32" t="n">
        <v>0</v>
      </c>
      <c r="Y331" s="32" t="n">
        <v>0</v>
      </c>
      <c r="Z331" s="31" t="n">
        <v>0</v>
      </c>
      <c r="AA331" s="32" t="n">
        <v>0</v>
      </c>
      <c r="AB331" s="32" t="n">
        <v>1</v>
      </c>
      <c r="AC331" s="32" t="n">
        <v>1</v>
      </c>
      <c r="AD331" s="32" t="n">
        <v>1</v>
      </c>
      <c r="AE331" s="31" t="n">
        <v>5.5</v>
      </c>
      <c r="AF331" s="32" t="n">
        <v>1</v>
      </c>
      <c r="AG331" s="31" t="n">
        <v>0.5</v>
      </c>
      <c r="AH331" s="32" t="n">
        <v>41</v>
      </c>
      <c r="AI331" s="31" t="n">
        <v>45.5</v>
      </c>
      <c r="AJ331" s="31" t="n">
        <v>45.2</v>
      </c>
      <c r="AK331" s="31" t="n">
        <v>7.9</v>
      </c>
      <c r="AL331" s="30" t="inlineStr">
        <is>
          <t>T-0480</t>
        </is>
      </c>
      <c r="AM331" s="30" t="inlineStr">
        <is>
          <t>H-02-01</t>
        </is>
      </c>
      <c r="AN331" s="30" t="inlineStr">
        <is>
          <t>T-0417</t>
        </is>
      </c>
      <c r="AO331" s="30" t="inlineStr">
        <is>
          <t>H-04-01</t>
        </is>
      </c>
    </row>
    <row r="332">
      <c r="A332" s="30" t="inlineStr">
        <is>
          <t>O0331</t>
        </is>
      </c>
      <c r="B332" s="30" t="inlineStr">
        <is>
          <t>I</t>
        </is>
      </c>
      <c r="C332" s="31" t="n">
        <v>4623.3</v>
      </c>
      <c r="D332" s="31" t="n">
        <v>15999</v>
      </c>
      <c r="E332" s="31" t="n">
        <v>15999</v>
      </c>
      <c r="F332" s="31" t="n">
        <v>16012.3</v>
      </c>
      <c r="G332" s="31" t="n">
        <v>16040.3</v>
      </c>
      <c r="H332" s="31" t="n">
        <v>16052.1</v>
      </c>
      <c r="I332" s="31" t="n">
        <v>16083.4</v>
      </c>
      <c r="J332" s="31" t="n">
        <v>16111</v>
      </c>
      <c r="K332" s="31" t="n">
        <v>11487.7</v>
      </c>
      <c r="L332" s="31" t="n">
        <v>11375.7</v>
      </c>
      <c r="M332" s="30" t="inlineStr">
        <is>
          <t>AMR3</t>
        </is>
      </c>
      <c r="N332" s="30" t="inlineStr">
        <is>
          <t>AMR2</t>
        </is>
      </c>
      <c r="O332" s="32" t="n">
        <v>0</v>
      </c>
      <c r="P332" s="32" t="n">
        <v>0</v>
      </c>
      <c r="Q332" s="32" t="n">
        <v>15</v>
      </c>
      <c r="R332" s="31" t="n">
        <v>38.8</v>
      </c>
      <c r="S332" s="31" t="n">
        <v>38.8</v>
      </c>
      <c r="T332" s="30" t="inlineStr">
        <is>
          <t>AMR3</t>
        </is>
      </c>
      <c r="U332" s="31" t="n">
        <v>53.3</v>
      </c>
      <c r="V332" s="31" t="n">
        <v>53.3</v>
      </c>
      <c r="W332" s="30" t="inlineStr">
        <is>
          <t>AMR2</t>
        </is>
      </c>
      <c r="X332" s="32" t="n">
        <v>0</v>
      </c>
      <c r="Y332" s="32" t="n">
        <v>0</v>
      </c>
      <c r="Z332" s="31" t="n">
        <v>0</v>
      </c>
      <c r="AA332" s="32" t="n">
        <v>0</v>
      </c>
      <c r="AB332" s="32" t="n">
        <v>1</v>
      </c>
      <c r="AC332" s="32" t="n">
        <v>1</v>
      </c>
      <c r="AD332" s="32" t="n">
        <v>0</v>
      </c>
      <c r="AE332" s="31" t="n">
        <v>0</v>
      </c>
      <c r="AF332" s="32" t="n">
        <v>0</v>
      </c>
      <c r="AG332" s="31" t="n">
        <v>0</v>
      </c>
      <c r="AH332" s="32" t="n">
        <v>45</v>
      </c>
      <c r="AI332" s="31" t="n">
        <v>50.9</v>
      </c>
      <c r="AJ332" s="31" t="n">
        <v>46.3</v>
      </c>
      <c r="AK332" s="31" t="n">
        <v>3</v>
      </c>
      <c r="AL332" s="30" t="inlineStr">
        <is>
          <t>T-0481</t>
        </is>
      </c>
      <c r="AM332" s="30" t="inlineStr">
        <is>
          <t>I-05-01</t>
        </is>
      </c>
      <c r="AN332" s="30" t="inlineStr">
        <is>
          <t>T-0395</t>
        </is>
      </c>
      <c r="AO332" s="30" t="inlineStr">
        <is>
          <t>I-01-02</t>
        </is>
      </c>
    </row>
    <row r="333">
      <c r="A333" s="30" t="inlineStr">
        <is>
          <t>O0332</t>
        </is>
      </c>
      <c r="B333" s="30" t="inlineStr">
        <is>
          <t>D</t>
        </is>
      </c>
      <c r="C333" s="31" t="n">
        <v>4627.5</v>
      </c>
      <c r="D333" s="31" t="n">
        <v>16069.5</v>
      </c>
      <c r="E333" s="31" t="n">
        <v>16069.5</v>
      </c>
      <c r="F333" s="31" t="n">
        <v>16083.1</v>
      </c>
      <c r="G333" s="31" t="n">
        <v>16109.6</v>
      </c>
      <c r="H333" s="31" t="n">
        <v>16119.1</v>
      </c>
      <c r="I333" s="31" t="n">
        <v>16148.3</v>
      </c>
      <c r="J333" s="31" t="n">
        <v>16176.3</v>
      </c>
      <c r="K333" s="31" t="n">
        <v>11548.8</v>
      </c>
      <c r="L333" s="31" t="n">
        <v>11442</v>
      </c>
      <c r="M333" s="30" t="inlineStr">
        <is>
          <t>AMR3</t>
        </is>
      </c>
      <c r="N333" s="30" t="inlineStr">
        <is>
          <t>AMR1</t>
        </is>
      </c>
      <c r="O333" s="32" t="n">
        <v>0</v>
      </c>
      <c r="P333" s="32" t="n">
        <v>0</v>
      </c>
      <c r="Q333" s="32" t="n">
        <v>13</v>
      </c>
      <c r="R333" s="31" t="n">
        <v>37.6</v>
      </c>
      <c r="S333" s="31" t="n">
        <v>37.6</v>
      </c>
      <c r="T333" s="30" t="inlineStr">
        <is>
          <t>AMR3</t>
        </is>
      </c>
      <c r="U333" s="31" t="n">
        <v>47.3</v>
      </c>
      <c r="V333" s="31" t="n">
        <v>47.3</v>
      </c>
      <c r="W333" s="30" t="inlineStr">
        <is>
          <t>AMR1</t>
        </is>
      </c>
      <c r="X333" s="32" t="n">
        <v>0</v>
      </c>
      <c r="Y333" s="32" t="n">
        <v>0</v>
      </c>
      <c r="Z333" s="31" t="n">
        <v>0</v>
      </c>
      <c r="AA333" s="32" t="n">
        <v>0</v>
      </c>
      <c r="AB333" s="32" t="n">
        <v>2</v>
      </c>
      <c r="AC333" s="32" t="n">
        <v>1</v>
      </c>
      <c r="AD333" s="32" t="n">
        <v>0</v>
      </c>
      <c r="AE333" s="31" t="n">
        <v>0</v>
      </c>
      <c r="AF333" s="32" t="n">
        <v>1</v>
      </c>
      <c r="AG333" s="31" t="n">
        <v>0.1</v>
      </c>
      <c r="AH333" s="32" t="n">
        <v>47</v>
      </c>
      <c r="AI333" s="31" t="n">
        <v>50</v>
      </c>
      <c r="AJ333" s="31" t="n">
        <v>42.2</v>
      </c>
      <c r="AK333" s="31" t="n">
        <v>5.1</v>
      </c>
      <c r="AL333" s="30" t="inlineStr">
        <is>
          <t>T-0482</t>
        </is>
      </c>
      <c r="AM333" s="30" t="inlineStr">
        <is>
          <t>D-05-02</t>
        </is>
      </c>
      <c r="AN333" s="30" t="inlineStr">
        <is>
          <t>T-0383</t>
        </is>
      </c>
      <c r="AO333" s="30" t="inlineStr">
        <is>
          <t>D-06-02</t>
        </is>
      </c>
    </row>
    <row r="334">
      <c r="A334" s="30" t="inlineStr">
        <is>
          <t>O0333</t>
        </is>
      </c>
      <c r="B334" s="30" t="inlineStr">
        <is>
          <t>I</t>
        </is>
      </c>
      <c r="C334" s="31" t="n">
        <v>4634.3</v>
      </c>
      <c r="D334" s="31" t="n">
        <v>16126.3</v>
      </c>
      <c r="E334" s="31" t="n">
        <v>16126.3</v>
      </c>
      <c r="F334" s="31" t="n">
        <v>16139.2</v>
      </c>
      <c r="G334" s="31" t="n">
        <v>16167.8</v>
      </c>
      <c r="H334" s="31" t="n">
        <v>16185.3</v>
      </c>
      <c r="I334" s="31" t="n">
        <v>16216.3</v>
      </c>
      <c r="J334" s="31" t="n">
        <v>16243.9</v>
      </c>
      <c r="K334" s="31" t="n">
        <v>11609.6</v>
      </c>
      <c r="L334" s="31" t="n">
        <v>11492</v>
      </c>
      <c r="M334" s="30" t="inlineStr">
        <is>
          <t>AMR3</t>
        </is>
      </c>
      <c r="N334" s="30" t="inlineStr">
        <is>
          <t>AMR3</t>
        </is>
      </c>
      <c r="O334" s="32" t="n">
        <v>0</v>
      </c>
      <c r="P334" s="32" t="n">
        <v>0</v>
      </c>
      <c r="Q334" s="32" t="n">
        <v>15</v>
      </c>
      <c r="R334" s="31" t="n">
        <v>38.2</v>
      </c>
      <c r="S334" s="31" t="n">
        <v>38.2</v>
      </c>
      <c r="T334" s="30" t="inlineStr">
        <is>
          <t>AMR3</t>
        </is>
      </c>
      <c r="U334" s="31" t="n">
        <v>49.8</v>
      </c>
      <c r="V334" s="31" t="n">
        <v>49.8</v>
      </c>
      <c r="W334" s="30" t="inlineStr">
        <is>
          <t>AMR3</t>
        </is>
      </c>
      <c r="X334" s="32" t="n">
        <v>0</v>
      </c>
      <c r="Y334" s="32" t="n">
        <v>0</v>
      </c>
      <c r="Z334" s="31" t="n">
        <v>0</v>
      </c>
      <c r="AA334" s="32" t="n">
        <v>0</v>
      </c>
      <c r="AB334" s="32" t="n">
        <v>0</v>
      </c>
      <c r="AC334" s="32" t="n">
        <v>1</v>
      </c>
      <c r="AD334" s="32" t="n">
        <v>0</v>
      </c>
      <c r="AE334" s="31" t="n">
        <v>0</v>
      </c>
      <c r="AF334" s="32" t="n">
        <v>1</v>
      </c>
      <c r="AG334" s="31" t="n">
        <v>0.5</v>
      </c>
      <c r="AH334" s="32" t="n">
        <v>48</v>
      </c>
      <c r="AI334" s="31" t="n">
        <v>52.4</v>
      </c>
      <c r="AJ334" s="31" t="n">
        <v>42.2</v>
      </c>
      <c r="AK334" s="31" t="n">
        <v>5.5</v>
      </c>
      <c r="AL334" s="30" t="inlineStr">
        <is>
          <t>T-0483</t>
        </is>
      </c>
      <c r="AM334" s="30" t="inlineStr">
        <is>
          <t>I-06-01</t>
        </is>
      </c>
      <c r="AN334" s="30" t="inlineStr">
        <is>
          <t>T-0397</t>
        </is>
      </c>
      <c r="AO334" s="30" t="inlineStr">
        <is>
          <t>I-05-03</t>
        </is>
      </c>
    </row>
    <row r="335">
      <c r="A335" s="30" t="inlineStr">
        <is>
          <t>O0334</t>
        </is>
      </c>
      <c r="B335" s="30" t="inlineStr">
        <is>
          <t>B</t>
        </is>
      </c>
      <c r="C335" s="31" t="n">
        <v>4637.7</v>
      </c>
      <c r="D335" s="31" t="n">
        <v>16139.7</v>
      </c>
      <c r="E335" s="31" t="n">
        <v>16139.7</v>
      </c>
      <c r="F335" s="31" t="n">
        <v>16154.6</v>
      </c>
      <c r="G335" s="31" t="n">
        <v>16180.2</v>
      </c>
      <c r="H335" s="31" t="n">
        <v>16195.7</v>
      </c>
      <c r="I335" s="31" t="n">
        <v>16219.6</v>
      </c>
      <c r="J335" s="31" t="n">
        <v>16261.1</v>
      </c>
      <c r="K335" s="31" t="n">
        <v>11623.4</v>
      </c>
      <c r="L335" s="31" t="n">
        <v>11502</v>
      </c>
      <c r="M335" s="30" t="inlineStr">
        <is>
          <t>AMR2</t>
        </is>
      </c>
      <c r="N335" s="30" t="inlineStr">
        <is>
          <t>AMR2</t>
        </is>
      </c>
      <c r="O335" s="32" t="n">
        <v>0</v>
      </c>
      <c r="P335" s="32" t="n">
        <v>0</v>
      </c>
      <c r="Q335" s="32" t="n">
        <v>15</v>
      </c>
      <c r="R335" s="31" t="n">
        <v>38.8</v>
      </c>
      <c r="S335" s="31" t="n">
        <v>38.8</v>
      </c>
      <c r="T335" s="30" t="inlineStr">
        <is>
          <t>AMR2</t>
        </is>
      </c>
      <c r="U335" s="31" t="n">
        <v>56.5</v>
      </c>
      <c r="V335" s="31" t="n">
        <v>56.5</v>
      </c>
      <c r="W335" s="30" t="inlineStr">
        <is>
          <t>AMR2</t>
        </is>
      </c>
      <c r="X335" s="32" t="n">
        <v>0</v>
      </c>
      <c r="Y335" s="32" t="n">
        <v>0</v>
      </c>
      <c r="Z335" s="31" t="n">
        <v>0</v>
      </c>
      <c r="AA335" s="32" t="n">
        <v>0</v>
      </c>
      <c r="AB335" s="32" t="n">
        <v>0</v>
      </c>
      <c r="AC335" s="32" t="n">
        <v>0</v>
      </c>
      <c r="AD335" s="32" t="n">
        <v>1</v>
      </c>
      <c r="AE335" s="31" t="n">
        <v>8.6</v>
      </c>
      <c r="AF335" s="32" t="n">
        <v>1</v>
      </c>
      <c r="AG335" s="31" t="n">
        <v>3.6</v>
      </c>
      <c r="AH335" s="32" t="n">
        <v>46</v>
      </c>
      <c r="AI335" s="31" t="n">
        <v>49.3</v>
      </c>
      <c r="AJ335" s="31" t="n">
        <v>48</v>
      </c>
      <c r="AK335" s="31" t="n">
        <v>8.6</v>
      </c>
      <c r="AL335" s="30" t="inlineStr">
        <is>
          <t>T-0484</t>
        </is>
      </c>
      <c r="AM335" s="30" t="inlineStr">
        <is>
          <t>B-03-03</t>
        </is>
      </c>
      <c r="AN335" s="30" t="inlineStr">
        <is>
          <t>T-0260</t>
        </is>
      </c>
      <c r="AO335" s="30" t="inlineStr">
        <is>
          <t>B-05-03</t>
        </is>
      </c>
    </row>
    <row r="336">
      <c r="A336" s="30" t="inlineStr">
        <is>
          <t>O0335</t>
        </is>
      </c>
      <c r="B336" s="30" t="inlineStr">
        <is>
          <t>J</t>
        </is>
      </c>
      <c r="C336" s="31" t="n">
        <v>4642.5</v>
      </c>
      <c r="D336" s="31" t="n">
        <v>16205</v>
      </c>
      <c r="E336" s="31" t="n">
        <v>16205</v>
      </c>
      <c r="F336" s="31" t="n">
        <v>16220.8</v>
      </c>
      <c r="G336" s="31" t="n">
        <v>16251.1</v>
      </c>
      <c r="H336" s="31" t="n">
        <v>16267.6</v>
      </c>
      <c r="I336" s="31" t="n">
        <v>16302.2</v>
      </c>
      <c r="J336" s="31" t="n">
        <v>16336.2</v>
      </c>
      <c r="K336" s="31" t="n">
        <v>11693.7</v>
      </c>
      <c r="L336" s="31" t="n">
        <v>11562.5</v>
      </c>
      <c r="M336" s="30" t="inlineStr">
        <is>
          <t>AMR1</t>
        </is>
      </c>
      <c r="N336" s="30" t="inlineStr">
        <is>
          <t>AMR3</t>
        </is>
      </c>
      <c r="O336" s="32" t="n">
        <v>0</v>
      </c>
      <c r="P336" s="32" t="n">
        <v>0</v>
      </c>
      <c r="Q336" s="32" t="n">
        <v>21</v>
      </c>
      <c r="R336" s="31" t="n">
        <v>43.6</v>
      </c>
      <c r="S336" s="31" t="n">
        <v>43.6</v>
      </c>
      <c r="T336" s="30" t="inlineStr">
        <is>
          <t>AMR1</t>
        </is>
      </c>
      <c r="U336" s="31" t="n">
        <v>65.3</v>
      </c>
      <c r="V336" s="31" t="n">
        <v>65.3</v>
      </c>
      <c r="W336" s="30" t="inlineStr">
        <is>
          <t>AMR3</t>
        </is>
      </c>
      <c r="X336" s="32" t="n">
        <v>0</v>
      </c>
      <c r="Y336" s="32" t="n">
        <v>0</v>
      </c>
      <c r="Z336" s="31" t="n">
        <v>0</v>
      </c>
      <c r="AA336" s="32" t="n">
        <v>0</v>
      </c>
      <c r="AB336" s="32" t="n">
        <v>0</v>
      </c>
      <c r="AC336" s="32" t="n">
        <v>0</v>
      </c>
      <c r="AD336" s="32" t="n">
        <v>0</v>
      </c>
      <c r="AE336" s="31" t="n">
        <v>0</v>
      </c>
      <c r="AF336" s="32" t="n">
        <v>0</v>
      </c>
      <c r="AG336" s="31" t="n">
        <v>0</v>
      </c>
      <c r="AH336" s="32" t="n">
        <v>65</v>
      </c>
      <c r="AI336" s="31" t="n">
        <v>66.40000000000001</v>
      </c>
      <c r="AJ336" s="31" t="n">
        <v>48.3</v>
      </c>
      <c r="AK336" s="31" t="n">
        <v>0</v>
      </c>
      <c r="AL336" s="30" t="inlineStr">
        <is>
          <t>T-0485</t>
        </is>
      </c>
      <c r="AM336" s="30" t="inlineStr">
        <is>
          <t>J-05-01</t>
        </is>
      </c>
      <c r="AN336" s="30" t="inlineStr">
        <is>
          <t>T-0293</t>
        </is>
      </c>
      <c r="AO336" s="30" t="inlineStr">
        <is>
          <t>J-05-02</t>
        </is>
      </c>
    </row>
    <row r="337">
      <c r="A337" s="30" t="inlineStr">
        <is>
          <t>O0336</t>
        </is>
      </c>
      <c r="B337" s="30" t="inlineStr">
        <is>
          <t>D</t>
        </is>
      </c>
      <c r="C337" s="31" t="n">
        <v>4649.3</v>
      </c>
      <c r="D337" s="31" t="n">
        <v>16274.9</v>
      </c>
      <c r="E337" s="31" t="n">
        <v>16274.9</v>
      </c>
      <c r="F337" s="31" t="n">
        <v>16288.1</v>
      </c>
      <c r="G337" s="31" t="n">
        <v>16311.9</v>
      </c>
      <c r="H337" s="31" t="n">
        <v>16327.4</v>
      </c>
      <c r="I337" s="31" t="n">
        <v>16352</v>
      </c>
      <c r="J337" s="31" t="n">
        <v>16379</v>
      </c>
      <c r="K337" s="31" t="n">
        <v>11729.7</v>
      </c>
      <c r="L337" s="31" t="n">
        <v>11625.6</v>
      </c>
      <c r="M337" s="30" t="inlineStr">
        <is>
          <t>AMR1</t>
        </is>
      </c>
      <c r="N337" s="30" t="inlineStr">
        <is>
          <t>AMR1</t>
        </is>
      </c>
      <c r="O337" s="32" t="n">
        <v>0</v>
      </c>
      <c r="P337" s="32" t="n">
        <v>0</v>
      </c>
      <c r="Q337" s="32" t="n">
        <v>13</v>
      </c>
      <c r="R337" s="31" t="n">
        <v>33.7</v>
      </c>
      <c r="S337" s="31" t="n">
        <v>33.7</v>
      </c>
      <c r="T337" s="30" t="inlineStr">
        <is>
          <t>AMR1</t>
        </is>
      </c>
      <c r="U337" s="31" t="n">
        <v>51.8</v>
      </c>
      <c r="V337" s="31" t="n">
        <v>51.8</v>
      </c>
      <c r="W337" s="30" t="inlineStr">
        <is>
          <t>AMR1</t>
        </is>
      </c>
      <c r="X337" s="32" t="n">
        <v>0</v>
      </c>
      <c r="Y337" s="32" t="n">
        <v>0</v>
      </c>
      <c r="Z337" s="31" t="n">
        <v>0</v>
      </c>
      <c r="AA337" s="32" t="n">
        <v>0</v>
      </c>
      <c r="AB337" s="32" t="n">
        <v>0</v>
      </c>
      <c r="AC337" s="32" t="n">
        <v>0</v>
      </c>
      <c r="AD337" s="32" t="n">
        <v>0</v>
      </c>
      <c r="AE337" s="31" t="n">
        <v>0</v>
      </c>
      <c r="AF337" s="32" t="n">
        <v>0</v>
      </c>
      <c r="AG337" s="31" t="n">
        <v>0</v>
      </c>
      <c r="AH337" s="32" t="n">
        <v>42</v>
      </c>
      <c r="AI337" s="31" t="n">
        <v>45.8</v>
      </c>
      <c r="AJ337" s="31" t="n">
        <v>42.8</v>
      </c>
      <c r="AK337" s="31" t="n">
        <v>0</v>
      </c>
      <c r="AL337" s="30" t="inlineStr">
        <is>
          <t>T-0486</t>
        </is>
      </c>
      <c r="AM337" s="30" t="inlineStr">
        <is>
          <t>D-06-02</t>
        </is>
      </c>
      <c r="AN337" s="30" t="inlineStr">
        <is>
          <t>T-0384</t>
        </is>
      </c>
      <c r="AO337" s="30" t="inlineStr">
        <is>
          <t>D-02-03</t>
        </is>
      </c>
    </row>
    <row r="338">
      <c r="A338" s="30" t="inlineStr">
        <is>
          <t>O0337</t>
        </is>
      </c>
      <c r="B338" s="30" t="inlineStr">
        <is>
          <t>G</t>
        </is>
      </c>
      <c r="C338" s="31" t="n">
        <v>4654.9</v>
      </c>
      <c r="D338" s="31" t="n">
        <v>16288.1</v>
      </c>
      <c r="E338" s="31" t="n">
        <v>16288.1</v>
      </c>
      <c r="F338" s="31" t="n">
        <v>16303.3</v>
      </c>
      <c r="G338" s="31" t="n">
        <v>16330.5</v>
      </c>
      <c r="H338" s="31" t="n">
        <v>16348.7</v>
      </c>
      <c r="I338" s="31" t="n">
        <v>16374.7</v>
      </c>
      <c r="J338" s="31" t="n">
        <v>16403.7</v>
      </c>
      <c r="K338" s="31" t="n">
        <v>11748.8</v>
      </c>
      <c r="L338" s="31" t="n">
        <v>11633.2</v>
      </c>
      <c r="M338" s="30" t="inlineStr">
        <is>
          <t>AMR2</t>
        </is>
      </c>
      <c r="N338" s="30" t="inlineStr">
        <is>
          <t>AMR2</t>
        </is>
      </c>
      <c r="O338" s="32" t="n">
        <v>0</v>
      </c>
      <c r="P338" s="32" t="n">
        <v>0</v>
      </c>
      <c r="Q338" s="32" t="n">
        <v>17</v>
      </c>
      <c r="R338" s="31" t="n">
        <v>39.9</v>
      </c>
      <c r="S338" s="31" t="n">
        <v>39.9</v>
      </c>
      <c r="T338" s="30" t="inlineStr">
        <is>
          <t>AMR2</t>
        </is>
      </c>
      <c r="U338" s="31" t="n">
        <v>56.7</v>
      </c>
      <c r="V338" s="31" t="n">
        <v>56.7</v>
      </c>
      <c r="W338" s="30" t="inlineStr">
        <is>
          <t>AMR2</t>
        </is>
      </c>
      <c r="X338" s="32" t="n">
        <v>0</v>
      </c>
      <c r="Y338" s="32" t="n">
        <v>0</v>
      </c>
      <c r="Z338" s="31" t="n">
        <v>0</v>
      </c>
      <c r="AA338" s="32" t="n">
        <v>0</v>
      </c>
      <c r="AB338" s="32" t="n">
        <v>0</v>
      </c>
      <c r="AC338" s="32" t="n">
        <v>0</v>
      </c>
      <c r="AD338" s="32" t="n">
        <v>0</v>
      </c>
      <c r="AE338" s="31" t="n">
        <v>0</v>
      </c>
      <c r="AF338" s="32" t="n">
        <v>0</v>
      </c>
      <c r="AG338" s="31" t="n">
        <v>0</v>
      </c>
      <c r="AH338" s="32" t="n">
        <v>47</v>
      </c>
      <c r="AI338" s="31" t="n">
        <v>51.2</v>
      </c>
      <c r="AJ338" s="31" t="n">
        <v>46.2</v>
      </c>
      <c r="AK338" s="31" t="n">
        <v>0</v>
      </c>
      <c r="AL338" s="30" t="inlineStr">
        <is>
          <t>T-0487</t>
        </is>
      </c>
      <c r="AM338" s="30" t="inlineStr">
        <is>
          <t>G-02-01</t>
        </is>
      </c>
      <c r="AN338" s="30" t="inlineStr">
        <is>
          <t>T-0294</t>
        </is>
      </c>
      <c r="AO338" s="30" t="inlineStr">
        <is>
          <t>G-06-02</t>
        </is>
      </c>
    </row>
    <row r="339">
      <c r="A339" s="30" t="inlineStr">
        <is>
          <t>O0338</t>
        </is>
      </c>
      <c r="B339" s="30" t="inlineStr">
        <is>
          <t>H</t>
        </is>
      </c>
      <c r="C339" s="31" t="n">
        <v>4661.7</v>
      </c>
      <c r="D339" s="31" t="n">
        <v>16359.9</v>
      </c>
      <c r="E339" s="31" t="n">
        <v>16359.9</v>
      </c>
      <c r="F339" s="31" t="n">
        <v>16373.1</v>
      </c>
      <c r="G339" s="31" t="n">
        <v>16396.8</v>
      </c>
      <c r="H339" s="31" t="n">
        <v>16402.7</v>
      </c>
      <c r="I339" s="31" t="n">
        <v>16435.6</v>
      </c>
      <c r="J339" s="31" t="n">
        <v>16460.3</v>
      </c>
      <c r="K339" s="31" t="n">
        <v>11798.6</v>
      </c>
      <c r="L339" s="31" t="n">
        <v>11698.2</v>
      </c>
      <c r="M339" s="30" t="inlineStr">
        <is>
          <t>AMR3</t>
        </is>
      </c>
      <c r="N339" s="30" t="inlineStr">
        <is>
          <t>AMR1</t>
        </is>
      </c>
      <c r="O339" s="32" t="n">
        <v>0</v>
      </c>
      <c r="P339" s="32" t="n">
        <v>0</v>
      </c>
      <c r="Q339" s="32" t="n">
        <v>15</v>
      </c>
      <c r="R339" s="31" t="n">
        <v>36</v>
      </c>
      <c r="S339" s="31" t="n">
        <v>36</v>
      </c>
      <c r="T339" s="30" t="inlineStr">
        <is>
          <t>AMR3</t>
        </is>
      </c>
      <c r="U339" s="31" t="n">
        <v>52.1</v>
      </c>
      <c r="V339" s="31" t="n">
        <v>52.1</v>
      </c>
      <c r="W339" s="30" t="inlineStr">
        <is>
          <t>AMR1</t>
        </is>
      </c>
      <c r="X339" s="32" t="n">
        <v>0</v>
      </c>
      <c r="Y339" s="32" t="n">
        <v>0</v>
      </c>
      <c r="Z339" s="31" t="n">
        <v>0</v>
      </c>
      <c r="AA339" s="32" t="n">
        <v>0</v>
      </c>
      <c r="AB339" s="32" t="n">
        <v>1</v>
      </c>
      <c r="AC339" s="32" t="n">
        <v>1</v>
      </c>
      <c r="AD339" s="32" t="n">
        <v>0</v>
      </c>
      <c r="AE339" s="31" t="n">
        <v>0</v>
      </c>
      <c r="AF339" s="32" t="n">
        <v>1</v>
      </c>
      <c r="AG339" s="31" t="n">
        <v>0.2</v>
      </c>
      <c r="AH339" s="32" t="n">
        <v>41</v>
      </c>
      <c r="AI339" s="31" t="n">
        <v>46.5</v>
      </c>
      <c r="AJ339" s="31" t="n">
        <v>42.8</v>
      </c>
      <c r="AK339" s="31" t="n">
        <v>5.2</v>
      </c>
      <c r="AL339" s="30" t="inlineStr">
        <is>
          <t>T-0488</t>
        </is>
      </c>
      <c r="AM339" s="30" t="inlineStr">
        <is>
          <t>H-04-01</t>
        </is>
      </c>
      <c r="AN339" s="30" t="inlineStr">
        <is>
          <t>T-0420</t>
        </is>
      </c>
      <c r="AO339" s="30" t="inlineStr">
        <is>
          <t>H-04-03</t>
        </is>
      </c>
    </row>
    <row r="340">
      <c r="A340" s="30" t="inlineStr">
        <is>
          <t>O0339</t>
        </is>
      </c>
      <c r="B340" s="30" t="inlineStr">
        <is>
          <t>E</t>
        </is>
      </c>
      <c r="C340" s="31" t="n">
        <v>4666.5</v>
      </c>
      <c r="D340" s="31" t="n">
        <v>16415.6</v>
      </c>
      <c r="E340" s="31" t="n">
        <v>16415.6</v>
      </c>
      <c r="F340" s="31" t="n">
        <v>16428.3</v>
      </c>
      <c r="G340" s="31" t="n">
        <v>16456.4</v>
      </c>
      <c r="H340" s="31" t="n">
        <v>16476.6</v>
      </c>
      <c r="I340" s="31" t="n">
        <v>16504.7</v>
      </c>
      <c r="J340" s="31" t="n">
        <v>16540.9</v>
      </c>
      <c r="K340" s="31" t="n">
        <v>11874.4</v>
      </c>
      <c r="L340" s="31" t="n">
        <v>11749.1</v>
      </c>
      <c r="M340" s="30" t="inlineStr">
        <is>
          <t>AMR3</t>
        </is>
      </c>
      <c r="N340" s="30" t="inlineStr">
        <is>
          <t>AMR3</t>
        </is>
      </c>
      <c r="O340" s="32" t="n">
        <v>0</v>
      </c>
      <c r="P340" s="32" t="n">
        <v>0</v>
      </c>
      <c r="Q340" s="32" t="n">
        <v>19</v>
      </c>
      <c r="R340" s="31" t="n">
        <v>38.3</v>
      </c>
      <c r="S340" s="31" t="n">
        <v>38.3</v>
      </c>
      <c r="T340" s="30" t="inlineStr">
        <is>
          <t>AMR3</t>
        </is>
      </c>
      <c r="U340" s="31" t="n">
        <v>64.5</v>
      </c>
      <c r="V340" s="31" t="n">
        <v>64.5</v>
      </c>
      <c r="W340" s="30" t="inlineStr">
        <is>
          <t>AMR3</t>
        </is>
      </c>
      <c r="X340" s="32" t="n">
        <v>0</v>
      </c>
      <c r="Y340" s="32" t="n">
        <v>0</v>
      </c>
      <c r="Z340" s="31" t="n">
        <v>0</v>
      </c>
      <c r="AA340" s="32" t="n">
        <v>0</v>
      </c>
      <c r="AB340" s="32" t="n">
        <v>1</v>
      </c>
      <c r="AC340" s="32" t="n">
        <v>0</v>
      </c>
      <c r="AD340" s="32" t="n">
        <v>0</v>
      </c>
      <c r="AE340" s="31" t="n">
        <v>0</v>
      </c>
      <c r="AF340" s="32" t="n">
        <v>0</v>
      </c>
      <c r="AG340" s="31" t="n">
        <v>0</v>
      </c>
      <c r="AH340" s="32" t="n">
        <v>59</v>
      </c>
      <c r="AI340" s="31" t="n">
        <v>59.8</v>
      </c>
      <c r="AJ340" s="31" t="n">
        <v>45.3</v>
      </c>
      <c r="AK340" s="31" t="n">
        <v>0</v>
      </c>
      <c r="AL340" s="30" t="inlineStr">
        <is>
          <t>T-0489</t>
        </is>
      </c>
      <c r="AM340" s="30" t="inlineStr">
        <is>
          <t>E-05-02</t>
        </is>
      </c>
      <c r="AN340" s="30" t="inlineStr">
        <is>
          <t>T-0263</t>
        </is>
      </c>
      <c r="AO340" s="30" t="inlineStr">
        <is>
          <t>E-02-03</t>
        </is>
      </c>
    </row>
    <row r="341">
      <c r="A341" s="30" t="inlineStr">
        <is>
          <t>O0340</t>
        </is>
      </c>
      <c r="B341" s="30" t="inlineStr">
        <is>
          <t>H</t>
        </is>
      </c>
      <c r="C341" s="31" t="n">
        <v>4673.4</v>
      </c>
      <c r="D341" s="31" t="n">
        <v>16427.4</v>
      </c>
      <c r="E341" s="31" t="n">
        <v>16427.4</v>
      </c>
      <c r="F341" s="31" t="n">
        <v>16441.7</v>
      </c>
      <c r="G341" s="31" t="n">
        <v>16467.6</v>
      </c>
      <c r="H341" s="31" t="n">
        <v>16483.9</v>
      </c>
      <c r="I341" s="31" t="n">
        <v>16513.7</v>
      </c>
      <c r="J341" s="31" t="n">
        <v>16555.5</v>
      </c>
      <c r="K341" s="31" t="n">
        <v>11882.1</v>
      </c>
      <c r="L341" s="31" t="n">
        <v>11754</v>
      </c>
      <c r="M341" s="30" t="inlineStr">
        <is>
          <t>AMR2</t>
        </is>
      </c>
      <c r="N341" s="30" t="inlineStr">
        <is>
          <t>AMR2</t>
        </is>
      </c>
      <c r="O341" s="32" t="n">
        <v>0</v>
      </c>
      <c r="P341" s="32" t="n">
        <v>0</v>
      </c>
      <c r="Q341" s="32" t="n">
        <v>15</v>
      </c>
      <c r="R341" s="31" t="n">
        <v>38.5</v>
      </c>
      <c r="S341" s="31" t="n">
        <v>38.5</v>
      </c>
      <c r="T341" s="30" t="inlineStr">
        <is>
          <t>AMR2</t>
        </is>
      </c>
      <c r="U341" s="31" t="n">
        <v>51.2</v>
      </c>
      <c r="V341" s="31" t="n">
        <v>51.2</v>
      </c>
      <c r="W341" s="30" t="inlineStr">
        <is>
          <t>AMR2</t>
        </is>
      </c>
      <c r="X341" s="32" t="n">
        <v>0</v>
      </c>
      <c r="Y341" s="32" t="n">
        <v>0</v>
      </c>
      <c r="Z341" s="31" t="n">
        <v>0</v>
      </c>
      <c r="AA341" s="32" t="n">
        <v>0</v>
      </c>
      <c r="AB341" s="32" t="n">
        <v>2</v>
      </c>
      <c r="AC341" s="32" t="n">
        <v>1</v>
      </c>
      <c r="AD341" s="32" t="n">
        <v>1</v>
      </c>
      <c r="AE341" s="31" t="n">
        <v>12.8</v>
      </c>
      <c r="AF341" s="32" t="n">
        <v>1</v>
      </c>
      <c r="AG341" s="31" t="n">
        <v>7.8</v>
      </c>
      <c r="AH341" s="32" t="n">
        <v>42</v>
      </c>
      <c r="AI341" s="31" t="n">
        <v>48.7</v>
      </c>
      <c r="AJ341" s="31" t="n">
        <v>44.4</v>
      </c>
      <c r="AK341" s="31" t="n">
        <v>18.7</v>
      </c>
      <c r="AL341" s="30" t="inlineStr">
        <is>
          <t>T-0490</t>
        </is>
      </c>
      <c r="AM341" s="30" t="inlineStr">
        <is>
          <t>H-03-03</t>
        </is>
      </c>
      <c r="AN341" s="30" t="inlineStr">
        <is>
          <t>T-0424</t>
        </is>
      </c>
      <c r="AO341" s="30" t="inlineStr">
        <is>
          <t>H-05-01</t>
        </is>
      </c>
    </row>
    <row r="342">
      <c r="A342" s="30" t="inlineStr">
        <is>
          <t>O0341</t>
        </is>
      </c>
      <c r="B342" s="30" t="inlineStr">
        <is>
          <t>C</t>
        </is>
      </c>
      <c r="C342" s="31" t="n">
        <v>4678</v>
      </c>
      <c r="D342" s="31" t="n">
        <v>16492.8</v>
      </c>
      <c r="E342" s="31" t="n">
        <v>16492.8</v>
      </c>
      <c r="F342" s="31" t="n">
        <v>16506.6</v>
      </c>
      <c r="G342" s="31" t="n">
        <v>16531.8</v>
      </c>
      <c r="H342" s="31" t="n">
        <v>16544.6</v>
      </c>
      <c r="I342" s="31" t="n">
        <v>16564.4</v>
      </c>
      <c r="J342" s="31" t="n">
        <v>16592.3</v>
      </c>
      <c r="K342" s="31" t="n">
        <v>11914.3</v>
      </c>
      <c r="L342" s="31" t="n">
        <v>11814.8</v>
      </c>
      <c r="M342" s="30" t="inlineStr">
        <is>
          <t>AMR1</t>
        </is>
      </c>
      <c r="N342" s="30" t="inlineStr">
        <is>
          <t>AMR1</t>
        </is>
      </c>
      <c r="O342" s="32" t="n">
        <v>0</v>
      </c>
      <c r="P342" s="32" t="n">
        <v>0</v>
      </c>
      <c r="Q342" s="32" t="n">
        <v>13</v>
      </c>
      <c r="R342" s="31" t="n">
        <v>35.9</v>
      </c>
      <c r="S342" s="31" t="n">
        <v>35.9</v>
      </c>
      <c r="T342" s="30" t="inlineStr">
        <is>
          <t>AMR1</t>
        </is>
      </c>
      <c r="U342" s="31" t="n">
        <v>48.9</v>
      </c>
      <c r="V342" s="31" t="n">
        <v>48.9</v>
      </c>
      <c r="W342" s="30" t="inlineStr">
        <is>
          <t>AMR1</t>
        </is>
      </c>
      <c r="X342" s="32" t="n">
        <v>0</v>
      </c>
      <c r="Y342" s="32" t="n">
        <v>0</v>
      </c>
      <c r="Z342" s="31" t="n">
        <v>0</v>
      </c>
      <c r="AA342" s="32" t="n">
        <v>0</v>
      </c>
      <c r="AB342" s="32" t="n">
        <v>0</v>
      </c>
      <c r="AC342" s="32" t="n">
        <v>0</v>
      </c>
      <c r="AD342" s="32" t="n">
        <v>1</v>
      </c>
      <c r="AE342" s="31" t="n">
        <v>2.2</v>
      </c>
      <c r="AF342" s="32" t="n">
        <v>0</v>
      </c>
      <c r="AG342" s="31" t="n">
        <v>0</v>
      </c>
      <c r="AH342" s="32" t="n">
        <v>39</v>
      </c>
      <c r="AI342" s="31" t="n">
        <v>41.9</v>
      </c>
      <c r="AJ342" s="31" t="n">
        <v>42.6</v>
      </c>
      <c r="AK342" s="31" t="n">
        <v>2.2</v>
      </c>
      <c r="AL342" s="30" t="inlineStr">
        <is>
          <t>T-0491</t>
        </is>
      </c>
      <c r="AM342" s="30" t="inlineStr">
        <is>
          <t>C-04-03</t>
        </is>
      </c>
      <c r="AN342" s="30" t="inlineStr">
        <is>
          <t>T-0355</t>
        </is>
      </c>
      <c r="AO342" s="30" t="inlineStr">
        <is>
          <t>C-01-01</t>
        </is>
      </c>
    </row>
    <row r="343">
      <c r="A343" s="30" t="inlineStr">
        <is>
          <t>O0342</t>
        </is>
      </c>
      <c r="B343" s="30" t="inlineStr">
        <is>
          <t>C</t>
        </is>
      </c>
      <c r="C343" s="31" t="n">
        <v>4681.3</v>
      </c>
      <c r="D343" s="31" t="n">
        <v>16564.6</v>
      </c>
      <c r="E343" s="31" t="n">
        <v>16564.6</v>
      </c>
      <c r="F343" s="31" t="n">
        <v>16576.8</v>
      </c>
      <c r="G343" s="31" t="n">
        <v>16600</v>
      </c>
      <c r="H343" s="31" t="n">
        <v>16612.2</v>
      </c>
      <c r="I343" s="31" t="n">
        <v>16640.9</v>
      </c>
      <c r="J343" s="31" t="n">
        <v>16667.8</v>
      </c>
      <c r="K343" s="31" t="n">
        <v>11986.5</v>
      </c>
      <c r="L343" s="31" t="n">
        <v>11883.3</v>
      </c>
      <c r="M343" s="30" t="inlineStr">
        <is>
          <t>AMR3</t>
        </is>
      </c>
      <c r="N343" s="30" t="inlineStr">
        <is>
          <t>AMR3</t>
        </is>
      </c>
      <c r="O343" s="32" t="n">
        <v>0</v>
      </c>
      <c r="P343" s="32" t="n">
        <v>0</v>
      </c>
      <c r="Q343" s="32" t="n">
        <v>13</v>
      </c>
      <c r="R343" s="31" t="n">
        <v>34.5</v>
      </c>
      <c r="S343" s="31" t="n">
        <v>34.5</v>
      </c>
      <c r="T343" s="30" t="inlineStr">
        <is>
          <t>AMR3</t>
        </is>
      </c>
      <c r="U343" s="31" t="n">
        <v>50.4</v>
      </c>
      <c r="V343" s="31" t="n">
        <v>50.4</v>
      </c>
      <c r="W343" s="30" t="inlineStr">
        <is>
          <t>AMR3</t>
        </is>
      </c>
      <c r="X343" s="32" t="n">
        <v>0</v>
      </c>
      <c r="Y343" s="32" t="n">
        <v>0</v>
      </c>
      <c r="Z343" s="31" t="n">
        <v>0</v>
      </c>
      <c r="AA343" s="32" t="n">
        <v>0</v>
      </c>
      <c r="AB343" s="32" t="n">
        <v>1</v>
      </c>
      <c r="AC343" s="32" t="n">
        <v>1</v>
      </c>
      <c r="AD343" s="32" t="n">
        <v>0</v>
      </c>
      <c r="AE343" s="31" t="n">
        <v>0</v>
      </c>
      <c r="AF343" s="32" t="n">
        <v>0</v>
      </c>
      <c r="AG343" s="31" t="n">
        <v>0</v>
      </c>
      <c r="AH343" s="32" t="n">
        <v>43</v>
      </c>
      <c r="AI343" s="31" t="n">
        <v>45.3</v>
      </c>
      <c r="AJ343" s="31" t="n">
        <v>42.7</v>
      </c>
      <c r="AK343" s="31" t="n">
        <v>3</v>
      </c>
      <c r="AL343" s="30" t="inlineStr">
        <is>
          <t>T-0492</t>
        </is>
      </c>
      <c r="AM343" s="30" t="inlineStr">
        <is>
          <t>C-01-01</t>
        </is>
      </c>
      <c r="AN343" s="30" t="inlineStr">
        <is>
          <t>T-0356</t>
        </is>
      </c>
      <c r="AO343" s="30" t="inlineStr">
        <is>
          <t>C-04-01</t>
        </is>
      </c>
    </row>
    <row r="344">
      <c r="A344" s="30" t="inlineStr">
        <is>
          <t>O0343</t>
        </is>
      </c>
      <c r="B344" s="30" t="inlineStr">
        <is>
          <t>D</t>
        </is>
      </c>
      <c r="C344" s="31" t="n">
        <v>4687.5</v>
      </c>
      <c r="D344" s="31" t="n">
        <v>16579.2</v>
      </c>
      <c r="E344" s="31" t="n">
        <v>16579.2</v>
      </c>
      <c r="F344" s="31" t="n">
        <v>16590.7</v>
      </c>
      <c r="G344" s="31" t="n">
        <v>16612.1</v>
      </c>
      <c r="H344" s="31" t="n">
        <v>16620.1</v>
      </c>
      <c r="I344" s="31" t="n">
        <v>16648.9</v>
      </c>
      <c r="J344" s="31" t="n">
        <v>16680.9</v>
      </c>
      <c r="K344" s="31" t="n">
        <v>11993.4</v>
      </c>
      <c r="L344" s="31" t="n">
        <v>11891.7</v>
      </c>
      <c r="M344" s="30" t="inlineStr">
        <is>
          <t>AMR2</t>
        </is>
      </c>
      <c r="N344" s="30" t="inlineStr">
        <is>
          <t>AMR1</t>
        </is>
      </c>
      <c r="O344" s="32" t="n">
        <v>0</v>
      </c>
      <c r="P344" s="32" t="n">
        <v>0</v>
      </c>
      <c r="Q344" s="32" t="n">
        <v>13</v>
      </c>
      <c r="R344" s="31" t="n">
        <v>32</v>
      </c>
      <c r="S344" s="31" t="n">
        <v>32</v>
      </c>
      <c r="T344" s="30" t="inlineStr">
        <is>
          <t>AMR2</t>
        </is>
      </c>
      <c r="U344" s="31" t="n">
        <v>50</v>
      </c>
      <c r="V344" s="31" t="n">
        <v>50</v>
      </c>
      <c r="W344" s="30" t="inlineStr">
        <is>
          <t>AMR1</t>
        </is>
      </c>
      <c r="X344" s="32" t="n">
        <v>0</v>
      </c>
      <c r="Y344" s="32" t="n">
        <v>0</v>
      </c>
      <c r="Z344" s="31" t="n">
        <v>0</v>
      </c>
      <c r="AA344" s="32" t="n">
        <v>0</v>
      </c>
      <c r="AB344" s="32" t="n">
        <v>1</v>
      </c>
      <c r="AC344" s="32" t="n">
        <v>1</v>
      </c>
      <c r="AD344" s="32" t="n">
        <v>1</v>
      </c>
      <c r="AE344" s="31" t="n">
        <v>4</v>
      </c>
      <c r="AF344" s="32" t="n">
        <v>0</v>
      </c>
      <c r="AG344" s="31" t="n">
        <v>0</v>
      </c>
      <c r="AH344" s="32" t="n">
        <v>41</v>
      </c>
      <c r="AI344" s="31" t="n">
        <v>47.4</v>
      </c>
      <c r="AJ344" s="31" t="n">
        <v>39.3</v>
      </c>
      <c r="AK344" s="31" t="n">
        <v>7</v>
      </c>
      <c r="AL344" s="30" t="inlineStr">
        <is>
          <t>T-0493</t>
        </is>
      </c>
      <c r="AM344" s="30" t="inlineStr">
        <is>
          <t>D-01-03</t>
        </is>
      </c>
      <c r="AN344" s="30" t="inlineStr">
        <is>
          <t>T-0400</t>
        </is>
      </c>
      <c r="AO344" s="30" t="inlineStr">
        <is>
          <t>D-03-03</t>
        </is>
      </c>
    </row>
    <row r="345">
      <c r="A345" s="30" t="inlineStr">
        <is>
          <t>O0344</t>
        </is>
      </c>
      <c r="B345" s="30" t="inlineStr">
        <is>
          <t>G</t>
        </is>
      </c>
      <c r="C345" s="31" t="n">
        <v>4691.3</v>
      </c>
      <c r="D345" s="31" t="n">
        <v>16629.9</v>
      </c>
      <c r="E345" s="31" t="n">
        <v>16629.9</v>
      </c>
      <c r="F345" s="31" t="n">
        <v>16643.8</v>
      </c>
      <c r="G345" s="31" t="n">
        <v>16672.4</v>
      </c>
      <c r="H345" s="31" t="n">
        <v>16689.2</v>
      </c>
      <c r="I345" s="31" t="n">
        <v>16719.8</v>
      </c>
      <c r="J345" s="31" t="n">
        <v>16752.4</v>
      </c>
      <c r="K345" s="31" t="n">
        <v>12061.1</v>
      </c>
      <c r="L345" s="31" t="n">
        <v>11938.6</v>
      </c>
      <c r="M345" s="30" t="inlineStr">
        <is>
          <t>AMR2</t>
        </is>
      </c>
      <c r="N345" s="30" t="inlineStr">
        <is>
          <t>AMR2</t>
        </is>
      </c>
      <c r="O345" s="32" t="n">
        <v>0</v>
      </c>
      <c r="P345" s="32" t="n">
        <v>0</v>
      </c>
      <c r="Q345" s="32" t="n">
        <v>17</v>
      </c>
      <c r="R345" s="31" t="n">
        <v>41.6</v>
      </c>
      <c r="S345" s="31" t="n">
        <v>41.6</v>
      </c>
      <c r="T345" s="30" t="inlineStr">
        <is>
          <t>AMR2</t>
        </is>
      </c>
      <c r="U345" s="31" t="n">
        <v>59.9</v>
      </c>
      <c r="V345" s="31" t="n">
        <v>59.9</v>
      </c>
      <c r="W345" s="30" t="inlineStr">
        <is>
          <t>AMR2</t>
        </is>
      </c>
      <c r="X345" s="32" t="n">
        <v>0</v>
      </c>
      <c r="Y345" s="32" t="n">
        <v>0</v>
      </c>
      <c r="Z345" s="31" t="n">
        <v>0</v>
      </c>
      <c r="AA345" s="32" t="n">
        <v>0</v>
      </c>
      <c r="AB345" s="32" t="n">
        <v>0</v>
      </c>
      <c r="AC345" s="32" t="n">
        <v>0</v>
      </c>
      <c r="AD345" s="32" t="n">
        <v>0</v>
      </c>
      <c r="AE345" s="31" t="n">
        <v>0</v>
      </c>
      <c r="AF345" s="32" t="n">
        <v>0</v>
      </c>
      <c r="AG345" s="31" t="n">
        <v>0</v>
      </c>
      <c r="AH345" s="32" t="n">
        <v>51</v>
      </c>
      <c r="AI345" s="31" t="n">
        <v>54.6</v>
      </c>
      <c r="AJ345" s="31" t="n">
        <v>51.1</v>
      </c>
      <c r="AK345" s="31" t="n">
        <v>0</v>
      </c>
      <c r="AL345" s="30" t="inlineStr">
        <is>
          <t>T-0494</t>
        </is>
      </c>
      <c r="AM345" s="30" t="inlineStr">
        <is>
          <t>G-05-02</t>
        </is>
      </c>
      <c r="AN345" s="30" t="inlineStr">
        <is>
          <t>T-0302</t>
        </is>
      </c>
      <c r="AO345" s="30" t="inlineStr">
        <is>
          <t>G-01-03</t>
        </is>
      </c>
    </row>
    <row r="346">
      <c r="A346" s="30" t="inlineStr">
        <is>
          <t>O0345</t>
        </is>
      </c>
      <c r="B346" s="30" t="inlineStr">
        <is>
          <t>B</t>
        </is>
      </c>
      <c r="C346" s="31" t="n">
        <v>4696.6</v>
      </c>
      <c r="D346" s="31" t="n">
        <v>16692.6</v>
      </c>
      <c r="E346" s="31" t="n">
        <v>16692.6</v>
      </c>
      <c r="F346" s="31" t="n">
        <v>16703.1</v>
      </c>
      <c r="G346" s="31" t="n">
        <v>16729.8</v>
      </c>
      <c r="H346" s="31" t="n">
        <v>16744.6</v>
      </c>
      <c r="I346" s="31" t="n">
        <v>16772.8</v>
      </c>
      <c r="J346" s="31" t="n">
        <v>16804.7</v>
      </c>
      <c r="K346" s="31" t="n">
        <v>12108.1</v>
      </c>
      <c r="L346" s="31" t="n">
        <v>11996</v>
      </c>
      <c r="M346" s="30" t="inlineStr">
        <is>
          <t>AMR3</t>
        </is>
      </c>
      <c r="N346" s="30" t="inlineStr">
        <is>
          <t>AMR3</t>
        </is>
      </c>
      <c r="O346" s="32" t="n">
        <v>0</v>
      </c>
      <c r="P346" s="32" t="n">
        <v>0</v>
      </c>
      <c r="Q346" s="32" t="n">
        <v>15</v>
      </c>
      <c r="R346" s="31" t="n">
        <v>36.3</v>
      </c>
      <c r="S346" s="31" t="n">
        <v>36.3</v>
      </c>
      <c r="T346" s="30" t="inlineStr">
        <is>
          <t>AMR3</t>
        </is>
      </c>
      <c r="U346" s="31" t="n">
        <v>56.8</v>
      </c>
      <c r="V346" s="31" t="n">
        <v>56.8</v>
      </c>
      <c r="W346" s="30" t="inlineStr">
        <is>
          <t>AMR3</t>
        </is>
      </c>
      <c r="X346" s="32" t="n">
        <v>0</v>
      </c>
      <c r="Y346" s="32" t="n">
        <v>0</v>
      </c>
      <c r="Z346" s="31" t="n">
        <v>0</v>
      </c>
      <c r="AA346" s="32" t="n">
        <v>0</v>
      </c>
      <c r="AB346" s="32" t="n">
        <v>0</v>
      </c>
      <c r="AC346" s="32" t="n">
        <v>0</v>
      </c>
      <c r="AD346" s="32" t="n">
        <v>0</v>
      </c>
      <c r="AE346" s="31" t="n">
        <v>0</v>
      </c>
      <c r="AF346" s="32" t="n">
        <v>0</v>
      </c>
      <c r="AG346" s="31" t="n">
        <v>0</v>
      </c>
      <c r="AH346" s="32" t="n">
        <v>49</v>
      </c>
      <c r="AI346" s="31" t="n">
        <v>51.5</v>
      </c>
      <c r="AJ346" s="31" t="n">
        <v>45.8</v>
      </c>
      <c r="AK346" s="31" t="n">
        <v>0</v>
      </c>
      <c r="AL346" s="30" t="inlineStr">
        <is>
          <t>T-0495</t>
        </is>
      </c>
      <c r="AM346" s="30" t="inlineStr">
        <is>
          <t>B-04-03</t>
        </is>
      </c>
      <c r="AN346" s="30" t="inlineStr">
        <is>
          <t>T-0269</t>
        </is>
      </c>
      <c r="AO346" s="30" t="inlineStr">
        <is>
          <t>B-01-01</t>
        </is>
      </c>
    </row>
    <row r="347">
      <c r="A347" s="30" t="inlineStr">
        <is>
          <t>O0346</t>
        </is>
      </c>
      <c r="B347" s="30" t="inlineStr">
        <is>
          <t>G</t>
        </is>
      </c>
      <c r="C347" s="31" t="n">
        <v>4702.8</v>
      </c>
      <c r="D347" s="31" t="n">
        <v>16704.6</v>
      </c>
      <c r="E347" s="31" t="n">
        <v>16704.6</v>
      </c>
      <c r="F347" s="31" t="n">
        <v>16719.3</v>
      </c>
      <c r="G347" s="31" t="n">
        <v>16747.3</v>
      </c>
      <c r="H347" s="31" t="n">
        <v>16762.8</v>
      </c>
      <c r="I347" s="31" t="n">
        <v>16789.8</v>
      </c>
      <c r="J347" s="31" t="n">
        <v>16822.2</v>
      </c>
      <c r="K347" s="31" t="n">
        <v>12119.4</v>
      </c>
      <c r="L347" s="31" t="n">
        <v>12001.8</v>
      </c>
      <c r="M347" s="30" t="inlineStr">
        <is>
          <t>AMR1</t>
        </is>
      </c>
      <c r="N347" s="30" t="inlineStr">
        <is>
          <t>AMR1</t>
        </is>
      </c>
      <c r="O347" s="32" t="n">
        <v>0</v>
      </c>
      <c r="P347" s="32" t="n">
        <v>0</v>
      </c>
      <c r="Q347" s="32" t="n">
        <v>17</v>
      </c>
      <c r="R347" s="31" t="n">
        <v>42.6</v>
      </c>
      <c r="S347" s="31" t="n">
        <v>42.6</v>
      </c>
      <c r="T347" s="30" t="inlineStr">
        <is>
          <t>AMR1</t>
        </is>
      </c>
      <c r="U347" s="31" t="n">
        <v>56.1</v>
      </c>
      <c r="V347" s="31" t="n">
        <v>56.1</v>
      </c>
      <c r="W347" s="30" t="inlineStr">
        <is>
          <t>AMR1</t>
        </is>
      </c>
      <c r="X347" s="32" t="n">
        <v>0</v>
      </c>
      <c r="Y347" s="32" t="n">
        <v>0</v>
      </c>
      <c r="Z347" s="31" t="n">
        <v>0</v>
      </c>
      <c r="AA347" s="32" t="n">
        <v>0</v>
      </c>
      <c r="AB347" s="32" t="n">
        <v>0</v>
      </c>
      <c r="AC347" s="32" t="n">
        <v>0</v>
      </c>
      <c r="AD347" s="32" t="n">
        <v>0</v>
      </c>
      <c r="AE347" s="31" t="n">
        <v>0</v>
      </c>
      <c r="AF347" s="32" t="n">
        <v>0</v>
      </c>
      <c r="AG347" s="31" t="n">
        <v>0</v>
      </c>
      <c r="AH347" s="32" t="n">
        <v>50</v>
      </c>
      <c r="AI347" s="31" t="n">
        <v>53.8</v>
      </c>
      <c r="AJ347" s="31" t="n">
        <v>48.3</v>
      </c>
      <c r="AK347" s="31" t="n">
        <v>0</v>
      </c>
      <c r="AL347" s="30" t="inlineStr">
        <is>
          <t>T-0496</t>
        </is>
      </c>
      <c r="AM347" s="30" t="inlineStr">
        <is>
          <t>G-06-02</t>
        </is>
      </c>
      <c r="AN347" s="30" t="inlineStr">
        <is>
          <t>T-0304</t>
        </is>
      </c>
      <c r="AO347" s="30" t="inlineStr">
        <is>
          <t>G-02-03</t>
        </is>
      </c>
    </row>
    <row r="348">
      <c r="A348" s="30" t="inlineStr">
        <is>
          <t>O0347</t>
        </is>
      </c>
      <c r="B348" s="30" t="inlineStr">
        <is>
          <t>B</t>
        </is>
      </c>
      <c r="C348" s="31" t="n">
        <v>4706.9</v>
      </c>
      <c r="D348" s="31" t="n">
        <v>16776.1</v>
      </c>
      <c r="E348" s="31" t="n">
        <v>16776.1</v>
      </c>
      <c r="F348" s="31" t="n">
        <v>16788.7</v>
      </c>
      <c r="G348" s="31" t="n">
        <v>16813.6</v>
      </c>
      <c r="H348" s="31" t="n">
        <v>16828.4</v>
      </c>
      <c r="I348" s="31" t="n">
        <v>16858</v>
      </c>
      <c r="J348" s="31" t="n">
        <v>16889.2</v>
      </c>
      <c r="K348" s="31" t="n">
        <v>12182.3</v>
      </c>
      <c r="L348" s="31" t="n">
        <v>12069.2</v>
      </c>
      <c r="M348" s="30" t="inlineStr">
        <is>
          <t>AMR2</t>
        </is>
      </c>
      <c r="N348" s="30" t="inlineStr">
        <is>
          <t>AMR3</t>
        </is>
      </c>
      <c r="O348" s="32" t="n">
        <v>0</v>
      </c>
      <c r="P348" s="32" t="n">
        <v>0</v>
      </c>
      <c r="Q348" s="32" t="n">
        <v>15</v>
      </c>
      <c r="R348" s="31" t="n">
        <v>35</v>
      </c>
      <c r="S348" s="31" t="n">
        <v>35</v>
      </c>
      <c r="T348" s="30" t="inlineStr">
        <is>
          <t>AMR2</t>
        </is>
      </c>
      <c r="U348" s="31" t="n">
        <v>52.9</v>
      </c>
      <c r="V348" s="31" t="n">
        <v>52.9</v>
      </c>
      <c r="W348" s="30" t="inlineStr">
        <is>
          <t>AMR3</t>
        </is>
      </c>
      <c r="X348" s="32" t="n">
        <v>0</v>
      </c>
      <c r="Y348" s="32" t="n">
        <v>0</v>
      </c>
      <c r="Z348" s="31" t="n">
        <v>0</v>
      </c>
      <c r="AA348" s="32" t="n">
        <v>0</v>
      </c>
      <c r="AB348" s="32" t="n">
        <v>1</v>
      </c>
      <c r="AC348" s="32" t="n">
        <v>1</v>
      </c>
      <c r="AD348" s="32" t="n">
        <v>0</v>
      </c>
      <c r="AE348" s="31" t="n">
        <v>0</v>
      </c>
      <c r="AF348" s="32" t="n">
        <v>0</v>
      </c>
      <c r="AG348" s="31" t="n">
        <v>0</v>
      </c>
      <c r="AH348" s="32" t="n">
        <v>51</v>
      </c>
      <c r="AI348" s="31" t="n">
        <v>54.7</v>
      </c>
      <c r="AJ348" s="31" t="n">
        <v>40.6</v>
      </c>
      <c r="AK348" s="31" t="n">
        <v>3</v>
      </c>
      <c r="AL348" s="30" t="inlineStr">
        <is>
          <t>T-0497</t>
        </is>
      </c>
      <c r="AM348" s="30" t="inlineStr">
        <is>
          <t>B-01-01</t>
        </is>
      </c>
      <c r="AN348" s="30" t="inlineStr">
        <is>
          <t>T-0280</t>
        </is>
      </c>
      <c r="AO348" s="30" t="inlineStr">
        <is>
          <t>B-02-01</t>
        </is>
      </c>
    </row>
    <row r="349">
      <c r="A349" s="30" t="inlineStr">
        <is>
          <t>O0348</t>
        </is>
      </c>
      <c r="B349" s="30" t="inlineStr">
        <is>
          <t>C</t>
        </is>
      </c>
      <c r="C349" s="31" t="n">
        <v>4710.9</v>
      </c>
      <c r="D349" s="31" t="n">
        <v>16834.9</v>
      </c>
      <c r="E349" s="31" t="n">
        <v>16834.9</v>
      </c>
      <c r="F349" s="31" t="n">
        <v>16850.2</v>
      </c>
      <c r="G349" s="31" t="n">
        <v>16872.6</v>
      </c>
      <c r="H349" s="31" t="n">
        <v>16885.4</v>
      </c>
      <c r="I349" s="31" t="n">
        <v>16907.2</v>
      </c>
      <c r="J349" s="31" t="n">
        <v>16935.2</v>
      </c>
      <c r="K349" s="31" t="n">
        <v>12224.3</v>
      </c>
      <c r="L349" s="31" t="n">
        <v>12124</v>
      </c>
      <c r="M349" s="30" t="inlineStr">
        <is>
          <t>AMR2</t>
        </is>
      </c>
      <c r="N349" s="30" t="inlineStr">
        <is>
          <t>AMR2</t>
        </is>
      </c>
      <c r="O349" s="32" t="n">
        <v>0</v>
      </c>
      <c r="P349" s="32" t="n">
        <v>0</v>
      </c>
      <c r="Q349" s="32" t="n">
        <v>13</v>
      </c>
      <c r="R349" s="31" t="n">
        <v>36.8</v>
      </c>
      <c r="S349" s="31" t="n">
        <v>36.8</v>
      </c>
      <c r="T349" s="30" t="inlineStr">
        <is>
          <t>AMR2</t>
        </is>
      </c>
      <c r="U349" s="31" t="n">
        <v>49.5</v>
      </c>
      <c r="V349" s="31" t="n">
        <v>49.5</v>
      </c>
      <c r="W349" s="30" t="inlineStr">
        <is>
          <t>AMR2</t>
        </is>
      </c>
      <c r="X349" s="32" t="n">
        <v>0</v>
      </c>
      <c r="Y349" s="32" t="n">
        <v>0</v>
      </c>
      <c r="Z349" s="31" t="n">
        <v>0</v>
      </c>
      <c r="AA349" s="32" t="n">
        <v>0</v>
      </c>
      <c r="AB349" s="32" t="n">
        <v>0</v>
      </c>
      <c r="AC349" s="32" t="n">
        <v>0</v>
      </c>
      <c r="AD349" s="32" t="n">
        <v>0</v>
      </c>
      <c r="AE349" s="31" t="n">
        <v>0</v>
      </c>
      <c r="AF349" s="32" t="n">
        <v>0</v>
      </c>
      <c r="AG349" s="31" t="n">
        <v>0</v>
      </c>
      <c r="AH349" s="32" t="n">
        <v>39</v>
      </c>
      <c r="AI349" s="31" t="n">
        <v>43.4</v>
      </c>
      <c r="AJ349" s="31" t="n">
        <v>44.1</v>
      </c>
      <c r="AK349" s="31" t="n">
        <v>0</v>
      </c>
      <c r="AL349" s="30" t="inlineStr">
        <is>
          <t>T-0498</t>
        </is>
      </c>
      <c r="AM349" s="30" t="inlineStr">
        <is>
          <t>C-04-01</t>
        </is>
      </c>
      <c r="AN349" s="30" t="inlineStr">
        <is>
          <t>T-0357</t>
        </is>
      </c>
      <c r="AO349" s="30" t="inlineStr">
        <is>
          <t>C-05-01</t>
        </is>
      </c>
    </row>
    <row r="350">
      <c r="A350" s="30" t="inlineStr">
        <is>
          <t>O0349</t>
        </is>
      </c>
      <c r="B350" s="30" t="inlineStr">
        <is>
          <t>B</t>
        </is>
      </c>
      <c r="C350" s="31" t="n">
        <v>4713.9</v>
      </c>
      <c r="D350" s="31" t="n">
        <v>16850.3</v>
      </c>
      <c r="E350" s="31" t="n">
        <v>16850.3</v>
      </c>
      <c r="F350" s="31" t="n">
        <v>16862.7</v>
      </c>
      <c r="G350" s="31" t="n">
        <v>16887.7</v>
      </c>
      <c r="H350" s="31" t="n">
        <v>16903.9</v>
      </c>
      <c r="I350" s="31" t="n">
        <v>16931.7</v>
      </c>
      <c r="J350" s="31" t="n">
        <v>16959.8</v>
      </c>
      <c r="K350" s="31" t="n">
        <v>12245.9</v>
      </c>
      <c r="L350" s="31" t="n">
        <v>12136.4</v>
      </c>
      <c r="M350" s="30" t="inlineStr">
        <is>
          <t>AMR1</t>
        </is>
      </c>
      <c r="N350" s="30" t="inlineStr">
        <is>
          <t>AMR1</t>
        </is>
      </c>
      <c r="O350" s="32" t="n">
        <v>0</v>
      </c>
      <c r="P350" s="32" t="n">
        <v>0</v>
      </c>
      <c r="Q350" s="32" t="n">
        <v>15</v>
      </c>
      <c r="R350" s="31" t="n">
        <v>34.9</v>
      </c>
      <c r="S350" s="31" t="n">
        <v>34.9</v>
      </c>
      <c r="T350" s="30" t="inlineStr">
        <is>
          <t>AMR1</t>
        </is>
      </c>
      <c r="U350" s="31" t="n">
        <v>55.6</v>
      </c>
      <c r="V350" s="31" t="n">
        <v>55.6</v>
      </c>
      <c r="W350" s="30" t="inlineStr">
        <is>
          <t>AMR1</t>
        </is>
      </c>
      <c r="X350" s="32" t="n">
        <v>0</v>
      </c>
      <c r="Y350" s="32" t="n">
        <v>0</v>
      </c>
      <c r="Z350" s="31" t="n">
        <v>0</v>
      </c>
      <c r="AA350" s="32" t="n">
        <v>0</v>
      </c>
      <c r="AB350" s="32" t="n">
        <v>0</v>
      </c>
      <c r="AC350" s="32" t="n">
        <v>0</v>
      </c>
      <c r="AD350" s="32" t="n">
        <v>0</v>
      </c>
      <c r="AE350" s="31" t="n">
        <v>0</v>
      </c>
      <c r="AF350" s="32" t="n">
        <v>0</v>
      </c>
      <c r="AG350" s="31" t="n">
        <v>0</v>
      </c>
      <c r="AH350" s="32" t="n">
        <v>47</v>
      </c>
      <c r="AI350" s="31" t="n">
        <v>50.1</v>
      </c>
      <c r="AJ350" s="31" t="n">
        <v>43.2</v>
      </c>
      <c r="AK350" s="31" t="n">
        <v>0</v>
      </c>
      <c r="AL350" s="30" t="inlineStr">
        <is>
          <t>T-0499</t>
        </is>
      </c>
      <c r="AM350" s="30" t="inlineStr">
        <is>
          <t>B-02-01</t>
        </is>
      </c>
      <c r="AN350" s="30" t="inlineStr">
        <is>
          <t>T-0285</t>
        </is>
      </c>
      <c r="AO350" s="30" t="inlineStr">
        <is>
          <t>B-04-01</t>
        </is>
      </c>
    </row>
    <row r="351">
      <c r="A351" s="30" t="inlineStr">
        <is>
          <t>O0350</t>
        </is>
      </c>
      <c r="B351" s="30" t="inlineStr">
        <is>
          <t>C</t>
        </is>
      </c>
      <c r="C351" s="31" t="n">
        <v>4718.2</v>
      </c>
      <c r="D351" s="31" t="n">
        <v>16912.9</v>
      </c>
      <c r="E351" s="31" t="n">
        <v>16912.9</v>
      </c>
      <c r="F351" s="31" t="n">
        <v>16929.2</v>
      </c>
      <c r="G351" s="31" t="n">
        <v>16949.7</v>
      </c>
      <c r="H351" s="31" t="n">
        <v>16958.9</v>
      </c>
      <c r="I351" s="31" t="n">
        <v>16982.4</v>
      </c>
      <c r="J351" s="31" t="n">
        <v>17010.1</v>
      </c>
      <c r="K351" s="31" t="n">
        <v>12291.9</v>
      </c>
      <c r="L351" s="31" t="n">
        <v>12194.7</v>
      </c>
      <c r="M351" s="30" t="inlineStr">
        <is>
          <t>AMR3</t>
        </is>
      </c>
      <c r="N351" s="30" t="inlineStr">
        <is>
          <t>AMR2</t>
        </is>
      </c>
      <c r="O351" s="32" t="n">
        <v>0</v>
      </c>
      <c r="P351" s="32" t="n">
        <v>0</v>
      </c>
      <c r="Q351" s="32" t="n">
        <v>13</v>
      </c>
      <c r="R351" s="31" t="n">
        <v>35.9</v>
      </c>
      <c r="S351" s="31" t="n">
        <v>35.9</v>
      </c>
      <c r="T351" s="30" t="inlineStr">
        <is>
          <t>AMR3</t>
        </is>
      </c>
      <c r="U351" s="31" t="n">
        <v>51.3</v>
      </c>
      <c r="V351" s="31" t="n">
        <v>51.3</v>
      </c>
      <c r="W351" s="30" t="inlineStr">
        <is>
          <t>AMR2</t>
        </is>
      </c>
      <c r="X351" s="32" t="n">
        <v>0</v>
      </c>
      <c r="Y351" s="32" t="n">
        <v>0</v>
      </c>
      <c r="Z351" s="31" t="n">
        <v>0</v>
      </c>
      <c r="AA351" s="32" t="n">
        <v>0</v>
      </c>
      <c r="AB351" s="32" t="n">
        <v>0</v>
      </c>
      <c r="AC351" s="32" t="n">
        <v>0</v>
      </c>
      <c r="AD351" s="32" t="n">
        <v>0</v>
      </c>
      <c r="AE351" s="31" t="n">
        <v>0</v>
      </c>
      <c r="AF351" s="32" t="n">
        <v>0</v>
      </c>
      <c r="AG351" s="31" t="n">
        <v>0</v>
      </c>
      <c r="AH351" s="32" t="n">
        <v>41</v>
      </c>
      <c r="AI351" s="31" t="n">
        <v>43</v>
      </c>
      <c r="AJ351" s="31" t="n">
        <v>45</v>
      </c>
      <c r="AK351" s="31" t="n">
        <v>0</v>
      </c>
      <c r="AL351" s="30" t="inlineStr">
        <is>
          <t>T-0500</t>
        </is>
      </c>
      <c r="AM351" s="30" t="inlineStr">
        <is>
          <t>C-05-01</t>
        </is>
      </c>
      <c r="AN351" s="30" t="inlineStr">
        <is>
          <t>T-0364</t>
        </is>
      </c>
      <c r="AO351" s="30" t="inlineStr">
        <is>
          <t>C-03-01</t>
        </is>
      </c>
    </row>
    <row r="352">
      <c r="A352" s="30" t="inlineStr">
        <is>
          <t>O0351</t>
        </is>
      </c>
      <c r="B352" s="30" t="inlineStr">
        <is>
          <t>C</t>
        </is>
      </c>
      <c r="C352" s="31" t="n">
        <v>4724.2</v>
      </c>
      <c r="D352" s="31" t="n">
        <v>16962.5</v>
      </c>
      <c r="E352" s="31" t="n">
        <v>16962.5</v>
      </c>
      <c r="F352" s="31" t="n">
        <v>16977.9</v>
      </c>
      <c r="G352" s="31" t="n">
        <v>17002.5</v>
      </c>
      <c r="H352" s="31" t="n">
        <v>17015.3</v>
      </c>
      <c r="I352" s="31" t="n">
        <v>17047.6</v>
      </c>
      <c r="J352" s="31" t="n">
        <v>17076.1</v>
      </c>
      <c r="K352" s="31" t="n">
        <v>12351.9</v>
      </c>
      <c r="L352" s="31" t="n">
        <v>12238.3</v>
      </c>
      <c r="M352" s="30" t="inlineStr">
        <is>
          <t>AMR3</t>
        </is>
      </c>
      <c r="N352" s="30" t="inlineStr">
        <is>
          <t>AMR3</t>
        </is>
      </c>
      <c r="O352" s="32" t="n">
        <v>0</v>
      </c>
      <c r="P352" s="32" t="n">
        <v>0</v>
      </c>
      <c r="Q352" s="32" t="n">
        <v>13</v>
      </c>
      <c r="R352" s="31" t="n">
        <v>36.5</v>
      </c>
      <c r="S352" s="31" t="n">
        <v>36.5</v>
      </c>
      <c r="T352" s="30" t="inlineStr">
        <is>
          <t>AMR3</t>
        </is>
      </c>
      <c r="U352" s="31" t="n">
        <v>50.4</v>
      </c>
      <c r="V352" s="31" t="n">
        <v>50.4</v>
      </c>
      <c r="W352" s="30" t="inlineStr">
        <is>
          <t>AMR3</t>
        </is>
      </c>
      <c r="X352" s="32" t="n">
        <v>0</v>
      </c>
      <c r="Y352" s="32" t="n">
        <v>0</v>
      </c>
      <c r="Z352" s="31" t="n">
        <v>0</v>
      </c>
      <c r="AA352" s="32" t="n">
        <v>0</v>
      </c>
      <c r="AB352" s="32" t="n">
        <v>2</v>
      </c>
      <c r="AC352" s="32" t="n">
        <v>2</v>
      </c>
      <c r="AD352" s="32" t="n">
        <v>1</v>
      </c>
      <c r="AE352" s="31" t="n">
        <v>2.6</v>
      </c>
      <c r="AF352" s="32" t="n">
        <v>0</v>
      </c>
      <c r="AG352" s="31" t="n">
        <v>0</v>
      </c>
      <c r="AH352" s="32" t="n">
        <v>39</v>
      </c>
      <c r="AI352" s="31" t="n">
        <v>46.2</v>
      </c>
      <c r="AJ352" s="31" t="n">
        <v>44.7</v>
      </c>
      <c r="AK352" s="31" t="n">
        <v>9.9</v>
      </c>
      <c r="AL352" s="30" t="inlineStr">
        <is>
          <t>T-0501</t>
        </is>
      </c>
      <c r="AM352" s="30" t="inlineStr">
        <is>
          <t>C-05-03</t>
        </is>
      </c>
      <c r="AN352" s="30" t="inlineStr">
        <is>
          <t>T-0374</t>
        </is>
      </c>
      <c r="AO352" s="30" t="inlineStr">
        <is>
          <t>C-06-01</t>
        </is>
      </c>
    </row>
    <row r="353">
      <c r="A353" s="30" t="inlineStr">
        <is>
          <t>O0352</t>
        </is>
      </c>
      <c r="B353" s="30" t="inlineStr">
        <is>
          <t>C</t>
        </is>
      </c>
      <c r="C353" s="31" t="n">
        <v>4729</v>
      </c>
      <c r="D353" s="31" t="n">
        <v>16983.5</v>
      </c>
      <c r="E353" s="31" t="n">
        <v>16983.5</v>
      </c>
      <c r="F353" s="31" t="n">
        <v>16994.7</v>
      </c>
      <c r="G353" s="31" t="n">
        <v>17015.1</v>
      </c>
      <c r="H353" s="31" t="n">
        <v>17033</v>
      </c>
      <c r="I353" s="31" t="n">
        <v>17059.9</v>
      </c>
      <c r="J353" s="31" t="n">
        <v>17090.7</v>
      </c>
      <c r="K353" s="31" t="n">
        <v>12361.7</v>
      </c>
      <c r="L353" s="31" t="n">
        <v>12254.5</v>
      </c>
      <c r="M353" s="30" t="inlineStr">
        <is>
          <t>AMR1</t>
        </is>
      </c>
      <c r="N353" s="30" t="inlineStr">
        <is>
          <t>AMR1</t>
        </is>
      </c>
      <c r="O353" s="32" t="n">
        <v>0</v>
      </c>
      <c r="P353" s="32" t="n">
        <v>0</v>
      </c>
      <c r="Q353" s="32" t="n">
        <v>13</v>
      </c>
      <c r="R353" s="31" t="n">
        <v>29.9</v>
      </c>
      <c r="S353" s="31" t="n">
        <v>29.9</v>
      </c>
      <c r="T353" s="30" t="inlineStr">
        <is>
          <t>AMR1</t>
        </is>
      </c>
      <c r="U353" s="31" t="n">
        <v>50.3</v>
      </c>
      <c r="V353" s="31" t="n">
        <v>50.3</v>
      </c>
      <c r="W353" s="30" t="inlineStr">
        <is>
          <t>AMR1</t>
        </is>
      </c>
      <c r="X353" s="32" t="n">
        <v>0</v>
      </c>
      <c r="Y353" s="32" t="n">
        <v>0</v>
      </c>
      <c r="Z353" s="31" t="n">
        <v>0</v>
      </c>
      <c r="AA353" s="32" t="n">
        <v>0</v>
      </c>
      <c r="AB353" s="32" t="n">
        <v>1</v>
      </c>
      <c r="AC353" s="32" t="n">
        <v>1</v>
      </c>
      <c r="AD353" s="32" t="n">
        <v>1</v>
      </c>
      <c r="AE353" s="31" t="n">
        <v>3.1</v>
      </c>
      <c r="AF353" s="32" t="n">
        <v>1</v>
      </c>
      <c r="AG353" s="31" t="n">
        <v>0.5</v>
      </c>
      <c r="AH353" s="32" t="n">
        <v>40</v>
      </c>
      <c r="AI353" s="31" t="n">
        <v>42.7</v>
      </c>
      <c r="AJ353" s="31" t="n">
        <v>38</v>
      </c>
      <c r="AK353" s="31" t="n">
        <v>8.6</v>
      </c>
      <c r="AL353" s="30" t="inlineStr">
        <is>
          <t>T-0502</t>
        </is>
      </c>
      <c r="AM353" s="30" t="inlineStr">
        <is>
          <t>C-03-01</t>
        </is>
      </c>
      <c r="AN353" s="30" t="inlineStr">
        <is>
          <t>T-0391</t>
        </is>
      </c>
      <c r="AO353" s="30" t="inlineStr">
        <is>
          <t>C-01-02</t>
        </is>
      </c>
    </row>
    <row r="354">
      <c r="A354" s="30" t="inlineStr">
        <is>
          <t>O0353</t>
        </is>
      </c>
      <c r="B354" s="30" t="inlineStr">
        <is>
          <t>A</t>
        </is>
      </c>
      <c r="C354" s="31" t="n">
        <v>4734</v>
      </c>
      <c r="D354" s="31" t="n">
        <v>17055.8</v>
      </c>
      <c r="E354" s="31" t="n">
        <v>17055.8</v>
      </c>
      <c r="F354" s="31" t="n">
        <v>17070.6</v>
      </c>
      <c r="G354" s="31" t="n">
        <v>17100.6</v>
      </c>
      <c r="H354" s="31" t="n">
        <v>17114.4</v>
      </c>
      <c r="I354" s="31" t="n">
        <v>17140.9</v>
      </c>
      <c r="J354" s="31" t="n">
        <v>17175.2</v>
      </c>
      <c r="K354" s="31" t="n">
        <v>12441.2</v>
      </c>
      <c r="L354" s="31" t="n">
        <v>12321.8</v>
      </c>
      <c r="M354" s="30" t="inlineStr">
        <is>
          <t>AMR2</t>
        </is>
      </c>
      <c r="N354" s="30" t="inlineStr">
        <is>
          <t>AMR1</t>
        </is>
      </c>
      <c r="O354" s="32" t="n">
        <v>0</v>
      </c>
      <c r="P354" s="32" t="n">
        <v>0</v>
      </c>
      <c r="Q354" s="32" t="n">
        <v>21</v>
      </c>
      <c r="R354" s="31" t="n">
        <v>43.9</v>
      </c>
      <c r="S354" s="31" t="n">
        <v>43.9</v>
      </c>
      <c r="T354" s="30" t="inlineStr">
        <is>
          <t>AMR2</t>
        </is>
      </c>
      <c r="U354" s="31" t="n">
        <v>63.5</v>
      </c>
      <c r="V354" s="31" t="n">
        <v>63.5</v>
      </c>
      <c r="W354" s="30" t="inlineStr">
        <is>
          <t>AMR1</t>
        </is>
      </c>
      <c r="X354" s="32" t="n">
        <v>0</v>
      </c>
      <c r="Y354" s="32" t="n">
        <v>0</v>
      </c>
      <c r="Z354" s="31" t="n">
        <v>0</v>
      </c>
      <c r="AA354" s="32" t="n">
        <v>0</v>
      </c>
      <c r="AB354" s="32" t="n">
        <v>0</v>
      </c>
      <c r="AC354" s="32" t="n">
        <v>0</v>
      </c>
      <c r="AD354" s="32" t="n">
        <v>0</v>
      </c>
      <c r="AE354" s="31" t="n">
        <v>0</v>
      </c>
      <c r="AF354" s="32" t="n">
        <v>0</v>
      </c>
      <c r="AG354" s="31" t="n">
        <v>0</v>
      </c>
      <c r="AH354" s="32" t="n">
        <v>61</v>
      </c>
      <c r="AI354" s="31" t="n">
        <v>60.3</v>
      </c>
      <c r="AJ354" s="31" t="n">
        <v>45.3</v>
      </c>
      <c r="AK354" s="31" t="n">
        <v>0</v>
      </c>
      <c r="AL354" s="30" t="inlineStr">
        <is>
          <t>T-0503</t>
        </is>
      </c>
      <c r="AM354" s="30" t="inlineStr">
        <is>
          <t>A-05-02</t>
        </is>
      </c>
      <c r="AN354" s="30" t="inlineStr">
        <is>
          <t>T-0217</t>
        </is>
      </c>
      <c r="AO354" s="30" t="inlineStr">
        <is>
          <t>A-06-01</t>
        </is>
      </c>
    </row>
    <row r="355">
      <c r="A355" s="30" t="inlineStr">
        <is>
          <t>O0354</t>
        </is>
      </c>
      <c r="B355" s="30" t="inlineStr">
        <is>
          <t>A</t>
        </is>
      </c>
      <c r="C355" s="31" t="n">
        <v>4738.8</v>
      </c>
      <c r="D355" s="31" t="n">
        <v>17099.8</v>
      </c>
      <c r="E355" s="31" t="n">
        <v>17099.8</v>
      </c>
      <c r="F355" s="31" t="n">
        <v>17110.4</v>
      </c>
      <c r="G355" s="31" t="n">
        <v>17139.3</v>
      </c>
      <c r="H355" s="31" t="n">
        <v>17163.7</v>
      </c>
      <c r="I355" s="31" t="n">
        <v>17196.6</v>
      </c>
      <c r="J355" s="31" t="n">
        <v>17231.5</v>
      </c>
      <c r="K355" s="31" t="n">
        <v>12492.7</v>
      </c>
      <c r="L355" s="31" t="n">
        <v>12361</v>
      </c>
      <c r="M355" s="30" t="inlineStr">
        <is>
          <t>AMR3</t>
        </is>
      </c>
      <c r="N355" s="30" t="inlineStr">
        <is>
          <t>AMR3</t>
        </is>
      </c>
      <c r="O355" s="32" t="n">
        <v>0</v>
      </c>
      <c r="P355" s="32" t="n">
        <v>0</v>
      </c>
      <c r="Q355" s="32" t="n">
        <v>21</v>
      </c>
      <c r="R355" s="31" t="n">
        <v>38.6</v>
      </c>
      <c r="S355" s="31" t="n">
        <v>38.6</v>
      </c>
      <c r="T355" s="30" t="inlineStr">
        <is>
          <t>AMR3</t>
        </is>
      </c>
      <c r="U355" s="31" t="n">
        <v>64.5</v>
      </c>
      <c r="V355" s="31" t="n">
        <v>64.5</v>
      </c>
      <c r="W355" s="30" t="inlineStr">
        <is>
          <t>AMR3</t>
        </is>
      </c>
      <c r="X355" s="32" t="n">
        <v>0</v>
      </c>
      <c r="Y355" s="32" t="n">
        <v>0</v>
      </c>
      <c r="Z355" s="31" t="n">
        <v>0</v>
      </c>
      <c r="AA355" s="32" t="n">
        <v>0</v>
      </c>
      <c r="AB355" s="32" t="n">
        <v>0</v>
      </c>
      <c r="AC355" s="32" t="n">
        <v>0</v>
      </c>
      <c r="AD355" s="32" t="n">
        <v>0</v>
      </c>
      <c r="AE355" s="31" t="n">
        <v>0</v>
      </c>
      <c r="AF355" s="32" t="n">
        <v>0</v>
      </c>
      <c r="AG355" s="31" t="n">
        <v>0</v>
      </c>
      <c r="AH355" s="32" t="n">
        <v>67</v>
      </c>
      <c r="AI355" s="31" t="n">
        <v>66.3</v>
      </c>
      <c r="AJ355" s="31" t="n">
        <v>41</v>
      </c>
      <c r="AK355" s="31" t="n">
        <v>0</v>
      </c>
      <c r="AL355" s="30" t="inlineStr">
        <is>
          <t>T-0504</t>
        </is>
      </c>
      <c r="AM355" s="30" t="inlineStr">
        <is>
          <t>A-05-03</t>
        </is>
      </c>
      <c r="AN355" s="30" t="inlineStr">
        <is>
          <t>T-0224</t>
        </is>
      </c>
      <c r="AO355" s="30" t="inlineStr">
        <is>
          <t>A-02-02</t>
        </is>
      </c>
    </row>
    <row r="356">
      <c r="A356" s="30" t="inlineStr">
        <is>
          <t>O0355</t>
        </is>
      </c>
      <c r="B356" s="30" t="inlineStr">
        <is>
          <t>C</t>
        </is>
      </c>
      <c r="C356" s="31" t="n">
        <v>4745.2</v>
      </c>
      <c r="D356" s="31" t="n">
        <v>17122</v>
      </c>
      <c r="E356" s="31" t="n">
        <v>17122</v>
      </c>
      <c r="F356" s="31" t="n">
        <v>17132.6</v>
      </c>
      <c r="G356" s="31" t="n">
        <v>17156.7</v>
      </c>
      <c r="H356" s="31" t="n">
        <v>17168.2</v>
      </c>
      <c r="I356" s="31" t="n">
        <v>17193.7</v>
      </c>
      <c r="J356" s="31" t="n">
        <v>17220.3</v>
      </c>
      <c r="K356" s="31" t="n">
        <v>12475.1</v>
      </c>
      <c r="L356" s="31" t="n">
        <v>12376.8</v>
      </c>
      <c r="M356" s="30" t="inlineStr">
        <is>
          <t>AMR2</t>
        </is>
      </c>
      <c r="N356" s="30" t="inlineStr">
        <is>
          <t>AMR2</t>
        </is>
      </c>
      <c r="O356" s="32" t="n">
        <v>0</v>
      </c>
      <c r="P356" s="32" t="n">
        <v>0</v>
      </c>
      <c r="Q356" s="32" t="n">
        <v>13</v>
      </c>
      <c r="R356" s="31" t="n">
        <v>34.6</v>
      </c>
      <c r="S356" s="31" t="n">
        <v>34.6</v>
      </c>
      <c r="T356" s="30" t="inlineStr">
        <is>
          <t>AMR2</t>
        </is>
      </c>
      <c r="U356" s="31" t="n">
        <v>53.3</v>
      </c>
      <c r="V356" s="31" t="n">
        <v>53.3</v>
      </c>
      <c r="W356" s="30" t="inlineStr">
        <is>
          <t>AMR2</t>
        </is>
      </c>
      <c r="X356" s="32" t="n">
        <v>0</v>
      </c>
      <c r="Y356" s="32" t="n">
        <v>0</v>
      </c>
      <c r="Z356" s="31" t="n">
        <v>0</v>
      </c>
      <c r="AA356" s="32" t="n">
        <v>0</v>
      </c>
      <c r="AB356" s="32" t="n">
        <v>0</v>
      </c>
      <c r="AC356" s="32" t="n">
        <v>0</v>
      </c>
      <c r="AD356" s="32" t="n">
        <v>0</v>
      </c>
      <c r="AE356" s="31" t="n">
        <v>0</v>
      </c>
      <c r="AF356" s="32" t="n">
        <v>0</v>
      </c>
      <c r="AG356" s="31" t="n">
        <v>0</v>
      </c>
      <c r="AH356" s="32" t="n">
        <v>38</v>
      </c>
      <c r="AI356" s="31" t="n">
        <v>41.1</v>
      </c>
      <c r="AJ356" s="31" t="n">
        <v>45.7</v>
      </c>
      <c r="AK356" s="31" t="n">
        <v>0</v>
      </c>
      <c r="AL356" s="30" t="inlineStr">
        <is>
          <t>T-0505</t>
        </is>
      </c>
      <c r="AM356" s="30" t="inlineStr">
        <is>
          <t>C-06-01</t>
        </is>
      </c>
      <c r="AN356" s="30" t="inlineStr">
        <is>
          <t>T-0392</t>
        </is>
      </c>
      <c r="AO356" s="30" t="inlineStr">
        <is>
          <t>C-02-02</t>
        </is>
      </c>
    </row>
    <row r="357">
      <c r="A357" s="30" t="inlineStr">
        <is>
          <t>O0356</t>
        </is>
      </c>
      <c r="B357" s="30" t="inlineStr">
        <is>
          <t>C</t>
        </is>
      </c>
      <c r="C357" s="31" t="n">
        <v>4751.1</v>
      </c>
      <c r="D357" s="31" t="n">
        <v>17198.9</v>
      </c>
      <c r="E357" s="31" t="n">
        <v>17198.9</v>
      </c>
      <c r="F357" s="31" t="n">
        <v>17214.8</v>
      </c>
      <c r="G357" s="31" t="n">
        <v>17239.3</v>
      </c>
      <c r="H357" s="31" t="n">
        <v>17244</v>
      </c>
      <c r="I357" s="31" t="n">
        <v>17271.9</v>
      </c>
      <c r="J357" s="31" t="n">
        <v>17302.4</v>
      </c>
      <c r="K357" s="31" t="n">
        <v>12551.3</v>
      </c>
      <c r="L357" s="31" t="n">
        <v>12447.8</v>
      </c>
      <c r="M357" s="30" t="inlineStr">
        <is>
          <t>AMR1</t>
        </is>
      </c>
      <c r="N357" s="30" t="inlineStr">
        <is>
          <t>AMR2</t>
        </is>
      </c>
      <c r="O357" s="32" t="n">
        <v>0</v>
      </c>
      <c r="P357" s="32" t="n">
        <v>0</v>
      </c>
      <c r="Q357" s="32" t="n">
        <v>13</v>
      </c>
      <c r="R357" s="31" t="n">
        <v>39.5</v>
      </c>
      <c r="S357" s="31" t="n">
        <v>39.5</v>
      </c>
      <c r="T357" s="30" t="inlineStr">
        <is>
          <t>AMR1</t>
        </is>
      </c>
      <c r="U357" s="31" t="n">
        <v>53.8</v>
      </c>
      <c r="V357" s="31" t="n">
        <v>53.8</v>
      </c>
      <c r="W357" s="30" t="inlineStr">
        <is>
          <t>AMR2</t>
        </is>
      </c>
      <c r="X357" s="32" t="n">
        <v>0</v>
      </c>
      <c r="Y357" s="32" t="n">
        <v>0</v>
      </c>
      <c r="Z357" s="31" t="n">
        <v>0</v>
      </c>
      <c r="AA357" s="32" t="n">
        <v>0</v>
      </c>
      <c r="AB357" s="32" t="n">
        <v>1</v>
      </c>
      <c r="AC357" s="32" t="n">
        <v>1</v>
      </c>
      <c r="AD357" s="32" t="n">
        <v>0</v>
      </c>
      <c r="AE357" s="31" t="n">
        <v>0</v>
      </c>
      <c r="AF357" s="32" t="n">
        <v>0</v>
      </c>
      <c r="AG357" s="31" t="n">
        <v>0</v>
      </c>
      <c r="AH357" s="32" t="n">
        <v>41</v>
      </c>
      <c r="AI357" s="31" t="n">
        <v>43</v>
      </c>
      <c r="AJ357" s="31" t="n">
        <v>51.1</v>
      </c>
      <c r="AK357" s="31" t="n">
        <v>4.7</v>
      </c>
      <c r="AL357" s="30" t="inlineStr">
        <is>
          <t>T-0506</t>
        </is>
      </c>
      <c r="AM357" s="30" t="inlineStr">
        <is>
          <t>C-01-02</t>
        </is>
      </c>
      <c r="AN357" s="30" t="inlineStr">
        <is>
          <t>T-0393</t>
        </is>
      </c>
      <c r="AO357" s="30" t="inlineStr">
        <is>
          <t>C-03-02</t>
        </is>
      </c>
    </row>
    <row r="358">
      <c r="A358" s="30" t="inlineStr">
        <is>
          <t>O0357</t>
        </is>
      </c>
      <c r="B358" s="30" t="inlineStr">
        <is>
          <t>H</t>
        </is>
      </c>
      <c r="C358" s="31" t="n">
        <v>4756.5</v>
      </c>
      <c r="D358" s="31" t="n">
        <v>17255.2</v>
      </c>
      <c r="E358" s="31" t="n">
        <v>17255.2</v>
      </c>
      <c r="F358" s="31" t="n">
        <v>17273.7</v>
      </c>
      <c r="G358" s="31" t="n">
        <v>17299.2</v>
      </c>
      <c r="H358" s="31" t="n">
        <v>17318.7</v>
      </c>
      <c r="I358" s="31" t="n">
        <v>17341.5</v>
      </c>
      <c r="J358" s="31" t="n">
        <v>17368.9</v>
      </c>
      <c r="K358" s="31" t="n">
        <v>12612.4</v>
      </c>
      <c r="L358" s="31" t="n">
        <v>12498.7</v>
      </c>
      <c r="M358" s="30" t="inlineStr">
        <is>
          <t>AMR3</t>
        </is>
      </c>
      <c r="N358" s="30" t="inlineStr">
        <is>
          <t>AMR3</t>
        </is>
      </c>
      <c r="O358" s="32" t="n">
        <v>0</v>
      </c>
      <c r="P358" s="32" t="n">
        <v>0</v>
      </c>
      <c r="Q358" s="32" t="n">
        <v>15</v>
      </c>
      <c r="R358" s="31" t="n">
        <v>38.5</v>
      </c>
      <c r="S358" s="31" t="n">
        <v>38.5</v>
      </c>
      <c r="T358" s="30" t="inlineStr">
        <is>
          <t>AMR3</t>
        </is>
      </c>
      <c r="U358" s="31" t="n">
        <v>51.4</v>
      </c>
      <c r="V358" s="31" t="n">
        <v>51.4</v>
      </c>
      <c r="W358" s="30" t="inlineStr">
        <is>
          <t>AMR3</t>
        </is>
      </c>
      <c r="X358" s="32" t="n">
        <v>0</v>
      </c>
      <c r="Y358" s="32" t="n">
        <v>0</v>
      </c>
      <c r="Z358" s="31" t="n">
        <v>0</v>
      </c>
      <c r="AA358" s="32" t="n">
        <v>0</v>
      </c>
      <c r="AB358" s="32" t="n">
        <v>1</v>
      </c>
      <c r="AC358" s="32" t="n">
        <v>1</v>
      </c>
      <c r="AD358" s="32" t="n">
        <v>0</v>
      </c>
      <c r="AE358" s="31" t="n">
        <v>0</v>
      </c>
      <c r="AF358" s="32" t="n">
        <v>0</v>
      </c>
      <c r="AG358" s="31" t="n">
        <v>0</v>
      </c>
      <c r="AH358" s="32" t="n">
        <v>41</v>
      </c>
      <c r="AI358" s="31" t="n">
        <v>45</v>
      </c>
      <c r="AJ358" s="31" t="n">
        <v>44.6</v>
      </c>
      <c r="AK358" s="31" t="n">
        <v>4.6</v>
      </c>
      <c r="AL358" s="30" t="inlineStr">
        <is>
          <t>T-0507</t>
        </is>
      </c>
      <c r="AM358" s="30" t="inlineStr">
        <is>
          <t>H-05-01</t>
        </is>
      </c>
      <c r="AN358" s="30" t="inlineStr">
        <is>
          <t>T-0430</t>
        </is>
      </c>
      <c r="AO358" s="30" t="inlineStr">
        <is>
          <t>H-02-02</t>
        </is>
      </c>
    </row>
    <row r="359">
      <c r="A359" s="30" t="inlineStr">
        <is>
          <t>O0358</t>
        </is>
      </c>
      <c r="B359" s="30" t="inlineStr">
        <is>
          <t>H</t>
        </is>
      </c>
      <c r="C359" s="31" t="n">
        <v>4762</v>
      </c>
      <c r="D359" s="31" t="n">
        <v>17276.5</v>
      </c>
      <c r="E359" s="31" t="n">
        <v>17276.5</v>
      </c>
      <c r="F359" s="31" t="n">
        <v>17291.3</v>
      </c>
      <c r="G359" s="31" t="n">
        <v>17320.1</v>
      </c>
      <c r="H359" s="31" t="n">
        <v>17326.1</v>
      </c>
      <c r="I359" s="31" t="n">
        <v>17357.7</v>
      </c>
      <c r="J359" s="31" t="n">
        <v>17384.4</v>
      </c>
      <c r="K359" s="31" t="n">
        <v>12622.4</v>
      </c>
      <c r="L359" s="31" t="n">
        <v>12514.5</v>
      </c>
      <c r="M359" s="30" t="inlineStr">
        <is>
          <t>AMR1</t>
        </is>
      </c>
      <c r="N359" s="30" t="inlineStr">
        <is>
          <t>AMR2</t>
        </is>
      </c>
      <c r="O359" s="32" t="n">
        <v>0</v>
      </c>
      <c r="P359" s="32" t="n">
        <v>0</v>
      </c>
      <c r="Q359" s="32" t="n">
        <v>15</v>
      </c>
      <c r="R359" s="31" t="n">
        <v>39.3</v>
      </c>
      <c r="S359" s="31" t="n">
        <v>39.3</v>
      </c>
      <c r="T359" s="30" t="inlineStr">
        <is>
          <t>AMR1</t>
        </is>
      </c>
      <c r="U359" s="31" t="n">
        <v>53</v>
      </c>
      <c r="V359" s="31" t="n">
        <v>53</v>
      </c>
      <c r="W359" s="30" t="inlineStr">
        <is>
          <t>AMR2</t>
        </is>
      </c>
      <c r="X359" s="32" t="n">
        <v>0</v>
      </c>
      <c r="Y359" s="32" t="n">
        <v>0</v>
      </c>
      <c r="Z359" s="31" t="n">
        <v>0</v>
      </c>
      <c r="AA359" s="32" t="n">
        <v>0</v>
      </c>
      <c r="AB359" s="32" t="n">
        <v>2</v>
      </c>
      <c r="AC359" s="32" t="n">
        <v>2</v>
      </c>
      <c r="AD359" s="32" t="n">
        <v>0</v>
      </c>
      <c r="AE359" s="31" t="n">
        <v>0</v>
      </c>
      <c r="AF359" s="32" t="n">
        <v>0</v>
      </c>
      <c r="AG359" s="31" t="n">
        <v>0</v>
      </c>
      <c r="AH359" s="32" t="n">
        <v>41</v>
      </c>
      <c r="AI359" s="31" t="n">
        <v>46.9</v>
      </c>
      <c r="AJ359" s="31" t="n">
        <v>47</v>
      </c>
      <c r="AK359" s="31" t="n">
        <v>8</v>
      </c>
      <c r="AL359" s="30" t="inlineStr">
        <is>
          <t>T-0508</t>
        </is>
      </c>
      <c r="AM359" s="30" t="inlineStr">
        <is>
          <t>H-04-03</t>
        </is>
      </c>
      <c r="AN359" s="30" t="inlineStr">
        <is>
          <t>T-0442</t>
        </is>
      </c>
      <c r="AO359" s="30" t="inlineStr">
        <is>
          <t>H-04-02</t>
        </is>
      </c>
    </row>
    <row r="360">
      <c r="A360" s="30" t="inlineStr">
        <is>
          <t>O0359</t>
        </is>
      </c>
      <c r="B360" s="30" t="inlineStr">
        <is>
          <t>I</t>
        </is>
      </c>
      <c r="C360" s="31" t="n">
        <v>4769</v>
      </c>
      <c r="D360" s="31" t="n">
        <v>17338.9</v>
      </c>
      <c r="E360" s="31" t="n">
        <v>17338.9</v>
      </c>
      <c r="F360" s="31" t="n">
        <v>17351.5</v>
      </c>
      <c r="G360" s="31" t="n">
        <v>17374.5</v>
      </c>
      <c r="H360" s="31" t="n">
        <v>17389.3</v>
      </c>
      <c r="I360" s="31" t="n">
        <v>17422.5</v>
      </c>
      <c r="J360" s="31" t="n">
        <v>17447.2</v>
      </c>
      <c r="K360" s="31" t="n">
        <v>12678.2</v>
      </c>
      <c r="L360" s="31" t="n">
        <v>12569.9</v>
      </c>
      <c r="M360" s="30" t="inlineStr">
        <is>
          <t>AMR1</t>
        </is>
      </c>
      <c r="N360" s="30" t="inlineStr">
        <is>
          <t>AMR1</t>
        </is>
      </c>
      <c r="O360" s="32" t="n">
        <v>0</v>
      </c>
      <c r="P360" s="32" t="n">
        <v>0</v>
      </c>
      <c r="Q360" s="32" t="n">
        <v>15</v>
      </c>
      <c r="R360" s="31" t="n">
        <v>34.7</v>
      </c>
      <c r="S360" s="31" t="n">
        <v>34.7</v>
      </c>
      <c r="T360" s="30" t="inlineStr">
        <is>
          <t>AMR1</t>
        </is>
      </c>
      <c r="U360" s="31" t="n">
        <v>48.4</v>
      </c>
      <c r="V360" s="31" t="n">
        <v>48.4</v>
      </c>
      <c r="W360" s="30" t="inlineStr">
        <is>
          <t>AMR1</t>
        </is>
      </c>
      <c r="X360" s="32" t="n">
        <v>0</v>
      </c>
      <c r="Y360" s="32" t="n">
        <v>0</v>
      </c>
      <c r="Z360" s="31" t="n">
        <v>0</v>
      </c>
      <c r="AA360" s="32" t="n">
        <v>0</v>
      </c>
      <c r="AB360" s="32" t="n">
        <v>1</v>
      </c>
      <c r="AC360" s="32" t="n">
        <v>2</v>
      </c>
      <c r="AD360" s="32" t="n">
        <v>0</v>
      </c>
      <c r="AE360" s="31" t="n">
        <v>0</v>
      </c>
      <c r="AF360" s="32" t="n">
        <v>0</v>
      </c>
      <c r="AG360" s="31" t="n">
        <v>0</v>
      </c>
      <c r="AH360" s="32" t="n">
        <v>41</v>
      </c>
      <c r="AI360" s="31" t="n">
        <v>48.5</v>
      </c>
      <c r="AJ360" s="31" t="n">
        <v>37.3</v>
      </c>
      <c r="AK360" s="31" t="n">
        <v>7.7</v>
      </c>
      <c r="AL360" s="30" t="inlineStr">
        <is>
          <t>T-0509</t>
        </is>
      </c>
      <c r="AM360" s="30" t="inlineStr">
        <is>
          <t>I-01-02</t>
        </is>
      </c>
      <c r="AN360" s="30" t="inlineStr">
        <is>
          <t>T-0409</t>
        </is>
      </c>
      <c r="AO360" s="30" t="inlineStr">
        <is>
          <t>I-02-02</t>
        </is>
      </c>
    </row>
    <row r="361">
      <c r="A361" s="30" t="inlineStr">
        <is>
          <t>O0360</t>
        </is>
      </c>
      <c r="B361" s="30" t="inlineStr">
        <is>
          <t>C</t>
        </is>
      </c>
      <c r="C361" s="31" t="n">
        <v>4774.4</v>
      </c>
      <c r="D361" s="31" t="n">
        <v>17398.1</v>
      </c>
      <c r="E361" s="31" t="n">
        <v>17398.1</v>
      </c>
      <c r="F361" s="31" t="n">
        <v>17409.1</v>
      </c>
      <c r="G361" s="31" t="n">
        <v>17430.7</v>
      </c>
      <c r="H361" s="31" t="n">
        <v>17442.9</v>
      </c>
      <c r="I361" s="31" t="n">
        <v>17468.2</v>
      </c>
      <c r="J361" s="31" t="n">
        <v>17499.6</v>
      </c>
      <c r="K361" s="31" t="n">
        <v>12725.2</v>
      </c>
      <c r="L361" s="31" t="n">
        <v>12623.7</v>
      </c>
      <c r="M361" s="30" t="inlineStr">
        <is>
          <t>AMR3</t>
        </is>
      </c>
      <c r="N361" s="30" t="inlineStr">
        <is>
          <t>AMR3</t>
        </is>
      </c>
      <c r="O361" s="32" t="n">
        <v>0</v>
      </c>
      <c r="P361" s="32" t="n">
        <v>0</v>
      </c>
      <c r="Q361" s="32" t="n">
        <v>13</v>
      </c>
      <c r="R361" s="31" t="n">
        <v>31.7</v>
      </c>
      <c r="S361" s="31" t="n">
        <v>31.7</v>
      </c>
      <c r="T361" s="30" t="inlineStr">
        <is>
          <t>AMR3</t>
        </is>
      </c>
      <c r="U361" s="31" t="n">
        <v>55.9</v>
      </c>
      <c r="V361" s="31" t="n">
        <v>55.9</v>
      </c>
      <c r="W361" s="30" t="inlineStr">
        <is>
          <t>AMR3</t>
        </is>
      </c>
      <c r="X361" s="32" t="n">
        <v>0</v>
      </c>
      <c r="Y361" s="32" t="n">
        <v>0</v>
      </c>
      <c r="Z361" s="31" t="n">
        <v>0</v>
      </c>
      <c r="AA361" s="32" t="n">
        <v>0</v>
      </c>
      <c r="AB361" s="32" t="n">
        <v>0</v>
      </c>
      <c r="AC361" s="32" t="n">
        <v>0</v>
      </c>
      <c r="AD361" s="32" t="n">
        <v>0</v>
      </c>
      <c r="AE361" s="31" t="n">
        <v>0</v>
      </c>
      <c r="AF361" s="32" t="n">
        <v>0</v>
      </c>
      <c r="AG361" s="31" t="n">
        <v>0</v>
      </c>
      <c r="AH361" s="32" t="n">
        <v>39</v>
      </c>
      <c r="AI361" s="31" t="n">
        <v>42.4</v>
      </c>
      <c r="AJ361" s="31" t="n">
        <v>45.4</v>
      </c>
      <c r="AK361" s="31" t="n">
        <v>1.5</v>
      </c>
      <c r="AL361" s="30" t="inlineStr">
        <is>
          <t>T-0510</t>
        </is>
      </c>
      <c r="AM361" s="30" t="inlineStr">
        <is>
          <t>C-02-02</t>
        </is>
      </c>
      <c r="AN361" s="30" t="inlineStr">
        <is>
          <t>T-0398</t>
        </is>
      </c>
      <c r="AO361" s="30" t="inlineStr">
        <is>
          <t>C-05-02</t>
        </is>
      </c>
    </row>
    <row r="362">
      <c r="A362" s="30" t="inlineStr">
        <is>
          <t>O0361</t>
        </is>
      </c>
      <c r="B362" s="30" t="inlineStr">
        <is>
          <t>J</t>
        </is>
      </c>
      <c r="C362" s="31" t="n">
        <v>4780</v>
      </c>
      <c r="D362" s="31" t="n">
        <v>17413.1</v>
      </c>
      <c r="E362" s="31" t="n">
        <v>17413.1</v>
      </c>
      <c r="F362" s="31" t="n">
        <v>17424</v>
      </c>
      <c r="G362" s="31" t="n">
        <v>17456.4</v>
      </c>
      <c r="H362" s="31" t="n">
        <v>17470.9</v>
      </c>
      <c r="I362" s="31" t="n">
        <v>17503.3</v>
      </c>
      <c r="J362" s="31" t="n">
        <v>17533.9</v>
      </c>
      <c r="K362" s="31" t="n">
        <v>12753.9</v>
      </c>
      <c r="L362" s="31" t="n">
        <v>12633.1</v>
      </c>
      <c r="M362" s="30" t="inlineStr">
        <is>
          <t>AMR2</t>
        </is>
      </c>
      <c r="N362" s="30" t="inlineStr">
        <is>
          <t>AMR1</t>
        </is>
      </c>
      <c r="O362" s="32" t="n">
        <v>0</v>
      </c>
      <c r="P362" s="32" t="n">
        <v>0</v>
      </c>
      <c r="Q362" s="32" t="n">
        <v>21</v>
      </c>
      <c r="R362" s="31" t="n">
        <v>40.8</v>
      </c>
      <c r="S362" s="31" t="n">
        <v>40.8</v>
      </c>
      <c r="T362" s="30" t="inlineStr">
        <is>
          <t>AMR2</t>
        </is>
      </c>
      <c r="U362" s="31" t="n">
        <v>63.2</v>
      </c>
      <c r="V362" s="31" t="n">
        <v>63.2</v>
      </c>
      <c r="W362" s="30" t="inlineStr">
        <is>
          <t>AMR1</t>
        </is>
      </c>
      <c r="X362" s="32" t="n">
        <v>0</v>
      </c>
      <c r="Y362" s="32" t="n">
        <v>0</v>
      </c>
      <c r="Z362" s="31" t="n">
        <v>0</v>
      </c>
      <c r="AA362" s="32" t="n">
        <v>0</v>
      </c>
      <c r="AB362" s="32" t="n">
        <v>1</v>
      </c>
      <c r="AC362" s="32" t="n">
        <v>0</v>
      </c>
      <c r="AD362" s="32" t="n">
        <v>0</v>
      </c>
      <c r="AE362" s="31" t="n">
        <v>0</v>
      </c>
      <c r="AF362" s="32" t="n">
        <v>0</v>
      </c>
      <c r="AG362" s="31" t="n">
        <v>0</v>
      </c>
      <c r="AH362" s="32" t="n">
        <v>61</v>
      </c>
      <c r="AI362" s="31" t="n">
        <v>62.9</v>
      </c>
      <c r="AJ362" s="31" t="n">
        <v>43.4</v>
      </c>
      <c r="AK362" s="31" t="n">
        <v>0</v>
      </c>
      <c r="AL362" s="30" t="inlineStr">
        <is>
          <t>T-0511</t>
        </is>
      </c>
      <c r="AM362" s="30" t="inlineStr">
        <is>
          <t>J-04-02</t>
        </is>
      </c>
      <c r="AN362" s="30" t="inlineStr">
        <is>
          <t>T-0306</t>
        </is>
      </c>
      <c r="AO362" s="30" t="inlineStr">
        <is>
          <t>J-02-03</t>
        </is>
      </c>
    </row>
    <row r="363">
      <c r="A363" s="30" t="inlineStr">
        <is>
          <t>O0362</t>
        </is>
      </c>
      <c r="B363" s="30" t="inlineStr">
        <is>
          <t>F</t>
        </is>
      </c>
      <c r="C363" s="31" t="n">
        <v>4784.8</v>
      </c>
      <c r="D363" s="31" t="n">
        <v>17478.6</v>
      </c>
      <c r="E363" s="31" t="n">
        <v>17478.6</v>
      </c>
      <c r="F363" s="31" t="n">
        <v>17494.9</v>
      </c>
      <c r="G363" s="31" t="n">
        <v>17530.1</v>
      </c>
      <c r="H363" s="31" t="n">
        <v>17557.6</v>
      </c>
      <c r="I363" s="31" t="n">
        <v>17591.2</v>
      </c>
      <c r="J363" s="31" t="n">
        <v>17627.8</v>
      </c>
      <c r="K363" s="31" t="n">
        <v>12843</v>
      </c>
      <c r="L363" s="31" t="n">
        <v>12693.8</v>
      </c>
      <c r="M363" s="30" t="inlineStr">
        <is>
          <t>AMR2</t>
        </is>
      </c>
      <c r="N363" s="30" t="inlineStr">
        <is>
          <t>AMR1</t>
        </is>
      </c>
      <c r="O363" s="32" t="n">
        <v>0</v>
      </c>
      <c r="P363" s="32" t="n">
        <v>0</v>
      </c>
      <c r="Q363" s="32" t="n">
        <v>23</v>
      </c>
      <c r="R363" s="31" t="n">
        <v>49</v>
      </c>
      <c r="S363" s="31" t="n">
        <v>49</v>
      </c>
      <c r="T363" s="30" t="inlineStr">
        <is>
          <t>AMR2</t>
        </is>
      </c>
      <c r="U363" s="31" t="n">
        <v>65.5</v>
      </c>
      <c r="V363" s="31" t="n">
        <v>65.5</v>
      </c>
      <c r="W363" s="30" t="inlineStr">
        <is>
          <t>AMR1</t>
        </is>
      </c>
      <c r="X363" s="32" t="n">
        <v>0</v>
      </c>
      <c r="Y363" s="32" t="n">
        <v>0</v>
      </c>
      <c r="Z363" s="31" t="n">
        <v>0</v>
      </c>
      <c r="AA363" s="32" t="n">
        <v>0</v>
      </c>
      <c r="AB363" s="32" t="n">
        <v>1</v>
      </c>
      <c r="AC363" s="32" t="n">
        <v>1</v>
      </c>
      <c r="AD363" s="32" t="n">
        <v>0</v>
      </c>
      <c r="AE363" s="31" t="n">
        <v>0</v>
      </c>
      <c r="AF363" s="32" t="n">
        <v>1</v>
      </c>
      <c r="AG363" s="31" t="n">
        <v>0.4</v>
      </c>
      <c r="AH363" s="32" t="n">
        <v>67</v>
      </c>
      <c r="AI363" s="31" t="n">
        <v>67</v>
      </c>
      <c r="AJ363" s="31" t="n">
        <v>49.3</v>
      </c>
      <c r="AK363" s="31" t="n">
        <v>5.4</v>
      </c>
      <c r="AL363" s="30" t="inlineStr">
        <is>
          <t>T-0512</t>
        </is>
      </c>
      <c r="AM363" s="30" t="inlineStr">
        <is>
          <t>F-01-03</t>
        </is>
      </c>
      <c r="AN363" s="30" t="inlineStr">
        <is>
          <t>T-0297</t>
        </is>
      </c>
      <c r="AO363" s="30" t="inlineStr">
        <is>
          <t>F-04-01</t>
        </is>
      </c>
    </row>
    <row r="364">
      <c r="A364" s="30" t="inlineStr">
        <is>
          <t>O0363</t>
        </is>
      </c>
      <c r="B364" s="30" t="inlineStr">
        <is>
          <t>C</t>
        </is>
      </c>
      <c r="C364" s="31" t="n">
        <v>4791.1</v>
      </c>
      <c r="D364" s="31" t="n">
        <v>17526.4</v>
      </c>
      <c r="E364" s="31" t="n">
        <v>17526.4</v>
      </c>
      <c r="F364" s="31" t="n">
        <v>17542.4</v>
      </c>
      <c r="G364" s="31" t="n">
        <v>17567.9</v>
      </c>
      <c r="H364" s="31" t="n">
        <v>17580.4</v>
      </c>
      <c r="I364" s="31" t="n">
        <v>17604.9</v>
      </c>
      <c r="J364" s="31" t="n">
        <v>17640.2</v>
      </c>
      <c r="K364" s="31" t="n">
        <v>12849.1</v>
      </c>
      <c r="L364" s="31" t="n">
        <v>12735.3</v>
      </c>
      <c r="M364" s="30" t="inlineStr">
        <is>
          <t>AMR3</t>
        </is>
      </c>
      <c r="N364" s="30" t="inlineStr">
        <is>
          <t>AMR3</t>
        </is>
      </c>
      <c r="O364" s="32" t="n">
        <v>0</v>
      </c>
      <c r="P364" s="32" t="n">
        <v>0</v>
      </c>
      <c r="Q364" s="32" t="n">
        <v>13</v>
      </c>
      <c r="R364" s="31" t="n">
        <v>34.6</v>
      </c>
      <c r="S364" s="31" t="n">
        <v>34.6</v>
      </c>
      <c r="T364" s="30" t="inlineStr">
        <is>
          <t>AMR3</t>
        </is>
      </c>
      <c r="U364" s="31" t="n">
        <v>51.3</v>
      </c>
      <c r="V364" s="31" t="n">
        <v>51.3</v>
      </c>
      <c r="W364" s="30" t="inlineStr">
        <is>
          <t>AMR3</t>
        </is>
      </c>
      <c r="X364" s="32" t="n">
        <v>0</v>
      </c>
      <c r="Y364" s="32" t="n">
        <v>0</v>
      </c>
      <c r="Z364" s="31" t="n">
        <v>0</v>
      </c>
      <c r="AA364" s="32" t="n">
        <v>0</v>
      </c>
      <c r="AB364" s="32" t="n">
        <v>1</v>
      </c>
      <c r="AC364" s="32" t="n">
        <v>1</v>
      </c>
      <c r="AD364" s="32" t="n">
        <v>1</v>
      </c>
      <c r="AE364" s="31" t="n">
        <v>9.699999999999999</v>
      </c>
      <c r="AF364" s="32" t="n">
        <v>2</v>
      </c>
      <c r="AG364" s="31" t="n">
        <v>4.9</v>
      </c>
      <c r="AH364" s="32" t="n">
        <v>40</v>
      </c>
      <c r="AI364" s="31" t="n">
        <v>42.7</v>
      </c>
      <c r="AJ364" s="31" t="n">
        <v>43.7</v>
      </c>
      <c r="AK364" s="31" t="n">
        <v>14.9</v>
      </c>
      <c r="AL364" s="30" t="inlineStr">
        <is>
          <t>T-0513</t>
        </is>
      </c>
      <c r="AM364" s="30" t="inlineStr">
        <is>
          <t>C-03-02</t>
        </is>
      </c>
      <c r="AN364" s="30" t="inlineStr">
        <is>
          <t>T-0399</t>
        </is>
      </c>
      <c r="AO364" s="30" t="inlineStr">
        <is>
          <t>C-02-03</t>
        </is>
      </c>
    </row>
    <row r="365">
      <c r="A365" s="30" t="inlineStr">
        <is>
          <t>O0364</t>
        </is>
      </c>
      <c r="B365" s="30" t="inlineStr">
        <is>
          <t>E</t>
        </is>
      </c>
      <c r="C365" s="31" t="n">
        <v>4795.8</v>
      </c>
      <c r="D365" s="31" t="n">
        <v>17566.9</v>
      </c>
      <c r="E365" s="31" t="n">
        <v>17566.9</v>
      </c>
      <c r="F365" s="31" t="n">
        <v>17580.4</v>
      </c>
      <c r="G365" s="31" t="n">
        <v>17609</v>
      </c>
      <c r="H365" s="31" t="n">
        <v>17627.2</v>
      </c>
      <c r="I365" s="31" t="n">
        <v>17659.4</v>
      </c>
      <c r="J365" s="31" t="n">
        <v>17697.1</v>
      </c>
      <c r="K365" s="31" t="n">
        <v>12901.3</v>
      </c>
      <c r="L365" s="31" t="n">
        <v>12771.1</v>
      </c>
      <c r="M365" s="30" t="inlineStr">
        <is>
          <t>AMR2</t>
        </is>
      </c>
      <c r="N365" s="30" t="inlineStr">
        <is>
          <t>AMR2</t>
        </is>
      </c>
      <c r="O365" s="32" t="n">
        <v>0</v>
      </c>
      <c r="P365" s="32" t="n">
        <v>0</v>
      </c>
      <c r="Q365" s="32" t="n">
        <v>19</v>
      </c>
      <c r="R365" s="31" t="n">
        <v>41.2</v>
      </c>
      <c r="S365" s="31" t="n">
        <v>41.2</v>
      </c>
      <c r="T365" s="30" t="inlineStr">
        <is>
          <t>AMR2</t>
        </is>
      </c>
      <c r="U365" s="31" t="n">
        <v>65.09999999999999</v>
      </c>
      <c r="V365" s="31" t="n">
        <v>65.09999999999999</v>
      </c>
      <c r="W365" s="30" t="inlineStr">
        <is>
          <t>AMR2</t>
        </is>
      </c>
      <c r="X365" s="32" t="n">
        <v>0</v>
      </c>
      <c r="Y365" s="32" t="n">
        <v>0</v>
      </c>
      <c r="Z365" s="31" t="n">
        <v>0</v>
      </c>
      <c r="AA365" s="32" t="n">
        <v>0</v>
      </c>
      <c r="AB365" s="32" t="n">
        <v>0</v>
      </c>
      <c r="AC365" s="32" t="n">
        <v>0</v>
      </c>
      <c r="AD365" s="32" t="n">
        <v>0</v>
      </c>
      <c r="AE365" s="31" t="n">
        <v>0</v>
      </c>
      <c r="AF365" s="32" t="n">
        <v>0</v>
      </c>
      <c r="AG365" s="31" t="n">
        <v>0</v>
      </c>
      <c r="AH365" s="32" t="n">
        <v>63</v>
      </c>
      <c r="AI365" s="31" t="n">
        <v>63.2</v>
      </c>
      <c r="AJ365" s="31" t="n">
        <v>48.8</v>
      </c>
      <c r="AK365" s="31" t="n">
        <v>0</v>
      </c>
      <c r="AL365" s="30" t="inlineStr">
        <is>
          <t>T-0514</t>
        </is>
      </c>
      <c r="AM365" s="30" t="inlineStr">
        <is>
          <t>E-01-03</t>
        </is>
      </c>
      <c r="AN365" s="30" t="inlineStr">
        <is>
          <t>T-0265</t>
        </is>
      </c>
      <c r="AO365" s="30" t="inlineStr">
        <is>
          <t>E-06-02</t>
        </is>
      </c>
    </row>
    <row r="366">
      <c r="A366" s="30" t="inlineStr">
        <is>
          <t>O0365</t>
        </is>
      </c>
      <c r="B366" s="30" t="inlineStr">
        <is>
          <t>C</t>
        </is>
      </c>
      <c r="C366" s="31" t="n">
        <v>4801.5</v>
      </c>
      <c r="D366" s="31" t="n">
        <v>17651.5</v>
      </c>
      <c r="E366" s="31" t="n">
        <v>17651.5</v>
      </c>
      <c r="F366" s="31" t="n">
        <v>17665</v>
      </c>
      <c r="G366" s="31" t="n">
        <v>17687.6</v>
      </c>
      <c r="H366" s="31" t="n">
        <v>17700.4</v>
      </c>
      <c r="I366" s="31" t="n">
        <v>17723.1</v>
      </c>
      <c r="J366" s="31" t="n">
        <v>17750.3</v>
      </c>
      <c r="K366" s="31" t="n">
        <v>12948.8</v>
      </c>
      <c r="L366" s="31" t="n">
        <v>12850</v>
      </c>
      <c r="M366" s="30" t="inlineStr">
        <is>
          <t>AMR1</t>
        </is>
      </c>
      <c r="N366" s="30" t="inlineStr">
        <is>
          <t>AMR1</t>
        </is>
      </c>
      <c r="O366" s="32" t="n">
        <v>0</v>
      </c>
      <c r="P366" s="32" t="n">
        <v>0</v>
      </c>
      <c r="Q366" s="32" t="n">
        <v>13</v>
      </c>
      <c r="R366" s="31" t="n">
        <v>33.8</v>
      </c>
      <c r="S366" s="31" t="n">
        <v>33.8</v>
      </c>
      <c r="T366" s="30" t="inlineStr">
        <is>
          <t>AMR1</t>
        </is>
      </c>
      <c r="U366" s="31" t="n">
        <v>49.6</v>
      </c>
      <c r="V366" s="31" t="n">
        <v>49.6</v>
      </c>
      <c r="W366" s="30" t="inlineStr">
        <is>
          <t>AMR1</t>
        </is>
      </c>
      <c r="X366" s="32" t="n">
        <v>0</v>
      </c>
      <c r="Y366" s="32" t="n">
        <v>0</v>
      </c>
      <c r="Z366" s="31" t="n">
        <v>0</v>
      </c>
      <c r="AA366" s="32" t="n">
        <v>0</v>
      </c>
      <c r="AB366" s="32" t="n">
        <v>0</v>
      </c>
      <c r="AC366" s="32" t="n">
        <v>0</v>
      </c>
      <c r="AD366" s="32" t="n">
        <v>1</v>
      </c>
      <c r="AE366" s="31" t="n">
        <v>1.4</v>
      </c>
      <c r="AF366" s="32" t="n">
        <v>0</v>
      </c>
      <c r="AG366" s="31" t="n">
        <v>0</v>
      </c>
      <c r="AH366" s="32" t="n">
        <v>39</v>
      </c>
      <c r="AI366" s="31" t="n">
        <v>43.4</v>
      </c>
      <c r="AJ366" s="31" t="n">
        <v>41.2</v>
      </c>
      <c r="AK366" s="31" t="n">
        <v>1.4</v>
      </c>
      <c r="AL366" s="30" t="inlineStr">
        <is>
          <t>T-0515</t>
        </is>
      </c>
      <c r="AM366" s="30" t="inlineStr">
        <is>
          <t>C-05-02</t>
        </is>
      </c>
      <c r="AN366" s="30" t="inlineStr">
        <is>
          <t>T-0411</t>
        </is>
      </c>
      <c r="AO366" s="30" t="inlineStr">
        <is>
          <t>C-04-02</t>
        </is>
      </c>
    </row>
    <row r="367">
      <c r="A367" s="30" t="inlineStr">
        <is>
          <t>O0366</t>
        </is>
      </c>
      <c r="B367" s="30" t="inlineStr">
        <is>
          <t>H</t>
        </is>
      </c>
      <c r="C367" s="31" t="n">
        <v>4804.9</v>
      </c>
      <c r="D367" s="31" t="n">
        <v>17665</v>
      </c>
      <c r="E367" s="31" t="n">
        <v>17665</v>
      </c>
      <c r="F367" s="31" t="n">
        <v>17675.9</v>
      </c>
      <c r="G367" s="31" t="n">
        <v>17698.7</v>
      </c>
      <c r="H367" s="31" t="n">
        <v>17712.9</v>
      </c>
      <c r="I367" s="31" t="n">
        <v>17739.2</v>
      </c>
      <c r="J367" s="31" t="n">
        <v>17764.9</v>
      </c>
      <c r="K367" s="31" t="n">
        <v>12960</v>
      </c>
      <c r="L367" s="31" t="n">
        <v>12860.1</v>
      </c>
      <c r="M367" s="30" t="inlineStr">
        <is>
          <t>AMR3</t>
        </is>
      </c>
      <c r="N367" s="30" t="inlineStr">
        <is>
          <t>AMR3</t>
        </is>
      </c>
      <c r="O367" s="32" t="n">
        <v>0</v>
      </c>
      <c r="P367" s="32" t="n">
        <v>0</v>
      </c>
      <c r="Q367" s="32" t="n">
        <v>15</v>
      </c>
      <c r="R367" s="31" t="n">
        <v>32.8</v>
      </c>
      <c r="S367" s="31" t="n">
        <v>32.8</v>
      </c>
      <c r="T367" s="30" t="inlineStr">
        <is>
          <t>AMR3</t>
        </is>
      </c>
      <c r="U367" s="31" t="n">
        <v>51.1</v>
      </c>
      <c r="V367" s="31" t="n">
        <v>51.1</v>
      </c>
      <c r="W367" s="30" t="inlineStr">
        <is>
          <t>AMR3</t>
        </is>
      </c>
      <c r="X367" s="32" t="n">
        <v>0</v>
      </c>
      <c r="Y367" s="32" t="n">
        <v>0</v>
      </c>
      <c r="Z367" s="31" t="n">
        <v>0</v>
      </c>
      <c r="AA367" s="32" t="n">
        <v>0</v>
      </c>
      <c r="AB367" s="32" t="n">
        <v>1</v>
      </c>
      <c r="AC367" s="32" t="n">
        <v>0</v>
      </c>
      <c r="AD367" s="32" t="n">
        <v>0</v>
      </c>
      <c r="AE367" s="31" t="n">
        <v>0</v>
      </c>
      <c r="AF367" s="32" t="n">
        <v>0</v>
      </c>
      <c r="AG367" s="31" t="n">
        <v>0</v>
      </c>
      <c r="AH367" s="32" t="n">
        <v>43</v>
      </c>
      <c r="AI367" s="31" t="n">
        <v>47.1</v>
      </c>
      <c r="AJ367" s="31" t="n">
        <v>38.6</v>
      </c>
      <c r="AK367" s="31" t="n">
        <v>0</v>
      </c>
      <c r="AL367" s="30" t="inlineStr">
        <is>
          <t>T-0516</t>
        </is>
      </c>
      <c r="AM367" s="30" t="inlineStr">
        <is>
          <t>H-02-02</t>
        </is>
      </c>
      <c r="AN367" s="30" t="inlineStr">
        <is>
          <t>T-0447</t>
        </is>
      </c>
      <c r="AO367" s="30" t="inlineStr">
        <is>
          <t>H-03-01</t>
        </is>
      </c>
    </row>
    <row r="368">
      <c r="A368" s="30" t="inlineStr">
        <is>
          <t>O0367</t>
        </is>
      </c>
      <c r="B368" s="30" t="inlineStr">
        <is>
          <t>H</t>
        </is>
      </c>
      <c r="C368" s="31" t="n">
        <v>4810.1</v>
      </c>
      <c r="D368" s="31" t="n">
        <v>17720.8</v>
      </c>
      <c r="E368" s="31" t="n">
        <v>17720.8</v>
      </c>
      <c r="F368" s="31" t="n">
        <v>17731.7</v>
      </c>
      <c r="G368" s="31" t="n">
        <v>17757.5</v>
      </c>
      <c r="H368" s="31" t="n">
        <v>17772.3</v>
      </c>
      <c r="I368" s="31" t="n">
        <v>17800.8</v>
      </c>
      <c r="J368" s="31" t="n">
        <v>17824.2</v>
      </c>
      <c r="K368" s="31" t="n">
        <v>13014.1</v>
      </c>
      <c r="L368" s="31" t="n">
        <v>12910.7</v>
      </c>
      <c r="M368" s="30" t="inlineStr">
        <is>
          <t>AMR2</t>
        </is>
      </c>
      <c r="N368" s="30" t="inlineStr">
        <is>
          <t>AMR2</t>
        </is>
      </c>
      <c r="O368" s="32" t="n">
        <v>0</v>
      </c>
      <c r="P368" s="32" t="n">
        <v>0</v>
      </c>
      <c r="Q368" s="32" t="n">
        <v>15</v>
      </c>
      <c r="R368" s="31" t="n">
        <v>32.7</v>
      </c>
      <c r="S368" s="31" t="n">
        <v>32.7</v>
      </c>
      <c r="T368" s="30" t="inlineStr">
        <is>
          <t>AMR2</t>
        </is>
      </c>
      <c r="U368" s="31" t="n">
        <v>52</v>
      </c>
      <c r="V368" s="31" t="n">
        <v>52</v>
      </c>
      <c r="W368" s="30" t="inlineStr">
        <is>
          <t>AMR2</t>
        </is>
      </c>
      <c r="X368" s="32" t="n">
        <v>0</v>
      </c>
      <c r="Y368" s="32" t="n">
        <v>0</v>
      </c>
      <c r="Z368" s="31" t="n">
        <v>0</v>
      </c>
      <c r="AA368" s="32" t="n">
        <v>0</v>
      </c>
      <c r="AB368" s="32" t="n">
        <v>1</v>
      </c>
      <c r="AC368" s="32" t="n">
        <v>0</v>
      </c>
      <c r="AD368" s="32" t="n">
        <v>0</v>
      </c>
      <c r="AE368" s="31" t="n">
        <v>0</v>
      </c>
      <c r="AF368" s="32" t="n">
        <v>0</v>
      </c>
      <c r="AG368" s="31" t="n">
        <v>0</v>
      </c>
      <c r="AH368" s="32" t="n">
        <v>43</v>
      </c>
      <c r="AI368" s="31" t="n">
        <v>46.1</v>
      </c>
      <c r="AJ368" s="31" t="n">
        <v>39.4</v>
      </c>
      <c r="AK368" s="31" t="n">
        <v>3.1</v>
      </c>
      <c r="AL368" s="30" t="inlineStr">
        <is>
          <t>T-0517</t>
        </is>
      </c>
      <c r="AM368" s="30" t="inlineStr">
        <is>
          <t>H-04-02</t>
        </is>
      </c>
      <c r="AN368" s="30" t="inlineStr">
        <is>
          <t>T-0449</t>
        </is>
      </c>
      <c r="AO368" s="30" t="inlineStr">
        <is>
          <t>H-03-02</t>
        </is>
      </c>
    </row>
    <row r="369">
      <c r="A369" s="30" t="inlineStr">
        <is>
          <t>O0368</t>
        </is>
      </c>
      <c r="B369" s="30" t="inlineStr">
        <is>
          <t>I</t>
        </is>
      </c>
      <c r="C369" s="31" t="n">
        <v>4813.6</v>
      </c>
      <c r="D369" s="31" t="n">
        <v>17775.7</v>
      </c>
      <c r="E369" s="31" t="n">
        <v>17775.7</v>
      </c>
      <c r="F369" s="31" t="n">
        <v>17788.3</v>
      </c>
      <c r="G369" s="31" t="n">
        <v>17812.3</v>
      </c>
      <c r="H369" s="31" t="n">
        <v>17827.1</v>
      </c>
      <c r="I369" s="31" t="n">
        <v>17858.7</v>
      </c>
      <c r="J369" s="31" t="n">
        <v>17884.9</v>
      </c>
      <c r="K369" s="31" t="n">
        <v>13071.3</v>
      </c>
      <c r="L369" s="31" t="n">
        <v>12962.1</v>
      </c>
      <c r="M369" s="30" t="inlineStr">
        <is>
          <t>AMR1</t>
        </is>
      </c>
      <c r="N369" s="30" t="inlineStr">
        <is>
          <t>AMR1</t>
        </is>
      </c>
      <c r="O369" s="32" t="n">
        <v>0</v>
      </c>
      <c r="P369" s="32" t="n">
        <v>0</v>
      </c>
      <c r="Q369" s="32" t="n">
        <v>15</v>
      </c>
      <c r="R369" s="31" t="n">
        <v>35.7</v>
      </c>
      <c r="S369" s="31" t="n">
        <v>35.7</v>
      </c>
      <c r="T369" s="30" t="inlineStr">
        <is>
          <t>AMR1</t>
        </is>
      </c>
      <c r="U369" s="31" t="n">
        <v>49.3</v>
      </c>
      <c r="V369" s="31" t="n">
        <v>49.3</v>
      </c>
      <c r="W369" s="30" t="inlineStr">
        <is>
          <t>AMR1</t>
        </is>
      </c>
      <c r="X369" s="32" t="n">
        <v>0</v>
      </c>
      <c r="Y369" s="32" t="n">
        <v>0</v>
      </c>
      <c r="Z369" s="31" t="n">
        <v>0</v>
      </c>
      <c r="AA369" s="32" t="n">
        <v>0</v>
      </c>
      <c r="AB369" s="32" t="n">
        <v>1</v>
      </c>
      <c r="AC369" s="32" t="n">
        <v>1</v>
      </c>
      <c r="AD369" s="32" t="n">
        <v>1</v>
      </c>
      <c r="AE369" s="31" t="n">
        <v>1.8</v>
      </c>
      <c r="AF369" s="32" t="n">
        <v>0</v>
      </c>
      <c r="AG369" s="31" t="n">
        <v>0</v>
      </c>
      <c r="AH369" s="32" t="n">
        <v>43</v>
      </c>
      <c r="AI369" s="31" t="n">
        <v>48.5</v>
      </c>
      <c r="AJ369" s="31" t="n">
        <v>39.2</v>
      </c>
      <c r="AK369" s="31" t="n">
        <v>6.7</v>
      </c>
      <c r="AL369" s="30" t="inlineStr">
        <is>
          <t>T-0518</t>
        </is>
      </c>
      <c r="AM369" s="30" t="inlineStr">
        <is>
          <t>I-02-02</t>
        </is>
      </c>
      <c r="AN369" s="30" t="inlineStr">
        <is>
          <t>T-0410</t>
        </is>
      </c>
      <c r="AO369" s="30" t="inlineStr">
        <is>
          <t>I-03-02</t>
        </is>
      </c>
    </row>
    <row r="370">
      <c r="A370" s="30" t="inlineStr">
        <is>
          <t>O0369</t>
        </is>
      </c>
      <c r="B370" s="30" t="inlineStr">
        <is>
          <t>H</t>
        </is>
      </c>
      <c r="C370" s="31" t="n">
        <v>4816.8</v>
      </c>
      <c r="D370" s="31" t="n">
        <v>17788.6</v>
      </c>
      <c r="E370" s="31" t="n">
        <v>17788.6</v>
      </c>
      <c r="F370" s="31" t="n">
        <v>17800.1</v>
      </c>
      <c r="G370" s="31" t="n">
        <v>17827.2</v>
      </c>
      <c r="H370" s="31" t="n">
        <v>17841.7</v>
      </c>
      <c r="I370" s="31" t="n">
        <v>17873.9</v>
      </c>
      <c r="J370" s="31" t="n">
        <v>17899.8</v>
      </c>
      <c r="K370" s="31" t="n">
        <v>13083</v>
      </c>
      <c r="L370" s="31" t="n">
        <v>12971.8</v>
      </c>
      <c r="M370" s="30" t="inlineStr">
        <is>
          <t>AMR3</t>
        </is>
      </c>
      <c r="N370" s="30" t="inlineStr">
        <is>
          <t>AMR3</t>
        </is>
      </c>
      <c r="O370" s="32" t="n">
        <v>0</v>
      </c>
      <c r="P370" s="32" t="n">
        <v>0</v>
      </c>
      <c r="Q370" s="32" t="n">
        <v>15</v>
      </c>
      <c r="R370" s="31" t="n">
        <v>36.9</v>
      </c>
      <c r="S370" s="31" t="n">
        <v>36.9</v>
      </c>
      <c r="T370" s="30" t="inlineStr">
        <is>
          <t>AMR3</t>
        </is>
      </c>
      <c r="U370" s="31" t="n">
        <v>52</v>
      </c>
      <c r="V370" s="31" t="n">
        <v>52</v>
      </c>
      <c r="W370" s="30" t="inlineStr">
        <is>
          <t>AMR3</t>
        </is>
      </c>
      <c r="X370" s="32" t="n">
        <v>0</v>
      </c>
      <c r="Y370" s="32" t="n">
        <v>0</v>
      </c>
      <c r="Z370" s="31" t="n">
        <v>0</v>
      </c>
      <c r="AA370" s="32" t="n">
        <v>0</v>
      </c>
      <c r="AB370" s="32" t="n">
        <v>1</v>
      </c>
      <c r="AC370" s="32" t="n">
        <v>1</v>
      </c>
      <c r="AD370" s="32" t="n">
        <v>0</v>
      </c>
      <c r="AE370" s="31" t="n">
        <v>0</v>
      </c>
      <c r="AF370" s="32" t="n">
        <v>0</v>
      </c>
      <c r="AG370" s="31" t="n">
        <v>0</v>
      </c>
      <c r="AH370" s="32" t="n">
        <v>44</v>
      </c>
      <c r="AI370" s="31" t="n">
        <v>50.1</v>
      </c>
      <c r="AJ370" s="31" t="n">
        <v>43.6</v>
      </c>
      <c r="AK370" s="31" t="n">
        <v>3</v>
      </c>
      <c r="AL370" s="30" t="inlineStr">
        <is>
          <t>T-0519</t>
        </is>
      </c>
      <c r="AM370" s="30" t="inlineStr">
        <is>
          <t>H-03-01</t>
        </is>
      </c>
      <c r="AN370" s="30" t="inlineStr">
        <is>
          <t>T-0452</t>
        </is>
      </c>
      <c r="AO370" s="30" t="inlineStr">
        <is>
          <t>H-05-02</t>
        </is>
      </c>
    </row>
    <row r="371">
      <c r="A371" s="30" t="inlineStr">
        <is>
          <t>O0370</t>
        </is>
      </c>
      <c r="B371" s="30" t="inlineStr">
        <is>
          <t>D</t>
        </is>
      </c>
      <c r="C371" s="31" t="n">
        <v>4820.2</v>
      </c>
      <c r="D371" s="31" t="n">
        <v>17857.8</v>
      </c>
      <c r="E371" s="31" t="n">
        <v>17857.8</v>
      </c>
      <c r="F371" s="31" t="n">
        <v>17871.6</v>
      </c>
      <c r="G371" s="31" t="n">
        <v>17893.3</v>
      </c>
      <c r="H371" s="31" t="n">
        <v>17906.1</v>
      </c>
      <c r="I371" s="31" t="n">
        <v>17941.9</v>
      </c>
      <c r="J371" s="31" t="n">
        <v>17969.9</v>
      </c>
      <c r="K371" s="31" t="n">
        <v>13149.7</v>
      </c>
      <c r="L371" s="31" t="n">
        <v>13037.6</v>
      </c>
      <c r="M371" s="30" t="inlineStr">
        <is>
          <t>AMR2</t>
        </is>
      </c>
      <c r="N371" s="30" t="inlineStr">
        <is>
          <t>AMR2</t>
        </is>
      </c>
      <c r="O371" s="32" t="n">
        <v>0</v>
      </c>
      <c r="P371" s="32" t="n">
        <v>0</v>
      </c>
      <c r="Q371" s="32" t="n">
        <v>13</v>
      </c>
      <c r="R371" s="31" t="n">
        <v>34.6</v>
      </c>
      <c r="S371" s="31" t="n">
        <v>34.6</v>
      </c>
      <c r="T371" s="30" t="inlineStr">
        <is>
          <t>AMR2</t>
        </is>
      </c>
      <c r="U371" s="31" t="n">
        <v>50.8</v>
      </c>
      <c r="V371" s="31" t="n">
        <v>50.8</v>
      </c>
      <c r="W371" s="30" t="inlineStr">
        <is>
          <t>AMR2</t>
        </is>
      </c>
      <c r="X371" s="32" t="n">
        <v>0</v>
      </c>
      <c r="Y371" s="32" t="n">
        <v>0</v>
      </c>
      <c r="Z371" s="31" t="n">
        <v>0</v>
      </c>
      <c r="AA371" s="32" t="n">
        <v>0</v>
      </c>
      <c r="AB371" s="32" t="n">
        <v>2</v>
      </c>
      <c r="AC371" s="32" t="n">
        <v>2</v>
      </c>
      <c r="AD371" s="32" t="n">
        <v>0</v>
      </c>
      <c r="AE371" s="31" t="n">
        <v>0</v>
      </c>
      <c r="AF371" s="32" t="n">
        <v>0</v>
      </c>
      <c r="AG371" s="31" t="n">
        <v>0</v>
      </c>
      <c r="AH371" s="32" t="n">
        <v>43</v>
      </c>
      <c r="AI371" s="31" t="n">
        <v>46.9</v>
      </c>
      <c r="AJ371" s="31" t="n">
        <v>42.7</v>
      </c>
      <c r="AK371" s="31" t="n">
        <v>9.699999999999999</v>
      </c>
      <c r="AL371" s="30" t="inlineStr">
        <is>
          <t>T-0520</t>
        </is>
      </c>
      <c r="AM371" s="30" t="inlineStr">
        <is>
          <t>D-02-03</t>
        </is>
      </c>
      <c r="AN371" s="30" t="inlineStr">
        <is>
          <t>T-0403</t>
        </is>
      </c>
      <c r="AO371" s="30" t="inlineStr">
        <is>
          <t>D-04-03</t>
        </is>
      </c>
    </row>
    <row r="372">
      <c r="A372" s="30" t="inlineStr">
        <is>
          <t>O0371</t>
        </is>
      </c>
      <c r="B372" s="30" t="inlineStr">
        <is>
          <t>E</t>
        </is>
      </c>
      <c r="C372" s="31" t="n">
        <v>4825.1</v>
      </c>
      <c r="D372" s="31" t="n">
        <v>17916</v>
      </c>
      <c r="E372" s="31" t="n">
        <v>17916</v>
      </c>
      <c r="F372" s="31" t="n">
        <v>17927.7</v>
      </c>
      <c r="G372" s="31" t="n">
        <v>17955.1</v>
      </c>
      <c r="H372" s="31" t="n">
        <v>17976</v>
      </c>
      <c r="I372" s="31" t="n">
        <v>18007.2</v>
      </c>
      <c r="J372" s="31" t="n">
        <v>18042.7</v>
      </c>
      <c r="K372" s="31" t="n">
        <v>13217.6</v>
      </c>
      <c r="L372" s="31" t="n">
        <v>13090.9</v>
      </c>
      <c r="M372" s="30" t="inlineStr">
        <is>
          <t>AMR1</t>
        </is>
      </c>
      <c r="N372" s="30" t="inlineStr">
        <is>
          <t>AMR1</t>
        </is>
      </c>
      <c r="O372" s="32" t="n">
        <v>0</v>
      </c>
      <c r="P372" s="32" t="n">
        <v>0</v>
      </c>
      <c r="Q372" s="32" t="n">
        <v>19</v>
      </c>
      <c r="R372" s="31" t="n">
        <v>35.8</v>
      </c>
      <c r="S372" s="31" t="n">
        <v>35.8</v>
      </c>
      <c r="T372" s="30" t="inlineStr">
        <is>
          <t>AMR1</t>
        </is>
      </c>
      <c r="U372" s="31" t="n">
        <v>64.90000000000001</v>
      </c>
      <c r="V372" s="31" t="n">
        <v>64.90000000000001</v>
      </c>
      <c r="W372" s="30" t="inlineStr">
        <is>
          <t>AMR1</t>
        </is>
      </c>
      <c r="X372" s="32" t="n">
        <v>0</v>
      </c>
      <c r="Y372" s="32" t="n">
        <v>0</v>
      </c>
      <c r="Z372" s="31" t="n">
        <v>0</v>
      </c>
      <c r="AA372" s="32" t="n">
        <v>0</v>
      </c>
      <c r="AB372" s="32" t="n">
        <v>0</v>
      </c>
      <c r="AC372" s="32" t="n">
        <v>0</v>
      </c>
      <c r="AD372" s="32" t="n">
        <v>0</v>
      </c>
      <c r="AE372" s="31" t="n">
        <v>0</v>
      </c>
      <c r="AF372" s="32" t="n">
        <v>0</v>
      </c>
      <c r="AG372" s="31" t="n">
        <v>0</v>
      </c>
      <c r="AH372" s="32" t="n">
        <v>62</v>
      </c>
      <c r="AI372" s="31" t="n">
        <v>62.6</v>
      </c>
      <c r="AJ372" s="31" t="n">
        <v>43.2</v>
      </c>
      <c r="AK372" s="31" t="n">
        <v>0</v>
      </c>
      <c r="AL372" s="30" t="inlineStr">
        <is>
          <t>T-0521</t>
        </is>
      </c>
      <c r="AM372" s="30" t="inlineStr">
        <is>
          <t>E-06-02</t>
        </is>
      </c>
      <c r="AN372" s="30" t="inlineStr">
        <is>
          <t>T-0289</t>
        </is>
      </c>
      <c r="AO372" s="30" t="inlineStr">
        <is>
          <t>E-03-03</t>
        </is>
      </c>
    </row>
    <row r="373">
      <c r="A373" s="30" t="inlineStr">
        <is>
          <t>O0372</t>
        </is>
      </c>
      <c r="B373" s="30" t="inlineStr">
        <is>
          <t>G</t>
        </is>
      </c>
      <c r="C373" s="31" t="n">
        <v>4829.6</v>
      </c>
      <c r="D373" s="31" t="n">
        <v>17927.9</v>
      </c>
      <c r="E373" s="31" t="n">
        <v>17927.9</v>
      </c>
      <c r="F373" s="31" t="n">
        <v>17942.1</v>
      </c>
      <c r="G373" s="31" t="n">
        <v>17971.8</v>
      </c>
      <c r="H373" s="31" t="n">
        <v>17990</v>
      </c>
      <c r="I373" s="31" t="n">
        <v>18019.3</v>
      </c>
      <c r="J373" s="31" t="n">
        <v>18059.1</v>
      </c>
      <c r="K373" s="31" t="n">
        <v>13229.5</v>
      </c>
      <c r="L373" s="31" t="n">
        <v>13098.3</v>
      </c>
      <c r="M373" s="30" t="inlineStr">
        <is>
          <t>AMR3</t>
        </is>
      </c>
      <c r="N373" s="30" t="inlineStr">
        <is>
          <t>AMR3</t>
        </is>
      </c>
      <c r="O373" s="32" t="n">
        <v>0</v>
      </c>
      <c r="P373" s="32" t="n">
        <v>0</v>
      </c>
      <c r="Q373" s="32" t="n">
        <v>17</v>
      </c>
      <c r="R373" s="31" t="n">
        <v>41.4</v>
      </c>
      <c r="S373" s="31" t="n">
        <v>41.4</v>
      </c>
      <c r="T373" s="30" t="inlineStr">
        <is>
          <t>AMR3</t>
        </is>
      </c>
      <c r="U373" s="31" t="n">
        <v>58.4</v>
      </c>
      <c r="V373" s="31" t="n">
        <v>58.4</v>
      </c>
      <c r="W373" s="30" t="inlineStr">
        <is>
          <t>AMR3</t>
        </is>
      </c>
      <c r="X373" s="32" t="n">
        <v>0</v>
      </c>
      <c r="Y373" s="32" t="n">
        <v>0</v>
      </c>
      <c r="Z373" s="31" t="n">
        <v>0</v>
      </c>
      <c r="AA373" s="32" t="n">
        <v>0</v>
      </c>
      <c r="AB373" s="32" t="n">
        <v>0</v>
      </c>
      <c r="AC373" s="32" t="n">
        <v>1</v>
      </c>
      <c r="AD373" s="32" t="n">
        <v>2</v>
      </c>
      <c r="AE373" s="31" t="n">
        <v>8.9</v>
      </c>
      <c r="AF373" s="32" t="n">
        <v>1</v>
      </c>
      <c r="AG373" s="31" t="n">
        <v>0.6</v>
      </c>
      <c r="AH373" s="32" t="n">
        <v>51</v>
      </c>
      <c r="AI373" s="31" t="n">
        <v>54.7</v>
      </c>
      <c r="AJ373" s="31" t="n">
        <v>49.4</v>
      </c>
      <c r="AK373" s="31" t="n">
        <v>8.9</v>
      </c>
      <c r="AL373" s="30" t="inlineStr">
        <is>
          <t>T-0522</t>
        </is>
      </c>
      <c r="AM373" s="30" t="inlineStr">
        <is>
          <t>G-01-03</t>
        </is>
      </c>
      <c r="AN373" s="30" t="inlineStr">
        <is>
          <t>T-0317</t>
        </is>
      </c>
      <c r="AO373" s="30" t="inlineStr">
        <is>
          <t>G-03-03</t>
        </is>
      </c>
    </row>
    <row r="374">
      <c r="A374" s="30" t="inlineStr">
        <is>
          <t>O0373</t>
        </is>
      </c>
      <c r="B374" s="30" t="inlineStr">
        <is>
          <t>G</t>
        </is>
      </c>
      <c r="C374" s="31" t="n">
        <v>4835.9</v>
      </c>
      <c r="D374" s="31" t="n">
        <v>17993.6</v>
      </c>
      <c r="E374" s="31" t="n">
        <v>17993.6</v>
      </c>
      <c r="F374" s="31" t="n">
        <v>18008.9</v>
      </c>
      <c r="G374" s="31" t="n">
        <v>18046</v>
      </c>
      <c r="H374" s="31" t="n">
        <v>18064.2</v>
      </c>
      <c r="I374" s="31" t="n">
        <v>18092.8</v>
      </c>
      <c r="J374" s="31" t="n">
        <v>18122.7</v>
      </c>
      <c r="K374" s="31" t="n">
        <v>13286.8</v>
      </c>
      <c r="L374" s="31" t="n">
        <v>13157.7</v>
      </c>
      <c r="M374" s="30" t="inlineStr">
        <is>
          <t>AMR2</t>
        </is>
      </c>
      <c r="N374" s="30" t="inlineStr">
        <is>
          <t>AMR2</t>
        </is>
      </c>
      <c r="O374" s="32" t="n">
        <v>0</v>
      </c>
      <c r="P374" s="32" t="n">
        <v>0</v>
      </c>
      <c r="Q374" s="32" t="n">
        <v>17</v>
      </c>
      <c r="R374" s="31" t="n">
        <v>43.5</v>
      </c>
      <c r="S374" s="31" t="n">
        <v>43.5</v>
      </c>
      <c r="T374" s="30" t="inlineStr">
        <is>
          <t>AMR2</t>
        </is>
      </c>
      <c r="U374" s="31" t="n">
        <v>57</v>
      </c>
      <c r="V374" s="31" t="n">
        <v>57</v>
      </c>
      <c r="W374" s="30" t="inlineStr">
        <is>
          <t>AMR2</t>
        </is>
      </c>
      <c r="X374" s="32" t="n">
        <v>0</v>
      </c>
      <c r="Y374" s="32" t="n">
        <v>0</v>
      </c>
      <c r="Z374" s="31" t="n">
        <v>0</v>
      </c>
      <c r="AA374" s="32" t="n">
        <v>0</v>
      </c>
      <c r="AB374" s="32" t="n">
        <v>0</v>
      </c>
      <c r="AC374" s="32" t="n">
        <v>1</v>
      </c>
      <c r="AD374" s="32" t="n">
        <v>0</v>
      </c>
      <c r="AE374" s="31" t="n">
        <v>0</v>
      </c>
      <c r="AF374" s="32" t="n">
        <v>0</v>
      </c>
      <c r="AG374" s="31" t="n">
        <v>0</v>
      </c>
      <c r="AH374" s="32" t="n">
        <v>51</v>
      </c>
      <c r="AI374" s="31" t="n">
        <v>56.6</v>
      </c>
      <c r="AJ374" s="31" t="n">
        <v>50.1</v>
      </c>
      <c r="AK374" s="31" t="n">
        <v>4.2</v>
      </c>
      <c r="AL374" s="30" t="inlineStr">
        <is>
          <t>T-0523</t>
        </is>
      </c>
      <c r="AM374" s="30" t="inlineStr">
        <is>
          <t>G-02-03</t>
        </is>
      </c>
      <c r="AN374" s="30" t="inlineStr">
        <is>
          <t>T-0335</t>
        </is>
      </c>
      <c r="AO374" s="30" t="inlineStr">
        <is>
          <t>G-04-03</t>
        </is>
      </c>
    </row>
    <row r="375">
      <c r="A375" s="30" t="inlineStr">
        <is>
          <t>O0374</t>
        </is>
      </c>
      <c r="B375" s="30" t="inlineStr">
        <is>
          <t>H</t>
        </is>
      </c>
      <c r="C375" s="31" t="n">
        <v>4841.6</v>
      </c>
      <c r="D375" s="31" t="n">
        <v>18067.7</v>
      </c>
      <c r="E375" s="31" t="n">
        <v>18067.7</v>
      </c>
      <c r="F375" s="31" t="n">
        <v>18082.3</v>
      </c>
      <c r="G375" s="31" t="n">
        <v>18106.5</v>
      </c>
      <c r="H375" s="31" t="n">
        <v>18121</v>
      </c>
      <c r="I375" s="31" t="n">
        <v>18147.7</v>
      </c>
      <c r="J375" s="31" t="n">
        <v>18173.8</v>
      </c>
      <c r="K375" s="31" t="n">
        <v>13332.2</v>
      </c>
      <c r="L375" s="31" t="n">
        <v>13226.1</v>
      </c>
      <c r="M375" s="30" t="inlineStr">
        <is>
          <t>AMR1</t>
        </is>
      </c>
      <c r="N375" s="30" t="inlineStr">
        <is>
          <t>AMR1</t>
        </is>
      </c>
      <c r="O375" s="32" t="n">
        <v>0</v>
      </c>
      <c r="P375" s="32" t="n">
        <v>0</v>
      </c>
      <c r="Q375" s="32" t="n">
        <v>15</v>
      </c>
      <c r="R375" s="31" t="n">
        <v>37.1</v>
      </c>
      <c r="S375" s="31" t="n">
        <v>37.1</v>
      </c>
      <c r="T375" s="30" t="inlineStr">
        <is>
          <t>AMR1</t>
        </is>
      </c>
      <c r="U375" s="31" t="n">
        <v>54</v>
      </c>
      <c r="V375" s="31" t="n">
        <v>54</v>
      </c>
      <c r="W375" s="30" t="inlineStr">
        <is>
          <t>AMR1</t>
        </is>
      </c>
      <c r="X375" s="32" t="n">
        <v>0</v>
      </c>
      <c r="Y375" s="32" t="n">
        <v>0</v>
      </c>
      <c r="Z375" s="31" t="n">
        <v>0</v>
      </c>
      <c r="AA375" s="32" t="n">
        <v>0</v>
      </c>
      <c r="AB375" s="32" t="n">
        <v>0</v>
      </c>
      <c r="AC375" s="32" t="n">
        <v>0</v>
      </c>
      <c r="AD375" s="32" t="n">
        <v>0</v>
      </c>
      <c r="AE375" s="31" t="n">
        <v>0</v>
      </c>
      <c r="AF375" s="32" t="n">
        <v>0</v>
      </c>
      <c r="AG375" s="31" t="n">
        <v>0</v>
      </c>
      <c r="AH375" s="32" t="n">
        <v>42</v>
      </c>
      <c r="AI375" s="31" t="n">
        <v>45.8</v>
      </c>
      <c r="AJ375" s="31" t="n">
        <v>45.8</v>
      </c>
      <c r="AK375" s="31" t="n">
        <v>0</v>
      </c>
      <c r="AL375" s="30" t="inlineStr">
        <is>
          <t>T-0524</t>
        </is>
      </c>
      <c r="AM375" s="30" t="inlineStr">
        <is>
          <t>H-03-02</t>
        </is>
      </c>
      <c r="AN375" s="30" t="inlineStr">
        <is>
          <t>T-0457</t>
        </is>
      </c>
      <c r="AO375" s="30" t="inlineStr">
        <is>
          <t>H-01-01</t>
        </is>
      </c>
    </row>
    <row r="376">
      <c r="A376" s="30" t="inlineStr">
        <is>
          <t>O0375</t>
        </is>
      </c>
      <c r="B376" s="30" t="inlineStr">
        <is>
          <t>E</t>
        </is>
      </c>
      <c r="C376" s="31" t="n">
        <v>4845.3</v>
      </c>
      <c r="D376" s="31" t="n">
        <v>18082.8</v>
      </c>
      <c r="E376" s="31" t="n">
        <v>18082.8</v>
      </c>
      <c r="F376" s="31" t="n">
        <v>18094.5</v>
      </c>
      <c r="G376" s="31" t="n">
        <v>18119.4</v>
      </c>
      <c r="H376" s="31" t="n">
        <v>18137.6</v>
      </c>
      <c r="I376" s="31" t="n">
        <v>18165.4</v>
      </c>
      <c r="J376" s="31" t="n">
        <v>18206.3</v>
      </c>
      <c r="K376" s="31" t="n">
        <v>13361</v>
      </c>
      <c r="L376" s="31" t="n">
        <v>13237.5</v>
      </c>
      <c r="M376" s="30" t="inlineStr">
        <is>
          <t>AMR3</t>
        </is>
      </c>
      <c r="N376" s="30" t="inlineStr">
        <is>
          <t>AMR3</t>
        </is>
      </c>
      <c r="O376" s="32" t="n">
        <v>0</v>
      </c>
      <c r="P376" s="32" t="n">
        <v>0</v>
      </c>
      <c r="Q376" s="32" t="n">
        <v>19</v>
      </c>
      <c r="R376" s="31" t="n">
        <v>35.7</v>
      </c>
      <c r="S376" s="31" t="n">
        <v>35.7</v>
      </c>
      <c r="T376" s="30" t="inlineStr">
        <is>
          <t>AMR3</t>
        </is>
      </c>
      <c r="U376" s="31" t="n">
        <v>64.59999999999999</v>
      </c>
      <c r="V376" s="31" t="n">
        <v>64.59999999999999</v>
      </c>
      <c r="W376" s="30" t="inlineStr">
        <is>
          <t>AMR3</t>
        </is>
      </c>
      <c r="X376" s="32" t="n">
        <v>0</v>
      </c>
      <c r="Y376" s="32" t="n">
        <v>0</v>
      </c>
      <c r="Z376" s="31" t="n">
        <v>0</v>
      </c>
      <c r="AA376" s="32" t="n">
        <v>0</v>
      </c>
      <c r="AB376" s="32" t="n">
        <v>1</v>
      </c>
      <c r="AC376" s="32" t="n">
        <v>1</v>
      </c>
      <c r="AD376" s="32" t="n">
        <v>0</v>
      </c>
      <c r="AE376" s="31" t="n">
        <v>0</v>
      </c>
      <c r="AF376" s="32" t="n">
        <v>0</v>
      </c>
      <c r="AG376" s="31" t="n">
        <v>0</v>
      </c>
      <c r="AH376" s="32" t="n">
        <v>57</v>
      </c>
      <c r="AI376" s="31" t="n">
        <v>59.5</v>
      </c>
      <c r="AJ376" s="31" t="n">
        <v>42.8</v>
      </c>
      <c r="AK376" s="31" t="n">
        <v>3</v>
      </c>
      <c r="AL376" s="30" t="inlineStr">
        <is>
          <t>T-0525</t>
        </is>
      </c>
      <c r="AM376" s="30" t="inlineStr">
        <is>
          <t>E-02-03</t>
        </is>
      </c>
      <c r="AN376" s="30" t="inlineStr">
        <is>
          <t>T-0305</t>
        </is>
      </c>
      <c r="AO376" s="30" t="inlineStr">
        <is>
          <t>E-02-01</t>
        </is>
      </c>
    </row>
    <row r="377">
      <c r="A377" s="30" t="inlineStr">
        <is>
          <t>O0376</t>
        </is>
      </c>
      <c r="B377" s="30" t="inlineStr">
        <is>
          <t>D</t>
        </is>
      </c>
      <c r="C377" s="31" t="n">
        <v>4849.7</v>
      </c>
      <c r="D377" s="31" t="n">
        <v>18146.4</v>
      </c>
      <c r="E377" s="31" t="n">
        <v>18146.4</v>
      </c>
      <c r="F377" s="31" t="n">
        <v>18159.3</v>
      </c>
      <c r="G377" s="31" t="n">
        <v>18190.9</v>
      </c>
      <c r="H377" s="31" t="n">
        <v>18197.5</v>
      </c>
      <c r="I377" s="31" t="n">
        <v>18222.6</v>
      </c>
      <c r="J377" s="31" t="n">
        <v>18248.1</v>
      </c>
      <c r="K377" s="31" t="n">
        <v>13398.4</v>
      </c>
      <c r="L377" s="31" t="n">
        <v>13296.7</v>
      </c>
      <c r="M377" s="30" t="inlineStr">
        <is>
          <t>AMR2</t>
        </is>
      </c>
      <c r="N377" s="30" t="inlineStr">
        <is>
          <t>AMR1</t>
        </is>
      </c>
      <c r="O377" s="32" t="n">
        <v>0</v>
      </c>
      <c r="P377" s="32" t="n">
        <v>0</v>
      </c>
      <c r="Q377" s="32" t="n">
        <v>13</v>
      </c>
      <c r="R377" s="31" t="n">
        <v>36.8</v>
      </c>
      <c r="S377" s="31" t="n">
        <v>36.8</v>
      </c>
      <c r="T377" s="30" t="inlineStr">
        <is>
          <t>AMR2</t>
        </is>
      </c>
      <c r="U377" s="31" t="n">
        <v>50.8</v>
      </c>
      <c r="V377" s="31" t="n">
        <v>50.8</v>
      </c>
      <c r="W377" s="30" t="inlineStr">
        <is>
          <t>AMR1</t>
        </is>
      </c>
      <c r="X377" s="32" t="n">
        <v>0</v>
      </c>
      <c r="Y377" s="32" t="n">
        <v>0</v>
      </c>
      <c r="Z377" s="31" t="n">
        <v>0</v>
      </c>
      <c r="AA377" s="32" t="n">
        <v>0</v>
      </c>
      <c r="AB377" s="32" t="n">
        <v>1</v>
      </c>
      <c r="AC377" s="32" t="n">
        <v>1</v>
      </c>
      <c r="AD377" s="32" t="n">
        <v>0</v>
      </c>
      <c r="AE377" s="31" t="n">
        <v>0</v>
      </c>
      <c r="AF377" s="32" t="n">
        <v>1</v>
      </c>
      <c r="AG377" s="31" t="n">
        <v>1</v>
      </c>
      <c r="AH377" s="32" t="n">
        <v>40</v>
      </c>
      <c r="AI377" s="31" t="n">
        <v>44.2</v>
      </c>
      <c r="AJ377" s="31" t="n">
        <v>44.9</v>
      </c>
      <c r="AK377" s="31" t="n">
        <v>6</v>
      </c>
      <c r="AL377" s="30" t="inlineStr">
        <is>
          <t>T-0526</t>
        </is>
      </c>
      <c r="AM377" s="30" t="inlineStr">
        <is>
          <t>D-03-03</t>
        </is>
      </c>
      <c r="AN377" s="30" t="inlineStr">
        <is>
          <t>T-0405</t>
        </is>
      </c>
      <c r="AO377" s="30" t="inlineStr">
        <is>
          <t>D-01-01</t>
        </is>
      </c>
    </row>
    <row r="378">
      <c r="A378" s="30" t="inlineStr">
        <is>
          <t>O0377</t>
        </is>
      </c>
      <c r="B378" s="30" t="inlineStr">
        <is>
          <t>C</t>
        </is>
      </c>
      <c r="C378" s="31" t="n">
        <v>4855.3</v>
      </c>
      <c r="D378" s="31" t="n">
        <v>18205</v>
      </c>
      <c r="E378" s="31" t="n">
        <v>18205</v>
      </c>
      <c r="F378" s="31" t="n">
        <v>18220.4</v>
      </c>
      <c r="G378" s="31" t="n">
        <v>18239.8</v>
      </c>
      <c r="H378" s="31" t="n">
        <v>18252.6</v>
      </c>
      <c r="I378" s="31" t="n">
        <v>18276.1</v>
      </c>
      <c r="J378" s="31" t="n">
        <v>18301.6</v>
      </c>
      <c r="K378" s="31" t="n">
        <v>13446.3</v>
      </c>
      <c r="L378" s="31" t="n">
        <v>13349.7</v>
      </c>
      <c r="M378" s="30" t="inlineStr">
        <is>
          <t>AMR2</t>
        </is>
      </c>
      <c r="N378" s="30" t="inlineStr">
        <is>
          <t>AMR2</t>
        </is>
      </c>
      <c r="O378" s="32" t="n">
        <v>0</v>
      </c>
      <c r="P378" s="32" t="n">
        <v>0</v>
      </c>
      <c r="Q378" s="32" t="n">
        <v>13</v>
      </c>
      <c r="R378" s="31" t="n">
        <v>33.9</v>
      </c>
      <c r="S378" s="31" t="n">
        <v>33.9</v>
      </c>
      <c r="T378" s="30" t="inlineStr">
        <is>
          <t>AMR2</t>
        </is>
      </c>
      <c r="U378" s="31" t="n">
        <v>50.2</v>
      </c>
      <c r="V378" s="31" t="n">
        <v>50.2</v>
      </c>
      <c r="W378" s="30" t="inlineStr">
        <is>
          <t>AMR2</t>
        </is>
      </c>
      <c r="X378" s="32" t="n">
        <v>0</v>
      </c>
      <c r="Y378" s="32" t="n">
        <v>0</v>
      </c>
      <c r="Z378" s="31" t="n">
        <v>0</v>
      </c>
      <c r="AA378" s="32" t="n">
        <v>0</v>
      </c>
      <c r="AB378" s="32" t="n">
        <v>0</v>
      </c>
      <c r="AC378" s="32" t="n">
        <v>0</v>
      </c>
      <c r="AD378" s="32" t="n">
        <v>0</v>
      </c>
      <c r="AE378" s="31" t="n">
        <v>0</v>
      </c>
      <c r="AF378" s="32" t="n">
        <v>0</v>
      </c>
      <c r="AG378" s="31" t="n">
        <v>0</v>
      </c>
      <c r="AH378" s="32" t="n">
        <v>39</v>
      </c>
      <c r="AI378" s="31" t="n">
        <v>41.9</v>
      </c>
      <c r="AJ378" s="31" t="n">
        <v>41.9</v>
      </c>
      <c r="AK378" s="31" t="n">
        <v>0</v>
      </c>
      <c r="AL378" s="30" t="inlineStr">
        <is>
          <t>T-0527</t>
        </is>
      </c>
      <c r="AM378" s="30" t="inlineStr">
        <is>
          <t>C-04-02</t>
        </is>
      </c>
      <c r="AN378" s="30" t="inlineStr">
        <is>
          <t>T-0434</t>
        </is>
      </c>
      <c r="AO378" s="30" t="inlineStr">
        <is>
          <t>C-02-01</t>
        </is>
      </c>
    </row>
    <row r="379">
      <c r="A379" s="30" t="inlineStr">
        <is>
          <t>O0378</t>
        </is>
      </c>
      <c r="B379" s="30" t="inlineStr">
        <is>
          <t>I</t>
        </is>
      </c>
      <c r="C379" s="31" t="n">
        <v>4861.3</v>
      </c>
      <c r="D379" s="31" t="n">
        <v>18230</v>
      </c>
      <c r="E379" s="31" t="n">
        <v>18230</v>
      </c>
      <c r="F379" s="31" t="n">
        <v>18242.2</v>
      </c>
      <c r="G379" s="31" t="n">
        <v>18270</v>
      </c>
      <c r="H379" s="31" t="n">
        <v>18271.8</v>
      </c>
      <c r="I379" s="31" t="n">
        <v>18298.7</v>
      </c>
      <c r="J379" s="31" t="n">
        <v>18327.3</v>
      </c>
      <c r="K379" s="31" t="n">
        <v>13466</v>
      </c>
      <c r="L379" s="31" t="n">
        <v>13368.7</v>
      </c>
      <c r="M379" s="30" t="inlineStr">
        <is>
          <t>AMR3</t>
        </is>
      </c>
      <c r="N379" s="30" t="inlineStr">
        <is>
          <t>AMR1</t>
        </is>
      </c>
      <c r="O379" s="32" t="n">
        <v>0</v>
      </c>
      <c r="P379" s="32" t="n">
        <v>0</v>
      </c>
      <c r="Q379" s="32" t="n">
        <v>15</v>
      </c>
      <c r="R379" s="31" t="n">
        <v>38.3</v>
      </c>
      <c r="S379" s="31" t="n">
        <v>38.3</v>
      </c>
      <c r="T379" s="30" t="inlineStr">
        <is>
          <t>AMR3</t>
        </is>
      </c>
      <c r="U379" s="31" t="n">
        <v>52.2</v>
      </c>
      <c r="V379" s="31" t="n">
        <v>52.2</v>
      </c>
      <c r="W379" s="30" t="inlineStr">
        <is>
          <t>AMR1</t>
        </is>
      </c>
      <c r="X379" s="32" t="n">
        <v>0</v>
      </c>
      <c r="Y379" s="32" t="n">
        <v>0</v>
      </c>
      <c r="Z379" s="31" t="n">
        <v>0</v>
      </c>
      <c r="AA379" s="32" t="n">
        <v>0</v>
      </c>
      <c r="AB379" s="32" t="n">
        <v>0</v>
      </c>
      <c r="AC379" s="32" t="n">
        <v>0</v>
      </c>
      <c r="AD379" s="32" t="n">
        <v>0</v>
      </c>
      <c r="AE379" s="31" t="n">
        <v>0</v>
      </c>
      <c r="AF379" s="32" t="n">
        <v>0</v>
      </c>
      <c r="AG379" s="31" t="n">
        <v>0</v>
      </c>
      <c r="AH379" s="32" t="n">
        <v>46</v>
      </c>
      <c r="AI379" s="31" t="n">
        <v>50.8</v>
      </c>
      <c r="AJ379" s="31" t="n">
        <v>44.7</v>
      </c>
      <c r="AK379" s="31" t="n">
        <v>0</v>
      </c>
      <c r="AL379" s="30" t="inlineStr">
        <is>
          <t>T-0528</t>
        </is>
      </c>
      <c r="AM379" s="30" t="inlineStr">
        <is>
          <t>I-03-02</t>
        </is>
      </c>
      <c r="AN379" s="30" t="inlineStr">
        <is>
          <t>T-0416</t>
        </is>
      </c>
      <c r="AO379" s="30" t="inlineStr">
        <is>
          <t>I-04-02</t>
        </is>
      </c>
    </row>
    <row r="380">
      <c r="A380" s="30" t="inlineStr">
        <is>
          <t>O0379</t>
        </is>
      </c>
      <c r="B380" s="30" t="inlineStr">
        <is>
          <t>H</t>
        </is>
      </c>
      <c r="C380" s="31" t="n">
        <v>4865.7</v>
      </c>
      <c r="D380" s="31" t="n">
        <v>18286.1</v>
      </c>
      <c r="E380" s="31" t="n">
        <v>18286.1</v>
      </c>
      <c r="F380" s="31" t="n">
        <v>18300</v>
      </c>
      <c r="G380" s="31" t="n">
        <v>18326.4</v>
      </c>
      <c r="H380" s="31" t="n">
        <v>18340.6</v>
      </c>
      <c r="I380" s="31" t="n">
        <v>18362.4</v>
      </c>
      <c r="J380" s="31" t="n">
        <v>18387.6</v>
      </c>
      <c r="K380" s="31" t="n">
        <v>13521.9</v>
      </c>
      <c r="L380" s="31" t="n">
        <v>13420.4</v>
      </c>
      <c r="M380" s="30" t="inlineStr">
        <is>
          <t>AMR3</t>
        </is>
      </c>
      <c r="N380" s="30" t="inlineStr">
        <is>
          <t>AMR3</t>
        </is>
      </c>
      <c r="O380" s="32" t="n">
        <v>0</v>
      </c>
      <c r="P380" s="32" t="n">
        <v>0</v>
      </c>
      <c r="Q380" s="32" t="n">
        <v>15</v>
      </c>
      <c r="R380" s="31" t="n">
        <v>39.4</v>
      </c>
      <c r="S380" s="31" t="n">
        <v>39.4</v>
      </c>
      <c r="T380" s="30" t="inlineStr">
        <is>
          <t>AMR3</t>
        </is>
      </c>
      <c r="U380" s="31" t="n">
        <v>49.7</v>
      </c>
      <c r="V380" s="31" t="n">
        <v>49.7</v>
      </c>
      <c r="W380" s="30" t="inlineStr">
        <is>
          <t>AMR3</t>
        </is>
      </c>
      <c r="X380" s="32" t="n">
        <v>0</v>
      </c>
      <c r="Y380" s="32" t="n">
        <v>0</v>
      </c>
      <c r="Z380" s="31" t="n">
        <v>0</v>
      </c>
      <c r="AA380" s="32" t="n">
        <v>0</v>
      </c>
      <c r="AB380" s="32" t="n">
        <v>0</v>
      </c>
      <c r="AC380" s="32" t="n">
        <v>0</v>
      </c>
      <c r="AD380" s="32" t="n">
        <v>0</v>
      </c>
      <c r="AE380" s="31" t="n">
        <v>0</v>
      </c>
      <c r="AF380" s="32" t="n">
        <v>0</v>
      </c>
      <c r="AG380" s="31" t="n">
        <v>0</v>
      </c>
      <c r="AH380" s="32" t="n">
        <v>39</v>
      </c>
      <c r="AI380" s="31" t="n">
        <v>43.5</v>
      </c>
      <c r="AJ380" s="31" t="n">
        <v>43.8</v>
      </c>
      <c r="AK380" s="31" t="n">
        <v>0</v>
      </c>
      <c r="AL380" s="30" t="inlineStr">
        <is>
          <t>T-0529</t>
        </is>
      </c>
      <c r="AM380" s="30" t="inlineStr">
        <is>
          <t>H-01-01</t>
        </is>
      </c>
      <c r="AN380" s="30" t="inlineStr">
        <is>
          <t>T-0459</t>
        </is>
      </c>
      <c r="AO380" s="30" t="inlineStr">
        <is>
          <t>H-06-02</t>
        </is>
      </c>
    </row>
    <row r="381">
      <c r="A381" s="30" t="inlineStr">
        <is>
          <t>O0380</t>
        </is>
      </c>
      <c r="B381" s="30" t="inlineStr">
        <is>
          <t>B</t>
        </is>
      </c>
      <c r="C381" s="31" t="n">
        <v>4871</v>
      </c>
      <c r="D381" s="31" t="n">
        <v>18325.3</v>
      </c>
      <c r="E381" s="31" t="n">
        <v>18325.3</v>
      </c>
      <c r="F381" s="31" t="n">
        <v>18336.2</v>
      </c>
      <c r="G381" s="31" t="n">
        <v>18360.4</v>
      </c>
      <c r="H381" s="31" t="n">
        <v>18379.2</v>
      </c>
      <c r="I381" s="31" t="n">
        <v>18401.5</v>
      </c>
      <c r="J381" s="31" t="n">
        <v>18432.6</v>
      </c>
      <c r="K381" s="31" t="n">
        <v>13561.6</v>
      </c>
      <c r="L381" s="31" t="n">
        <v>13454.3</v>
      </c>
      <c r="M381" s="30" t="inlineStr">
        <is>
          <t>AMR2</t>
        </is>
      </c>
      <c r="N381" s="30" t="inlineStr">
        <is>
          <t>AMR2</t>
        </is>
      </c>
      <c r="O381" s="32" t="n">
        <v>0</v>
      </c>
      <c r="P381" s="32" t="n">
        <v>0</v>
      </c>
      <c r="Q381" s="32" t="n">
        <v>15</v>
      </c>
      <c r="R381" s="31" t="n">
        <v>34.2</v>
      </c>
      <c r="S381" s="31" t="n">
        <v>34.2</v>
      </c>
      <c r="T381" s="30" t="inlineStr">
        <is>
          <t>AMR2</t>
        </is>
      </c>
      <c r="U381" s="31" t="n">
        <v>53.1</v>
      </c>
      <c r="V381" s="31" t="n">
        <v>53.1</v>
      </c>
      <c r="W381" s="30" t="inlineStr">
        <is>
          <t>AMR2</t>
        </is>
      </c>
      <c r="X381" s="32" t="n">
        <v>0</v>
      </c>
      <c r="Y381" s="32" t="n">
        <v>0</v>
      </c>
      <c r="Z381" s="31" t="n">
        <v>0</v>
      </c>
      <c r="AA381" s="32" t="n">
        <v>0</v>
      </c>
      <c r="AB381" s="32" t="n">
        <v>0</v>
      </c>
      <c r="AC381" s="32" t="n">
        <v>0</v>
      </c>
      <c r="AD381" s="32" t="n">
        <v>0</v>
      </c>
      <c r="AE381" s="31" t="n">
        <v>0</v>
      </c>
      <c r="AF381" s="32" t="n">
        <v>0</v>
      </c>
      <c r="AG381" s="31" t="n">
        <v>0</v>
      </c>
      <c r="AH381" s="32" t="n">
        <v>45</v>
      </c>
      <c r="AI381" s="31" t="n">
        <v>48.5</v>
      </c>
      <c r="AJ381" s="31" t="n">
        <v>40</v>
      </c>
      <c r="AK381" s="31" t="n">
        <v>0</v>
      </c>
      <c r="AL381" s="30" t="inlineStr">
        <is>
          <t>T-0530</t>
        </is>
      </c>
      <c r="AM381" s="30" t="inlineStr">
        <is>
          <t>B-04-01</t>
        </is>
      </c>
      <c r="AN381" s="30" t="inlineStr">
        <is>
          <t>T-0288</t>
        </is>
      </c>
      <c r="AO381" s="30" t="inlineStr">
        <is>
          <t>B-05-01</t>
        </is>
      </c>
    </row>
    <row r="382">
      <c r="A382" s="30" t="inlineStr">
        <is>
          <t>O0381</t>
        </is>
      </c>
      <c r="B382" s="30" t="inlineStr">
        <is>
          <t>C</t>
        </is>
      </c>
      <c r="C382" s="31" t="n">
        <v>4877.1</v>
      </c>
      <c r="D382" s="31" t="n">
        <v>18351</v>
      </c>
      <c r="E382" s="31" t="n">
        <v>18351</v>
      </c>
      <c r="F382" s="31" t="n">
        <v>18366.6</v>
      </c>
      <c r="G382" s="31" t="n">
        <v>18394.9</v>
      </c>
      <c r="H382" s="31" t="n">
        <v>18407.1</v>
      </c>
      <c r="I382" s="31" t="n">
        <v>18430.5</v>
      </c>
      <c r="J382" s="31" t="n">
        <v>18458.2</v>
      </c>
      <c r="K382" s="31" t="n">
        <v>13581.1</v>
      </c>
      <c r="L382" s="31" t="n">
        <v>13473.9</v>
      </c>
      <c r="M382" s="30" t="inlineStr">
        <is>
          <t>AMR1</t>
        </is>
      </c>
      <c r="N382" s="30" t="inlineStr">
        <is>
          <t>AMR1</t>
        </is>
      </c>
      <c r="O382" s="32" t="n">
        <v>0</v>
      </c>
      <c r="P382" s="32" t="n">
        <v>0</v>
      </c>
      <c r="Q382" s="32" t="n">
        <v>13</v>
      </c>
      <c r="R382" s="31" t="n">
        <v>37.4</v>
      </c>
      <c r="S382" s="31" t="n">
        <v>37.4</v>
      </c>
      <c r="T382" s="30" t="inlineStr">
        <is>
          <t>AMR1</t>
        </is>
      </c>
      <c r="U382" s="31" t="n">
        <v>53.8</v>
      </c>
      <c r="V382" s="31" t="n">
        <v>53.8</v>
      </c>
      <c r="W382" s="30" t="inlineStr">
        <is>
          <t>AMR1</t>
        </is>
      </c>
      <c r="X382" s="32" t="n">
        <v>0</v>
      </c>
      <c r="Y382" s="32" t="n">
        <v>0</v>
      </c>
      <c r="Z382" s="31" t="n">
        <v>0</v>
      </c>
      <c r="AA382" s="32" t="n">
        <v>0</v>
      </c>
      <c r="AB382" s="32" t="n">
        <v>1</v>
      </c>
      <c r="AC382" s="32" t="n">
        <v>1</v>
      </c>
      <c r="AD382" s="32" t="n">
        <v>0</v>
      </c>
      <c r="AE382" s="31" t="n">
        <v>0</v>
      </c>
      <c r="AF382" s="32" t="n">
        <v>1</v>
      </c>
      <c r="AG382" s="31" t="n">
        <v>0.6</v>
      </c>
      <c r="AH382" s="32" t="n">
        <v>37</v>
      </c>
      <c r="AI382" s="31" t="n">
        <v>40.4</v>
      </c>
      <c r="AJ382" s="31" t="n">
        <v>49</v>
      </c>
      <c r="AK382" s="31" t="n">
        <v>5.6</v>
      </c>
      <c r="AL382" s="30" t="inlineStr">
        <is>
          <t>T-0531</t>
        </is>
      </c>
      <c r="AM382" s="30" t="inlineStr">
        <is>
          <t>C-02-01</t>
        </is>
      </c>
      <c r="AN382" s="30" t="inlineStr">
        <is>
          <t>T-0450</t>
        </is>
      </c>
      <c r="AO382" s="30" t="inlineStr">
        <is>
          <t>C-06-02</t>
        </is>
      </c>
    </row>
    <row r="383">
      <c r="A383" s="30" t="inlineStr">
        <is>
          <t>O0382</t>
        </is>
      </c>
      <c r="B383" s="30" t="inlineStr">
        <is>
          <t>I</t>
        </is>
      </c>
      <c r="C383" s="31" t="n">
        <v>4881.8</v>
      </c>
      <c r="D383" s="31" t="n">
        <v>18414.3</v>
      </c>
      <c r="E383" s="31" t="n">
        <v>18414.3</v>
      </c>
      <c r="F383" s="31" t="n">
        <v>18426.5</v>
      </c>
      <c r="G383" s="31" t="n">
        <v>18453.4</v>
      </c>
      <c r="H383" s="31" t="n">
        <v>18456.3</v>
      </c>
      <c r="I383" s="31" t="n">
        <v>18483.4</v>
      </c>
      <c r="J383" s="31" t="n">
        <v>18510.5</v>
      </c>
      <c r="K383" s="31" t="n">
        <v>13628.7</v>
      </c>
      <c r="L383" s="31" t="n">
        <v>13532.5</v>
      </c>
      <c r="M383" s="30" t="inlineStr">
        <is>
          <t>AMR3</t>
        </is>
      </c>
      <c r="N383" s="30" t="inlineStr">
        <is>
          <t>AMR2</t>
        </is>
      </c>
      <c r="O383" s="32" t="n">
        <v>0</v>
      </c>
      <c r="P383" s="32" t="n">
        <v>0</v>
      </c>
      <c r="Q383" s="32" t="n">
        <v>15</v>
      </c>
      <c r="R383" s="31" t="n">
        <v>36.6</v>
      </c>
      <c r="S383" s="31" t="n">
        <v>36.6</v>
      </c>
      <c r="T383" s="30" t="inlineStr">
        <is>
          <t>AMR3</t>
        </is>
      </c>
      <c r="U383" s="31" t="n">
        <v>50.9</v>
      </c>
      <c r="V383" s="31" t="n">
        <v>50.9</v>
      </c>
      <c r="W383" s="30" t="inlineStr">
        <is>
          <t>AMR2</t>
        </is>
      </c>
      <c r="X383" s="32" t="n">
        <v>0</v>
      </c>
      <c r="Y383" s="32" t="n">
        <v>0</v>
      </c>
      <c r="Z383" s="31" t="n">
        <v>0</v>
      </c>
      <c r="AA383" s="32" t="n">
        <v>0</v>
      </c>
      <c r="AB383" s="32" t="n">
        <v>1</v>
      </c>
      <c r="AC383" s="32" t="n">
        <v>0</v>
      </c>
      <c r="AD383" s="32" t="n">
        <v>0</v>
      </c>
      <c r="AE383" s="31" t="n">
        <v>0</v>
      </c>
      <c r="AF383" s="32" t="n">
        <v>0</v>
      </c>
      <c r="AG383" s="31" t="n">
        <v>0</v>
      </c>
      <c r="AH383" s="32" t="n">
        <v>47</v>
      </c>
      <c r="AI383" s="31" t="n">
        <v>51.6</v>
      </c>
      <c r="AJ383" s="31" t="n">
        <v>41.7</v>
      </c>
      <c r="AK383" s="31" t="n">
        <v>0</v>
      </c>
      <c r="AL383" s="30" t="inlineStr">
        <is>
          <t>T-0532</t>
        </is>
      </c>
      <c r="AM383" s="30" t="inlineStr">
        <is>
          <t>I-04-02</t>
        </is>
      </c>
      <c r="AN383" s="30" t="inlineStr">
        <is>
          <t>T-0418</t>
        </is>
      </c>
      <c r="AO383" s="30" t="inlineStr">
        <is>
          <t>I-05-02</t>
        </is>
      </c>
    </row>
    <row r="384">
      <c r="A384" s="30" t="inlineStr">
        <is>
          <t>O0383</t>
        </is>
      </c>
      <c r="B384" s="30" t="inlineStr">
        <is>
          <t>A</t>
        </is>
      </c>
      <c r="C384" s="31" t="n">
        <v>4885.9</v>
      </c>
      <c r="D384" s="31" t="n">
        <v>18470.2</v>
      </c>
      <c r="E384" s="31" t="n">
        <v>18470.2</v>
      </c>
      <c r="F384" s="31" t="n">
        <v>18482.1</v>
      </c>
      <c r="G384" s="31" t="n">
        <v>18512.2</v>
      </c>
      <c r="H384" s="31" t="n">
        <v>18531.1</v>
      </c>
      <c r="I384" s="31" t="n">
        <v>18557.5</v>
      </c>
      <c r="J384" s="31" t="n">
        <v>18591.2</v>
      </c>
      <c r="K384" s="31" t="n">
        <v>13705.3</v>
      </c>
      <c r="L384" s="31" t="n">
        <v>13584.3</v>
      </c>
      <c r="M384" s="30" t="inlineStr">
        <is>
          <t>AMR3</t>
        </is>
      </c>
      <c r="N384" s="30" t="inlineStr">
        <is>
          <t>AMR3</t>
        </is>
      </c>
      <c r="O384" s="32" t="n">
        <v>0</v>
      </c>
      <c r="P384" s="32" t="n">
        <v>0</v>
      </c>
      <c r="Q384" s="32" t="n">
        <v>21</v>
      </c>
      <c r="R384" s="31" t="n">
        <v>41.9</v>
      </c>
      <c r="S384" s="31" t="n">
        <v>41.9</v>
      </c>
      <c r="T384" s="30" t="inlineStr">
        <is>
          <t>AMR3</t>
        </is>
      </c>
      <c r="U384" s="31" t="n">
        <v>59.8</v>
      </c>
      <c r="V384" s="31" t="n">
        <v>59.8</v>
      </c>
      <c r="W384" s="30" t="inlineStr">
        <is>
          <t>AMR3</t>
        </is>
      </c>
      <c r="X384" s="32" t="n">
        <v>0</v>
      </c>
      <c r="Y384" s="32" t="n">
        <v>0</v>
      </c>
      <c r="Z384" s="31" t="n">
        <v>0</v>
      </c>
      <c r="AA384" s="32" t="n">
        <v>0</v>
      </c>
      <c r="AB384" s="32" t="n">
        <v>0</v>
      </c>
      <c r="AC384" s="32" t="n">
        <v>0</v>
      </c>
      <c r="AD384" s="32" t="n">
        <v>0</v>
      </c>
      <c r="AE384" s="31" t="n">
        <v>0</v>
      </c>
      <c r="AF384" s="32" t="n">
        <v>0</v>
      </c>
      <c r="AG384" s="31" t="n">
        <v>0</v>
      </c>
      <c r="AH384" s="32" t="n">
        <v>62</v>
      </c>
      <c r="AI384" s="31" t="n">
        <v>62.5</v>
      </c>
      <c r="AJ384" s="31" t="n">
        <v>39.6</v>
      </c>
      <c r="AK384" s="31" t="n">
        <v>0</v>
      </c>
      <c r="AL384" s="30" t="inlineStr">
        <is>
          <t>T-0533</t>
        </is>
      </c>
      <c r="AM384" s="30" t="inlineStr">
        <is>
          <t>A-06-01</t>
        </is>
      </c>
      <c r="AN384" s="30" t="inlineStr">
        <is>
          <t>T-0233</t>
        </is>
      </c>
      <c r="AO384" s="30" t="inlineStr">
        <is>
          <t>A-04-02</t>
        </is>
      </c>
    </row>
    <row r="385">
      <c r="A385" s="30" t="inlineStr">
        <is>
          <t>O0384</t>
        </is>
      </c>
      <c r="B385" s="30" t="inlineStr">
        <is>
          <t>I</t>
        </is>
      </c>
      <c r="C385" s="31" t="n">
        <v>4890.6</v>
      </c>
      <c r="D385" s="31" t="n">
        <v>18485.8</v>
      </c>
      <c r="E385" s="31" t="n">
        <v>18485.8</v>
      </c>
      <c r="F385" s="31" t="n">
        <v>18496.6</v>
      </c>
      <c r="G385" s="31" t="n">
        <v>18521.1</v>
      </c>
      <c r="H385" s="31" t="n">
        <v>18534.2</v>
      </c>
      <c r="I385" s="31" t="n">
        <v>18567.9</v>
      </c>
      <c r="J385" s="31" t="n">
        <v>18604.7</v>
      </c>
      <c r="K385" s="31" t="n">
        <v>13714.1</v>
      </c>
      <c r="L385" s="31" t="n">
        <v>13595.2</v>
      </c>
      <c r="M385" s="30" t="inlineStr">
        <is>
          <t>AMR1</t>
        </is>
      </c>
      <c r="N385" s="30" t="inlineStr">
        <is>
          <t>AMR2</t>
        </is>
      </c>
      <c r="O385" s="32" t="n">
        <v>0</v>
      </c>
      <c r="P385" s="32" t="n">
        <v>0</v>
      </c>
      <c r="Q385" s="32" t="n">
        <v>15</v>
      </c>
      <c r="R385" s="31" t="n">
        <v>32.8</v>
      </c>
      <c r="S385" s="31" t="n">
        <v>32.8</v>
      </c>
      <c r="T385" s="30" t="inlineStr">
        <is>
          <t>AMR1</t>
        </is>
      </c>
      <c r="U385" s="31" t="n">
        <v>51.7</v>
      </c>
      <c r="V385" s="31" t="n">
        <v>51.7</v>
      </c>
      <c r="W385" s="30" t="inlineStr">
        <is>
          <t>AMR2</t>
        </is>
      </c>
      <c r="X385" s="32" t="n">
        <v>0</v>
      </c>
      <c r="Y385" s="32" t="n">
        <v>0</v>
      </c>
      <c r="Z385" s="31" t="n">
        <v>0</v>
      </c>
      <c r="AA385" s="32" t="n">
        <v>0</v>
      </c>
      <c r="AB385" s="32" t="n">
        <v>2</v>
      </c>
      <c r="AC385" s="32" t="n">
        <v>2</v>
      </c>
      <c r="AD385" s="32" t="n">
        <v>2</v>
      </c>
      <c r="AE385" s="31" t="n">
        <v>5</v>
      </c>
      <c r="AF385" s="32" t="n">
        <v>1</v>
      </c>
      <c r="AG385" s="31" t="n">
        <v>0.1</v>
      </c>
      <c r="AH385" s="32" t="n">
        <v>51</v>
      </c>
      <c r="AI385" s="31" t="n">
        <v>56</v>
      </c>
      <c r="AJ385" s="31" t="n">
        <v>38.7</v>
      </c>
      <c r="AK385" s="31" t="n">
        <v>11.1</v>
      </c>
      <c r="AL385" s="30" t="inlineStr">
        <is>
          <t>T-0534</t>
        </is>
      </c>
      <c r="AM385" s="30" t="inlineStr">
        <is>
          <t>I-05-02</t>
        </is>
      </c>
      <c r="AN385" s="30" t="inlineStr">
        <is>
          <t>T-0422</t>
        </is>
      </c>
      <c r="AO385" s="30" t="inlineStr">
        <is>
          <t>I-06-02</t>
        </is>
      </c>
    </row>
    <row r="386">
      <c r="A386" s="30" t="inlineStr">
        <is>
          <t>O0385</t>
        </is>
      </c>
      <c r="B386" s="30" t="inlineStr">
        <is>
          <t>I</t>
        </is>
      </c>
      <c r="C386" s="31" t="n">
        <v>4896.3</v>
      </c>
      <c r="D386" s="31" t="n">
        <v>18544.3</v>
      </c>
      <c r="E386" s="31" t="n">
        <v>18544.3</v>
      </c>
      <c r="F386" s="31" t="n">
        <v>18559.6</v>
      </c>
      <c r="G386" s="31" t="n">
        <v>18591.2</v>
      </c>
      <c r="H386" s="31" t="n">
        <v>18608</v>
      </c>
      <c r="I386" s="31" t="n">
        <v>18648.1</v>
      </c>
      <c r="J386" s="31" t="n">
        <v>18672.8</v>
      </c>
      <c r="K386" s="31" t="n">
        <v>13776.5</v>
      </c>
      <c r="L386" s="31" t="n">
        <v>13648</v>
      </c>
      <c r="M386" s="30" t="inlineStr">
        <is>
          <t>AMR1</t>
        </is>
      </c>
      <c r="N386" s="30" t="inlineStr">
        <is>
          <t>AMR1</t>
        </is>
      </c>
      <c r="O386" s="32" t="n">
        <v>0</v>
      </c>
      <c r="P386" s="32" t="n">
        <v>0</v>
      </c>
      <c r="Q386" s="32" t="n">
        <v>15</v>
      </c>
      <c r="R386" s="31" t="n">
        <v>39.2</v>
      </c>
      <c r="S386" s="31" t="n">
        <v>39.2</v>
      </c>
      <c r="T386" s="30" t="inlineStr">
        <is>
          <t>AMR1</t>
        </is>
      </c>
      <c r="U386" s="31" t="n">
        <v>53</v>
      </c>
      <c r="V386" s="31" t="n">
        <v>53</v>
      </c>
      <c r="W386" s="30" t="inlineStr">
        <is>
          <t>AMR1</t>
        </is>
      </c>
      <c r="X386" s="32" t="n">
        <v>0</v>
      </c>
      <c r="Y386" s="32" t="n">
        <v>0</v>
      </c>
      <c r="Z386" s="31" t="n">
        <v>0</v>
      </c>
      <c r="AA386" s="32" t="n">
        <v>0</v>
      </c>
      <c r="AB386" s="32" t="n">
        <v>1</v>
      </c>
      <c r="AC386" s="32" t="n">
        <v>3</v>
      </c>
      <c r="AD386" s="32" t="n">
        <v>0</v>
      </c>
      <c r="AE386" s="31" t="n">
        <v>0</v>
      </c>
      <c r="AF386" s="32" t="n">
        <v>2</v>
      </c>
      <c r="AG386" s="31" t="n">
        <v>0.8</v>
      </c>
      <c r="AH386" s="32" t="n">
        <v>45</v>
      </c>
      <c r="AI386" s="31" t="n">
        <v>51.5</v>
      </c>
      <c r="AJ386" s="31" t="n">
        <v>46.4</v>
      </c>
      <c r="AK386" s="31" t="n">
        <v>13.8</v>
      </c>
      <c r="AL386" s="30" t="inlineStr">
        <is>
          <t>T-0535</t>
        </is>
      </c>
      <c r="AM386" s="30" t="inlineStr">
        <is>
          <t>I-05-03</t>
        </is>
      </c>
      <c r="AN386" s="30" t="inlineStr">
        <is>
          <t>T-0423</t>
        </is>
      </c>
      <c r="AO386" s="30" t="inlineStr">
        <is>
          <t>I-02-03</t>
        </is>
      </c>
    </row>
    <row r="387">
      <c r="A387" s="30" t="inlineStr">
        <is>
          <t>O0386</t>
        </is>
      </c>
      <c r="B387" s="30" t="inlineStr">
        <is>
          <t>D</t>
        </is>
      </c>
      <c r="C387" s="31" t="n">
        <v>4899.5</v>
      </c>
      <c r="D387" s="31" t="n">
        <v>18618.9</v>
      </c>
      <c r="E387" s="31" t="n">
        <v>18618.9</v>
      </c>
      <c r="F387" s="31" t="n">
        <v>18630.4</v>
      </c>
      <c r="G387" s="31" t="n">
        <v>18653.5</v>
      </c>
      <c r="H387" s="31" t="n">
        <v>18670.5</v>
      </c>
      <c r="I387" s="31" t="n">
        <v>18698</v>
      </c>
      <c r="J387" s="31" t="n">
        <v>18731.1</v>
      </c>
      <c r="K387" s="31" t="n">
        <v>13831.6</v>
      </c>
      <c r="L387" s="31" t="n">
        <v>13719.4</v>
      </c>
      <c r="M387" s="30" t="inlineStr">
        <is>
          <t>AMR3</t>
        </is>
      </c>
      <c r="N387" s="30" t="inlineStr">
        <is>
          <t>AMR3</t>
        </is>
      </c>
      <c r="O387" s="32" t="n">
        <v>0</v>
      </c>
      <c r="P387" s="32" t="n">
        <v>0</v>
      </c>
      <c r="Q387" s="32" t="n">
        <v>13</v>
      </c>
      <c r="R387" s="31" t="n">
        <v>33.7</v>
      </c>
      <c r="S387" s="31" t="n">
        <v>33.7</v>
      </c>
      <c r="T387" s="30" t="inlineStr">
        <is>
          <t>AMR3</t>
        </is>
      </c>
      <c r="U387" s="31" t="n">
        <v>57.3</v>
      </c>
      <c r="V387" s="31" t="n">
        <v>57.3</v>
      </c>
      <c r="W387" s="30" t="inlineStr">
        <is>
          <t>AMR3</t>
        </is>
      </c>
      <c r="X387" s="32" t="n">
        <v>0</v>
      </c>
      <c r="Y387" s="32" t="n">
        <v>0</v>
      </c>
      <c r="Z387" s="31" t="n">
        <v>0</v>
      </c>
      <c r="AA387" s="32" t="n">
        <v>0</v>
      </c>
      <c r="AB387" s="32" t="n">
        <v>0</v>
      </c>
      <c r="AC387" s="32" t="n">
        <v>0</v>
      </c>
      <c r="AD387" s="32" t="n">
        <v>0</v>
      </c>
      <c r="AE387" s="31" t="n">
        <v>0</v>
      </c>
      <c r="AF387" s="32" t="n">
        <v>0</v>
      </c>
      <c r="AG387" s="31" t="n">
        <v>0</v>
      </c>
      <c r="AH387" s="32" t="n">
        <v>43</v>
      </c>
      <c r="AI387" s="31" t="n">
        <v>46.9</v>
      </c>
      <c r="AJ387" s="31" t="n">
        <v>48.3</v>
      </c>
      <c r="AK387" s="31" t="n">
        <v>0</v>
      </c>
      <c r="AL387" s="30" t="inlineStr">
        <is>
          <t>T-0536</t>
        </is>
      </c>
      <c r="AM387" s="30" t="inlineStr">
        <is>
          <t>D-01-01</t>
        </is>
      </c>
      <c r="AN387" s="30" t="inlineStr">
        <is>
          <t>T-0406</t>
        </is>
      </c>
      <c r="AO387" s="30" t="inlineStr">
        <is>
          <t>D-05-03</t>
        </is>
      </c>
    </row>
    <row r="388">
      <c r="A388" s="30" t="inlineStr">
        <is>
          <t>O0387</t>
        </is>
      </c>
      <c r="B388" s="30" t="inlineStr">
        <is>
          <t>C</t>
        </is>
      </c>
      <c r="C388" s="31" t="n">
        <v>4905.6</v>
      </c>
      <c r="D388" s="31" t="n">
        <v>18634</v>
      </c>
      <c r="E388" s="31" t="n">
        <v>18634</v>
      </c>
      <c r="F388" s="31" t="n">
        <v>18650.2</v>
      </c>
      <c r="G388" s="31" t="n">
        <v>18677.2</v>
      </c>
      <c r="H388" s="31" t="n">
        <v>18688.7</v>
      </c>
      <c r="I388" s="31" t="n">
        <v>18713.3</v>
      </c>
      <c r="J388" s="31" t="n">
        <v>18746.8</v>
      </c>
      <c r="K388" s="31" t="n">
        <v>13841.2</v>
      </c>
      <c r="L388" s="31" t="n">
        <v>13728.4</v>
      </c>
      <c r="M388" s="30" t="inlineStr">
        <is>
          <t>AMR2</t>
        </is>
      </c>
      <c r="N388" s="30" t="inlineStr">
        <is>
          <t>AMR2</t>
        </is>
      </c>
      <c r="O388" s="32" t="n">
        <v>0</v>
      </c>
      <c r="P388" s="32" t="n">
        <v>0</v>
      </c>
      <c r="Q388" s="32" t="n">
        <v>13</v>
      </c>
      <c r="R388" s="31" t="n">
        <v>36.7</v>
      </c>
      <c r="S388" s="31" t="n">
        <v>36.7</v>
      </c>
      <c r="T388" s="30" t="inlineStr">
        <is>
          <t>AMR2</t>
        </is>
      </c>
      <c r="U388" s="31" t="n">
        <v>54.6</v>
      </c>
      <c r="V388" s="31" t="n">
        <v>54.6</v>
      </c>
      <c r="W388" s="30" t="inlineStr">
        <is>
          <t>AMR2</t>
        </is>
      </c>
      <c r="X388" s="32" t="n">
        <v>0</v>
      </c>
      <c r="Y388" s="32" t="n">
        <v>0</v>
      </c>
      <c r="Z388" s="31" t="n">
        <v>0</v>
      </c>
      <c r="AA388" s="32" t="n">
        <v>0</v>
      </c>
      <c r="AB388" s="32" t="n">
        <v>1</v>
      </c>
      <c r="AC388" s="32" t="n">
        <v>1</v>
      </c>
      <c r="AD388" s="32" t="n">
        <v>1</v>
      </c>
      <c r="AE388" s="31" t="n">
        <v>4.7</v>
      </c>
      <c r="AF388" s="32" t="n">
        <v>0</v>
      </c>
      <c r="AG388" s="31" t="n">
        <v>0</v>
      </c>
      <c r="AH388" s="32" t="n">
        <v>40</v>
      </c>
      <c r="AI388" s="31" t="n">
        <v>44.5</v>
      </c>
      <c r="AJ388" s="31" t="n">
        <v>49.1</v>
      </c>
      <c r="AK388" s="31" t="n">
        <v>7.7</v>
      </c>
      <c r="AL388" s="30" t="inlineStr">
        <is>
          <t>T-0537</t>
        </is>
      </c>
      <c r="AM388" s="30" t="inlineStr">
        <is>
          <t>C-06-02</t>
        </is>
      </c>
      <c r="AN388" s="30" t="inlineStr">
        <is>
          <t>T-0464</t>
        </is>
      </c>
      <c r="AO388" s="30" t="inlineStr">
        <is>
          <t>C-01-03</t>
        </is>
      </c>
    </row>
    <row r="389">
      <c r="A389" s="30" t="inlineStr">
        <is>
          <t>O0388</t>
        </is>
      </c>
      <c r="B389" s="30" t="inlineStr">
        <is>
          <t>D</t>
        </is>
      </c>
      <c r="C389" s="31" t="n">
        <v>4910.6</v>
      </c>
      <c r="D389" s="31" t="n">
        <v>18696.5</v>
      </c>
      <c r="E389" s="31" t="n">
        <v>18696.5</v>
      </c>
      <c r="F389" s="31" t="n">
        <v>18710.7</v>
      </c>
      <c r="G389" s="31" t="n">
        <v>18732.6</v>
      </c>
      <c r="H389" s="31" t="n">
        <v>18747.4</v>
      </c>
      <c r="I389" s="31" t="n">
        <v>18775.7</v>
      </c>
      <c r="J389" s="31" t="n">
        <v>18805.7</v>
      </c>
      <c r="K389" s="31" t="n">
        <v>13895.1</v>
      </c>
      <c r="L389" s="31" t="n">
        <v>13785.9</v>
      </c>
      <c r="M389" s="30" t="inlineStr">
        <is>
          <t>AMR1</t>
        </is>
      </c>
      <c r="N389" s="30" t="inlineStr">
        <is>
          <t>AMR1</t>
        </is>
      </c>
      <c r="O389" s="32" t="n">
        <v>0</v>
      </c>
      <c r="P389" s="32" t="n">
        <v>0</v>
      </c>
      <c r="Q389" s="32" t="n">
        <v>13</v>
      </c>
      <c r="R389" s="31" t="n">
        <v>33.6</v>
      </c>
      <c r="S389" s="31" t="n">
        <v>33.6</v>
      </c>
      <c r="T389" s="30" t="inlineStr">
        <is>
          <t>AMR1</t>
        </is>
      </c>
      <c r="U389" s="31" t="n">
        <v>51.1</v>
      </c>
      <c r="V389" s="31" t="n">
        <v>51.1</v>
      </c>
      <c r="W389" s="30" t="inlineStr">
        <is>
          <t>AMR1</t>
        </is>
      </c>
      <c r="X389" s="32" t="n">
        <v>0</v>
      </c>
      <c r="Y389" s="32" t="n">
        <v>0</v>
      </c>
      <c r="Z389" s="31" t="n">
        <v>0</v>
      </c>
      <c r="AA389" s="32" t="n">
        <v>0</v>
      </c>
      <c r="AB389" s="32" t="n">
        <v>1</v>
      </c>
      <c r="AC389" s="32" t="n">
        <v>1</v>
      </c>
      <c r="AD389" s="32" t="n">
        <v>0</v>
      </c>
      <c r="AE389" s="31" t="n">
        <v>0</v>
      </c>
      <c r="AF389" s="32" t="n">
        <v>0</v>
      </c>
      <c r="AG389" s="31" t="n">
        <v>0</v>
      </c>
      <c r="AH389" s="32" t="n">
        <v>45</v>
      </c>
      <c r="AI389" s="31" t="n">
        <v>49.4</v>
      </c>
      <c r="AJ389" s="31" t="n">
        <v>42</v>
      </c>
      <c r="AK389" s="31" t="n">
        <v>3</v>
      </c>
      <c r="AL389" s="30" t="inlineStr">
        <is>
          <t>T-0538</t>
        </is>
      </c>
      <c r="AM389" s="30" t="inlineStr">
        <is>
          <t>D-04-03</t>
        </is>
      </c>
      <c r="AN389" s="30" t="inlineStr">
        <is>
          <t>T-0432</t>
        </is>
      </c>
      <c r="AO389" s="30" t="inlineStr">
        <is>
          <t>D-03-01</t>
        </is>
      </c>
    </row>
    <row r="390">
      <c r="A390" s="30" t="inlineStr">
        <is>
          <t>O0389</t>
        </is>
      </c>
      <c r="B390" s="30" t="inlineStr">
        <is>
          <t>H</t>
        </is>
      </c>
      <c r="C390" s="31" t="n">
        <v>4915.7</v>
      </c>
      <c r="D390" s="31" t="n">
        <v>18760</v>
      </c>
      <c r="E390" s="31" t="n">
        <v>18760</v>
      </c>
      <c r="F390" s="31" t="n">
        <v>18775.9</v>
      </c>
      <c r="G390" s="31" t="n">
        <v>18800.3</v>
      </c>
      <c r="H390" s="31" t="n">
        <v>18815.1</v>
      </c>
      <c r="I390" s="31" t="n">
        <v>18840.3</v>
      </c>
      <c r="J390" s="31" t="n">
        <v>18867.2</v>
      </c>
      <c r="K390" s="31" t="n">
        <v>13951.5</v>
      </c>
      <c r="L390" s="31" t="n">
        <v>13844.3</v>
      </c>
      <c r="M390" s="30" t="inlineStr">
        <is>
          <t>AMR3</t>
        </is>
      </c>
      <c r="N390" s="30" t="inlineStr">
        <is>
          <t>AMR3</t>
        </is>
      </c>
      <c r="O390" s="32" t="n">
        <v>0</v>
      </c>
      <c r="P390" s="32" t="n">
        <v>0</v>
      </c>
      <c r="Q390" s="32" t="n">
        <v>15</v>
      </c>
      <c r="R390" s="31" t="n">
        <v>39.4</v>
      </c>
      <c r="S390" s="31" t="n">
        <v>39.4</v>
      </c>
      <c r="T390" s="30" t="inlineStr">
        <is>
          <t>AMR3</t>
        </is>
      </c>
      <c r="U390" s="31" t="n">
        <v>53.3</v>
      </c>
      <c r="V390" s="31" t="n">
        <v>53.3</v>
      </c>
      <c r="W390" s="30" t="inlineStr">
        <is>
          <t>AMR3</t>
        </is>
      </c>
      <c r="X390" s="32" t="n">
        <v>0</v>
      </c>
      <c r="Y390" s="32" t="n">
        <v>0</v>
      </c>
      <c r="Z390" s="31" t="n">
        <v>0</v>
      </c>
      <c r="AA390" s="32" t="n">
        <v>0</v>
      </c>
      <c r="AB390" s="32" t="n">
        <v>0</v>
      </c>
      <c r="AC390" s="32" t="n">
        <v>0</v>
      </c>
      <c r="AD390" s="32" t="n">
        <v>0</v>
      </c>
      <c r="AE390" s="31" t="n">
        <v>0</v>
      </c>
      <c r="AF390" s="32" t="n">
        <v>0</v>
      </c>
      <c r="AG390" s="31" t="n">
        <v>0</v>
      </c>
      <c r="AH390" s="32" t="n">
        <v>41</v>
      </c>
      <c r="AI390" s="31" t="n">
        <v>45</v>
      </c>
      <c r="AJ390" s="31" t="n">
        <v>47.4</v>
      </c>
      <c r="AK390" s="31" t="n">
        <v>0</v>
      </c>
      <c r="AL390" s="30" t="inlineStr">
        <is>
          <t>T-0539</t>
        </is>
      </c>
      <c r="AM390" s="30" t="inlineStr">
        <is>
          <t>H-05-02</t>
        </is>
      </c>
      <c r="AN390" s="30" t="inlineStr">
        <is>
          <t>T-0462</t>
        </is>
      </c>
      <c r="AO390" s="30" t="inlineStr">
        <is>
          <t>H-01-03</t>
        </is>
      </c>
    </row>
    <row r="391">
      <c r="A391" s="30" t="inlineStr">
        <is>
          <t>O0390</t>
        </is>
      </c>
      <c r="B391" s="30" t="inlineStr">
        <is>
          <t>F</t>
        </is>
      </c>
      <c r="C391" s="31" t="n">
        <v>4920.3</v>
      </c>
      <c r="D391" s="31" t="n">
        <v>18776</v>
      </c>
      <c r="E391" s="31" t="n">
        <v>18776</v>
      </c>
      <c r="F391" s="31" t="n">
        <v>18789.7</v>
      </c>
      <c r="G391" s="31" t="n">
        <v>18819.8</v>
      </c>
      <c r="H391" s="31" t="n">
        <v>18829.4</v>
      </c>
      <c r="I391" s="31" t="n">
        <v>18857.9</v>
      </c>
      <c r="J391" s="31" t="n">
        <v>18891.9</v>
      </c>
      <c r="K391" s="31" t="n">
        <v>13971.6</v>
      </c>
      <c r="L391" s="31" t="n">
        <v>13855.7</v>
      </c>
      <c r="M391" s="30" t="inlineStr">
        <is>
          <t>AMR2</t>
        </is>
      </c>
      <c r="N391" s="30" t="inlineStr">
        <is>
          <t>AMR1</t>
        </is>
      </c>
      <c r="O391" s="32" t="n">
        <v>0</v>
      </c>
      <c r="P391" s="32" t="n">
        <v>0</v>
      </c>
      <c r="Q391" s="32" t="n">
        <v>23</v>
      </c>
      <c r="R391" s="31" t="n">
        <v>42.9</v>
      </c>
      <c r="S391" s="31" t="n">
        <v>42.9</v>
      </c>
      <c r="T391" s="30" t="inlineStr">
        <is>
          <t>AMR2</t>
        </is>
      </c>
      <c r="U391" s="31" t="n">
        <v>63.2</v>
      </c>
      <c r="V391" s="31" t="n">
        <v>63.2</v>
      </c>
      <c r="W391" s="30" t="inlineStr">
        <is>
          <t>AMR1</t>
        </is>
      </c>
      <c r="X391" s="32" t="n">
        <v>0</v>
      </c>
      <c r="Y391" s="32" t="n">
        <v>0</v>
      </c>
      <c r="Z391" s="31" t="n">
        <v>0</v>
      </c>
      <c r="AA391" s="32" t="n">
        <v>0</v>
      </c>
      <c r="AB391" s="32" t="n">
        <v>0</v>
      </c>
      <c r="AC391" s="32" t="n">
        <v>0</v>
      </c>
      <c r="AD391" s="32" t="n">
        <v>0</v>
      </c>
      <c r="AE391" s="31" t="n">
        <v>0</v>
      </c>
      <c r="AF391" s="32" t="n">
        <v>0</v>
      </c>
      <c r="AG391" s="31" t="n">
        <v>0</v>
      </c>
      <c r="AH391" s="32" t="n">
        <v>65</v>
      </c>
      <c r="AI391" s="31" t="n">
        <v>65.40000000000001</v>
      </c>
      <c r="AJ391" s="31" t="n">
        <v>40.9</v>
      </c>
      <c r="AK391" s="31" t="n">
        <v>0</v>
      </c>
      <c r="AL391" s="30" t="inlineStr">
        <is>
          <t>T-0540</t>
        </is>
      </c>
      <c r="AM391" s="30" t="inlineStr">
        <is>
          <t>F-04-01</t>
        </is>
      </c>
      <c r="AN391" s="30" t="inlineStr">
        <is>
          <t>T-0300</t>
        </is>
      </c>
      <c r="AO391" s="30" t="inlineStr">
        <is>
          <t>F-04-03</t>
        </is>
      </c>
    </row>
    <row r="392">
      <c r="A392" s="30" t="inlineStr">
        <is>
          <t>O0391</t>
        </is>
      </c>
      <c r="B392" s="30" t="inlineStr">
        <is>
          <t>H</t>
        </is>
      </c>
      <c r="C392" s="31" t="n">
        <v>4925.1</v>
      </c>
      <c r="D392" s="31" t="n">
        <v>18844</v>
      </c>
      <c r="E392" s="31" t="n">
        <v>18844</v>
      </c>
      <c r="F392" s="31" t="n">
        <v>18858.3</v>
      </c>
      <c r="G392" s="31" t="n">
        <v>18883.1</v>
      </c>
      <c r="H392" s="31" t="n">
        <v>18890.9</v>
      </c>
      <c r="I392" s="31" t="n">
        <v>18922</v>
      </c>
      <c r="J392" s="31" t="n">
        <v>18946.3</v>
      </c>
      <c r="K392" s="31" t="n">
        <v>14021.2</v>
      </c>
      <c r="L392" s="31" t="n">
        <v>13918.9</v>
      </c>
      <c r="M392" s="30" t="inlineStr">
        <is>
          <t>AMR2</t>
        </is>
      </c>
      <c r="N392" s="30" t="inlineStr">
        <is>
          <t>AMR3</t>
        </is>
      </c>
      <c r="O392" s="32" t="n">
        <v>0</v>
      </c>
      <c r="P392" s="32" t="n">
        <v>0</v>
      </c>
      <c r="Q392" s="32" t="n">
        <v>15</v>
      </c>
      <c r="R392" s="31" t="n">
        <v>39</v>
      </c>
      <c r="S392" s="31" t="n">
        <v>39</v>
      </c>
      <c r="T392" s="30" t="inlineStr">
        <is>
          <t>AMR2</t>
        </is>
      </c>
      <c r="U392" s="31" t="n">
        <v>49.9</v>
      </c>
      <c r="V392" s="31" t="n">
        <v>49.9</v>
      </c>
      <c r="W392" s="30" t="inlineStr">
        <is>
          <t>AMR3</t>
        </is>
      </c>
      <c r="X392" s="32" t="n">
        <v>0</v>
      </c>
      <c r="Y392" s="32" t="n">
        <v>0</v>
      </c>
      <c r="Z392" s="31" t="n">
        <v>0</v>
      </c>
      <c r="AA392" s="32" t="n">
        <v>0</v>
      </c>
      <c r="AB392" s="32" t="n">
        <v>0</v>
      </c>
      <c r="AC392" s="32" t="n">
        <v>2</v>
      </c>
      <c r="AD392" s="32" t="n">
        <v>0</v>
      </c>
      <c r="AE392" s="31" t="n">
        <v>0</v>
      </c>
      <c r="AF392" s="32" t="n">
        <v>0</v>
      </c>
      <c r="AG392" s="31" t="n">
        <v>0</v>
      </c>
      <c r="AH392" s="32" t="n">
        <v>40</v>
      </c>
      <c r="AI392" s="31" t="n">
        <v>44.9</v>
      </c>
      <c r="AJ392" s="31" t="n">
        <v>43.6</v>
      </c>
      <c r="AK392" s="31" t="n">
        <v>6</v>
      </c>
      <c r="AL392" s="30" t="inlineStr">
        <is>
          <t>T-0541</t>
        </is>
      </c>
      <c r="AM392" s="30" t="inlineStr">
        <is>
          <t>H-06-02</t>
        </is>
      </c>
      <c r="AN392" s="30" t="inlineStr">
        <is>
          <t>T-0470</t>
        </is>
      </c>
      <c r="AO392" s="30" t="inlineStr">
        <is>
          <t>H-06-01</t>
        </is>
      </c>
    </row>
    <row r="393">
      <c r="A393" s="30" t="inlineStr">
        <is>
          <t>O0392</t>
        </is>
      </c>
      <c r="B393" s="30" t="inlineStr">
        <is>
          <t>I</t>
        </is>
      </c>
      <c r="C393" s="31" t="n">
        <v>4929.9</v>
      </c>
      <c r="D393" s="31" t="n">
        <v>18901.2</v>
      </c>
      <c r="E393" s="31" t="n">
        <v>18901.2</v>
      </c>
      <c r="F393" s="31" t="n">
        <v>18915.1</v>
      </c>
      <c r="G393" s="31" t="n">
        <v>18940.7</v>
      </c>
      <c r="H393" s="31" t="n">
        <v>18961.6</v>
      </c>
      <c r="I393" s="31" t="n">
        <v>18990</v>
      </c>
      <c r="J393" s="31" t="n">
        <v>19018.7</v>
      </c>
      <c r="K393" s="31" t="n">
        <v>14088.8</v>
      </c>
      <c r="L393" s="31" t="n">
        <v>13971.3</v>
      </c>
      <c r="M393" s="30" t="inlineStr">
        <is>
          <t>AMR2</t>
        </is>
      </c>
      <c r="N393" s="30" t="inlineStr">
        <is>
          <t>AMR2</t>
        </is>
      </c>
      <c r="O393" s="32" t="n">
        <v>0</v>
      </c>
      <c r="P393" s="32" t="n">
        <v>0</v>
      </c>
      <c r="Q393" s="32" t="n">
        <v>15</v>
      </c>
      <c r="R393" s="31" t="n">
        <v>36.2</v>
      </c>
      <c r="S393" s="31" t="n">
        <v>36.2</v>
      </c>
      <c r="T393" s="30" t="inlineStr">
        <is>
          <t>AMR2</t>
        </is>
      </c>
      <c r="U393" s="31" t="n">
        <v>52.6</v>
      </c>
      <c r="V393" s="31" t="n">
        <v>52.6</v>
      </c>
      <c r="W393" s="30" t="inlineStr">
        <is>
          <t>AMR2</t>
        </is>
      </c>
      <c r="X393" s="32" t="n">
        <v>0</v>
      </c>
      <c r="Y393" s="32" t="n">
        <v>0</v>
      </c>
      <c r="Z393" s="31" t="n">
        <v>0</v>
      </c>
      <c r="AA393" s="32" t="n">
        <v>0</v>
      </c>
      <c r="AB393" s="32" t="n">
        <v>1</v>
      </c>
      <c r="AC393" s="32" t="n">
        <v>1</v>
      </c>
      <c r="AD393" s="32" t="n">
        <v>0</v>
      </c>
      <c r="AE393" s="31" t="n">
        <v>0</v>
      </c>
      <c r="AF393" s="32" t="n">
        <v>0</v>
      </c>
      <c r="AG393" s="31" t="n">
        <v>0</v>
      </c>
      <c r="AH393" s="32" t="n">
        <v>44</v>
      </c>
      <c r="AI393" s="31" t="n">
        <v>48.9</v>
      </c>
      <c r="AJ393" s="31" t="n">
        <v>43</v>
      </c>
      <c r="AK393" s="31" t="n">
        <v>4.7</v>
      </c>
      <c r="AL393" s="30" t="inlineStr">
        <is>
          <t>T-0542</t>
        </is>
      </c>
      <c r="AM393" s="30" t="inlineStr">
        <is>
          <t>I-06-02</t>
        </is>
      </c>
      <c r="AN393" s="30" t="inlineStr">
        <is>
          <t>T-0425</t>
        </is>
      </c>
      <c r="AO393" s="30" t="inlineStr">
        <is>
          <t>I-01-03</t>
        </is>
      </c>
    </row>
    <row r="394">
      <c r="A394" s="30" t="inlineStr">
        <is>
          <t>O0393</t>
        </is>
      </c>
      <c r="B394" s="30" t="inlineStr">
        <is>
          <t>H</t>
        </is>
      </c>
      <c r="C394" s="31" t="n">
        <v>4933.3</v>
      </c>
      <c r="D394" s="31" t="n">
        <v>18921.2</v>
      </c>
      <c r="E394" s="31" t="n">
        <v>18921.2</v>
      </c>
      <c r="F394" s="31" t="n">
        <v>18934.6</v>
      </c>
      <c r="G394" s="31" t="n">
        <v>18961.5</v>
      </c>
      <c r="H394" s="31" t="n">
        <v>18974</v>
      </c>
      <c r="I394" s="31" t="n">
        <v>18998.8</v>
      </c>
      <c r="J394" s="31" t="n">
        <v>19032.4</v>
      </c>
      <c r="K394" s="31" t="n">
        <v>14099.1</v>
      </c>
      <c r="L394" s="31" t="n">
        <v>13987.9</v>
      </c>
      <c r="M394" s="30" t="inlineStr">
        <is>
          <t>AMR1</t>
        </is>
      </c>
      <c r="N394" s="30" t="inlineStr">
        <is>
          <t>AMR3</t>
        </is>
      </c>
      <c r="O394" s="32" t="n">
        <v>0</v>
      </c>
      <c r="P394" s="32" t="n">
        <v>0</v>
      </c>
      <c r="Q394" s="32" t="n">
        <v>15</v>
      </c>
      <c r="R394" s="31" t="n">
        <v>40.2</v>
      </c>
      <c r="S394" s="31" t="n">
        <v>40.2</v>
      </c>
      <c r="T394" s="30" t="inlineStr">
        <is>
          <t>AMR1</t>
        </is>
      </c>
      <c r="U394" s="31" t="n">
        <v>49.8</v>
      </c>
      <c r="V394" s="31" t="n">
        <v>49.8</v>
      </c>
      <c r="W394" s="30" t="inlineStr">
        <is>
          <t>AMR3</t>
        </is>
      </c>
      <c r="X394" s="32" t="n">
        <v>0</v>
      </c>
      <c r="Y394" s="32" t="n">
        <v>0</v>
      </c>
      <c r="Z394" s="31" t="n">
        <v>0</v>
      </c>
      <c r="AA394" s="32" t="n">
        <v>0</v>
      </c>
      <c r="AB394" s="32" t="n">
        <v>1</v>
      </c>
      <c r="AC394" s="32" t="n">
        <v>0</v>
      </c>
      <c r="AD394" s="32" t="n">
        <v>1</v>
      </c>
      <c r="AE394" s="31" t="n">
        <v>8.800000000000001</v>
      </c>
      <c r="AF394" s="32" t="n">
        <v>1</v>
      </c>
      <c r="AG394" s="31" t="n">
        <v>3.8</v>
      </c>
      <c r="AH394" s="32" t="n">
        <v>40</v>
      </c>
      <c r="AI394" s="31" t="n">
        <v>45.2</v>
      </c>
      <c r="AJ394" s="31" t="n">
        <v>44.7</v>
      </c>
      <c r="AK394" s="31" t="n">
        <v>8.800000000000001</v>
      </c>
      <c r="AL394" s="30" t="inlineStr">
        <is>
          <t>T-0543</t>
        </is>
      </c>
      <c r="AM394" s="30" t="inlineStr">
        <is>
          <t>H-06-01</t>
        </is>
      </c>
      <c r="AN394" s="30" t="inlineStr">
        <is>
          <t>T-0472</t>
        </is>
      </c>
      <c r="AO394" s="30" t="inlineStr">
        <is>
          <t>H-02-03</t>
        </is>
      </c>
    </row>
    <row r="395">
      <c r="A395" s="30" t="inlineStr">
        <is>
          <t>O0394</t>
        </is>
      </c>
      <c r="B395" s="30" t="inlineStr">
        <is>
          <t>J</t>
        </is>
      </c>
      <c r="C395" s="31" t="n">
        <v>4939.5</v>
      </c>
      <c r="D395" s="31" t="n">
        <v>18977.5</v>
      </c>
      <c r="E395" s="31" t="n">
        <v>18977.5</v>
      </c>
      <c r="F395" s="31" t="n">
        <v>18989.2</v>
      </c>
      <c r="G395" s="31" t="n">
        <v>19021.5</v>
      </c>
      <c r="H395" s="31" t="n">
        <v>19042.4</v>
      </c>
      <c r="I395" s="31" t="n">
        <v>19078.1</v>
      </c>
      <c r="J395" s="31" t="n">
        <v>19108.8</v>
      </c>
      <c r="K395" s="31" t="n">
        <v>14169.3</v>
      </c>
      <c r="L395" s="31" t="n">
        <v>14038</v>
      </c>
      <c r="M395" s="30" t="inlineStr">
        <is>
          <t>AMR1</t>
        </is>
      </c>
      <c r="N395" s="30" t="inlineStr">
        <is>
          <t>AMR2</t>
        </is>
      </c>
      <c r="O395" s="32" t="n">
        <v>0</v>
      </c>
      <c r="P395" s="32" t="n">
        <v>0</v>
      </c>
      <c r="Q395" s="32" t="n">
        <v>21</v>
      </c>
      <c r="R395" s="31" t="n">
        <v>41.5</v>
      </c>
      <c r="S395" s="31" t="n">
        <v>41.5</v>
      </c>
      <c r="T395" s="30" t="inlineStr">
        <is>
          <t>AMR1</t>
        </is>
      </c>
      <c r="U395" s="31" t="n">
        <v>58.4</v>
      </c>
      <c r="V395" s="31" t="n">
        <v>58.4</v>
      </c>
      <c r="W395" s="30" t="inlineStr">
        <is>
          <t>AMR2</t>
        </is>
      </c>
      <c r="X395" s="32" t="n">
        <v>0</v>
      </c>
      <c r="Y395" s="32" t="n">
        <v>0</v>
      </c>
      <c r="Z395" s="31" t="n">
        <v>0</v>
      </c>
      <c r="AA395" s="32" t="n">
        <v>0</v>
      </c>
      <c r="AB395" s="32" t="n">
        <v>1</v>
      </c>
      <c r="AC395" s="32" t="n">
        <v>1</v>
      </c>
      <c r="AD395" s="32" t="n">
        <v>0</v>
      </c>
      <c r="AE395" s="31" t="n">
        <v>0</v>
      </c>
      <c r="AF395" s="32" t="n">
        <v>0</v>
      </c>
      <c r="AG395" s="31" t="n">
        <v>0</v>
      </c>
      <c r="AH395" s="32" t="n">
        <v>63</v>
      </c>
      <c r="AI395" s="31" t="n">
        <v>68.09999999999999</v>
      </c>
      <c r="AJ395" s="31" t="n">
        <v>39.3</v>
      </c>
      <c r="AK395" s="31" t="n">
        <v>3</v>
      </c>
      <c r="AL395" s="30" t="inlineStr">
        <is>
          <t>T-0544</t>
        </is>
      </c>
      <c r="AM395" s="30" t="inlineStr">
        <is>
          <t>J-05-02</t>
        </is>
      </c>
      <c r="AN395" s="30" t="inlineStr">
        <is>
          <t>T-0316</t>
        </is>
      </c>
      <c r="AO395" s="30" t="inlineStr">
        <is>
          <t>J-03-03</t>
        </is>
      </c>
    </row>
    <row r="396">
      <c r="A396" s="30" t="inlineStr">
        <is>
          <t>O0395</t>
        </is>
      </c>
      <c r="B396" s="30" t="inlineStr">
        <is>
          <t>B</t>
        </is>
      </c>
      <c r="C396" s="31" t="n">
        <v>4942.9</v>
      </c>
      <c r="D396" s="31" t="n">
        <v>19052.3</v>
      </c>
      <c r="E396" s="31" t="n">
        <v>19052.3</v>
      </c>
      <c r="F396" s="31" t="n">
        <v>19067.6</v>
      </c>
      <c r="G396" s="31" t="n">
        <v>19090.3</v>
      </c>
      <c r="H396" s="31" t="n">
        <v>19105.1</v>
      </c>
      <c r="I396" s="31" t="n">
        <v>19126.5</v>
      </c>
      <c r="J396" s="31" t="n">
        <v>19155.5</v>
      </c>
      <c r="K396" s="31" t="n">
        <v>14212.6</v>
      </c>
      <c r="L396" s="31" t="n">
        <v>14109.4</v>
      </c>
      <c r="M396" s="30" t="inlineStr">
        <is>
          <t>AMR1</t>
        </is>
      </c>
      <c r="N396" s="30" t="inlineStr">
        <is>
          <t>AMR1</t>
        </is>
      </c>
      <c r="O396" s="32" t="n">
        <v>0</v>
      </c>
      <c r="P396" s="32" t="n">
        <v>0</v>
      </c>
      <c r="Q396" s="32" t="n">
        <v>15</v>
      </c>
      <c r="R396" s="31" t="n">
        <v>37.1</v>
      </c>
      <c r="S396" s="31" t="n">
        <v>37.1</v>
      </c>
      <c r="T396" s="30" t="inlineStr">
        <is>
          <t>AMR1</t>
        </is>
      </c>
      <c r="U396" s="31" t="n">
        <v>52.1</v>
      </c>
      <c r="V396" s="31" t="n">
        <v>52.1</v>
      </c>
      <c r="W396" s="30" t="inlineStr">
        <is>
          <t>AMR1</t>
        </is>
      </c>
      <c r="X396" s="32" t="n">
        <v>0</v>
      </c>
      <c r="Y396" s="32" t="n">
        <v>0</v>
      </c>
      <c r="Z396" s="31" t="n">
        <v>0</v>
      </c>
      <c r="AA396" s="32" t="n">
        <v>0</v>
      </c>
      <c r="AB396" s="32" t="n">
        <v>0</v>
      </c>
      <c r="AC396" s="32" t="n">
        <v>0</v>
      </c>
      <c r="AD396" s="32" t="n">
        <v>0</v>
      </c>
      <c r="AE396" s="31" t="n">
        <v>0</v>
      </c>
      <c r="AF396" s="32" t="n">
        <v>0</v>
      </c>
      <c r="AG396" s="31" t="n">
        <v>0</v>
      </c>
      <c r="AH396" s="32" t="n">
        <v>43</v>
      </c>
      <c r="AI396" s="31" t="n">
        <v>46.5</v>
      </c>
      <c r="AJ396" s="31" t="n">
        <v>41.9</v>
      </c>
      <c r="AK396" s="31" t="n">
        <v>0</v>
      </c>
      <c r="AL396" s="30" t="inlineStr">
        <is>
          <t>T-0545</t>
        </is>
      </c>
      <c r="AM396" s="30" t="inlineStr">
        <is>
          <t>B-05-01</t>
        </is>
      </c>
      <c r="AN396" s="30" t="inlineStr">
        <is>
          <t>T-0298</t>
        </is>
      </c>
      <c r="AO396" s="30" t="inlineStr">
        <is>
          <t>B-06-01</t>
        </is>
      </c>
    </row>
    <row r="397">
      <c r="A397" s="30" t="inlineStr">
        <is>
          <t>O0396</t>
        </is>
      </c>
      <c r="B397" s="30" t="inlineStr">
        <is>
          <t>I</t>
        </is>
      </c>
      <c r="C397" s="31" t="n">
        <v>4948.2</v>
      </c>
      <c r="D397" s="31" t="n">
        <v>19067.6</v>
      </c>
      <c r="E397" s="31" t="n">
        <v>19067.6</v>
      </c>
      <c r="F397" s="31" t="n">
        <v>19082.2</v>
      </c>
      <c r="G397" s="31" t="n">
        <v>19108.3</v>
      </c>
      <c r="H397" s="31" t="n">
        <v>19123.1</v>
      </c>
      <c r="I397" s="31" t="n">
        <v>19156.5</v>
      </c>
      <c r="J397" s="31" t="n">
        <v>19181.1</v>
      </c>
      <c r="K397" s="31" t="n">
        <v>14232.9</v>
      </c>
      <c r="L397" s="31" t="n">
        <v>14119.4</v>
      </c>
      <c r="M397" s="30" t="inlineStr">
        <is>
          <t>AMR3</t>
        </is>
      </c>
      <c r="N397" s="30" t="inlineStr">
        <is>
          <t>AMR3</t>
        </is>
      </c>
      <c r="O397" s="32" t="n">
        <v>0</v>
      </c>
      <c r="P397" s="32" t="n">
        <v>0</v>
      </c>
      <c r="Q397" s="32" t="n">
        <v>15</v>
      </c>
      <c r="R397" s="31" t="n">
        <v>39.8</v>
      </c>
      <c r="S397" s="31" t="n">
        <v>39.8</v>
      </c>
      <c r="T397" s="30" t="inlineStr">
        <is>
          <t>AMR3</t>
        </is>
      </c>
      <c r="U397" s="31" t="n">
        <v>50.6</v>
      </c>
      <c r="V397" s="31" t="n">
        <v>50.6</v>
      </c>
      <c r="W397" s="30" t="inlineStr">
        <is>
          <t>AMR3</t>
        </is>
      </c>
      <c r="X397" s="32" t="n">
        <v>0</v>
      </c>
      <c r="Y397" s="32" t="n">
        <v>0</v>
      </c>
      <c r="Z397" s="31" t="n">
        <v>0</v>
      </c>
      <c r="AA397" s="32" t="n">
        <v>0</v>
      </c>
      <c r="AB397" s="32" t="n">
        <v>0</v>
      </c>
      <c r="AC397" s="32" t="n">
        <v>1</v>
      </c>
      <c r="AD397" s="32" t="n">
        <v>0</v>
      </c>
      <c r="AE397" s="31" t="n">
        <v>0</v>
      </c>
      <c r="AF397" s="32" t="n">
        <v>1</v>
      </c>
      <c r="AG397" s="31" t="n">
        <v>0.6</v>
      </c>
      <c r="AH397" s="32" t="n">
        <v>43</v>
      </c>
      <c r="AI397" s="31" t="n">
        <v>48.5</v>
      </c>
      <c r="AJ397" s="31" t="n">
        <v>44.6</v>
      </c>
      <c r="AK397" s="31" t="n">
        <v>5.6</v>
      </c>
      <c r="AL397" s="30" t="inlineStr">
        <is>
          <t>T-0546</t>
        </is>
      </c>
      <c r="AM397" s="30" t="inlineStr">
        <is>
          <t>I-01-03</t>
        </is>
      </c>
      <c r="AN397" s="30" t="inlineStr">
        <is>
          <t>T-0427</t>
        </is>
      </c>
      <c r="AO397" s="30" t="inlineStr">
        <is>
          <t>I-03-03</t>
        </is>
      </c>
    </row>
    <row r="398">
      <c r="A398" s="30" t="inlineStr">
        <is>
          <t>O0397</t>
        </is>
      </c>
      <c r="B398" s="30" t="inlineStr">
        <is>
          <t>D</t>
        </is>
      </c>
      <c r="C398" s="31" t="n">
        <v>4954.2</v>
      </c>
      <c r="D398" s="31" t="n">
        <v>19136.5</v>
      </c>
      <c r="E398" s="31" t="n">
        <v>19136.5</v>
      </c>
      <c r="F398" s="31" t="n">
        <v>19147.3</v>
      </c>
      <c r="G398" s="31" t="n">
        <v>19170.7</v>
      </c>
      <c r="H398" s="31" t="n">
        <v>19179.2</v>
      </c>
      <c r="I398" s="31" t="n">
        <v>19204.8</v>
      </c>
      <c r="J398" s="31" t="n">
        <v>19233.8</v>
      </c>
      <c r="K398" s="31" t="n">
        <v>14279.6</v>
      </c>
      <c r="L398" s="31" t="n">
        <v>14182.3</v>
      </c>
      <c r="M398" s="30" t="inlineStr">
        <is>
          <t>AMR2</t>
        </is>
      </c>
      <c r="N398" s="30" t="inlineStr">
        <is>
          <t>AMR1</t>
        </is>
      </c>
      <c r="O398" s="32" t="n">
        <v>0</v>
      </c>
      <c r="P398" s="32" t="n">
        <v>0</v>
      </c>
      <c r="Q398" s="32" t="n">
        <v>13</v>
      </c>
      <c r="R398" s="31" t="n">
        <v>32.5</v>
      </c>
      <c r="S398" s="31" t="n">
        <v>32.5</v>
      </c>
      <c r="T398" s="30" t="inlineStr">
        <is>
          <t>AMR2</t>
        </is>
      </c>
      <c r="U398" s="31" t="n">
        <v>51.3</v>
      </c>
      <c r="V398" s="31" t="n">
        <v>51.3</v>
      </c>
      <c r="W398" s="30" t="inlineStr">
        <is>
          <t>AMR1</t>
        </is>
      </c>
      <c r="X398" s="32" t="n">
        <v>0</v>
      </c>
      <c r="Y398" s="32" t="n">
        <v>0</v>
      </c>
      <c r="Z398" s="31" t="n">
        <v>0</v>
      </c>
      <c r="AA398" s="32" t="n">
        <v>0</v>
      </c>
      <c r="AB398" s="32" t="n">
        <v>0</v>
      </c>
      <c r="AC398" s="32" t="n">
        <v>0</v>
      </c>
      <c r="AD398" s="32" t="n">
        <v>0</v>
      </c>
      <c r="AE398" s="31" t="n">
        <v>0</v>
      </c>
      <c r="AF398" s="32" t="n">
        <v>0</v>
      </c>
      <c r="AG398" s="31" t="n">
        <v>0</v>
      </c>
      <c r="AH398" s="32" t="n">
        <v>44</v>
      </c>
      <c r="AI398" s="31" t="n">
        <v>47.7</v>
      </c>
      <c r="AJ398" s="31" t="n">
        <v>41.1</v>
      </c>
      <c r="AK398" s="31" t="n">
        <v>0</v>
      </c>
      <c r="AL398" s="30" t="inlineStr">
        <is>
          <t>T-0547</t>
        </is>
      </c>
      <c r="AM398" s="30" t="inlineStr">
        <is>
          <t>D-03-01</t>
        </is>
      </c>
      <c r="AN398" s="30" t="inlineStr">
        <is>
          <t>T-0444</t>
        </is>
      </c>
      <c r="AO398" s="30" t="inlineStr">
        <is>
          <t>D-04-01</t>
        </is>
      </c>
    </row>
    <row r="399">
      <c r="A399" s="30" t="inlineStr">
        <is>
          <t>O0398</t>
        </is>
      </c>
      <c r="B399" s="30" t="inlineStr">
        <is>
          <t>D</t>
        </is>
      </c>
      <c r="C399" s="31" t="n">
        <v>4959.3</v>
      </c>
      <c r="D399" s="31" t="n">
        <v>19186.4</v>
      </c>
      <c r="E399" s="31" t="n">
        <v>19186.4</v>
      </c>
      <c r="F399" s="31" t="n">
        <v>19201.5</v>
      </c>
      <c r="G399" s="31" t="n">
        <v>19226.5</v>
      </c>
      <c r="H399" s="31" t="n">
        <v>19241.3</v>
      </c>
      <c r="I399" s="31" t="n">
        <v>19273.8</v>
      </c>
      <c r="J399" s="31" t="n">
        <v>19305.2</v>
      </c>
      <c r="K399" s="31" t="n">
        <v>14345.9</v>
      </c>
      <c r="L399" s="31" t="n">
        <v>14227.1</v>
      </c>
      <c r="M399" s="30" t="inlineStr">
        <is>
          <t>AMR2</t>
        </is>
      </c>
      <c r="N399" s="30" t="inlineStr">
        <is>
          <t>AMR2</t>
        </is>
      </c>
      <c r="O399" s="32" t="n">
        <v>0</v>
      </c>
      <c r="P399" s="32" t="n">
        <v>0</v>
      </c>
      <c r="Q399" s="32" t="n">
        <v>13</v>
      </c>
      <c r="R399" s="31" t="n">
        <v>36.5</v>
      </c>
      <c r="S399" s="31" t="n">
        <v>36.5</v>
      </c>
      <c r="T399" s="30" t="inlineStr">
        <is>
          <t>AMR2</t>
        </is>
      </c>
      <c r="U399" s="31" t="n">
        <v>55</v>
      </c>
      <c r="V399" s="31" t="n">
        <v>55</v>
      </c>
      <c r="W399" s="30" t="inlineStr">
        <is>
          <t>AMR2</t>
        </is>
      </c>
      <c r="X399" s="32" t="n">
        <v>0</v>
      </c>
      <c r="Y399" s="32" t="n">
        <v>0</v>
      </c>
      <c r="Z399" s="31" t="n">
        <v>0</v>
      </c>
      <c r="AA399" s="32" t="n">
        <v>0</v>
      </c>
      <c r="AB399" s="32" t="n">
        <v>0</v>
      </c>
      <c r="AC399" s="32" t="n">
        <v>1</v>
      </c>
      <c r="AD399" s="32" t="n">
        <v>1</v>
      </c>
      <c r="AE399" s="31" t="n">
        <v>1.1</v>
      </c>
      <c r="AF399" s="32" t="n">
        <v>1</v>
      </c>
      <c r="AG399" s="31" t="n">
        <v>0.6</v>
      </c>
      <c r="AH399" s="32" t="n">
        <v>45</v>
      </c>
      <c r="AI399" s="31" t="n">
        <v>48.5</v>
      </c>
      <c r="AJ399" s="31" t="n">
        <v>48.8</v>
      </c>
      <c r="AK399" s="31" t="n">
        <v>6.7</v>
      </c>
      <c r="AL399" s="30" t="inlineStr">
        <is>
          <t>T-0548</t>
        </is>
      </c>
      <c r="AM399" s="30" t="inlineStr">
        <is>
          <t>D-05-03</t>
        </is>
      </c>
      <c r="AN399" s="30" t="inlineStr">
        <is>
          <t>T-0451</t>
        </is>
      </c>
      <c r="AO399" s="30" t="inlineStr">
        <is>
          <t>D-05-01</t>
        </is>
      </c>
    </row>
    <row r="400">
      <c r="A400" s="30" t="inlineStr">
        <is>
          <t>O0399</t>
        </is>
      </c>
      <c r="B400" s="30" t="inlineStr">
        <is>
          <t>J</t>
        </is>
      </c>
      <c r="C400" s="31" t="n">
        <v>4963.7</v>
      </c>
      <c r="D400" s="31" t="n">
        <v>19204.8</v>
      </c>
      <c r="E400" s="31" t="n">
        <v>19204.8</v>
      </c>
      <c r="F400" s="31" t="n">
        <v>19219.8</v>
      </c>
      <c r="G400" s="31" t="n">
        <v>19249.5</v>
      </c>
      <c r="H400" s="31" t="n">
        <v>19262.5</v>
      </c>
      <c r="I400" s="31" t="n">
        <v>19295.5</v>
      </c>
      <c r="J400" s="31" t="n">
        <v>19324.8</v>
      </c>
      <c r="K400" s="31" t="n">
        <v>14361.1</v>
      </c>
      <c r="L400" s="31" t="n">
        <v>14241.1</v>
      </c>
      <c r="M400" s="30" t="inlineStr">
        <is>
          <t>AMR3</t>
        </is>
      </c>
      <c r="N400" s="30" t="inlineStr">
        <is>
          <t>AMR1</t>
        </is>
      </c>
      <c r="O400" s="32" t="n">
        <v>0</v>
      </c>
      <c r="P400" s="32" t="n">
        <v>0</v>
      </c>
      <c r="Q400" s="32" t="n">
        <v>21</v>
      </c>
      <c r="R400" s="31" t="n">
        <v>43.8</v>
      </c>
      <c r="S400" s="31" t="n">
        <v>43.8</v>
      </c>
      <c r="T400" s="30" t="inlineStr">
        <is>
          <t>AMR3</t>
        </is>
      </c>
      <c r="U400" s="31" t="n">
        <v>62.5</v>
      </c>
      <c r="V400" s="31" t="n">
        <v>62.5</v>
      </c>
      <c r="W400" s="30" t="inlineStr">
        <is>
          <t>AMR1</t>
        </is>
      </c>
      <c r="X400" s="32" t="n">
        <v>0</v>
      </c>
      <c r="Y400" s="32" t="n">
        <v>0</v>
      </c>
      <c r="Z400" s="31" t="n">
        <v>0</v>
      </c>
      <c r="AA400" s="32" t="n">
        <v>0</v>
      </c>
      <c r="AB400" s="32" t="n">
        <v>0</v>
      </c>
      <c r="AC400" s="32" t="n">
        <v>0</v>
      </c>
      <c r="AD400" s="32" t="n">
        <v>0</v>
      </c>
      <c r="AE400" s="31" t="n">
        <v>0</v>
      </c>
      <c r="AF400" s="32" t="n">
        <v>0</v>
      </c>
      <c r="AG400" s="31" t="n">
        <v>0</v>
      </c>
      <c r="AH400" s="32" t="n">
        <v>59</v>
      </c>
      <c r="AI400" s="31" t="n">
        <v>61.3</v>
      </c>
      <c r="AJ400" s="31" t="n">
        <v>45.7</v>
      </c>
      <c r="AK400" s="31" t="n">
        <v>0</v>
      </c>
      <c r="AL400" s="30" t="inlineStr">
        <is>
          <t>T-0549</t>
        </is>
      </c>
      <c r="AM400" s="30" t="inlineStr">
        <is>
          <t>J-02-03</t>
        </is>
      </c>
      <c r="AN400" s="30" t="inlineStr">
        <is>
          <t>T-0338</t>
        </is>
      </c>
      <c r="AO400" s="30" t="inlineStr">
        <is>
          <t>J-01-03</t>
        </is>
      </c>
    </row>
    <row r="401">
      <c r="A401" s="30" t="inlineStr">
        <is>
          <t>O0400</t>
        </is>
      </c>
      <c r="B401" s="30" t="inlineStr">
        <is>
          <t>D</t>
        </is>
      </c>
      <c r="C401" s="31" t="n">
        <v>4967.6</v>
      </c>
      <c r="D401" s="31" t="n">
        <v>19269.7</v>
      </c>
      <c r="E401" s="31" t="n">
        <v>19269.7</v>
      </c>
      <c r="F401" s="31" t="n">
        <v>19282.9</v>
      </c>
      <c r="G401" s="31" t="n">
        <v>19308</v>
      </c>
      <c r="H401" s="31" t="n">
        <v>19322.8</v>
      </c>
      <c r="I401" s="31" t="n">
        <v>19352.4</v>
      </c>
      <c r="J401" s="31" t="n">
        <v>19383.2</v>
      </c>
      <c r="K401" s="31" t="n">
        <v>14415.6</v>
      </c>
      <c r="L401" s="31" t="n">
        <v>14302.1</v>
      </c>
      <c r="M401" s="30" t="inlineStr">
        <is>
          <t>AMR3</t>
        </is>
      </c>
      <c r="N401" s="30" t="inlineStr">
        <is>
          <t>AMR3</t>
        </is>
      </c>
      <c r="O401" s="32" t="n">
        <v>0</v>
      </c>
      <c r="P401" s="32" t="n">
        <v>0</v>
      </c>
      <c r="Q401" s="32" t="n">
        <v>13</v>
      </c>
      <c r="R401" s="31" t="n">
        <v>35.8</v>
      </c>
      <c r="S401" s="31" t="n">
        <v>35.8</v>
      </c>
      <c r="T401" s="30" t="inlineStr">
        <is>
          <t>AMR3</t>
        </is>
      </c>
      <c r="U401" s="31" t="n">
        <v>52.6</v>
      </c>
      <c r="V401" s="31" t="n">
        <v>52.6</v>
      </c>
      <c r="W401" s="30" t="inlineStr">
        <is>
          <t>AMR3</t>
        </is>
      </c>
      <c r="X401" s="32" t="n">
        <v>0</v>
      </c>
      <c r="Y401" s="32" t="n">
        <v>0</v>
      </c>
      <c r="Z401" s="31" t="n">
        <v>0</v>
      </c>
      <c r="AA401" s="32" t="n">
        <v>0</v>
      </c>
      <c r="AB401" s="32" t="n">
        <v>1</v>
      </c>
      <c r="AC401" s="32" t="n">
        <v>1</v>
      </c>
      <c r="AD401" s="32" t="n">
        <v>0</v>
      </c>
      <c r="AE401" s="31" t="n">
        <v>0</v>
      </c>
      <c r="AF401" s="32" t="n">
        <v>0</v>
      </c>
      <c r="AG401" s="31" t="n">
        <v>0</v>
      </c>
      <c r="AH401" s="32" t="n">
        <v>47</v>
      </c>
      <c r="AI401" s="31" t="n">
        <v>50</v>
      </c>
      <c r="AJ401" s="31" t="n">
        <v>45.7</v>
      </c>
      <c r="AK401" s="31" t="n">
        <v>3</v>
      </c>
      <c r="AL401" s="30" t="inlineStr">
        <is>
          <t>T-0550</t>
        </is>
      </c>
      <c r="AM401" s="30" t="inlineStr">
        <is>
          <t>D-04-01</t>
        </is>
      </c>
      <c r="AN401" s="30" t="inlineStr">
        <is>
          <t>T-0453</t>
        </is>
      </c>
      <c r="AO401" s="30" t="inlineStr">
        <is>
          <t>D-06-01</t>
        </is>
      </c>
    </row>
    <row r="402">
      <c r="A402" s="30" t="inlineStr">
        <is>
          <t>O0401</t>
        </is>
      </c>
      <c r="B402" s="30" t="inlineStr">
        <is>
          <t>B</t>
        </is>
      </c>
      <c r="C402" s="31" t="n">
        <v>4988.6</v>
      </c>
      <c r="D402" s="31" t="n">
        <v>19334.1</v>
      </c>
      <c r="E402" s="31" t="n">
        <v>19334.1</v>
      </c>
      <c r="F402" s="31" t="n">
        <v>19347.9</v>
      </c>
      <c r="G402" s="31" t="n">
        <v>19368.5</v>
      </c>
      <c r="H402" s="31" t="n">
        <v>19386.9</v>
      </c>
      <c r="I402" s="31" t="n">
        <v>19416.1</v>
      </c>
      <c r="J402" s="31" t="n">
        <v>19449.4</v>
      </c>
      <c r="K402" s="31" t="n">
        <v>14460.8</v>
      </c>
      <c r="L402" s="31" t="n">
        <v>14345.5</v>
      </c>
      <c r="M402" s="30" t="inlineStr">
        <is>
          <t>AMR2</t>
        </is>
      </c>
      <c r="N402" s="30" t="inlineStr">
        <is>
          <t>AMR2</t>
        </is>
      </c>
      <c r="O402" s="32" t="n">
        <v>0</v>
      </c>
      <c r="P402" s="32" t="n">
        <v>0</v>
      </c>
      <c r="Q402" s="32" t="n">
        <v>15</v>
      </c>
      <c r="R402" s="31" t="n">
        <v>34.3</v>
      </c>
      <c r="S402" s="31" t="n">
        <v>34.3</v>
      </c>
      <c r="T402" s="30" t="inlineStr">
        <is>
          <t>AMR2</t>
        </is>
      </c>
      <c r="U402" s="31" t="n">
        <v>55.9</v>
      </c>
      <c r="V402" s="31" t="n">
        <v>55.9</v>
      </c>
      <c r="W402" s="30" t="inlineStr">
        <is>
          <t>AMR2</t>
        </is>
      </c>
      <c r="X402" s="32" t="n">
        <v>0</v>
      </c>
      <c r="Y402" s="32" t="n">
        <v>0</v>
      </c>
      <c r="Z402" s="31" t="n">
        <v>0</v>
      </c>
      <c r="AA402" s="32" t="n">
        <v>0</v>
      </c>
      <c r="AB402" s="32" t="n">
        <v>1</v>
      </c>
      <c r="AC402" s="32" t="n">
        <v>0</v>
      </c>
      <c r="AD402" s="32" t="n">
        <v>0</v>
      </c>
      <c r="AE402" s="31" t="n">
        <v>0</v>
      </c>
      <c r="AF402" s="32" t="n">
        <v>0</v>
      </c>
      <c r="AG402" s="31" t="n">
        <v>0</v>
      </c>
      <c r="AH402" s="32" t="n">
        <v>48</v>
      </c>
      <c r="AI402" s="31" t="n">
        <v>50.7</v>
      </c>
      <c r="AJ402" s="31" t="n">
        <v>42.9</v>
      </c>
      <c r="AK402" s="31" t="n">
        <v>3.3</v>
      </c>
      <c r="AL402" s="30" t="inlineStr">
        <is>
          <t>T-0551</t>
        </is>
      </c>
      <c r="AM402" s="30" t="inlineStr">
        <is>
          <t>B-06-01</t>
        </is>
      </c>
      <c r="AN402" s="30" t="inlineStr">
        <is>
          <t>T-0315</t>
        </is>
      </c>
      <c r="AO402" s="30" t="inlineStr">
        <is>
          <t>B-01-02</t>
        </is>
      </c>
    </row>
    <row r="403">
      <c r="A403" s="30" t="inlineStr">
        <is>
          <t>O0402</t>
        </is>
      </c>
      <c r="B403" s="30" t="inlineStr">
        <is>
          <t>H</t>
        </is>
      </c>
      <c r="C403" s="31" t="n">
        <v>5013.1</v>
      </c>
      <c r="D403" s="31" t="n">
        <v>19350.1</v>
      </c>
      <c r="E403" s="31" t="n">
        <v>19350.1</v>
      </c>
      <c r="F403" s="31" t="n">
        <v>19362.6</v>
      </c>
      <c r="G403" s="31" t="n">
        <v>19395</v>
      </c>
      <c r="H403" s="31" t="n">
        <v>19406.9</v>
      </c>
      <c r="I403" s="31" t="n">
        <v>19437.5</v>
      </c>
      <c r="J403" s="31" t="n">
        <v>19463.9</v>
      </c>
      <c r="K403" s="31" t="n">
        <v>14450.8</v>
      </c>
      <c r="L403" s="31" t="n">
        <v>14337</v>
      </c>
      <c r="M403" s="30" t="inlineStr">
        <is>
          <t>AMR1</t>
        </is>
      </c>
      <c r="N403" s="30" t="inlineStr">
        <is>
          <t>AMR3</t>
        </is>
      </c>
      <c r="O403" s="32" t="n">
        <v>0</v>
      </c>
      <c r="P403" s="32" t="n">
        <v>0</v>
      </c>
      <c r="Q403" s="32" t="n">
        <v>15</v>
      </c>
      <c r="R403" s="31" t="n">
        <v>38.1</v>
      </c>
      <c r="S403" s="31" t="n">
        <v>38.1</v>
      </c>
      <c r="T403" s="30" t="inlineStr">
        <is>
          <t>AMR1</t>
        </is>
      </c>
      <c r="U403" s="31" t="n">
        <v>53.2</v>
      </c>
      <c r="V403" s="31" t="n">
        <v>53.2</v>
      </c>
      <c r="W403" s="30" t="inlineStr">
        <is>
          <t>AMR3</t>
        </is>
      </c>
      <c r="X403" s="32" t="n">
        <v>0</v>
      </c>
      <c r="Y403" s="32" t="n">
        <v>0</v>
      </c>
      <c r="Z403" s="31" t="n">
        <v>0</v>
      </c>
      <c r="AA403" s="32" t="n">
        <v>0</v>
      </c>
      <c r="AB403" s="32" t="n">
        <v>2</v>
      </c>
      <c r="AC403" s="32" t="n">
        <v>2</v>
      </c>
      <c r="AD403" s="32" t="n">
        <v>1</v>
      </c>
      <c r="AE403" s="31" t="n">
        <v>2</v>
      </c>
      <c r="AF403" s="32" t="n">
        <v>0</v>
      </c>
      <c r="AG403" s="31" t="n">
        <v>0</v>
      </c>
      <c r="AH403" s="32" t="n">
        <v>43</v>
      </c>
      <c r="AI403" s="31" t="n">
        <v>49.9</v>
      </c>
      <c r="AJ403" s="31" t="n">
        <v>46</v>
      </c>
      <c r="AK403" s="31" t="n">
        <v>6</v>
      </c>
      <c r="AL403" s="30" t="inlineStr">
        <is>
          <t>T-0552</t>
        </is>
      </c>
      <c r="AM403" s="30" t="inlineStr">
        <is>
          <t>H-01-03</t>
        </is>
      </c>
      <c r="AN403" s="30" t="inlineStr">
        <is>
          <t>T-0477</t>
        </is>
      </c>
      <c r="AO403" s="30" t="inlineStr">
        <is>
          <t>H-01-02</t>
        </is>
      </c>
    </row>
    <row r="404">
      <c r="A404" s="30" t="inlineStr">
        <is>
          <t>O0403</t>
        </is>
      </c>
      <c r="B404" s="30" t="inlineStr">
        <is>
          <t>J</t>
        </is>
      </c>
      <c r="C404" s="31" t="n">
        <v>5035.7</v>
      </c>
      <c r="D404" s="31" t="n">
        <v>19414.8</v>
      </c>
      <c r="E404" s="31" t="n">
        <v>19414.8</v>
      </c>
      <c r="F404" s="31" t="n">
        <v>19425.8</v>
      </c>
      <c r="G404" s="31" t="n">
        <v>19455.9</v>
      </c>
      <c r="H404" s="31" t="n">
        <v>19473.1</v>
      </c>
      <c r="I404" s="31" t="n">
        <v>19515.1</v>
      </c>
      <c r="J404" s="31" t="n">
        <v>19552.7</v>
      </c>
      <c r="K404" s="31" t="n">
        <v>14517</v>
      </c>
      <c r="L404" s="31" t="n">
        <v>14379.1</v>
      </c>
      <c r="M404" s="30" t="inlineStr">
        <is>
          <t>AMR1</t>
        </is>
      </c>
      <c r="N404" s="30" t="inlineStr">
        <is>
          <t>AMR2</t>
        </is>
      </c>
      <c r="O404" s="32" t="n">
        <v>0</v>
      </c>
      <c r="P404" s="32" t="n">
        <v>0</v>
      </c>
      <c r="Q404" s="32" t="n">
        <v>21</v>
      </c>
      <c r="R404" s="31" t="n">
        <v>40.2</v>
      </c>
      <c r="S404" s="31" t="n">
        <v>40.2</v>
      </c>
      <c r="T404" s="30" t="inlineStr">
        <is>
          <t>AMR1</t>
        </is>
      </c>
      <c r="U404" s="31" t="n">
        <v>62.3</v>
      </c>
      <c r="V404" s="31" t="n">
        <v>62.3</v>
      </c>
      <c r="W404" s="30" t="inlineStr">
        <is>
          <t>AMR2</t>
        </is>
      </c>
      <c r="X404" s="32" t="n">
        <v>0</v>
      </c>
      <c r="Y404" s="32" t="n">
        <v>0</v>
      </c>
      <c r="Z404" s="31" t="n">
        <v>0</v>
      </c>
      <c r="AA404" s="32" t="n">
        <v>0</v>
      </c>
      <c r="AB404" s="32" t="n">
        <v>2</v>
      </c>
      <c r="AC404" s="32" t="n">
        <v>2</v>
      </c>
      <c r="AD404" s="32" t="n">
        <v>0</v>
      </c>
      <c r="AE404" s="31" t="n">
        <v>0</v>
      </c>
      <c r="AF404" s="32" t="n">
        <v>0</v>
      </c>
      <c r="AG404" s="31" t="n">
        <v>0</v>
      </c>
      <c r="AH404" s="32" t="n">
        <v>65</v>
      </c>
      <c r="AI404" s="31" t="n">
        <v>71.40000000000001</v>
      </c>
      <c r="AJ404" s="31" t="n">
        <v>41.9</v>
      </c>
      <c r="AK404" s="31" t="n">
        <v>7.4</v>
      </c>
      <c r="AL404" s="30" t="inlineStr">
        <is>
          <t>T-0553</t>
        </is>
      </c>
      <c r="AM404" s="30" t="inlineStr">
        <is>
          <t>J-01-03</t>
        </is>
      </c>
      <c r="AN404" s="30" t="inlineStr">
        <is>
          <t>T-0339</t>
        </is>
      </c>
      <c r="AO404" s="30" t="inlineStr">
        <is>
          <t>J-04-03</t>
        </is>
      </c>
    </row>
    <row r="405">
      <c r="A405" s="30" t="inlineStr">
        <is>
          <t>O0404</t>
        </is>
      </c>
      <c r="B405" s="30" t="inlineStr">
        <is>
          <t>J</t>
        </is>
      </c>
      <c r="C405" s="31" t="n">
        <v>5057.5</v>
      </c>
      <c r="D405" s="31" t="n">
        <v>19483</v>
      </c>
      <c r="E405" s="31" t="n">
        <v>19483</v>
      </c>
      <c r="F405" s="31" t="n">
        <v>19496.9</v>
      </c>
      <c r="G405" s="31" t="n">
        <v>19535.7</v>
      </c>
      <c r="H405" s="31" t="n">
        <v>19558.9</v>
      </c>
      <c r="I405" s="31" t="n">
        <v>19593.5</v>
      </c>
      <c r="J405" s="31" t="n">
        <v>19631</v>
      </c>
      <c r="K405" s="31" t="n">
        <v>14573.5</v>
      </c>
      <c r="L405" s="31" t="n">
        <v>14425.5</v>
      </c>
      <c r="M405" s="30" t="inlineStr">
        <is>
          <t>AMR1</t>
        </is>
      </c>
      <c r="N405" s="30" t="inlineStr">
        <is>
          <t>AMR1</t>
        </is>
      </c>
      <c r="O405" s="32" t="n">
        <v>0</v>
      </c>
      <c r="P405" s="32" t="n">
        <v>0</v>
      </c>
      <c r="Q405" s="32" t="n">
        <v>21</v>
      </c>
      <c r="R405" s="31" t="n">
        <v>44</v>
      </c>
      <c r="S405" s="31" t="n">
        <v>44</v>
      </c>
      <c r="T405" s="30" t="inlineStr">
        <is>
          <t>AMR1</t>
        </is>
      </c>
      <c r="U405" s="31" t="n">
        <v>67.3</v>
      </c>
      <c r="V405" s="31" t="n">
        <v>67.3</v>
      </c>
      <c r="W405" s="30" t="inlineStr">
        <is>
          <t>AMR1</t>
        </is>
      </c>
      <c r="X405" s="32" t="n">
        <v>0</v>
      </c>
      <c r="Y405" s="32" t="n">
        <v>0</v>
      </c>
      <c r="Z405" s="31" t="n">
        <v>0</v>
      </c>
      <c r="AA405" s="32" t="n">
        <v>0</v>
      </c>
      <c r="AB405" s="32" t="n">
        <v>1</v>
      </c>
      <c r="AC405" s="32" t="n">
        <v>1</v>
      </c>
      <c r="AD405" s="32" t="n">
        <v>0</v>
      </c>
      <c r="AE405" s="31" t="n">
        <v>0</v>
      </c>
      <c r="AF405" s="32" t="n">
        <v>1</v>
      </c>
      <c r="AG405" s="31" t="n">
        <v>2</v>
      </c>
      <c r="AH405" s="32" t="n">
        <v>66</v>
      </c>
      <c r="AI405" s="31" t="n">
        <v>67.09999999999999</v>
      </c>
      <c r="AJ405" s="31" t="n">
        <v>50.7</v>
      </c>
      <c r="AK405" s="31" t="n">
        <v>7</v>
      </c>
      <c r="AL405" s="30" t="inlineStr">
        <is>
          <t>T-0554</t>
        </is>
      </c>
      <c r="AM405" s="30" t="inlineStr">
        <is>
          <t>J-03-03</t>
        </is>
      </c>
      <c r="AN405" s="30" t="inlineStr">
        <is>
          <t>T-0348</t>
        </is>
      </c>
      <c r="AO405" s="30" t="inlineStr">
        <is>
          <t>J-06-02</t>
        </is>
      </c>
    </row>
    <row r="406">
      <c r="A406" s="30" t="inlineStr">
        <is>
          <t>O0405</t>
        </is>
      </c>
      <c r="B406" s="30" t="inlineStr">
        <is>
          <t>J</t>
        </is>
      </c>
      <c r="C406" s="31" t="n">
        <v>5078.9</v>
      </c>
      <c r="D406" s="31" t="n">
        <v>19496.9</v>
      </c>
      <c r="E406" s="31" t="n">
        <v>19496.9</v>
      </c>
      <c r="F406" s="31" t="n">
        <v>19513.1</v>
      </c>
      <c r="G406" s="31" t="n">
        <v>19555</v>
      </c>
      <c r="H406" s="31" t="n">
        <v>19576.4</v>
      </c>
      <c r="I406" s="31" t="n">
        <v>19615.7</v>
      </c>
      <c r="J406" s="31" t="n">
        <v>19649.9</v>
      </c>
      <c r="K406" s="31" t="n">
        <v>14571</v>
      </c>
      <c r="L406" s="31" t="n">
        <v>14418</v>
      </c>
      <c r="M406" s="30" t="inlineStr">
        <is>
          <t>AMR3</t>
        </is>
      </c>
      <c r="N406" s="30" t="inlineStr">
        <is>
          <t>AMR2</t>
        </is>
      </c>
      <c r="O406" s="32" t="n">
        <v>0</v>
      </c>
      <c r="P406" s="32" t="n">
        <v>0</v>
      </c>
      <c r="Q406" s="32" t="n">
        <v>21</v>
      </c>
      <c r="R406" s="31" t="n">
        <v>47.5</v>
      </c>
      <c r="S406" s="31" t="n">
        <v>47.5</v>
      </c>
      <c r="T406" s="30" t="inlineStr">
        <is>
          <t>AMR3</t>
        </is>
      </c>
      <c r="U406" s="31" t="n">
        <v>66.09999999999999</v>
      </c>
      <c r="V406" s="31" t="n">
        <v>66.09999999999999</v>
      </c>
      <c r="W406" s="30" t="inlineStr">
        <is>
          <t>AMR2</t>
        </is>
      </c>
      <c r="X406" s="32" t="n">
        <v>0</v>
      </c>
      <c r="Y406" s="32" t="n">
        <v>0</v>
      </c>
      <c r="Z406" s="31" t="n">
        <v>0</v>
      </c>
      <c r="AA406" s="32" t="n">
        <v>0</v>
      </c>
      <c r="AB406" s="32" t="n">
        <v>1</v>
      </c>
      <c r="AC406" s="32" t="n">
        <v>1</v>
      </c>
      <c r="AD406" s="32" t="n">
        <v>0</v>
      </c>
      <c r="AE406" s="31" t="n">
        <v>0</v>
      </c>
      <c r="AF406" s="32" t="n">
        <v>0</v>
      </c>
      <c r="AG406" s="31" t="n">
        <v>0</v>
      </c>
      <c r="AH406" s="32" t="n">
        <v>64</v>
      </c>
      <c r="AI406" s="31" t="n">
        <v>71.2</v>
      </c>
      <c r="AJ406" s="31" t="n">
        <v>53</v>
      </c>
      <c r="AK406" s="31" t="n">
        <v>7.4</v>
      </c>
      <c r="AL406" s="30" t="inlineStr">
        <is>
          <t>T-0555</t>
        </is>
      </c>
      <c r="AM406" s="30" t="inlineStr">
        <is>
          <t>J-06-03</t>
        </is>
      </c>
      <c r="AN406" s="30" t="inlineStr">
        <is>
          <t>T-0359</t>
        </is>
      </c>
      <c r="AO406" s="30" t="inlineStr">
        <is>
          <t>J-01-01</t>
        </is>
      </c>
    </row>
    <row r="407">
      <c r="A407" s="30" t="inlineStr">
        <is>
          <t>O0406</t>
        </is>
      </c>
      <c r="B407" s="30" t="inlineStr">
        <is>
          <t>F</t>
        </is>
      </c>
      <c r="C407" s="31" t="n">
        <v>5102.5</v>
      </c>
      <c r="D407" s="31" t="n">
        <v>19586.2</v>
      </c>
      <c r="E407" s="31" t="n">
        <v>19586.2</v>
      </c>
      <c r="F407" s="31" t="n">
        <v>19600.8</v>
      </c>
      <c r="G407" s="31" t="n">
        <v>19632.2</v>
      </c>
      <c r="H407" s="31" t="n">
        <v>19654.4</v>
      </c>
      <c r="I407" s="31" t="n">
        <v>19688</v>
      </c>
      <c r="J407" s="31" t="n">
        <v>19723.1</v>
      </c>
      <c r="K407" s="31" t="n">
        <v>14620.6</v>
      </c>
      <c r="L407" s="31" t="n">
        <v>14483.7</v>
      </c>
      <c r="M407" s="30" t="inlineStr">
        <is>
          <t>AMR3</t>
        </is>
      </c>
      <c r="N407" s="30" t="inlineStr">
        <is>
          <t>AMR3</t>
        </is>
      </c>
      <c r="O407" s="32" t="n">
        <v>0</v>
      </c>
      <c r="P407" s="32" t="n">
        <v>0</v>
      </c>
      <c r="Q407" s="32" t="n">
        <v>23</v>
      </c>
      <c r="R407" s="31" t="n">
        <v>45.1</v>
      </c>
      <c r="S407" s="31" t="n">
        <v>45.1</v>
      </c>
      <c r="T407" s="30" t="inlineStr">
        <is>
          <t>AMR3</t>
        </is>
      </c>
      <c r="U407" s="31" t="n">
        <v>65.40000000000001</v>
      </c>
      <c r="V407" s="31" t="n">
        <v>65.40000000000001</v>
      </c>
      <c r="W407" s="30" t="inlineStr">
        <is>
          <t>AMR3</t>
        </is>
      </c>
      <c r="X407" s="32" t="n">
        <v>0</v>
      </c>
      <c r="Y407" s="32" t="n">
        <v>0</v>
      </c>
      <c r="Z407" s="31" t="n">
        <v>0</v>
      </c>
      <c r="AA407" s="32" t="n">
        <v>0</v>
      </c>
      <c r="AB407" s="32" t="n">
        <v>0</v>
      </c>
      <c r="AC407" s="32" t="n">
        <v>0</v>
      </c>
      <c r="AD407" s="32" t="n">
        <v>0</v>
      </c>
      <c r="AE407" s="31" t="n">
        <v>0</v>
      </c>
      <c r="AF407" s="32" t="n">
        <v>0</v>
      </c>
      <c r="AG407" s="31" t="n">
        <v>0</v>
      </c>
      <c r="AH407" s="32" t="n">
        <v>69</v>
      </c>
      <c r="AI407" s="31" t="n">
        <v>69.40000000000001</v>
      </c>
      <c r="AJ407" s="31" t="n">
        <v>45.3</v>
      </c>
      <c r="AK407" s="31" t="n">
        <v>0</v>
      </c>
      <c r="AL407" s="30" t="inlineStr">
        <is>
          <t>T-0556</t>
        </is>
      </c>
      <c r="AM407" s="30" t="inlineStr">
        <is>
          <t>F-04-03</t>
        </is>
      </c>
      <c r="AN407" s="30" t="inlineStr">
        <is>
          <t>T-0311</t>
        </is>
      </c>
      <c r="AO407" s="30" t="inlineStr">
        <is>
          <t>F-02-01</t>
        </is>
      </c>
    </row>
    <row r="408">
      <c r="A408" s="30" t="inlineStr">
        <is>
          <t>O0407</t>
        </is>
      </c>
      <c r="B408" s="30" t="inlineStr">
        <is>
          <t>H</t>
        </is>
      </c>
      <c r="C408" s="31" t="n">
        <v>5121.9</v>
      </c>
      <c r="D408" s="31" t="n">
        <v>19657.9</v>
      </c>
      <c r="E408" s="31" t="n">
        <v>19657.9</v>
      </c>
      <c r="F408" s="31" t="n">
        <v>19671.7</v>
      </c>
      <c r="G408" s="31" t="n">
        <v>19693.9</v>
      </c>
      <c r="H408" s="31" t="n">
        <v>19708.1</v>
      </c>
      <c r="I408" s="31" t="n">
        <v>19733.4</v>
      </c>
      <c r="J408" s="31" t="n">
        <v>19759.6</v>
      </c>
      <c r="K408" s="31" t="n">
        <v>14637.7</v>
      </c>
      <c r="L408" s="31" t="n">
        <v>14536</v>
      </c>
      <c r="M408" s="30" t="inlineStr">
        <is>
          <t>AMR1</t>
        </is>
      </c>
      <c r="N408" s="30" t="inlineStr">
        <is>
          <t>AMR1</t>
        </is>
      </c>
      <c r="O408" s="32" t="n">
        <v>0</v>
      </c>
      <c r="P408" s="32" t="n">
        <v>0</v>
      </c>
      <c r="Q408" s="32" t="n">
        <v>15</v>
      </c>
      <c r="R408" s="31" t="n">
        <v>35.1</v>
      </c>
      <c r="S408" s="31" t="n">
        <v>35.1</v>
      </c>
      <c r="T408" s="30" t="inlineStr">
        <is>
          <t>AMR1</t>
        </is>
      </c>
      <c r="U408" s="31" t="n">
        <v>52.2</v>
      </c>
      <c r="V408" s="31" t="n">
        <v>52.2</v>
      </c>
      <c r="W408" s="30" t="inlineStr">
        <is>
          <t>AMR1</t>
        </is>
      </c>
      <c r="X408" s="32" t="n">
        <v>0</v>
      </c>
      <c r="Y408" s="32" t="n">
        <v>0</v>
      </c>
      <c r="Z408" s="31" t="n">
        <v>0</v>
      </c>
      <c r="AA408" s="32" t="n">
        <v>0</v>
      </c>
      <c r="AB408" s="32" t="n">
        <v>0</v>
      </c>
      <c r="AC408" s="32" t="n">
        <v>0</v>
      </c>
      <c r="AD408" s="32" t="n">
        <v>0</v>
      </c>
      <c r="AE408" s="31" t="n">
        <v>0</v>
      </c>
      <c r="AF408" s="32" t="n">
        <v>0</v>
      </c>
      <c r="AG408" s="31" t="n">
        <v>0</v>
      </c>
      <c r="AH408" s="32" t="n">
        <v>41</v>
      </c>
      <c r="AI408" s="31" t="n">
        <v>45.5</v>
      </c>
      <c r="AJ408" s="31" t="n">
        <v>42</v>
      </c>
      <c r="AK408" s="31" t="n">
        <v>0</v>
      </c>
      <c r="AL408" s="30" t="inlineStr">
        <is>
          <t>T-0557</t>
        </is>
      </c>
      <c r="AM408" s="30" t="inlineStr">
        <is>
          <t>H-01-02</t>
        </is>
      </c>
      <c r="AN408" s="30" t="inlineStr">
        <is>
          <t>T-0478</t>
        </is>
      </c>
      <c r="AO408" s="30" t="inlineStr">
        <is>
          <t>H-05-03</t>
        </is>
      </c>
    </row>
    <row r="409">
      <c r="A409" s="30" t="inlineStr">
        <is>
          <t>O0408</t>
        </is>
      </c>
      <c r="B409" s="30" t="inlineStr">
        <is>
          <t>E</t>
        </is>
      </c>
      <c r="C409" s="31" t="n">
        <v>5143.2</v>
      </c>
      <c r="D409" s="31" t="n">
        <v>19673.6</v>
      </c>
      <c r="E409" s="31" t="n">
        <v>19673.6</v>
      </c>
      <c r="F409" s="31" t="n">
        <v>19686.1</v>
      </c>
      <c r="G409" s="31" t="n">
        <v>19710.4</v>
      </c>
      <c r="H409" s="31" t="n">
        <v>19730.5</v>
      </c>
      <c r="I409" s="31" t="n">
        <v>19757</v>
      </c>
      <c r="J409" s="31" t="n">
        <v>19794.8</v>
      </c>
      <c r="K409" s="31" t="n">
        <v>14651.6</v>
      </c>
      <c r="L409" s="31" t="n">
        <v>14530.4</v>
      </c>
      <c r="M409" s="30" t="inlineStr">
        <is>
          <t>AMR2</t>
        </is>
      </c>
      <c r="N409" s="30" t="inlineStr">
        <is>
          <t>AMR2</t>
        </is>
      </c>
      <c r="O409" s="32" t="n">
        <v>0</v>
      </c>
      <c r="P409" s="32" t="n">
        <v>0</v>
      </c>
      <c r="Q409" s="32" t="n">
        <v>19</v>
      </c>
      <c r="R409" s="31" t="n">
        <v>35.9</v>
      </c>
      <c r="S409" s="31" t="n">
        <v>35.9</v>
      </c>
      <c r="T409" s="30" t="inlineStr">
        <is>
          <t>AMR2</t>
        </is>
      </c>
      <c r="U409" s="31" t="n">
        <v>62.5</v>
      </c>
      <c r="V409" s="31" t="n">
        <v>62.5</v>
      </c>
      <c r="W409" s="30" t="inlineStr">
        <is>
          <t>AMR2</t>
        </is>
      </c>
      <c r="X409" s="32" t="n">
        <v>0</v>
      </c>
      <c r="Y409" s="32" t="n">
        <v>0</v>
      </c>
      <c r="Z409" s="31" t="n">
        <v>0</v>
      </c>
      <c r="AA409" s="32" t="n">
        <v>0</v>
      </c>
      <c r="AB409" s="32" t="n">
        <v>0</v>
      </c>
      <c r="AC409" s="32" t="n">
        <v>0</v>
      </c>
      <c r="AD409" s="32" t="n">
        <v>0</v>
      </c>
      <c r="AE409" s="31" t="n">
        <v>0</v>
      </c>
      <c r="AF409" s="32" t="n">
        <v>0</v>
      </c>
      <c r="AG409" s="31" t="n">
        <v>0</v>
      </c>
      <c r="AH409" s="32" t="n">
        <v>59</v>
      </c>
      <c r="AI409" s="31" t="n">
        <v>60.2</v>
      </c>
      <c r="AJ409" s="31" t="n">
        <v>40.9</v>
      </c>
      <c r="AK409" s="31" t="n">
        <v>0</v>
      </c>
      <c r="AL409" s="30" t="inlineStr">
        <is>
          <t>T-0558</t>
        </is>
      </c>
      <c r="AM409" s="30" t="inlineStr">
        <is>
          <t>E-02-01</t>
        </is>
      </c>
      <c r="AN409" s="30" t="inlineStr">
        <is>
          <t>T-0330</t>
        </is>
      </c>
      <c r="AO409" s="30" t="inlineStr">
        <is>
          <t>E-03-02</t>
        </is>
      </c>
    </row>
    <row r="410">
      <c r="A410" s="30" t="inlineStr">
        <is>
          <t>O0409</t>
        </is>
      </c>
      <c r="B410" s="30" t="inlineStr">
        <is>
          <t>I</t>
        </is>
      </c>
      <c r="C410" s="31" t="n">
        <v>5158.8</v>
      </c>
      <c r="D410" s="31" t="n">
        <v>19746.8</v>
      </c>
      <c r="E410" s="31" t="n">
        <v>19746.8</v>
      </c>
      <c r="F410" s="31" t="n">
        <v>19762.7</v>
      </c>
      <c r="G410" s="31" t="n">
        <v>19793.4</v>
      </c>
      <c r="H410" s="31" t="n">
        <v>19808.2</v>
      </c>
      <c r="I410" s="31" t="n">
        <v>19841.4</v>
      </c>
      <c r="J410" s="31" t="n">
        <v>19866.5</v>
      </c>
      <c r="K410" s="31" t="n">
        <v>14707.7</v>
      </c>
      <c r="L410" s="31" t="n">
        <v>14588</v>
      </c>
      <c r="M410" s="30" t="inlineStr">
        <is>
          <t>AMR3</t>
        </is>
      </c>
      <c r="N410" s="30" t="inlineStr">
        <is>
          <t>AMR3</t>
        </is>
      </c>
      <c r="O410" s="32" t="n">
        <v>0</v>
      </c>
      <c r="P410" s="32" t="n">
        <v>0</v>
      </c>
      <c r="Q410" s="32" t="n">
        <v>15</v>
      </c>
      <c r="R410" s="31" t="n">
        <v>42.8</v>
      </c>
      <c r="S410" s="31" t="n">
        <v>42.8</v>
      </c>
      <c r="T410" s="30" t="inlineStr">
        <is>
          <t>AMR3</t>
        </is>
      </c>
      <c r="U410" s="31" t="n">
        <v>53.4</v>
      </c>
      <c r="V410" s="31" t="n">
        <v>53.4</v>
      </c>
      <c r="W410" s="30" t="inlineStr">
        <is>
          <t>AMR3</t>
        </is>
      </c>
      <c r="X410" s="32" t="n">
        <v>0</v>
      </c>
      <c r="Y410" s="32" t="n">
        <v>0</v>
      </c>
      <c r="Z410" s="31" t="n">
        <v>0</v>
      </c>
      <c r="AA410" s="32" t="n">
        <v>0</v>
      </c>
      <c r="AB410" s="32" t="n">
        <v>2</v>
      </c>
      <c r="AC410" s="32" t="n">
        <v>2</v>
      </c>
      <c r="AD410" s="32" t="n">
        <v>0</v>
      </c>
      <c r="AE410" s="31" t="n">
        <v>0</v>
      </c>
      <c r="AF410" s="32" t="n">
        <v>1</v>
      </c>
      <c r="AG410" s="31" t="n">
        <v>0.1</v>
      </c>
      <c r="AH410" s="32" t="n">
        <v>41</v>
      </c>
      <c r="AI410" s="31" t="n">
        <v>46.4</v>
      </c>
      <c r="AJ410" s="31" t="n">
        <v>50.4</v>
      </c>
      <c r="AK410" s="31" t="n">
        <v>8.1</v>
      </c>
      <c r="AL410" s="30" t="inlineStr">
        <is>
          <t>T-0559</t>
        </is>
      </c>
      <c r="AM410" s="30" t="inlineStr">
        <is>
          <t>I-02-03</t>
        </is>
      </c>
      <c r="AN410" s="30" t="inlineStr">
        <is>
          <t>T-0436</t>
        </is>
      </c>
      <c r="AO410" s="30" t="inlineStr">
        <is>
          <t>I-01-01</t>
        </is>
      </c>
    </row>
    <row r="411">
      <c r="A411" s="30" t="inlineStr">
        <is>
          <t>O0410</t>
        </is>
      </c>
      <c r="B411" s="30" t="inlineStr">
        <is>
          <t>H</t>
        </is>
      </c>
      <c r="C411" s="31" t="n">
        <v>5176.9</v>
      </c>
      <c r="D411" s="31" t="n">
        <v>19788.7</v>
      </c>
      <c r="E411" s="31" t="n">
        <v>19788.7</v>
      </c>
      <c r="F411" s="31" t="n">
        <v>19800.9</v>
      </c>
      <c r="G411" s="31" t="n">
        <v>19824.7</v>
      </c>
      <c r="H411" s="31" t="n">
        <v>19838.9</v>
      </c>
      <c r="I411" s="31" t="n">
        <v>19863.4</v>
      </c>
      <c r="J411" s="31" t="n">
        <v>19889.4</v>
      </c>
      <c r="K411" s="31" t="n">
        <v>14712.5</v>
      </c>
      <c r="L411" s="31" t="n">
        <v>14611.8</v>
      </c>
      <c r="M411" s="30" t="inlineStr">
        <is>
          <t>AMR1</t>
        </is>
      </c>
      <c r="N411" s="30" t="inlineStr">
        <is>
          <t>AMR1</t>
        </is>
      </c>
      <c r="O411" s="32" t="n">
        <v>0</v>
      </c>
      <c r="P411" s="32" t="n">
        <v>0</v>
      </c>
      <c r="Q411" s="32" t="n">
        <v>15</v>
      </c>
      <c r="R411" s="31" t="n">
        <v>35.1</v>
      </c>
      <c r="S411" s="31" t="n">
        <v>35.1</v>
      </c>
      <c r="T411" s="30" t="inlineStr">
        <is>
          <t>AMR1</t>
        </is>
      </c>
      <c r="U411" s="31" t="n">
        <v>50.7</v>
      </c>
      <c r="V411" s="31" t="n">
        <v>50.7</v>
      </c>
      <c r="W411" s="30" t="inlineStr">
        <is>
          <t>AMR1</t>
        </is>
      </c>
      <c r="X411" s="32" t="n">
        <v>0</v>
      </c>
      <c r="Y411" s="32" t="n">
        <v>0</v>
      </c>
      <c r="Z411" s="31" t="n">
        <v>0</v>
      </c>
      <c r="AA411" s="32" t="n">
        <v>0</v>
      </c>
      <c r="AB411" s="32" t="n">
        <v>0</v>
      </c>
      <c r="AC411" s="32" t="n">
        <v>0</v>
      </c>
      <c r="AD411" s="32" t="n">
        <v>0</v>
      </c>
      <c r="AE411" s="31" t="n">
        <v>0</v>
      </c>
      <c r="AF411" s="32" t="n">
        <v>0</v>
      </c>
      <c r="AG411" s="31" t="n">
        <v>0</v>
      </c>
      <c r="AH411" s="32" t="n">
        <v>41</v>
      </c>
      <c r="AI411" s="31" t="n">
        <v>46</v>
      </c>
      <c r="AJ411" s="31" t="n">
        <v>40.5</v>
      </c>
      <c r="AK411" s="31" t="n">
        <v>0</v>
      </c>
      <c r="AL411" s="30" t="inlineStr">
        <is>
          <t>T-0560</t>
        </is>
      </c>
      <c r="AM411" s="30" t="inlineStr">
        <is>
          <t>H-02-03</t>
        </is>
      </c>
      <c r="AN411" s="30" t="inlineStr">
        <is>
          <t>T-0480</t>
        </is>
      </c>
      <c r="AO411" s="30" t="inlineStr">
        <is>
          <t>H-02-01</t>
        </is>
      </c>
    </row>
    <row r="412">
      <c r="A412" s="30" t="inlineStr">
        <is>
          <t>O0411</t>
        </is>
      </c>
      <c r="B412" s="30" t="inlineStr">
        <is>
          <t>E</t>
        </is>
      </c>
      <c r="C412" s="31" t="n">
        <v>5192.4</v>
      </c>
      <c r="D412" s="31" t="n">
        <v>19822.5</v>
      </c>
      <c r="E412" s="31" t="n">
        <v>19822.5</v>
      </c>
      <c r="F412" s="31" t="n">
        <v>19835.7</v>
      </c>
      <c r="G412" s="31" t="n">
        <v>19864.2</v>
      </c>
      <c r="H412" s="31" t="n">
        <v>19883.7</v>
      </c>
      <c r="I412" s="31" t="n">
        <v>19912.4</v>
      </c>
      <c r="J412" s="31" t="n">
        <v>19947.3</v>
      </c>
      <c r="K412" s="31" t="n">
        <v>14754.9</v>
      </c>
      <c r="L412" s="31" t="n">
        <v>14630.1</v>
      </c>
      <c r="M412" s="30" t="inlineStr">
        <is>
          <t>AMR2</t>
        </is>
      </c>
      <c r="N412" s="30" t="inlineStr">
        <is>
          <t>AMR2</t>
        </is>
      </c>
      <c r="O412" s="32" t="n">
        <v>0</v>
      </c>
      <c r="P412" s="32" t="n">
        <v>0</v>
      </c>
      <c r="Q412" s="32" t="n">
        <v>19</v>
      </c>
      <c r="R412" s="31" t="n">
        <v>40</v>
      </c>
      <c r="S412" s="31" t="n">
        <v>40</v>
      </c>
      <c r="T412" s="30" t="inlineStr">
        <is>
          <t>AMR2</t>
        </is>
      </c>
      <c r="U412" s="31" t="n">
        <v>60.3</v>
      </c>
      <c r="V412" s="31" t="n">
        <v>60.3</v>
      </c>
      <c r="W412" s="30" t="inlineStr">
        <is>
          <t>AMR2</t>
        </is>
      </c>
      <c r="X412" s="32" t="n">
        <v>0</v>
      </c>
      <c r="Y412" s="32" t="n">
        <v>0</v>
      </c>
      <c r="Z412" s="31" t="n">
        <v>0</v>
      </c>
      <c r="AA412" s="32" t="n">
        <v>0</v>
      </c>
      <c r="AB412" s="32" t="n">
        <v>1</v>
      </c>
      <c r="AC412" s="32" t="n">
        <v>0</v>
      </c>
      <c r="AD412" s="32" t="n">
        <v>0</v>
      </c>
      <c r="AE412" s="31" t="n">
        <v>0</v>
      </c>
      <c r="AF412" s="32" t="n">
        <v>0</v>
      </c>
      <c r="AG412" s="31" t="n">
        <v>0</v>
      </c>
      <c r="AH412" s="32" t="n">
        <v>62</v>
      </c>
      <c r="AI412" s="31" t="n">
        <v>62.5</v>
      </c>
      <c r="AJ412" s="31" t="n">
        <v>42.8</v>
      </c>
      <c r="AK412" s="31" t="n">
        <v>0</v>
      </c>
      <c r="AL412" s="30" t="inlineStr">
        <is>
          <t>T-0561</t>
        </is>
      </c>
      <c r="AM412" s="30" t="inlineStr">
        <is>
          <t>E-03-02</t>
        </is>
      </c>
      <c r="AN412" s="30" t="inlineStr">
        <is>
          <t>T-0331</t>
        </is>
      </c>
      <c r="AO412" s="30" t="inlineStr">
        <is>
          <t>E-04-03</t>
        </is>
      </c>
    </row>
    <row r="413">
      <c r="A413" s="30" t="inlineStr">
        <is>
          <t>O0412</t>
        </is>
      </c>
      <c r="B413" s="30" t="inlineStr">
        <is>
          <t>B</t>
        </is>
      </c>
      <c r="C413" s="31" t="n">
        <v>5213.9</v>
      </c>
      <c r="D413" s="31" t="n">
        <v>19892.3</v>
      </c>
      <c r="E413" s="31" t="n">
        <v>19892.3</v>
      </c>
      <c r="F413" s="31" t="n">
        <v>19906.4</v>
      </c>
      <c r="G413" s="31" t="n">
        <v>19931.1</v>
      </c>
      <c r="H413" s="31" t="n">
        <v>19947.3</v>
      </c>
      <c r="I413" s="31" t="n">
        <v>19973.4</v>
      </c>
      <c r="J413" s="31" t="n">
        <v>20007.8</v>
      </c>
      <c r="K413" s="31" t="n">
        <v>14793.9</v>
      </c>
      <c r="L413" s="31" t="n">
        <v>14678.4</v>
      </c>
      <c r="M413" s="30" t="inlineStr">
        <is>
          <t>AMR3</t>
        </is>
      </c>
      <c r="N413" s="30" t="inlineStr">
        <is>
          <t>AMR3</t>
        </is>
      </c>
      <c r="O413" s="32" t="n">
        <v>0</v>
      </c>
      <c r="P413" s="32" t="n">
        <v>0</v>
      </c>
      <c r="Q413" s="32" t="n">
        <v>15</v>
      </c>
      <c r="R413" s="31" t="n">
        <v>36.3</v>
      </c>
      <c r="S413" s="31" t="n">
        <v>36.3</v>
      </c>
      <c r="T413" s="30" t="inlineStr">
        <is>
          <t>AMR3</t>
        </is>
      </c>
      <c r="U413" s="31" t="n">
        <v>57.2</v>
      </c>
      <c r="V413" s="31" t="n">
        <v>57.2</v>
      </c>
      <c r="W413" s="30" t="inlineStr">
        <is>
          <t>AMR3</t>
        </is>
      </c>
      <c r="X413" s="32" t="n">
        <v>0</v>
      </c>
      <c r="Y413" s="32" t="n">
        <v>0</v>
      </c>
      <c r="Z413" s="31" t="n">
        <v>0</v>
      </c>
      <c r="AA413" s="32" t="n">
        <v>0</v>
      </c>
      <c r="AB413" s="32" t="n">
        <v>0</v>
      </c>
      <c r="AC413" s="32" t="n">
        <v>0</v>
      </c>
      <c r="AD413" s="32" t="n">
        <v>0</v>
      </c>
      <c r="AE413" s="31" t="n">
        <v>0</v>
      </c>
      <c r="AF413" s="32" t="n">
        <v>0</v>
      </c>
      <c r="AG413" s="31" t="n">
        <v>0</v>
      </c>
      <c r="AH413" s="32" t="n">
        <v>51</v>
      </c>
      <c r="AI413" s="31" t="n">
        <v>53.1</v>
      </c>
      <c r="AJ413" s="31" t="n">
        <v>46.2</v>
      </c>
      <c r="AK413" s="31" t="n">
        <v>0</v>
      </c>
      <c r="AL413" s="30" t="inlineStr">
        <is>
          <t>T-0562</t>
        </is>
      </c>
      <c r="AM413" s="30" t="inlineStr">
        <is>
          <t>B-01-02</t>
        </is>
      </c>
      <c r="AN413" s="30" t="inlineStr">
        <is>
          <t>T-0319</t>
        </is>
      </c>
      <c r="AO413" s="30" t="inlineStr">
        <is>
          <t>B-02-02</t>
        </is>
      </c>
    </row>
    <row r="414">
      <c r="A414" s="30" t="inlineStr">
        <is>
          <t>O0413</t>
        </is>
      </c>
      <c r="B414" s="30" t="inlineStr">
        <is>
          <t>G</t>
        </is>
      </c>
      <c r="C414" s="31" t="n">
        <v>5234.8</v>
      </c>
      <c r="D414" s="31" t="n">
        <v>19913.1</v>
      </c>
      <c r="E414" s="31" t="n">
        <v>19913.1</v>
      </c>
      <c r="F414" s="31" t="n">
        <v>19936.6</v>
      </c>
      <c r="G414" s="31" t="n">
        <v>19965.1</v>
      </c>
      <c r="H414" s="31" t="n">
        <v>19971</v>
      </c>
      <c r="I414" s="31" t="n">
        <v>20000.3</v>
      </c>
      <c r="J414" s="31" t="n">
        <v>20029.3</v>
      </c>
      <c r="K414" s="31" t="n">
        <v>14794.5</v>
      </c>
      <c r="L414" s="31" t="n">
        <v>14678.3</v>
      </c>
      <c r="M414" s="30" t="inlineStr">
        <is>
          <t>AMR1</t>
        </is>
      </c>
      <c r="N414" s="30" t="inlineStr">
        <is>
          <t>AMR2</t>
        </is>
      </c>
      <c r="O414" s="32" t="n">
        <v>0</v>
      </c>
      <c r="P414" s="32" t="n">
        <v>0</v>
      </c>
      <c r="Q414" s="32" t="n">
        <v>17</v>
      </c>
      <c r="R414" s="31" t="n">
        <v>50.3</v>
      </c>
      <c r="S414" s="31" t="n">
        <v>50.3</v>
      </c>
      <c r="T414" s="30" t="inlineStr">
        <is>
          <t>AMR1</t>
        </is>
      </c>
      <c r="U414" s="31" t="n">
        <v>59</v>
      </c>
      <c r="V414" s="31" t="n">
        <v>59</v>
      </c>
      <c r="W414" s="30" t="inlineStr">
        <is>
          <t>AMR2</t>
        </is>
      </c>
      <c r="X414" s="32" t="n">
        <v>0</v>
      </c>
      <c r="Y414" s="32" t="n">
        <v>0</v>
      </c>
      <c r="Z414" s="31" t="n">
        <v>0</v>
      </c>
      <c r="AA414" s="32" t="n">
        <v>0</v>
      </c>
      <c r="AB414" s="32" t="n">
        <v>0</v>
      </c>
      <c r="AC414" s="32" t="n">
        <v>0</v>
      </c>
      <c r="AD414" s="32" t="n">
        <v>0</v>
      </c>
      <c r="AE414" s="31" t="n">
        <v>0</v>
      </c>
      <c r="AF414" s="32" t="n">
        <v>0</v>
      </c>
      <c r="AG414" s="31" t="n">
        <v>0</v>
      </c>
      <c r="AH414" s="32" t="n">
        <v>48</v>
      </c>
      <c r="AI414" s="31" t="n">
        <v>51.4</v>
      </c>
      <c r="AJ414" s="31" t="n">
        <v>58.9</v>
      </c>
      <c r="AK414" s="31" t="n">
        <v>0</v>
      </c>
      <c r="AL414" s="30" t="inlineStr">
        <is>
          <t>T-0563</t>
        </is>
      </c>
      <c r="AM414" s="30" t="inlineStr">
        <is>
          <t>G-03-03</t>
        </is>
      </c>
      <c r="AN414" s="30" t="inlineStr">
        <is>
          <t>T-0337</t>
        </is>
      </c>
      <c r="AO414" s="30" t="inlineStr">
        <is>
          <t>G-05-03</t>
        </is>
      </c>
    </row>
    <row r="415">
      <c r="A415" s="30" t="inlineStr">
        <is>
          <t>O0414</t>
        </is>
      </c>
      <c r="B415" s="30" t="inlineStr">
        <is>
          <t>A</t>
        </is>
      </c>
      <c r="C415" s="31" t="n">
        <v>5255.6</v>
      </c>
      <c r="D415" s="31" t="n">
        <v>19982.6</v>
      </c>
      <c r="E415" s="31" t="n">
        <v>19982.6</v>
      </c>
      <c r="F415" s="31" t="n">
        <v>19994.6</v>
      </c>
      <c r="G415" s="31" t="n">
        <v>20022.6</v>
      </c>
      <c r="H415" s="31" t="n">
        <v>20031.5</v>
      </c>
      <c r="I415" s="31" t="n">
        <v>20058.8</v>
      </c>
      <c r="J415" s="31" t="n">
        <v>20096.4</v>
      </c>
      <c r="K415" s="31" t="n">
        <v>14840.8</v>
      </c>
      <c r="L415" s="31" t="n">
        <v>14727</v>
      </c>
      <c r="M415" s="30" t="inlineStr">
        <is>
          <t>AMR1</t>
        </is>
      </c>
      <c r="N415" s="30" t="inlineStr">
        <is>
          <t>AMR3</t>
        </is>
      </c>
      <c r="O415" s="32" t="n">
        <v>0</v>
      </c>
      <c r="P415" s="32" t="n">
        <v>0</v>
      </c>
      <c r="Q415" s="32" t="n">
        <v>21</v>
      </c>
      <c r="R415" s="31" t="n">
        <v>37.5</v>
      </c>
      <c r="S415" s="31" t="n">
        <v>37.5</v>
      </c>
      <c r="T415" s="30" t="inlineStr">
        <is>
          <t>AMR1</t>
        </is>
      </c>
      <c r="U415" s="31" t="n">
        <v>62.6</v>
      </c>
      <c r="V415" s="31" t="n">
        <v>62.6</v>
      </c>
      <c r="W415" s="30" t="inlineStr">
        <is>
          <t>AMR3</t>
        </is>
      </c>
      <c r="X415" s="32" t="n">
        <v>0</v>
      </c>
      <c r="Y415" s="32" t="n">
        <v>0</v>
      </c>
      <c r="Z415" s="31" t="n">
        <v>0</v>
      </c>
      <c r="AA415" s="32" t="n">
        <v>0</v>
      </c>
      <c r="AB415" s="32" t="n">
        <v>0</v>
      </c>
      <c r="AC415" s="32" t="n">
        <v>0</v>
      </c>
      <c r="AD415" s="32" t="n">
        <v>0</v>
      </c>
      <c r="AE415" s="31" t="n">
        <v>0</v>
      </c>
      <c r="AF415" s="32" t="n">
        <v>0</v>
      </c>
      <c r="AG415" s="31" t="n">
        <v>0</v>
      </c>
      <c r="AH415" s="32" t="n">
        <v>69</v>
      </c>
      <c r="AI415" s="31" t="n">
        <v>66.90000000000001</v>
      </c>
      <c r="AJ415" s="31" t="n">
        <v>38</v>
      </c>
      <c r="AK415" s="31" t="n">
        <v>0</v>
      </c>
      <c r="AL415" s="30" t="inlineStr">
        <is>
          <t>T-0564</t>
        </is>
      </c>
      <c r="AM415" s="30" t="inlineStr">
        <is>
          <t>A-02-02</t>
        </is>
      </c>
      <c r="AN415" s="30" t="inlineStr">
        <is>
          <t>T-0238</t>
        </is>
      </c>
      <c r="AO415" s="30" t="inlineStr">
        <is>
          <t>A-01-01</t>
        </is>
      </c>
    </row>
    <row r="416">
      <c r="A416" s="30" t="inlineStr">
        <is>
          <t>O0415</t>
        </is>
      </c>
      <c r="B416" s="30" t="inlineStr">
        <is>
          <t>J</t>
        </is>
      </c>
      <c r="C416" s="31" t="n">
        <v>5279.7</v>
      </c>
      <c r="D416" s="31" t="n">
        <v>20044.2</v>
      </c>
      <c r="E416" s="31" t="n">
        <v>20044.2</v>
      </c>
      <c r="F416" s="31" t="n">
        <v>20056.9</v>
      </c>
      <c r="G416" s="31" t="n">
        <v>20084.1</v>
      </c>
      <c r="H416" s="31" t="n">
        <v>20107.7</v>
      </c>
      <c r="I416" s="31" t="n">
        <v>20135.7</v>
      </c>
      <c r="J416" s="31" t="n">
        <v>20165</v>
      </c>
      <c r="K416" s="31" t="n">
        <v>14885.3</v>
      </c>
      <c r="L416" s="31" t="n">
        <v>14764.5</v>
      </c>
      <c r="M416" s="30" t="inlineStr">
        <is>
          <t>AMR1</t>
        </is>
      </c>
      <c r="N416" s="30" t="inlineStr">
        <is>
          <t>AMR1</t>
        </is>
      </c>
      <c r="O416" s="32" t="n">
        <v>0</v>
      </c>
      <c r="P416" s="32" t="n">
        <v>0</v>
      </c>
      <c r="Q416" s="32" t="n">
        <v>21</v>
      </c>
      <c r="R416" s="31" t="n">
        <v>39</v>
      </c>
      <c r="S416" s="31" t="n">
        <v>39</v>
      </c>
      <c r="T416" s="30" t="inlineStr">
        <is>
          <t>AMR1</t>
        </is>
      </c>
      <c r="U416" s="31" t="n">
        <v>57.5</v>
      </c>
      <c r="V416" s="31" t="n">
        <v>57.5</v>
      </c>
      <c r="W416" s="30" t="inlineStr">
        <is>
          <t>AMR1</t>
        </is>
      </c>
      <c r="X416" s="32" t="n">
        <v>0</v>
      </c>
      <c r="Y416" s="32" t="n">
        <v>0</v>
      </c>
      <c r="Z416" s="31" t="n">
        <v>0</v>
      </c>
      <c r="AA416" s="32" t="n">
        <v>0</v>
      </c>
      <c r="AB416" s="32" t="n">
        <v>1</v>
      </c>
      <c r="AC416" s="32" t="n">
        <v>0</v>
      </c>
      <c r="AD416" s="32" t="n">
        <v>0</v>
      </c>
      <c r="AE416" s="31" t="n">
        <v>0</v>
      </c>
      <c r="AF416" s="32" t="n">
        <v>0</v>
      </c>
      <c r="AG416" s="31" t="n">
        <v>0</v>
      </c>
      <c r="AH416" s="32" t="n">
        <v>59</v>
      </c>
      <c r="AI416" s="31" t="n">
        <v>61.3</v>
      </c>
      <c r="AJ416" s="31" t="n">
        <v>35.9</v>
      </c>
      <c r="AK416" s="31" t="n">
        <v>0</v>
      </c>
      <c r="AL416" s="30" t="inlineStr">
        <is>
          <t>T-0565</t>
        </is>
      </c>
      <c r="AM416" s="30" t="inlineStr">
        <is>
          <t>J-01-01</t>
        </is>
      </c>
      <c r="AN416" s="30" t="inlineStr">
        <is>
          <t>T-0404</t>
        </is>
      </c>
      <c r="AO416" s="30" t="inlineStr">
        <is>
          <t>J-02-01</t>
        </is>
      </c>
    </row>
    <row r="417">
      <c r="A417" s="30" t="inlineStr">
        <is>
          <t>O0416</t>
        </is>
      </c>
      <c r="B417" s="30" t="inlineStr">
        <is>
          <t>J</t>
        </is>
      </c>
      <c r="C417" s="31" t="n">
        <v>5296.6</v>
      </c>
      <c r="D417" s="31" t="n">
        <v>20056.9</v>
      </c>
      <c r="E417" s="31" t="n">
        <v>20056.9</v>
      </c>
      <c r="F417" s="31" t="n">
        <v>20068.3</v>
      </c>
      <c r="G417" s="31" t="n">
        <v>20105.8</v>
      </c>
      <c r="H417" s="31" t="n">
        <v>20120.1</v>
      </c>
      <c r="I417" s="31" t="n">
        <v>20155.1</v>
      </c>
      <c r="J417" s="31" t="n">
        <v>20187.2</v>
      </c>
      <c r="K417" s="31" t="n">
        <v>14890.6</v>
      </c>
      <c r="L417" s="31" t="n">
        <v>14760.3</v>
      </c>
      <c r="M417" s="30" t="inlineStr">
        <is>
          <t>AMR2</t>
        </is>
      </c>
      <c r="N417" s="30" t="inlineStr">
        <is>
          <t>AMR3</t>
        </is>
      </c>
      <c r="O417" s="32" t="n">
        <v>0</v>
      </c>
      <c r="P417" s="32" t="n">
        <v>0</v>
      </c>
      <c r="Q417" s="32" t="n">
        <v>21</v>
      </c>
      <c r="R417" s="31" t="n">
        <v>41.1</v>
      </c>
      <c r="S417" s="31" t="n">
        <v>41.1</v>
      </c>
      <c r="T417" s="30" t="inlineStr">
        <is>
          <t>AMR2</t>
        </is>
      </c>
      <c r="U417" s="31" t="n">
        <v>60.6</v>
      </c>
      <c r="V417" s="31" t="n">
        <v>60.6</v>
      </c>
      <c r="W417" s="30" t="inlineStr">
        <is>
          <t>AMR3</t>
        </is>
      </c>
      <c r="X417" s="32" t="n">
        <v>0</v>
      </c>
      <c r="Y417" s="32" t="n">
        <v>0</v>
      </c>
      <c r="Z417" s="31" t="n">
        <v>0</v>
      </c>
      <c r="AA417" s="32" t="n">
        <v>0</v>
      </c>
      <c r="AB417" s="32" t="n">
        <v>2</v>
      </c>
      <c r="AC417" s="32" t="n">
        <v>1</v>
      </c>
      <c r="AD417" s="32" t="n">
        <v>0</v>
      </c>
      <c r="AE417" s="31" t="n">
        <v>0</v>
      </c>
      <c r="AF417" s="32" t="n">
        <v>0</v>
      </c>
      <c r="AG417" s="31" t="n">
        <v>0</v>
      </c>
      <c r="AH417" s="32" t="n">
        <v>66</v>
      </c>
      <c r="AI417" s="31" t="n">
        <v>67.2</v>
      </c>
      <c r="AJ417" s="31" t="n">
        <v>41.1</v>
      </c>
      <c r="AK417" s="31" t="n">
        <v>7.7</v>
      </c>
      <c r="AL417" s="30" t="inlineStr">
        <is>
          <t>T-0566</t>
        </is>
      </c>
      <c r="AM417" s="30" t="inlineStr">
        <is>
          <t>J-06-02</t>
        </is>
      </c>
      <c r="AN417" s="30" t="inlineStr">
        <is>
          <t>T-0408</t>
        </is>
      </c>
      <c r="AO417" s="30" t="inlineStr">
        <is>
          <t>J-04-01</t>
        </is>
      </c>
    </row>
    <row r="418">
      <c r="A418" s="30" t="inlineStr">
        <is>
          <t>O0417</t>
        </is>
      </c>
      <c r="B418" s="30" t="inlineStr">
        <is>
          <t>A</t>
        </is>
      </c>
      <c r="C418" s="31" t="n">
        <v>5316.6</v>
      </c>
      <c r="D418" s="31" t="n">
        <v>20128.7</v>
      </c>
      <c r="E418" s="31" t="n">
        <v>20128.7</v>
      </c>
      <c r="F418" s="31" t="n">
        <v>20142.6</v>
      </c>
      <c r="G418" s="31" t="n">
        <v>20173.7</v>
      </c>
      <c r="H418" s="31" t="n">
        <v>20188.7</v>
      </c>
      <c r="I418" s="31" t="n">
        <v>20217.6</v>
      </c>
      <c r="J418" s="31" t="n">
        <v>20253.6</v>
      </c>
      <c r="K418" s="31" t="n">
        <v>14937</v>
      </c>
      <c r="L418" s="31" t="n">
        <v>14812.1</v>
      </c>
      <c r="M418" s="30" t="inlineStr">
        <is>
          <t>AMR2</t>
        </is>
      </c>
      <c r="N418" s="30" t="inlineStr">
        <is>
          <t>AMR1</t>
        </is>
      </c>
      <c r="O418" s="32" t="n">
        <v>0</v>
      </c>
      <c r="P418" s="32" t="n">
        <v>0</v>
      </c>
      <c r="Q418" s="32" t="n">
        <v>21</v>
      </c>
      <c r="R418" s="31" t="n">
        <v>42.5</v>
      </c>
      <c r="S418" s="31" t="n">
        <v>42.5</v>
      </c>
      <c r="T418" s="30" t="inlineStr">
        <is>
          <t>AMR2</t>
        </is>
      </c>
      <c r="U418" s="31" t="n">
        <v>67.59999999999999</v>
      </c>
      <c r="V418" s="31" t="n">
        <v>67.59999999999999</v>
      </c>
      <c r="W418" s="30" t="inlineStr">
        <is>
          <t>AMR1</t>
        </is>
      </c>
      <c r="X418" s="32" t="n">
        <v>0</v>
      </c>
      <c r="Y418" s="32" t="n">
        <v>0</v>
      </c>
      <c r="Z418" s="31" t="n">
        <v>0</v>
      </c>
      <c r="AA418" s="32" t="n">
        <v>0</v>
      </c>
      <c r="AB418" s="32" t="n">
        <v>0</v>
      </c>
      <c r="AC418" s="32" t="n">
        <v>0</v>
      </c>
      <c r="AD418" s="32" t="n">
        <v>0</v>
      </c>
      <c r="AE418" s="31" t="n">
        <v>0</v>
      </c>
      <c r="AF418" s="32" t="n">
        <v>0</v>
      </c>
      <c r="AG418" s="31" t="n">
        <v>0</v>
      </c>
      <c r="AH418" s="32" t="n">
        <v>63</v>
      </c>
      <c r="AI418" s="31" t="n">
        <v>61.9</v>
      </c>
      <c r="AJ418" s="31" t="n">
        <v>48</v>
      </c>
      <c r="AK418" s="31" t="n">
        <v>0</v>
      </c>
      <c r="AL418" s="30" t="inlineStr">
        <is>
          <t>T-0567</t>
        </is>
      </c>
      <c r="AM418" s="30" t="inlineStr">
        <is>
          <t>A-01-01</t>
        </is>
      </c>
      <c r="AN418" s="30" t="inlineStr">
        <is>
          <t>T-0239</t>
        </is>
      </c>
      <c r="AO418" s="30" t="inlineStr">
        <is>
          <t>A-06-02</t>
        </is>
      </c>
    </row>
    <row r="419">
      <c r="A419" s="30" t="inlineStr">
        <is>
          <t>O0418</t>
        </is>
      </c>
      <c r="B419" s="30" t="inlineStr">
        <is>
          <t>F</t>
        </is>
      </c>
      <c r="C419" s="31" t="n">
        <v>5332.6</v>
      </c>
      <c r="D419" s="31" t="n">
        <v>20195.3</v>
      </c>
      <c r="E419" s="31" t="n">
        <v>20195.3</v>
      </c>
      <c r="F419" s="31" t="n">
        <v>20217.3</v>
      </c>
      <c r="G419" s="31" t="n">
        <v>20248.9</v>
      </c>
      <c r="H419" s="31" t="n">
        <v>20260.7</v>
      </c>
      <c r="I419" s="31" t="n">
        <v>20290.2</v>
      </c>
      <c r="J419" s="31" t="n">
        <v>20340.2</v>
      </c>
      <c r="K419" s="31" t="n">
        <v>15007.6</v>
      </c>
      <c r="L419" s="31" t="n">
        <v>14862.7</v>
      </c>
      <c r="M419" s="30" t="inlineStr">
        <is>
          <t>AMR2</t>
        </is>
      </c>
      <c r="N419" s="30" t="inlineStr">
        <is>
          <t>AMR3</t>
        </is>
      </c>
      <c r="O419" s="32" t="n">
        <v>0</v>
      </c>
      <c r="P419" s="32" t="n">
        <v>0</v>
      </c>
      <c r="Q419" s="32" t="n">
        <v>23</v>
      </c>
      <c r="R419" s="31" t="n">
        <v>51.1</v>
      </c>
      <c r="S419" s="31" t="n">
        <v>51.1</v>
      </c>
      <c r="T419" s="30" t="inlineStr">
        <is>
          <t>AMR2</t>
        </is>
      </c>
      <c r="U419" s="31" t="n">
        <v>63.1</v>
      </c>
      <c r="V419" s="31" t="n">
        <v>63.1</v>
      </c>
      <c r="W419" s="30" t="inlineStr">
        <is>
          <t>AMR3</t>
        </is>
      </c>
      <c r="X419" s="32" t="n">
        <v>0</v>
      </c>
      <c r="Y419" s="32" t="n">
        <v>0</v>
      </c>
      <c r="Z419" s="31" t="n">
        <v>0</v>
      </c>
      <c r="AA419" s="32" t="n">
        <v>0</v>
      </c>
      <c r="AB419" s="32" t="n">
        <v>0</v>
      </c>
      <c r="AC419" s="32" t="n">
        <v>0</v>
      </c>
      <c r="AD419" s="32" t="n">
        <v>2</v>
      </c>
      <c r="AE419" s="31" t="n">
        <v>14.6</v>
      </c>
      <c r="AF419" s="32" t="n">
        <v>1</v>
      </c>
      <c r="AG419" s="31" t="n">
        <v>7.8</v>
      </c>
      <c r="AH419" s="32" t="n">
        <v>69</v>
      </c>
      <c r="AI419" s="31" t="n">
        <v>69.5</v>
      </c>
      <c r="AJ419" s="31" t="n">
        <v>49</v>
      </c>
      <c r="AK419" s="31" t="n">
        <v>14.6</v>
      </c>
      <c r="AL419" s="30" t="inlineStr">
        <is>
          <t>T-0569</t>
        </is>
      </c>
      <c r="AM419" s="30" t="inlineStr">
        <is>
          <t>F-02-01</t>
        </is>
      </c>
      <c r="AN419" s="30" t="inlineStr">
        <is>
          <t>T-0332</t>
        </is>
      </c>
      <c r="AO419" s="30" t="inlineStr">
        <is>
          <t>F-03-01</t>
        </is>
      </c>
    </row>
    <row r="420">
      <c r="A420" s="30" t="inlineStr">
        <is>
          <t>O0419</t>
        </is>
      </c>
      <c r="B420" s="30" t="inlineStr">
        <is>
          <t>C</t>
        </is>
      </c>
      <c r="C420" s="31" t="n">
        <v>5348.5</v>
      </c>
      <c r="D420" s="31" t="n">
        <v>20210.9</v>
      </c>
      <c r="E420" s="31" t="n">
        <v>20210.9</v>
      </c>
      <c r="F420" s="31" t="n">
        <v>20226</v>
      </c>
      <c r="G420" s="31" t="n">
        <v>20248.5</v>
      </c>
      <c r="H420" s="31" t="n">
        <v>20272.5</v>
      </c>
      <c r="I420" s="31" t="n">
        <v>20294.5</v>
      </c>
      <c r="J420" s="31" t="n">
        <v>20325.1</v>
      </c>
      <c r="K420" s="31" t="n">
        <v>14976.6</v>
      </c>
      <c r="L420" s="31" t="n">
        <v>14862.4</v>
      </c>
      <c r="M420" s="30" t="inlineStr">
        <is>
          <t>AMR3</t>
        </is>
      </c>
      <c r="N420" s="30" t="inlineStr">
        <is>
          <t>AMR2</t>
        </is>
      </c>
      <c r="O420" s="32" t="n">
        <v>0</v>
      </c>
      <c r="P420" s="32" t="n">
        <v>0</v>
      </c>
      <c r="Q420" s="32" t="n">
        <v>13</v>
      </c>
      <c r="R420" s="31" t="n">
        <v>36.7</v>
      </c>
      <c r="S420" s="31" t="n">
        <v>36.7</v>
      </c>
      <c r="T420" s="30" t="inlineStr">
        <is>
          <t>AMR3</t>
        </is>
      </c>
      <c r="U420" s="31" t="n">
        <v>51.7</v>
      </c>
      <c r="V420" s="31" t="n">
        <v>51.7</v>
      </c>
      <c r="W420" s="30" t="inlineStr">
        <is>
          <t>AMR2</t>
        </is>
      </c>
      <c r="X420" s="32" t="n">
        <v>0</v>
      </c>
      <c r="Y420" s="32" t="n">
        <v>0</v>
      </c>
      <c r="Z420" s="31" t="n">
        <v>0</v>
      </c>
      <c r="AA420" s="32" t="n">
        <v>0</v>
      </c>
      <c r="AB420" s="32" t="n">
        <v>0</v>
      </c>
      <c r="AC420" s="32" t="n">
        <v>0</v>
      </c>
      <c r="AD420" s="32" t="n">
        <v>0</v>
      </c>
      <c r="AE420" s="31" t="n">
        <v>0</v>
      </c>
      <c r="AF420" s="32" t="n">
        <v>0</v>
      </c>
      <c r="AG420" s="31" t="n">
        <v>0</v>
      </c>
      <c r="AH420" s="32" t="n">
        <v>41</v>
      </c>
      <c r="AI420" s="31" t="n">
        <v>44</v>
      </c>
      <c r="AJ420" s="31" t="n">
        <v>46.2</v>
      </c>
      <c r="AK420" s="31" t="n">
        <v>0</v>
      </c>
      <c r="AL420" s="30" t="inlineStr">
        <is>
          <t>T-0568</t>
        </is>
      </c>
      <c r="AM420" s="30" t="inlineStr">
        <is>
          <t>C-01-03</t>
        </is>
      </c>
      <c r="AN420" s="30" t="inlineStr">
        <is>
          <t>T-0474</t>
        </is>
      </c>
      <c r="AO420" s="30" t="inlineStr">
        <is>
          <t>C-03-03</t>
        </is>
      </c>
    </row>
    <row r="421">
      <c r="A421" s="30" t="inlineStr">
        <is>
          <t>O0420</t>
        </is>
      </c>
      <c r="B421" s="30" t="inlineStr">
        <is>
          <t>H</t>
        </is>
      </c>
      <c r="C421" s="31" t="n">
        <v>5366</v>
      </c>
      <c r="D421" s="31" t="n">
        <v>20277.3</v>
      </c>
      <c r="E421" s="31" t="n">
        <v>20277.3</v>
      </c>
      <c r="F421" s="31" t="n">
        <v>20292.4</v>
      </c>
      <c r="G421" s="31" t="n">
        <v>20314.8</v>
      </c>
      <c r="H421" s="31" t="n">
        <v>20329</v>
      </c>
      <c r="I421" s="31" t="n">
        <v>20354.5</v>
      </c>
      <c r="J421" s="31" t="n">
        <v>20379.9</v>
      </c>
      <c r="K421" s="31" t="n">
        <v>15013.9</v>
      </c>
      <c r="L421" s="31" t="n">
        <v>14911.3</v>
      </c>
      <c r="M421" s="30" t="inlineStr">
        <is>
          <t>AMR1</t>
        </is>
      </c>
      <c r="N421" s="30" t="inlineStr">
        <is>
          <t>AMR1</t>
        </is>
      </c>
      <c r="O421" s="32" t="n">
        <v>0</v>
      </c>
      <c r="P421" s="32" t="n">
        <v>0</v>
      </c>
      <c r="Q421" s="32" t="n">
        <v>15</v>
      </c>
      <c r="R421" s="31" t="n">
        <v>36.6</v>
      </c>
      <c r="S421" s="31" t="n">
        <v>36.6</v>
      </c>
      <c r="T421" s="30" t="inlineStr">
        <is>
          <t>AMR1</t>
        </is>
      </c>
      <c r="U421" s="31" t="n">
        <v>51.6</v>
      </c>
      <c r="V421" s="31" t="n">
        <v>51.6</v>
      </c>
      <c r="W421" s="30" t="inlineStr">
        <is>
          <t>AMR1</t>
        </is>
      </c>
      <c r="X421" s="32" t="n">
        <v>0</v>
      </c>
      <c r="Y421" s="32" t="n">
        <v>0</v>
      </c>
      <c r="Z421" s="31" t="n">
        <v>0</v>
      </c>
      <c r="AA421" s="32" t="n">
        <v>0</v>
      </c>
      <c r="AB421" s="32" t="n">
        <v>0</v>
      </c>
      <c r="AC421" s="32" t="n">
        <v>0</v>
      </c>
      <c r="AD421" s="32" t="n">
        <v>0</v>
      </c>
      <c r="AE421" s="31" t="n">
        <v>0</v>
      </c>
      <c r="AF421" s="32" t="n">
        <v>0</v>
      </c>
      <c r="AG421" s="31" t="n">
        <v>0</v>
      </c>
      <c r="AH421" s="32" t="n">
        <v>41</v>
      </c>
      <c r="AI421" s="31" t="n">
        <v>45.5</v>
      </c>
      <c r="AJ421" s="31" t="n">
        <v>42.9</v>
      </c>
      <c r="AK421" s="31" t="n">
        <v>0</v>
      </c>
      <c r="AL421" s="30" t="inlineStr">
        <is>
          <t>T-0570</t>
        </is>
      </c>
      <c r="AM421" s="30" t="inlineStr">
        <is>
          <t>H-02-01</t>
        </is>
      </c>
      <c r="AN421" s="30" t="inlineStr">
        <is>
          <t>T-0488</t>
        </is>
      </c>
      <c r="AO421" s="30" t="inlineStr">
        <is>
          <t>H-04-01</t>
        </is>
      </c>
    </row>
    <row r="422">
      <c r="A422" s="30" t="inlineStr">
        <is>
          <t>O0421</t>
        </is>
      </c>
      <c r="B422" s="30" t="inlineStr">
        <is>
          <t>J</t>
        </is>
      </c>
      <c r="C422" s="31" t="n">
        <v>5386.2</v>
      </c>
      <c r="D422" s="31" t="n">
        <v>20348.8</v>
      </c>
      <c r="E422" s="31" t="n">
        <v>20348.8</v>
      </c>
      <c r="F422" s="31" t="n">
        <v>20364.4</v>
      </c>
      <c r="G422" s="31" t="n">
        <v>20395.3</v>
      </c>
      <c r="H422" s="31" t="n">
        <v>20403.6</v>
      </c>
      <c r="I422" s="31" t="n">
        <v>20435.1</v>
      </c>
      <c r="J422" s="31" t="n">
        <v>20471.2</v>
      </c>
      <c r="K422" s="31" t="n">
        <v>15085</v>
      </c>
      <c r="L422" s="31" t="n">
        <v>14962.6</v>
      </c>
      <c r="M422" s="30" t="inlineStr">
        <is>
          <t>AMR2</t>
        </is>
      </c>
      <c r="N422" s="30" t="inlineStr">
        <is>
          <t>AMR1</t>
        </is>
      </c>
      <c r="O422" s="32" t="n">
        <v>0</v>
      </c>
      <c r="P422" s="32" t="n">
        <v>0</v>
      </c>
      <c r="Q422" s="32" t="n">
        <v>21</v>
      </c>
      <c r="R422" s="31" t="n">
        <v>45.6</v>
      </c>
      <c r="S422" s="31" t="n">
        <v>45.6</v>
      </c>
      <c r="T422" s="30" t="inlineStr">
        <is>
          <t>AMR2</t>
        </is>
      </c>
      <c r="U422" s="31" t="n">
        <v>62.8</v>
      </c>
      <c r="V422" s="31" t="n">
        <v>62.8</v>
      </c>
      <c r="W422" s="30" t="inlineStr">
        <is>
          <t>AMR1</t>
        </is>
      </c>
      <c r="X422" s="32" t="n">
        <v>0</v>
      </c>
      <c r="Y422" s="32" t="n">
        <v>0</v>
      </c>
      <c r="Z422" s="31" t="n">
        <v>0</v>
      </c>
      <c r="AA422" s="32" t="n">
        <v>0</v>
      </c>
      <c r="AB422" s="32" t="n">
        <v>0</v>
      </c>
      <c r="AC422" s="32" t="n">
        <v>0</v>
      </c>
      <c r="AD422" s="32" t="n">
        <v>0</v>
      </c>
      <c r="AE422" s="31" t="n">
        <v>0</v>
      </c>
      <c r="AF422" s="32" t="n">
        <v>0</v>
      </c>
      <c r="AG422" s="31" t="n">
        <v>0</v>
      </c>
      <c r="AH422" s="32" t="n">
        <v>65</v>
      </c>
      <c r="AI422" s="31" t="n">
        <v>66.3</v>
      </c>
      <c r="AJ422" s="31" t="n">
        <v>47.8</v>
      </c>
      <c r="AK422" s="31" t="n">
        <v>0</v>
      </c>
      <c r="AL422" s="30" t="inlineStr">
        <is>
          <t>T-0571</t>
        </is>
      </c>
      <c r="AM422" s="30" t="inlineStr">
        <is>
          <t>J-02-01</t>
        </is>
      </c>
      <c r="AN422" s="30" t="inlineStr">
        <is>
          <t>T-0414</t>
        </is>
      </c>
      <c r="AO422" s="30" t="inlineStr">
        <is>
          <t>J-06-01</t>
        </is>
      </c>
    </row>
    <row r="423">
      <c r="A423" s="30" t="inlineStr">
        <is>
          <t>O0422</t>
        </is>
      </c>
      <c r="B423" s="30" t="inlineStr">
        <is>
          <t>E</t>
        </is>
      </c>
      <c r="C423" s="31" t="n">
        <v>5404.9</v>
      </c>
      <c r="D423" s="31" t="n">
        <v>20363.9</v>
      </c>
      <c r="E423" s="31" t="n">
        <v>20363.9</v>
      </c>
      <c r="F423" s="31" t="n">
        <v>20379.2</v>
      </c>
      <c r="G423" s="31" t="n">
        <v>20406.2</v>
      </c>
      <c r="H423" s="31" t="n">
        <v>20415.5</v>
      </c>
      <c r="I423" s="31" t="n">
        <v>20444.2</v>
      </c>
      <c r="J423" s="31" t="n">
        <v>20484.8</v>
      </c>
      <c r="K423" s="31" t="n">
        <v>15079.9</v>
      </c>
      <c r="L423" s="31" t="n">
        <v>14959</v>
      </c>
      <c r="M423" s="30" t="inlineStr">
        <is>
          <t>AMR3</t>
        </is>
      </c>
      <c r="N423" s="30" t="inlineStr">
        <is>
          <t>AMR2</t>
        </is>
      </c>
      <c r="O423" s="32" t="n">
        <v>0</v>
      </c>
      <c r="P423" s="32" t="n">
        <v>0</v>
      </c>
      <c r="Q423" s="32" t="n">
        <v>19</v>
      </c>
      <c r="R423" s="31" t="n">
        <v>40.6</v>
      </c>
      <c r="S423" s="31" t="n">
        <v>40.6</v>
      </c>
      <c r="T423" s="30" t="inlineStr">
        <is>
          <t>AMR3</t>
        </is>
      </c>
      <c r="U423" s="31" t="n">
        <v>62</v>
      </c>
      <c r="V423" s="31" t="n">
        <v>62</v>
      </c>
      <c r="W423" s="30" t="inlineStr">
        <is>
          <t>AMR2</t>
        </is>
      </c>
      <c r="X423" s="32" t="n">
        <v>0</v>
      </c>
      <c r="Y423" s="32" t="n">
        <v>0</v>
      </c>
      <c r="Z423" s="31" t="n">
        <v>0</v>
      </c>
      <c r="AA423" s="32" t="n">
        <v>0</v>
      </c>
      <c r="AB423" s="32" t="n">
        <v>0</v>
      </c>
      <c r="AC423" s="32" t="n">
        <v>0</v>
      </c>
      <c r="AD423" s="32" t="n">
        <v>1</v>
      </c>
      <c r="AE423" s="31" t="n">
        <v>7.5</v>
      </c>
      <c r="AF423" s="32" t="n">
        <v>1</v>
      </c>
      <c r="AG423" s="31" t="n">
        <v>2.5</v>
      </c>
      <c r="AH423" s="32" t="n">
        <v>58</v>
      </c>
      <c r="AI423" s="31" t="n">
        <v>59</v>
      </c>
      <c r="AJ423" s="31" t="n">
        <v>45.1</v>
      </c>
      <c r="AK423" s="31" t="n">
        <v>7.5</v>
      </c>
      <c r="AL423" s="30" t="inlineStr">
        <is>
          <t>T-0572</t>
        </is>
      </c>
      <c r="AM423" s="30" t="inlineStr">
        <is>
          <t>E-03-03</t>
        </is>
      </c>
      <c r="AN423" s="30" t="inlineStr">
        <is>
          <t>T-0353</t>
        </is>
      </c>
      <c r="AO423" s="30" t="inlineStr">
        <is>
          <t>E-01-01</t>
        </is>
      </c>
    </row>
    <row r="424">
      <c r="A424" s="30" t="inlineStr">
        <is>
          <t>O0423</t>
        </is>
      </c>
      <c r="B424" s="30" t="inlineStr">
        <is>
          <t>F</t>
        </is>
      </c>
      <c r="C424" s="31" t="n">
        <v>5423.9</v>
      </c>
      <c r="D424" s="31" t="n">
        <v>20425.7</v>
      </c>
      <c r="E424" s="31" t="n">
        <v>20425.7</v>
      </c>
      <c r="F424" s="31" t="n">
        <v>20436.6</v>
      </c>
      <c r="G424" s="31" t="n">
        <v>20470</v>
      </c>
      <c r="H424" s="31" t="n">
        <v>20492.9</v>
      </c>
      <c r="I424" s="31" t="n">
        <v>20524.4</v>
      </c>
      <c r="J424" s="31" t="n">
        <v>20559.9</v>
      </c>
      <c r="K424" s="31" t="n">
        <v>15136</v>
      </c>
      <c r="L424" s="31" t="n">
        <v>15001.8</v>
      </c>
      <c r="M424" s="30" t="inlineStr">
        <is>
          <t>AMR3</t>
        </is>
      </c>
      <c r="N424" s="30" t="inlineStr">
        <is>
          <t>AMR3</t>
        </is>
      </c>
      <c r="O424" s="32" t="n">
        <v>0</v>
      </c>
      <c r="P424" s="32" t="n">
        <v>0</v>
      </c>
      <c r="Q424" s="32" t="n">
        <v>23</v>
      </c>
      <c r="R424" s="31" t="n">
        <v>42.6</v>
      </c>
      <c r="S424" s="31" t="n">
        <v>42.6</v>
      </c>
      <c r="T424" s="30" t="inlineStr">
        <is>
          <t>AMR3</t>
        </is>
      </c>
      <c r="U424" s="31" t="n">
        <v>63.7</v>
      </c>
      <c r="V424" s="31" t="n">
        <v>63.7</v>
      </c>
      <c r="W424" s="30" t="inlineStr">
        <is>
          <t>AMR3</t>
        </is>
      </c>
      <c r="X424" s="32" t="n">
        <v>0</v>
      </c>
      <c r="Y424" s="32" t="n">
        <v>0</v>
      </c>
      <c r="Z424" s="31" t="n">
        <v>0</v>
      </c>
      <c r="AA424" s="32" t="n">
        <v>0</v>
      </c>
      <c r="AB424" s="32" t="n">
        <v>1</v>
      </c>
      <c r="AC424" s="32" t="n">
        <v>0</v>
      </c>
      <c r="AD424" s="32" t="n">
        <v>0</v>
      </c>
      <c r="AE424" s="31" t="n">
        <v>0</v>
      </c>
      <c r="AF424" s="32" t="n">
        <v>0</v>
      </c>
      <c r="AG424" s="31" t="n">
        <v>0</v>
      </c>
      <c r="AH424" s="32" t="n">
        <v>70</v>
      </c>
      <c r="AI424" s="31" t="n">
        <v>70.2</v>
      </c>
      <c r="AJ424" s="31" t="n">
        <v>41.1</v>
      </c>
      <c r="AK424" s="31" t="n">
        <v>0</v>
      </c>
      <c r="AL424" s="30" t="inlineStr">
        <is>
          <t>T-0573</t>
        </is>
      </c>
      <c r="AM424" s="30" t="inlineStr">
        <is>
          <t>F-03-01</t>
        </is>
      </c>
      <c r="AN424" s="30" t="inlineStr">
        <is>
          <t>T-0340</t>
        </is>
      </c>
      <c r="AO424" s="30" t="inlineStr">
        <is>
          <t>F-01-01</t>
        </is>
      </c>
    </row>
    <row r="425">
      <c r="A425" s="30" t="inlineStr">
        <is>
          <t>O0424</t>
        </is>
      </c>
      <c r="B425" s="30" t="inlineStr">
        <is>
          <t>F</t>
        </is>
      </c>
      <c r="C425" s="31" t="n">
        <v>5444.9</v>
      </c>
      <c r="D425" s="31" t="n">
        <v>20496.4</v>
      </c>
      <c r="E425" s="31" t="n">
        <v>20496.4</v>
      </c>
      <c r="F425" s="31" t="n">
        <v>20511.8</v>
      </c>
      <c r="G425" s="31" t="n">
        <v>20544.2</v>
      </c>
      <c r="H425" s="31" t="n">
        <v>20564.8</v>
      </c>
      <c r="I425" s="31" t="n">
        <v>20600.2</v>
      </c>
      <c r="J425" s="31" t="n">
        <v>20647</v>
      </c>
      <c r="K425" s="31" t="n">
        <v>15202.1</v>
      </c>
      <c r="L425" s="31" t="n">
        <v>15051.5</v>
      </c>
      <c r="M425" s="30" t="inlineStr">
        <is>
          <t>AMR1</t>
        </is>
      </c>
      <c r="N425" s="30" t="inlineStr">
        <is>
          <t>AMR2</t>
        </is>
      </c>
      <c r="O425" s="32" t="n">
        <v>0</v>
      </c>
      <c r="P425" s="32" t="n">
        <v>0</v>
      </c>
      <c r="Q425" s="32" t="n">
        <v>23</v>
      </c>
      <c r="R425" s="31" t="n">
        <v>43.8</v>
      </c>
      <c r="S425" s="31" t="n">
        <v>43.8</v>
      </c>
      <c r="T425" s="30" t="inlineStr">
        <is>
          <t>AMR1</t>
        </is>
      </c>
      <c r="U425" s="31" t="n">
        <v>65.09999999999999</v>
      </c>
      <c r="V425" s="31" t="n">
        <v>65.09999999999999</v>
      </c>
      <c r="W425" s="30" t="inlineStr">
        <is>
          <t>AMR2</t>
        </is>
      </c>
      <c r="X425" s="32" t="n">
        <v>0</v>
      </c>
      <c r="Y425" s="32" t="n">
        <v>0</v>
      </c>
      <c r="Z425" s="31" t="n">
        <v>0</v>
      </c>
      <c r="AA425" s="32" t="n">
        <v>0</v>
      </c>
      <c r="AB425" s="32" t="n">
        <v>2</v>
      </c>
      <c r="AC425" s="32" t="n">
        <v>1</v>
      </c>
      <c r="AD425" s="32" t="n">
        <v>1</v>
      </c>
      <c r="AE425" s="31" t="n">
        <v>11.3</v>
      </c>
      <c r="AF425" s="32" t="n">
        <v>1</v>
      </c>
      <c r="AG425" s="31" t="n">
        <v>6.3</v>
      </c>
      <c r="AH425" s="32" t="n">
        <v>65</v>
      </c>
      <c r="AI425" s="31" t="n">
        <v>65.40000000000001</v>
      </c>
      <c r="AJ425" s="31" t="n">
        <v>43.7</v>
      </c>
      <c r="AK425" s="31" t="n">
        <v>20.9</v>
      </c>
      <c r="AL425" s="30" t="inlineStr">
        <is>
          <t>T-0574</t>
        </is>
      </c>
      <c r="AM425" s="30" t="inlineStr">
        <is>
          <t>F-05-03</t>
        </is>
      </c>
      <c r="AN425" s="30" t="inlineStr">
        <is>
          <t>T-0352</t>
        </is>
      </c>
      <c r="AO425" s="30" t="inlineStr">
        <is>
          <t>F-05-01</t>
        </is>
      </c>
    </row>
    <row r="426">
      <c r="A426" s="30" t="inlineStr">
        <is>
          <t>O0425</t>
        </is>
      </c>
      <c r="B426" s="30" t="inlineStr">
        <is>
          <t>I</t>
        </is>
      </c>
      <c r="C426" s="31" t="n">
        <v>5463.2</v>
      </c>
      <c r="D426" s="31" t="n">
        <v>20511.8</v>
      </c>
      <c r="E426" s="31" t="n">
        <v>20511.8</v>
      </c>
      <c r="F426" s="31" t="n">
        <v>20527.4</v>
      </c>
      <c r="G426" s="31" t="n">
        <v>20550</v>
      </c>
      <c r="H426" s="31" t="n">
        <v>20573.8</v>
      </c>
      <c r="I426" s="31" t="n">
        <v>20606.2</v>
      </c>
      <c r="J426" s="31" t="n">
        <v>20632.5</v>
      </c>
      <c r="K426" s="31" t="n">
        <v>15169.3</v>
      </c>
      <c r="L426" s="31" t="n">
        <v>15048.6</v>
      </c>
      <c r="M426" s="30" t="inlineStr">
        <is>
          <t>AMR2</t>
        </is>
      </c>
      <c r="N426" s="30" t="inlineStr">
        <is>
          <t>AMR1</t>
        </is>
      </c>
      <c r="O426" s="32" t="n">
        <v>0</v>
      </c>
      <c r="P426" s="32" t="n">
        <v>0</v>
      </c>
      <c r="Q426" s="32" t="n">
        <v>15</v>
      </c>
      <c r="R426" s="31" t="n">
        <v>37.3</v>
      </c>
      <c r="S426" s="31" t="n">
        <v>37.3</v>
      </c>
      <c r="T426" s="30" t="inlineStr">
        <is>
          <t>AMR2</t>
        </is>
      </c>
      <c r="U426" s="31" t="n">
        <v>52.5</v>
      </c>
      <c r="V426" s="31" t="n">
        <v>52.5</v>
      </c>
      <c r="W426" s="30" t="inlineStr">
        <is>
          <t>AMR1</t>
        </is>
      </c>
      <c r="X426" s="32" t="n">
        <v>0</v>
      </c>
      <c r="Y426" s="32" t="n">
        <v>0</v>
      </c>
      <c r="Z426" s="31" t="n">
        <v>0</v>
      </c>
      <c r="AA426" s="32" t="n">
        <v>0</v>
      </c>
      <c r="AB426" s="32" t="n">
        <v>1</v>
      </c>
      <c r="AC426" s="32" t="n">
        <v>1</v>
      </c>
      <c r="AD426" s="32" t="n">
        <v>0</v>
      </c>
      <c r="AE426" s="31" t="n">
        <v>0</v>
      </c>
      <c r="AF426" s="32" t="n">
        <v>0</v>
      </c>
      <c r="AG426" s="31" t="n">
        <v>0</v>
      </c>
      <c r="AH426" s="32" t="n">
        <v>43</v>
      </c>
      <c r="AI426" s="31" t="n">
        <v>49.9</v>
      </c>
      <c r="AJ426" s="31" t="n">
        <v>44</v>
      </c>
      <c r="AK426" s="31" t="n">
        <v>3</v>
      </c>
      <c r="AL426" s="30" t="inlineStr">
        <is>
          <t>T-0575</t>
        </is>
      </c>
      <c r="AM426" s="30" t="inlineStr">
        <is>
          <t>I-01-01</t>
        </is>
      </c>
      <c r="AN426" s="30" t="inlineStr">
        <is>
          <t>T-0439</t>
        </is>
      </c>
      <c r="AO426" s="30" t="inlineStr">
        <is>
          <t>I-02-01</t>
        </is>
      </c>
    </row>
    <row r="427">
      <c r="A427" s="30" t="inlineStr">
        <is>
          <t>O0426</t>
        </is>
      </c>
      <c r="B427" s="30" t="inlineStr">
        <is>
          <t>E</t>
        </is>
      </c>
      <c r="C427" s="31" t="n">
        <v>5482.1</v>
      </c>
      <c r="D427" s="31" t="n">
        <v>20588.8</v>
      </c>
      <c r="E427" s="31" t="n">
        <v>20588.8</v>
      </c>
      <c r="F427" s="31" t="n">
        <v>20605</v>
      </c>
      <c r="G427" s="31" t="n">
        <v>20633.3</v>
      </c>
      <c r="H427" s="31" t="n">
        <v>20651.5</v>
      </c>
      <c r="I427" s="31" t="n">
        <v>20687.1</v>
      </c>
      <c r="J427" s="31" t="n">
        <v>20726.8</v>
      </c>
      <c r="K427" s="31" t="n">
        <v>15244.7</v>
      </c>
      <c r="L427" s="31" t="n">
        <v>15106.7</v>
      </c>
      <c r="M427" s="30" t="inlineStr">
        <is>
          <t>AMR3</t>
        </is>
      </c>
      <c r="N427" s="30" t="inlineStr">
        <is>
          <t>AMR3</t>
        </is>
      </c>
      <c r="O427" s="32" t="n">
        <v>0</v>
      </c>
      <c r="P427" s="32" t="n">
        <v>0</v>
      </c>
      <c r="Q427" s="32" t="n">
        <v>19</v>
      </c>
      <c r="R427" s="31" t="n">
        <v>43.6</v>
      </c>
      <c r="S427" s="31" t="n">
        <v>43.6</v>
      </c>
      <c r="T427" s="30" t="inlineStr">
        <is>
          <t>AMR3</t>
        </is>
      </c>
      <c r="U427" s="31" t="n">
        <v>62.4</v>
      </c>
      <c r="V427" s="31" t="n">
        <v>62.4</v>
      </c>
      <c r="W427" s="30" t="inlineStr">
        <is>
          <t>AMR3</t>
        </is>
      </c>
      <c r="X427" s="32" t="n">
        <v>0</v>
      </c>
      <c r="Y427" s="32" t="n">
        <v>0</v>
      </c>
      <c r="Z427" s="31" t="n">
        <v>0</v>
      </c>
      <c r="AA427" s="32" t="n">
        <v>0</v>
      </c>
      <c r="AB427" s="32" t="n">
        <v>1</v>
      </c>
      <c r="AC427" s="32" t="n">
        <v>1</v>
      </c>
      <c r="AD427" s="32" t="n">
        <v>0</v>
      </c>
      <c r="AE427" s="31" t="n">
        <v>0</v>
      </c>
      <c r="AF427" s="32" t="n">
        <v>0</v>
      </c>
      <c r="AG427" s="31" t="n">
        <v>0</v>
      </c>
      <c r="AH427" s="32" t="n">
        <v>63</v>
      </c>
      <c r="AI427" s="31" t="n">
        <v>66.40000000000001</v>
      </c>
      <c r="AJ427" s="31" t="n">
        <v>48.5</v>
      </c>
      <c r="AK427" s="31" t="n">
        <v>4.9</v>
      </c>
      <c r="AL427" s="30" t="inlineStr">
        <is>
          <t>T-0576</t>
        </is>
      </c>
      <c r="AM427" s="30" t="inlineStr">
        <is>
          <t>E-01-01</t>
        </is>
      </c>
      <c r="AN427" s="30" t="inlineStr">
        <is>
          <t>T-0360</t>
        </is>
      </c>
      <c r="AO427" s="30" t="inlineStr">
        <is>
          <t>E-06-01</t>
        </is>
      </c>
    </row>
    <row r="428">
      <c r="A428" s="30" t="inlineStr">
        <is>
          <t>O0427</t>
        </is>
      </c>
      <c r="B428" s="30" t="inlineStr">
        <is>
          <t>J</t>
        </is>
      </c>
      <c r="C428" s="31" t="n">
        <v>5505.6</v>
      </c>
      <c r="D428" s="31" t="n">
        <v>20660.4</v>
      </c>
      <c r="E428" s="31" t="n">
        <v>20660.4</v>
      </c>
      <c r="F428" s="31" t="n">
        <v>20675.8</v>
      </c>
      <c r="G428" s="31" t="n">
        <v>20707.6</v>
      </c>
      <c r="H428" s="31" t="n">
        <v>20734</v>
      </c>
      <c r="I428" s="31" t="n">
        <v>20766.2</v>
      </c>
      <c r="J428" s="31" t="n">
        <v>20803.2</v>
      </c>
      <c r="K428" s="31" t="n">
        <v>15297.6</v>
      </c>
      <c r="L428" s="31" t="n">
        <v>15154.8</v>
      </c>
      <c r="M428" s="30" t="inlineStr">
        <is>
          <t>AMR1</t>
        </is>
      </c>
      <c r="N428" s="30" t="inlineStr">
        <is>
          <t>AMR1</t>
        </is>
      </c>
      <c r="O428" s="32" t="n">
        <v>0</v>
      </c>
      <c r="P428" s="32" t="n">
        <v>0</v>
      </c>
      <c r="Q428" s="32" t="n">
        <v>21</v>
      </c>
      <c r="R428" s="31" t="n">
        <v>44.7</v>
      </c>
      <c r="S428" s="31" t="n">
        <v>44.7</v>
      </c>
      <c r="T428" s="30" t="inlineStr">
        <is>
          <t>AMR1</t>
        </is>
      </c>
      <c r="U428" s="31" t="n">
        <v>62.5</v>
      </c>
      <c r="V428" s="31" t="n">
        <v>62.5</v>
      </c>
      <c r="W428" s="30" t="inlineStr">
        <is>
          <t>AMR1</t>
        </is>
      </c>
      <c r="X428" s="32" t="n">
        <v>0</v>
      </c>
      <c r="Y428" s="32" t="n">
        <v>0</v>
      </c>
      <c r="Z428" s="31" t="n">
        <v>0</v>
      </c>
      <c r="AA428" s="32" t="n">
        <v>0</v>
      </c>
      <c r="AB428" s="32" t="n">
        <v>1</v>
      </c>
      <c r="AC428" s="32" t="n">
        <v>1</v>
      </c>
      <c r="AD428" s="32" t="n">
        <v>0</v>
      </c>
      <c r="AE428" s="31" t="n">
        <v>0</v>
      </c>
      <c r="AF428" s="32" t="n">
        <v>0</v>
      </c>
      <c r="AG428" s="31" t="n">
        <v>0</v>
      </c>
      <c r="AH428" s="32" t="n">
        <v>63</v>
      </c>
      <c r="AI428" s="31" t="n">
        <v>64.90000000000001</v>
      </c>
      <c r="AJ428" s="31" t="n">
        <v>46.6</v>
      </c>
      <c r="AK428" s="31" t="n">
        <v>4.9</v>
      </c>
      <c r="AL428" s="30" t="inlineStr">
        <is>
          <t>T-0577</t>
        </is>
      </c>
      <c r="AM428" s="30" t="inlineStr">
        <is>
          <t>J-04-01</t>
        </is>
      </c>
      <c r="AN428" s="30" t="inlineStr">
        <is>
          <t>T-0438</t>
        </is>
      </c>
      <c r="AO428" s="30" t="inlineStr">
        <is>
          <t>J-03-01</t>
        </is>
      </c>
    </row>
    <row r="429">
      <c r="A429" s="30" t="inlineStr">
        <is>
          <t>O0428</t>
        </is>
      </c>
      <c r="B429" s="30" t="inlineStr">
        <is>
          <t>J</t>
        </is>
      </c>
      <c r="C429" s="31" t="n">
        <v>5523.9</v>
      </c>
      <c r="D429" s="31" t="n">
        <v>20675.8</v>
      </c>
      <c r="E429" s="31" t="n">
        <v>20675.8</v>
      </c>
      <c r="F429" s="31" t="n">
        <v>20686.7</v>
      </c>
      <c r="G429" s="31" t="n">
        <v>20723</v>
      </c>
      <c r="H429" s="31" t="n">
        <v>20745.9</v>
      </c>
      <c r="I429" s="31" t="n">
        <v>20787.7</v>
      </c>
      <c r="J429" s="31" t="n">
        <v>20817.3</v>
      </c>
      <c r="K429" s="31" t="n">
        <v>15293.4</v>
      </c>
      <c r="L429" s="31" t="n">
        <v>15151.9</v>
      </c>
      <c r="M429" s="30" t="inlineStr">
        <is>
          <t>AMR2</t>
        </is>
      </c>
      <c r="N429" s="30" t="inlineStr">
        <is>
          <t>AMR2</t>
        </is>
      </c>
      <c r="O429" s="32" t="n">
        <v>0</v>
      </c>
      <c r="P429" s="32" t="n">
        <v>0</v>
      </c>
      <c r="Q429" s="32" t="n">
        <v>21</v>
      </c>
      <c r="R429" s="31" t="n">
        <v>36.6</v>
      </c>
      <c r="S429" s="31" t="n">
        <v>36.6</v>
      </c>
      <c r="T429" s="30" t="inlineStr">
        <is>
          <t>AMR2</t>
        </is>
      </c>
      <c r="U429" s="31" t="n">
        <v>59.6</v>
      </c>
      <c r="V429" s="31" t="n">
        <v>59.6</v>
      </c>
      <c r="W429" s="30" t="inlineStr">
        <is>
          <t>AMR2</t>
        </is>
      </c>
      <c r="X429" s="32" t="n">
        <v>0</v>
      </c>
      <c r="Y429" s="32" t="n">
        <v>0</v>
      </c>
      <c r="Z429" s="31" t="n">
        <v>0</v>
      </c>
      <c r="AA429" s="32" t="n">
        <v>0</v>
      </c>
      <c r="AB429" s="32" t="n">
        <v>2</v>
      </c>
      <c r="AC429" s="32" t="n">
        <v>3</v>
      </c>
      <c r="AD429" s="32" t="n">
        <v>0</v>
      </c>
      <c r="AE429" s="31" t="n">
        <v>0</v>
      </c>
      <c r="AF429" s="32" t="n">
        <v>0</v>
      </c>
      <c r="AG429" s="31" t="n">
        <v>0</v>
      </c>
      <c r="AH429" s="32" t="n">
        <v>66</v>
      </c>
      <c r="AI429" s="31" t="n">
        <v>74</v>
      </c>
      <c r="AJ429" s="31" t="n">
        <v>35.6</v>
      </c>
      <c r="AK429" s="31" t="n">
        <v>9</v>
      </c>
      <c r="AL429" s="30" t="inlineStr">
        <is>
          <t>T-0578</t>
        </is>
      </c>
      <c r="AM429" s="30" t="inlineStr">
        <is>
          <t>J-06-01</t>
        </is>
      </c>
      <c r="AN429" s="30" t="inlineStr">
        <is>
          <t>T-0441</t>
        </is>
      </c>
      <c r="AO429" s="30" t="inlineStr">
        <is>
          <t>J-01-02</t>
        </is>
      </c>
    </row>
    <row r="430">
      <c r="A430" s="30" t="inlineStr">
        <is>
          <t>O0429</t>
        </is>
      </c>
      <c r="B430" s="30" t="inlineStr">
        <is>
          <t>F</t>
        </is>
      </c>
      <c r="C430" s="31" t="n">
        <v>5540.3</v>
      </c>
      <c r="D430" s="31" t="n">
        <v>20754.7</v>
      </c>
      <c r="E430" s="31" t="n">
        <v>20754.7</v>
      </c>
      <c r="F430" s="31" t="n">
        <v>20768.3</v>
      </c>
      <c r="G430" s="31" t="n">
        <v>20801.7</v>
      </c>
      <c r="H430" s="31" t="n">
        <v>20825.3</v>
      </c>
      <c r="I430" s="31" t="n">
        <v>20855.6</v>
      </c>
      <c r="J430" s="31" t="n">
        <v>20897.4</v>
      </c>
      <c r="K430" s="31" t="n">
        <v>15357.1</v>
      </c>
      <c r="L430" s="31" t="n">
        <v>15214.4</v>
      </c>
      <c r="M430" s="30" t="inlineStr">
        <is>
          <t>AMR3</t>
        </is>
      </c>
      <c r="N430" s="30" t="inlineStr">
        <is>
          <t>AMR3</t>
        </is>
      </c>
      <c r="O430" s="32" t="n">
        <v>0</v>
      </c>
      <c r="P430" s="32" t="n">
        <v>0</v>
      </c>
      <c r="Q430" s="32" t="n">
        <v>23</v>
      </c>
      <c r="R430" s="31" t="n">
        <v>44.5</v>
      </c>
      <c r="S430" s="31" t="n">
        <v>44.5</v>
      </c>
      <c r="T430" s="30" t="inlineStr">
        <is>
          <t>AMR3</t>
        </is>
      </c>
      <c r="U430" s="31" t="n">
        <v>62.5</v>
      </c>
      <c r="V430" s="31" t="n">
        <v>62.5</v>
      </c>
      <c r="W430" s="30" t="inlineStr">
        <is>
          <t>AMR3</t>
        </is>
      </c>
      <c r="X430" s="32" t="n">
        <v>0</v>
      </c>
      <c r="Y430" s="32" t="n">
        <v>0</v>
      </c>
      <c r="Z430" s="31" t="n">
        <v>0</v>
      </c>
      <c r="AA430" s="32" t="n">
        <v>0</v>
      </c>
      <c r="AB430" s="32" t="n">
        <v>1</v>
      </c>
      <c r="AC430" s="32" t="n">
        <v>1</v>
      </c>
      <c r="AD430" s="32" t="n">
        <v>0</v>
      </c>
      <c r="AE430" s="31" t="n">
        <v>0</v>
      </c>
      <c r="AF430" s="32" t="n">
        <v>0</v>
      </c>
      <c r="AG430" s="31" t="n">
        <v>0</v>
      </c>
      <c r="AH430" s="32" t="n">
        <v>67</v>
      </c>
      <c r="AI430" s="31" t="n">
        <v>69.40000000000001</v>
      </c>
      <c r="AJ430" s="31" t="n">
        <v>41.8</v>
      </c>
      <c r="AK430" s="31" t="n">
        <v>7.9</v>
      </c>
      <c r="AL430" s="30" t="inlineStr">
        <is>
          <t>T-0579</t>
        </is>
      </c>
      <c r="AM430" s="30" t="inlineStr">
        <is>
          <t>F-01-01</t>
        </is>
      </c>
      <c r="AN430" s="30" t="inlineStr">
        <is>
          <t>T-0368</t>
        </is>
      </c>
      <c r="AO430" s="30" t="inlineStr">
        <is>
          <t>F-06-01</t>
        </is>
      </c>
    </row>
    <row r="431">
      <c r="A431" s="30" t="inlineStr">
        <is>
          <t>O0430</t>
        </is>
      </c>
      <c r="B431" s="30" t="inlineStr">
        <is>
          <t>G</t>
        </is>
      </c>
      <c r="C431" s="31" t="n">
        <v>5565</v>
      </c>
      <c r="D431" s="31" t="n">
        <v>20828.8</v>
      </c>
      <c r="E431" s="31" t="n">
        <v>20828.8</v>
      </c>
      <c r="F431" s="31" t="n">
        <v>20840</v>
      </c>
      <c r="G431" s="31" t="n">
        <v>20865</v>
      </c>
      <c r="H431" s="31" t="n">
        <v>20887.2</v>
      </c>
      <c r="I431" s="31" t="n">
        <v>20916</v>
      </c>
      <c r="J431" s="31" t="n">
        <v>20945.3</v>
      </c>
      <c r="K431" s="31" t="n">
        <v>15380.3</v>
      </c>
      <c r="L431" s="31" t="n">
        <v>15263.8</v>
      </c>
      <c r="M431" s="30" t="inlineStr">
        <is>
          <t>AMR1</t>
        </is>
      </c>
      <c r="N431" s="30" t="inlineStr">
        <is>
          <t>AMR1</t>
        </is>
      </c>
      <c r="O431" s="32" t="n">
        <v>0</v>
      </c>
      <c r="P431" s="32" t="n">
        <v>0</v>
      </c>
      <c r="Q431" s="32" t="n">
        <v>17</v>
      </c>
      <c r="R431" s="31" t="n">
        <v>35.3</v>
      </c>
      <c r="S431" s="31" t="n">
        <v>35.3</v>
      </c>
      <c r="T431" s="30" t="inlineStr">
        <is>
          <t>AMR1</t>
        </is>
      </c>
      <c r="U431" s="31" t="n">
        <v>57.8</v>
      </c>
      <c r="V431" s="31" t="n">
        <v>57.8</v>
      </c>
      <c r="W431" s="30" t="inlineStr">
        <is>
          <t>AMR1</t>
        </is>
      </c>
      <c r="X431" s="32" t="n">
        <v>0</v>
      </c>
      <c r="Y431" s="32" t="n">
        <v>0</v>
      </c>
      <c r="Z431" s="31" t="n">
        <v>0</v>
      </c>
      <c r="AA431" s="32" t="n">
        <v>0</v>
      </c>
      <c r="AB431" s="32" t="n">
        <v>0</v>
      </c>
      <c r="AC431" s="32" t="n">
        <v>0</v>
      </c>
      <c r="AD431" s="32" t="n">
        <v>0</v>
      </c>
      <c r="AE431" s="31" t="n">
        <v>0</v>
      </c>
      <c r="AF431" s="32" t="n">
        <v>0</v>
      </c>
      <c r="AG431" s="31" t="n">
        <v>0</v>
      </c>
      <c r="AH431" s="32" t="n">
        <v>47</v>
      </c>
      <c r="AI431" s="31" t="n">
        <v>51.6</v>
      </c>
      <c r="AJ431" s="31" t="n">
        <v>42.7</v>
      </c>
      <c r="AK431" s="31" t="n">
        <v>0</v>
      </c>
      <c r="AL431" s="30" t="inlineStr">
        <is>
          <t>T-0580</t>
        </is>
      </c>
      <c r="AM431" s="30" t="inlineStr">
        <is>
          <t>G-04-03</t>
        </is>
      </c>
      <c r="AN431" s="30" t="inlineStr">
        <is>
          <t>T-0341</t>
        </is>
      </c>
      <c r="AO431" s="30" t="inlineStr">
        <is>
          <t>G-05-01</t>
        </is>
      </c>
    </row>
    <row r="432">
      <c r="A432" s="30" t="inlineStr">
        <is>
          <t>O0431</t>
        </is>
      </c>
      <c r="B432" s="30" t="inlineStr">
        <is>
          <t>B</t>
        </is>
      </c>
      <c r="C432" s="31" t="n">
        <v>5586</v>
      </c>
      <c r="D432" s="31" t="n">
        <v>20841</v>
      </c>
      <c r="E432" s="31" t="n">
        <v>20841</v>
      </c>
      <c r="F432" s="31" t="n">
        <v>20856.2</v>
      </c>
      <c r="G432" s="31" t="n">
        <v>20880.3</v>
      </c>
      <c r="H432" s="31" t="n">
        <v>20896.5</v>
      </c>
      <c r="I432" s="31" t="n">
        <v>20920.3</v>
      </c>
      <c r="J432" s="31" t="n">
        <v>20956.8</v>
      </c>
      <c r="K432" s="31" t="n">
        <v>15370.8</v>
      </c>
      <c r="L432" s="31" t="n">
        <v>15255</v>
      </c>
      <c r="M432" s="30" t="inlineStr">
        <is>
          <t>AMR2</t>
        </is>
      </c>
      <c r="N432" s="30" t="inlineStr">
        <is>
          <t>AMR2</t>
        </is>
      </c>
      <c r="O432" s="32" t="n">
        <v>0</v>
      </c>
      <c r="P432" s="32" t="n">
        <v>0</v>
      </c>
      <c r="Q432" s="32" t="n">
        <v>15</v>
      </c>
      <c r="R432" s="31" t="n">
        <v>36.8</v>
      </c>
      <c r="S432" s="31" t="n">
        <v>36.8</v>
      </c>
      <c r="T432" s="30" t="inlineStr">
        <is>
          <t>AMR2</t>
        </is>
      </c>
      <c r="U432" s="31" t="n">
        <v>50.1</v>
      </c>
      <c r="V432" s="31" t="n">
        <v>50.1</v>
      </c>
      <c r="W432" s="30" t="inlineStr">
        <is>
          <t>AMR2</t>
        </is>
      </c>
      <c r="X432" s="32" t="n">
        <v>0</v>
      </c>
      <c r="Y432" s="32" t="n">
        <v>0</v>
      </c>
      <c r="Z432" s="31" t="n">
        <v>0</v>
      </c>
      <c r="AA432" s="32" t="n">
        <v>0</v>
      </c>
      <c r="AB432" s="32" t="n">
        <v>0</v>
      </c>
      <c r="AC432" s="32" t="n">
        <v>0</v>
      </c>
      <c r="AD432" s="32" t="n">
        <v>1</v>
      </c>
      <c r="AE432" s="31" t="n">
        <v>8.4</v>
      </c>
      <c r="AF432" s="32" t="n">
        <v>1</v>
      </c>
      <c r="AG432" s="31" t="n">
        <v>3.4</v>
      </c>
      <c r="AH432" s="32" t="n">
        <v>49</v>
      </c>
      <c r="AI432" s="31" t="n">
        <v>51.6</v>
      </c>
      <c r="AJ432" s="31" t="n">
        <v>39.6</v>
      </c>
      <c r="AK432" s="31" t="n">
        <v>8.4</v>
      </c>
      <c r="AL432" s="30" t="inlineStr">
        <is>
          <t>T-0581</t>
        </is>
      </c>
      <c r="AM432" s="30" t="inlineStr">
        <is>
          <t>B-02-02</t>
        </is>
      </c>
      <c r="AN432" s="30" t="inlineStr">
        <is>
          <t>T-0349</t>
        </is>
      </c>
      <c r="AO432" s="30" t="inlineStr">
        <is>
          <t>B-03-02</t>
        </is>
      </c>
    </row>
    <row r="433">
      <c r="A433" s="30" t="inlineStr">
        <is>
          <t>O0432</t>
        </is>
      </c>
      <c r="B433" s="30" t="inlineStr">
        <is>
          <t>F</t>
        </is>
      </c>
      <c r="C433" s="31" t="n">
        <v>5606.6</v>
      </c>
      <c r="D433" s="31" t="n">
        <v>20921.1</v>
      </c>
      <c r="E433" s="31" t="n">
        <v>20921.1</v>
      </c>
      <c r="F433" s="31" t="n">
        <v>20937</v>
      </c>
      <c r="G433" s="31" t="n">
        <v>20968.6</v>
      </c>
      <c r="H433" s="31" t="n">
        <v>20969</v>
      </c>
      <c r="I433" s="31" t="n">
        <v>21003.3</v>
      </c>
      <c r="J433" s="31" t="n">
        <v>21039.1</v>
      </c>
      <c r="K433" s="31" t="n">
        <v>15432.5</v>
      </c>
      <c r="L433" s="31" t="n">
        <v>15314.5</v>
      </c>
      <c r="M433" s="30" t="inlineStr">
        <is>
          <t>AMR3</t>
        </is>
      </c>
      <c r="N433" s="30" t="inlineStr">
        <is>
          <t>AMR1</t>
        </is>
      </c>
      <c r="O433" s="32" t="n">
        <v>0</v>
      </c>
      <c r="P433" s="32" t="n">
        <v>0</v>
      </c>
      <c r="Q433" s="32" t="n">
        <v>23</v>
      </c>
      <c r="R433" s="31" t="n">
        <v>46.6</v>
      </c>
      <c r="S433" s="31" t="n">
        <v>46.6</v>
      </c>
      <c r="T433" s="30" t="inlineStr">
        <is>
          <t>AMR3</t>
        </is>
      </c>
      <c r="U433" s="31" t="n">
        <v>67.8</v>
      </c>
      <c r="V433" s="31" t="n">
        <v>67.8</v>
      </c>
      <c r="W433" s="30" t="inlineStr">
        <is>
          <t>AMR1</t>
        </is>
      </c>
      <c r="X433" s="32" t="n">
        <v>0</v>
      </c>
      <c r="Y433" s="32" t="n">
        <v>0</v>
      </c>
      <c r="Z433" s="31" t="n">
        <v>0</v>
      </c>
      <c r="AA433" s="32" t="n">
        <v>0</v>
      </c>
      <c r="AB433" s="32" t="n">
        <v>0</v>
      </c>
      <c r="AC433" s="32" t="n">
        <v>0</v>
      </c>
      <c r="AD433" s="32" t="n">
        <v>0</v>
      </c>
      <c r="AE433" s="31" t="n">
        <v>0</v>
      </c>
      <c r="AF433" s="32" t="n">
        <v>0</v>
      </c>
      <c r="AG433" s="31" t="n">
        <v>0</v>
      </c>
      <c r="AH433" s="32" t="n">
        <v>69</v>
      </c>
      <c r="AI433" s="31" t="n">
        <v>68.40000000000001</v>
      </c>
      <c r="AJ433" s="31" t="n">
        <v>49.2</v>
      </c>
      <c r="AK433" s="31" t="n">
        <v>0</v>
      </c>
      <c r="AL433" s="30" t="inlineStr">
        <is>
          <t>T-0582</t>
        </is>
      </c>
      <c r="AM433" s="30" t="inlineStr">
        <is>
          <t>F-05-01</t>
        </is>
      </c>
      <c r="AN433" s="30" t="inlineStr">
        <is>
          <t>T-0379</t>
        </is>
      </c>
      <c r="AO433" s="30" t="inlineStr">
        <is>
          <t>F-02-02</t>
        </is>
      </c>
    </row>
    <row r="434">
      <c r="A434" s="30" t="inlineStr">
        <is>
          <t>O0433</t>
        </is>
      </c>
      <c r="B434" s="30" t="inlineStr">
        <is>
          <t>I</t>
        </is>
      </c>
      <c r="C434" s="31" t="n">
        <v>5628.3</v>
      </c>
      <c r="D434" s="31" t="n">
        <v>20980.5</v>
      </c>
      <c r="E434" s="31" t="n">
        <v>20980.5</v>
      </c>
      <c r="F434" s="31" t="n">
        <v>20994.8</v>
      </c>
      <c r="G434" s="31" t="n">
        <v>21019.2</v>
      </c>
      <c r="H434" s="31" t="n">
        <v>21034</v>
      </c>
      <c r="I434" s="31" t="n">
        <v>21063.8</v>
      </c>
      <c r="J434" s="31" t="n">
        <v>21089.9</v>
      </c>
      <c r="K434" s="31" t="n">
        <v>15461.6</v>
      </c>
      <c r="L434" s="31" t="n">
        <v>15352.2</v>
      </c>
      <c r="M434" s="30" t="inlineStr">
        <is>
          <t>AMR2</t>
        </is>
      </c>
      <c r="N434" s="30" t="inlineStr">
        <is>
          <t>AMR2</t>
        </is>
      </c>
      <c r="O434" s="32" t="n">
        <v>0</v>
      </c>
      <c r="P434" s="32" t="n">
        <v>0</v>
      </c>
      <c r="Q434" s="32" t="n">
        <v>15</v>
      </c>
      <c r="R434" s="31" t="n">
        <v>37.8</v>
      </c>
      <c r="S434" s="31" t="n">
        <v>37.8</v>
      </c>
      <c r="T434" s="30" t="inlineStr">
        <is>
          <t>AMR2</t>
        </is>
      </c>
      <c r="U434" s="31" t="n">
        <v>52.6</v>
      </c>
      <c r="V434" s="31" t="n">
        <v>52.6</v>
      </c>
      <c r="W434" s="30" t="inlineStr">
        <is>
          <t>AMR2</t>
        </is>
      </c>
      <c r="X434" s="32" t="n">
        <v>0</v>
      </c>
      <c r="Y434" s="32" t="n">
        <v>0</v>
      </c>
      <c r="Z434" s="31" t="n">
        <v>0</v>
      </c>
      <c r="AA434" s="32" t="n">
        <v>0</v>
      </c>
      <c r="AB434" s="32" t="n">
        <v>0</v>
      </c>
      <c r="AC434" s="32" t="n">
        <v>0</v>
      </c>
      <c r="AD434" s="32" t="n">
        <v>0</v>
      </c>
      <c r="AE434" s="31" t="n">
        <v>0</v>
      </c>
      <c r="AF434" s="32" t="n">
        <v>0</v>
      </c>
      <c r="AG434" s="31" t="n">
        <v>0</v>
      </c>
      <c r="AH434" s="32" t="n">
        <v>45</v>
      </c>
      <c r="AI434" s="31" t="n">
        <v>50</v>
      </c>
      <c r="AJ434" s="31" t="n">
        <v>44.6</v>
      </c>
      <c r="AK434" s="31" t="n">
        <v>0</v>
      </c>
      <c r="AL434" s="30" t="inlineStr">
        <is>
          <t>T-0583</t>
        </is>
      </c>
      <c r="AM434" s="30" t="inlineStr">
        <is>
          <t>I-02-01</t>
        </is>
      </c>
      <c r="AN434" s="30" t="inlineStr">
        <is>
          <t>T-0440</t>
        </is>
      </c>
      <c r="AO434" s="30" t="inlineStr">
        <is>
          <t>I-04-03</t>
        </is>
      </c>
    </row>
    <row r="435">
      <c r="A435" s="30" t="inlineStr">
        <is>
          <t>O0434</t>
        </is>
      </c>
      <c r="B435" s="30" t="inlineStr">
        <is>
          <t>G</t>
        </is>
      </c>
      <c r="C435" s="31" t="n">
        <v>5649.7</v>
      </c>
      <c r="D435" s="31" t="n">
        <v>20994.8</v>
      </c>
      <c r="E435" s="31" t="n">
        <v>20994.8</v>
      </c>
      <c r="F435" s="31" t="n">
        <v>21009.4</v>
      </c>
      <c r="G435" s="31" t="n">
        <v>21035.9</v>
      </c>
      <c r="H435" s="31" t="n">
        <v>21052.7</v>
      </c>
      <c r="I435" s="31" t="n">
        <v>21081.1</v>
      </c>
      <c r="J435" s="31" t="n">
        <v>21113</v>
      </c>
      <c r="K435" s="31" t="n">
        <v>15463.3</v>
      </c>
      <c r="L435" s="31" t="n">
        <v>15345.1</v>
      </c>
      <c r="M435" s="30" t="inlineStr">
        <is>
          <t>AMR3</t>
        </is>
      </c>
      <c r="N435" s="30" t="inlineStr">
        <is>
          <t>AMR3</t>
        </is>
      </c>
      <c r="O435" s="32" t="n">
        <v>0</v>
      </c>
      <c r="P435" s="32" t="n">
        <v>0</v>
      </c>
      <c r="Q435" s="32" t="n">
        <v>17</v>
      </c>
      <c r="R435" s="31" t="n">
        <v>40.2</v>
      </c>
      <c r="S435" s="31" t="n">
        <v>40.2</v>
      </c>
      <c r="T435" s="30" t="inlineStr">
        <is>
          <t>AMR3</t>
        </is>
      </c>
      <c r="U435" s="31" t="n">
        <v>57</v>
      </c>
      <c r="V435" s="31" t="n">
        <v>57</v>
      </c>
      <c r="W435" s="30" t="inlineStr">
        <is>
          <t>AMR3</t>
        </is>
      </c>
      <c r="X435" s="32" t="n">
        <v>0</v>
      </c>
      <c r="Y435" s="32" t="n">
        <v>0</v>
      </c>
      <c r="Z435" s="31" t="n">
        <v>0</v>
      </c>
      <c r="AA435" s="32" t="n">
        <v>0</v>
      </c>
      <c r="AB435" s="32" t="n">
        <v>0</v>
      </c>
      <c r="AC435" s="32" t="n">
        <v>0</v>
      </c>
      <c r="AD435" s="32" t="n">
        <v>0</v>
      </c>
      <c r="AE435" s="31" t="n">
        <v>0</v>
      </c>
      <c r="AF435" s="32" t="n">
        <v>0</v>
      </c>
      <c r="AG435" s="31" t="n">
        <v>0</v>
      </c>
      <c r="AH435" s="32" t="n">
        <v>51</v>
      </c>
      <c r="AI435" s="31" t="n">
        <v>54.6</v>
      </c>
      <c r="AJ435" s="31" t="n">
        <v>46.8</v>
      </c>
      <c r="AK435" s="31" t="n">
        <v>0</v>
      </c>
      <c r="AL435" s="30" t="inlineStr">
        <is>
          <t>T-0584</t>
        </is>
      </c>
      <c r="AM435" s="30" t="inlineStr">
        <is>
          <t>G-05-01</t>
        </is>
      </c>
      <c r="AN435" s="30" t="inlineStr">
        <is>
          <t>T-0345</t>
        </is>
      </c>
      <c r="AO435" s="30" t="inlineStr">
        <is>
          <t>G-01-01</t>
        </is>
      </c>
    </row>
    <row r="436">
      <c r="A436" s="30" t="inlineStr">
        <is>
          <t>O0435</t>
        </is>
      </c>
      <c r="B436" s="30" t="inlineStr">
        <is>
          <t>F</t>
        </is>
      </c>
      <c r="C436" s="31" t="n">
        <v>5668.3</v>
      </c>
      <c r="D436" s="31" t="n">
        <v>21062.8</v>
      </c>
      <c r="E436" s="31" t="n">
        <v>21062.8</v>
      </c>
      <c r="F436" s="31" t="n">
        <v>21078.5</v>
      </c>
      <c r="G436" s="31" t="n">
        <v>21111.8</v>
      </c>
      <c r="H436" s="31" t="n">
        <v>21113.6</v>
      </c>
      <c r="I436" s="31" t="n">
        <v>21146.5</v>
      </c>
      <c r="J436" s="31" t="n">
        <v>21179.7</v>
      </c>
      <c r="K436" s="31" t="n">
        <v>15511.4</v>
      </c>
      <c r="L436" s="31" t="n">
        <v>15394.5</v>
      </c>
      <c r="M436" s="30" t="inlineStr">
        <is>
          <t>AMR1</t>
        </is>
      </c>
      <c r="N436" s="30" t="inlineStr">
        <is>
          <t>AMR2</t>
        </is>
      </c>
      <c r="O436" s="32" t="n">
        <v>0</v>
      </c>
      <c r="P436" s="32" t="n">
        <v>0</v>
      </c>
      <c r="Q436" s="32" t="n">
        <v>23</v>
      </c>
      <c r="R436" s="31" t="n">
        <v>48.9</v>
      </c>
      <c r="S436" s="31" t="n">
        <v>48.9</v>
      </c>
      <c r="T436" s="30" t="inlineStr">
        <is>
          <t>AMR1</t>
        </is>
      </c>
      <c r="U436" s="31" t="n">
        <v>65.3</v>
      </c>
      <c r="V436" s="31" t="n">
        <v>65.3</v>
      </c>
      <c r="W436" s="30" t="inlineStr">
        <is>
          <t>AMR2</t>
        </is>
      </c>
      <c r="X436" s="32" t="n">
        <v>0</v>
      </c>
      <c r="Y436" s="32" t="n">
        <v>0</v>
      </c>
      <c r="Z436" s="31" t="n">
        <v>0</v>
      </c>
      <c r="AA436" s="32" t="n">
        <v>0</v>
      </c>
      <c r="AB436" s="32" t="n">
        <v>0</v>
      </c>
      <c r="AC436" s="32" t="n">
        <v>0</v>
      </c>
      <c r="AD436" s="32" t="n">
        <v>0</v>
      </c>
      <c r="AE436" s="31" t="n">
        <v>0</v>
      </c>
      <c r="AF436" s="32" t="n">
        <v>0</v>
      </c>
      <c r="AG436" s="31" t="n">
        <v>0</v>
      </c>
      <c r="AH436" s="32" t="n">
        <v>66</v>
      </c>
      <c r="AI436" s="31" t="n">
        <v>66.09999999999999</v>
      </c>
      <c r="AJ436" s="31" t="n">
        <v>49</v>
      </c>
      <c r="AK436" s="31" t="n">
        <v>0</v>
      </c>
      <c r="AL436" s="30" t="inlineStr">
        <is>
          <t>T-0585</t>
        </is>
      </c>
      <c r="AM436" s="30" t="inlineStr">
        <is>
          <t>F-06-01</t>
        </is>
      </c>
      <c r="AN436" s="30" t="inlineStr">
        <is>
          <t>T-0389</t>
        </is>
      </c>
      <c r="AO436" s="30" t="inlineStr">
        <is>
          <t>F-03-02</t>
        </is>
      </c>
    </row>
    <row r="437">
      <c r="A437" s="30" t="inlineStr">
        <is>
          <t>O0436</t>
        </is>
      </c>
      <c r="B437" s="30" t="inlineStr">
        <is>
          <t>D</t>
        </is>
      </c>
      <c r="C437" s="31" t="n">
        <v>5685.1</v>
      </c>
      <c r="D437" s="31" t="n">
        <v>21132.7</v>
      </c>
      <c r="E437" s="31" t="n">
        <v>21132.7</v>
      </c>
      <c r="F437" s="31" t="n">
        <v>21148.7</v>
      </c>
      <c r="G437" s="31" t="n">
        <v>21174.1</v>
      </c>
      <c r="H437" s="31" t="n">
        <v>21188.9</v>
      </c>
      <c r="I437" s="31" t="n">
        <v>21218</v>
      </c>
      <c r="J437" s="31" t="n">
        <v>21243.2</v>
      </c>
      <c r="K437" s="31" t="n">
        <v>15558.1</v>
      </c>
      <c r="L437" s="31" t="n">
        <v>15447.6</v>
      </c>
      <c r="M437" s="30" t="inlineStr">
        <is>
          <t>AMR1</t>
        </is>
      </c>
      <c r="N437" s="30" t="inlineStr">
        <is>
          <t>AMR1</t>
        </is>
      </c>
      <c r="O437" s="32" t="n">
        <v>0</v>
      </c>
      <c r="P437" s="32" t="n">
        <v>0</v>
      </c>
      <c r="Q437" s="32" t="n">
        <v>13</v>
      </c>
      <c r="R437" s="31" t="n">
        <v>38.9</v>
      </c>
      <c r="S437" s="31" t="n">
        <v>38.9</v>
      </c>
      <c r="T437" s="30" t="inlineStr">
        <is>
          <t>AMR1</t>
        </is>
      </c>
      <c r="U437" s="31" t="n">
        <v>49.1</v>
      </c>
      <c r="V437" s="31" t="n">
        <v>49.1</v>
      </c>
      <c r="W437" s="30" t="inlineStr">
        <is>
          <t>AMR1</t>
        </is>
      </c>
      <c r="X437" s="32" t="n">
        <v>0</v>
      </c>
      <c r="Y437" s="32" t="n">
        <v>0</v>
      </c>
      <c r="Z437" s="31" t="n">
        <v>0</v>
      </c>
      <c r="AA437" s="32" t="n">
        <v>0</v>
      </c>
      <c r="AB437" s="32" t="n">
        <v>1</v>
      </c>
      <c r="AC437" s="32" t="n">
        <v>1</v>
      </c>
      <c r="AD437" s="32" t="n">
        <v>0</v>
      </c>
      <c r="AE437" s="31" t="n">
        <v>0</v>
      </c>
      <c r="AF437" s="32" t="n">
        <v>1</v>
      </c>
      <c r="AG437" s="31" t="n">
        <v>0.4</v>
      </c>
      <c r="AH437" s="32" t="n">
        <v>41</v>
      </c>
      <c r="AI437" s="31" t="n">
        <v>45</v>
      </c>
      <c r="AJ437" s="31" t="n">
        <v>45.3</v>
      </c>
      <c r="AK437" s="31" t="n">
        <v>5.4</v>
      </c>
      <c r="AL437" s="30" t="inlineStr">
        <is>
          <t>T-0586</t>
        </is>
      </c>
      <c r="AM437" s="30" t="inlineStr">
        <is>
          <t>D-05-01</t>
        </is>
      </c>
      <c r="AN437" s="30" t="inlineStr">
        <is>
          <t>T-0454</t>
        </is>
      </c>
      <c r="AO437" s="30" t="inlineStr">
        <is>
          <t>D-01-02</t>
        </is>
      </c>
    </row>
    <row r="438">
      <c r="A438" s="30" t="inlineStr">
        <is>
          <t>O0437</t>
        </is>
      </c>
      <c r="B438" s="30" t="inlineStr">
        <is>
          <t>H</t>
        </is>
      </c>
      <c r="C438" s="31" t="n">
        <v>5709.6</v>
      </c>
      <c r="D438" s="31" t="n">
        <v>21148.7</v>
      </c>
      <c r="E438" s="31" t="n">
        <v>21148.7</v>
      </c>
      <c r="F438" s="31" t="n">
        <v>21160.5</v>
      </c>
      <c r="G438" s="31" t="n">
        <v>21187</v>
      </c>
      <c r="H438" s="31" t="n">
        <v>21201.8</v>
      </c>
      <c r="I438" s="31" t="n">
        <v>21226.1</v>
      </c>
      <c r="J438" s="31" t="n">
        <v>21257.1</v>
      </c>
      <c r="K438" s="31" t="n">
        <v>15547.5</v>
      </c>
      <c r="L438" s="31" t="n">
        <v>15439.1</v>
      </c>
      <c r="M438" s="30" t="inlineStr">
        <is>
          <t>AMR3</t>
        </is>
      </c>
      <c r="N438" s="30" t="inlineStr">
        <is>
          <t>AMR3</t>
        </is>
      </c>
      <c r="O438" s="32" t="n">
        <v>0</v>
      </c>
      <c r="P438" s="32" t="n">
        <v>0</v>
      </c>
      <c r="Q438" s="32" t="n">
        <v>15</v>
      </c>
      <c r="R438" s="31" t="n">
        <v>37.4</v>
      </c>
      <c r="S438" s="31" t="n">
        <v>37.4</v>
      </c>
      <c r="T438" s="30" t="inlineStr">
        <is>
          <t>AMR3</t>
        </is>
      </c>
      <c r="U438" s="31" t="n">
        <v>49.8</v>
      </c>
      <c r="V438" s="31" t="n">
        <v>49.8</v>
      </c>
      <c r="W438" s="30" t="inlineStr">
        <is>
          <t>AMR3</t>
        </is>
      </c>
      <c r="X438" s="32" t="n">
        <v>0</v>
      </c>
      <c r="Y438" s="32" t="n">
        <v>0</v>
      </c>
      <c r="Z438" s="31" t="n">
        <v>0</v>
      </c>
      <c r="AA438" s="32" t="n">
        <v>0</v>
      </c>
      <c r="AB438" s="32" t="n">
        <v>0</v>
      </c>
      <c r="AC438" s="32" t="n">
        <v>0</v>
      </c>
      <c r="AD438" s="32" t="n">
        <v>1</v>
      </c>
      <c r="AE438" s="31" t="n">
        <v>5.6</v>
      </c>
      <c r="AF438" s="32" t="n">
        <v>1</v>
      </c>
      <c r="AG438" s="31" t="n">
        <v>0.6</v>
      </c>
      <c r="AH438" s="32" t="n">
        <v>43</v>
      </c>
      <c r="AI438" s="31" t="n">
        <v>46.1</v>
      </c>
      <c r="AJ438" s="31" t="n">
        <v>41.9</v>
      </c>
      <c r="AK438" s="31" t="n">
        <v>5.6</v>
      </c>
      <c r="AL438" s="30" t="inlineStr">
        <is>
          <t>T-0587</t>
        </is>
      </c>
      <c r="AM438" s="30" t="inlineStr">
        <is>
          <t>H-04-01</t>
        </is>
      </c>
      <c r="AN438" s="30" t="inlineStr">
        <is>
          <t>T-0490</t>
        </is>
      </c>
      <c r="AO438" s="30" t="inlineStr">
        <is>
          <t>H-03-03</t>
        </is>
      </c>
    </row>
    <row r="439">
      <c r="A439" s="30" t="inlineStr">
        <is>
          <t>O0438</t>
        </is>
      </c>
      <c r="B439" s="30" t="inlineStr">
        <is>
          <t>C</t>
        </is>
      </c>
      <c r="C439" s="31" t="n">
        <v>5726.9</v>
      </c>
      <c r="D439" s="31" t="n">
        <v>21209.4</v>
      </c>
      <c r="E439" s="31" t="n">
        <v>21209.4</v>
      </c>
      <c r="F439" s="31" t="n">
        <v>21225.3</v>
      </c>
      <c r="G439" s="31" t="n">
        <v>21249.6</v>
      </c>
      <c r="H439" s="31" t="n">
        <v>21261.8</v>
      </c>
      <c r="I439" s="31" t="n">
        <v>21285.4</v>
      </c>
      <c r="J439" s="31" t="n">
        <v>21316</v>
      </c>
      <c r="K439" s="31" t="n">
        <v>15589.1</v>
      </c>
      <c r="L439" s="31" t="n">
        <v>15482.5</v>
      </c>
      <c r="M439" s="30" t="inlineStr">
        <is>
          <t>AMR2</t>
        </is>
      </c>
      <c r="N439" s="30" t="inlineStr">
        <is>
          <t>AMR2</t>
        </is>
      </c>
      <c r="O439" s="32" t="n">
        <v>0</v>
      </c>
      <c r="P439" s="32" t="n">
        <v>0</v>
      </c>
      <c r="Q439" s="32" t="n">
        <v>13</v>
      </c>
      <c r="R439" s="31" t="n">
        <v>39.3</v>
      </c>
      <c r="S439" s="31" t="n">
        <v>39.3</v>
      </c>
      <c r="T439" s="30" t="inlineStr">
        <is>
          <t>AMR2</t>
        </is>
      </c>
      <c r="U439" s="31" t="n">
        <v>54.9</v>
      </c>
      <c r="V439" s="31" t="n">
        <v>54.9</v>
      </c>
      <c r="W439" s="30" t="inlineStr">
        <is>
          <t>AMR2</t>
        </is>
      </c>
      <c r="X439" s="32" t="n">
        <v>0</v>
      </c>
      <c r="Y439" s="32" t="n">
        <v>0</v>
      </c>
      <c r="Z439" s="31" t="n">
        <v>0</v>
      </c>
      <c r="AA439" s="32" t="n">
        <v>0</v>
      </c>
      <c r="AB439" s="32" t="n">
        <v>0</v>
      </c>
      <c r="AC439" s="32" t="n">
        <v>0</v>
      </c>
      <c r="AD439" s="32" t="n">
        <v>0</v>
      </c>
      <c r="AE439" s="31" t="n">
        <v>0</v>
      </c>
      <c r="AF439" s="32" t="n">
        <v>0</v>
      </c>
      <c r="AG439" s="31" t="n">
        <v>0</v>
      </c>
      <c r="AH439" s="32" t="n">
        <v>39</v>
      </c>
      <c r="AI439" s="31" t="n">
        <v>42.4</v>
      </c>
      <c r="AJ439" s="31" t="n">
        <v>52</v>
      </c>
      <c r="AK439" s="31" t="n">
        <v>0</v>
      </c>
      <c r="AL439" s="30" t="inlineStr">
        <is>
          <t>T-0588</t>
        </is>
      </c>
      <c r="AM439" s="30" t="inlineStr">
        <is>
          <t>C-02-03</t>
        </is>
      </c>
      <c r="AN439" s="30" t="inlineStr">
        <is>
          <t>T-0491</t>
        </is>
      </c>
      <c r="AO439" s="30" t="inlineStr">
        <is>
          <t>C-04-03</t>
        </is>
      </c>
    </row>
    <row r="440">
      <c r="A440" s="30" t="inlineStr">
        <is>
          <t>O0439</t>
        </is>
      </c>
      <c r="B440" s="30" t="inlineStr">
        <is>
          <t>B</t>
        </is>
      </c>
      <c r="C440" s="31" t="n">
        <v>5742.6</v>
      </c>
      <c r="D440" s="31" t="n">
        <v>21269.1</v>
      </c>
      <c r="E440" s="31" t="n">
        <v>21269.1</v>
      </c>
      <c r="F440" s="31" t="n">
        <v>21282.3</v>
      </c>
      <c r="G440" s="31" t="n">
        <v>21309.2</v>
      </c>
      <c r="H440" s="31" t="n">
        <v>21324.7</v>
      </c>
      <c r="I440" s="31" t="n">
        <v>21348</v>
      </c>
      <c r="J440" s="31" t="n">
        <v>21377.1</v>
      </c>
      <c r="K440" s="31" t="n">
        <v>15634.5</v>
      </c>
      <c r="L440" s="31" t="n">
        <v>15526.5</v>
      </c>
      <c r="M440" s="30" t="inlineStr">
        <is>
          <t>AMR1</t>
        </is>
      </c>
      <c r="N440" s="30" t="inlineStr">
        <is>
          <t>AMR1</t>
        </is>
      </c>
      <c r="O440" s="32" t="n">
        <v>0</v>
      </c>
      <c r="P440" s="32" t="n">
        <v>0</v>
      </c>
      <c r="Q440" s="32" t="n">
        <v>15</v>
      </c>
      <c r="R440" s="31" t="n">
        <v>38.4</v>
      </c>
      <c r="S440" s="31" t="n">
        <v>38.4</v>
      </c>
      <c r="T440" s="30" t="inlineStr">
        <is>
          <t>AMR1</t>
        </is>
      </c>
      <c r="U440" s="31" t="n">
        <v>52.1</v>
      </c>
      <c r="V440" s="31" t="n">
        <v>52.1</v>
      </c>
      <c r="W440" s="30" t="inlineStr">
        <is>
          <t>AMR1</t>
        </is>
      </c>
      <c r="X440" s="32" t="n">
        <v>0</v>
      </c>
      <c r="Y440" s="32" t="n">
        <v>0</v>
      </c>
      <c r="Z440" s="31" t="n">
        <v>0</v>
      </c>
      <c r="AA440" s="32" t="n">
        <v>0</v>
      </c>
      <c r="AB440" s="32" t="n">
        <v>0</v>
      </c>
      <c r="AC440" s="32" t="n">
        <v>0</v>
      </c>
      <c r="AD440" s="32" t="n">
        <v>0</v>
      </c>
      <c r="AE440" s="31" t="n">
        <v>0</v>
      </c>
      <c r="AF440" s="32" t="n">
        <v>0</v>
      </c>
      <c r="AG440" s="31" t="n">
        <v>0</v>
      </c>
      <c r="AH440" s="32" t="n">
        <v>46</v>
      </c>
      <c r="AI440" s="31" t="n">
        <v>49.3</v>
      </c>
      <c r="AJ440" s="31" t="n">
        <v>43.2</v>
      </c>
      <c r="AK440" s="31" t="n">
        <v>0</v>
      </c>
      <c r="AL440" s="30" t="inlineStr">
        <is>
          <t>T-0589</t>
        </is>
      </c>
      <c r="AM440" s="30" t="inlineStr">
        <is>
          <t>B-03-02</t>
        </is>
      </c>
      <c r="AN440" s="30" t="inlineStr">
        <is>
          <t>T-0363</t>
        </is>
      </c>
      <c r="AO440" s="30" t="inlineStr">
        <is>
          <t>B-04-02</t>
        </is>
      </c>
    </row>
    <row r="441">
      <c r="A441" s="30" t="inlineStr">
        <is>
          <t>O0440</t>
        </is>
      </c>
      <c r="B441" s="30" t="inlineStr">
        <is>
          <t>I</t>
        </is>
      </c>
      <c r="C441" s="31" t="n">
        <v>5765.4</v>
      </c>
      <c r="D441" s="31" t="n">
        <v>21282.3</v>
      </c>
      <c r="E441" s="31" t="n">
        <v>21282.3</v>
      </c>
      <c r="F441" s="31" t="n">
        <v>21298.3</v>
      </c>
      <c r="G441" s="31" t="n">
        <v>21322.2</v>
      </c>
      <c r="H441" s="31" t="n">
        <v>21338.3</v>
      </c>
      <c r="I441" s="31" t="n">
        <v>21371.7</v>
      </c>
      <c r="J441" s="31" t="n">
        <v>21399.3</v>
      </c>
      <c r="K441" s="31" t="n">
        <v>15633.9</v>
      </c>
      <c r="L441" s="31" t="n">
        <v>15516.9</v>
      </c>
      <c r="M441" s="30" t="inlineStr">
        <is>
          <t>AMR3</t>
        </is>
      </c>
      <c r="N441" s="30" t="inlineStr">
        <is>
          <t>AMR3</t>
        </is>
      </c>
      <c r="O441" s="32" t="n">
        <v>0</v>
      </c>
      <c r="P441" s="32" t="n">
        <v>0</v>
      </c>
      <c r="Q441" s="32" t="n">
        <v>15</v>
      </c>
      <c r="R441" s="31" t="n">
        <v>38.2</v>
      </c>
      <c r="S441" s="31" t="n">
        <v>38.2</v>
      </c>
      <c r="T441" s="30" t="inlineStr">
        <is>
          <t>AMR3</t>
        </is>
      </c>
      <c r="U441" s="31" t="n">
        <v>54.2</v>
      </c>
      <c r="V441" s="31" t="n">
        <v>54.2</v>
      </c>
      <c r="W441" s="30" t="inlineStr">
        <is>
          <t>AMR3</t>
        </is>
      </c>
      <c r="X441" s="32" t="n">
        <v>0</v>
      </c>
      <c r="Y441" s="32" t="n">
        <v>0</v>
      </c>
      <c r="Z441" s="31" t="n">
        <v>0</v>
      </c>
      <c r="AA441" s="32" t="n">
        <v>0</v>
      </c>
      <c r="AB441" s="32" t="n">
        <v>1</v>
      </c>
      <c r="AC441" s="32" t="n">
        <v>1</v>
      </c>
      <c r="AD441" s="32" t="n">
        <v>0</v>
      </c>
      <c r="AE441" s="31" t="n">
        <v>0</v>
      </c>
      <c r="AF441" s="32" t="n">
        <v>0</v>
      </c>
      <c r="AG441" s="31" t="n">
        <v>0</v>
      </c>
      <c r="AH441" s="32" t="n">
        <v>44</v>
      </c>
      <c r="AI441" s="31" t="n">
        <v>49.3</v>
      </c>
      <c r="AJ441" s="31" t="n">
        <v>46.6</v>
      </c>
      <c r="AK441" s="31" t="n">
        <v>5</v>
      </c>
      <c r="AL441" s="30" t="inlineStr">
        <is>
          <t>T-0590</t>
        </is>
      </c>
      <c r="AM441" s="30" t="inlineStr">
        <is>
          <t>I-03-03</t>
        </is>
      </c>
      <c r="AN441" s="30" t="inlineStr">
        <is>
          <t>T-0443</t>
        </is>
      </c>
      <c r="AO441" s="30" t="inlineStr">
        <is>
          <t>I-03-01</t>
        </is>
      </c>
    </row>
    <row r="442">
      <c r="A442" s="30" t="inlineStr">
        <is>
          <t>O0441</t>
        </is>
      </c>
      <c r="B442" s="30" t="inlineStr">
        <is>
          <t>J</t>
        </is>
      </c>
      <c r="C442" s="31" t="n">
        <v>5787</v>
      </c>
      <c r="D442" s="31" t="n">
        <v>21348.3</v>
      </c>
      <c r="E442" s="31" t="n">
        <v>21348.3</v>
      </c>
      <c r="F442" s="31" t="n">
        <v>21359.8</v>
      </c>
      <c r="G442" s="31" t="n">
        <v>21391.6</v>
      </c>
      <c r="H442" s="31" t="n">
        <v>21400.8</v>
      </c>
      <c r="I442" s="31" t="n">
        <v>21429.8</v>
      </c>
      <c r="J442" s="31" t="n">
        <v>21461.8</v>
      </c>
      <c r="K442" s="31" t="n">
        <v>15674.8</v>
      </c>
      <c r="L442" s="31" t="n">
        <v>15561.3</v>
      </c>
      <c r="M442" s="30" t="inlineStr">
        <is>
          <t>AMR2</t>
        </is>
      </c>
      <c r="N442" s="30" t="inlineStr">
        <is>
          <t>AMR1</t>
        </is>
      </c>
      <c r="O442" s="32" t="n">
        <v>0</v>
      </c>
      <c r="P442" s="32" t="n">
        <v>0</v>
      </c>
      <c r="Q442" s="32" t="n">
        <v>21</v>
      </c>
      <c r="R442" s="31" t="n">
        <v>41.6</v>
      </c>
      <c r="S442" s="31" t="n">
        <v>41.6</v>
      </c>
      <c r="T442" s="30" t="inlineStr">
        <is>
          <t>AMR2</t>
        </is>
      </c>
      <c r="U442" s="31" t="n">
        <v>61.2</v>
      </c>
      <c r="V442" s="31" t="n">
        <v>61.2</v>
      </c>
      <c r="W442" s="30" t="inlineStr">
        <is>
          <t>AMR1</t>
        </is>
      </c>
      <c r="X442" s="32" t="n">
        <v>0</v>
      </c>
      <c r="Y442" s="32" t="n">
        <v>0</v>
      </c>
      <c r="Z442" s="31" t="n">
        <v>0</v>
      </c>
      <c r="AA442" s="32" t="n">
        <v>0</v>
      </c>
      <c r="AB442" s="32" t="n">
        <v>0</v>
      </c>
      <c r="AC442" s="32" t="n">
        <v>0</v>
      </c>
      <c r="AD442" s="32" t="n">
        <v>0</v>
      </c>
      <c r="AE442" s="31" t="n">
        <v>0</v>
      </c>
      <c r="AF442" s="32" t="n">
        <v>0</v>
      </c>
      <c r="AG442" s="31" t="n">
        <v>0</v>
      </c>
      <c r="AH442" s="32" t="n">
        <v>60</v>
      </c>
      <c r="AI442" s="31" t="n">
        <v>62.1</v>
      </c>
      <c r="AJ442" s="31" t="n">
        <v>42.2</v>
      </c>
      <c r="AK442" s="31" t="n">
        <v>0</v>
      </c>
      <c r="AL442" s="30" t="inlineStr">
        <is>
          <t>T-0591</t>
        </is>
      </c>
      <c r="AM442" s="30" t="inlineStr">
        <is>
          <t>J-03-01</t>
        </is>
      </c>
      <c r="AN442" s="30" t="inlineStr">
        <is>
          <t>T-0460</t>
        </is>
      </c>
      <c r="AO442" s="30" t="inlineStr">
        <is>
          <t>J-02-02</t>
        </is>
      </c>
    </row>
    <row r="443">
      <c r="A443" s="30" t="inlineStr">
        <is>
          <t>O0442</t>
        </is>
      </c>
      <c r="B443" s="30" t="inlineStr">
        <is>
          <t>C</t>
        </is>
      </c>
      <c r="C443" s="31" t="n">
        <v>5807.9</v>
      </c>
      <c r="D443" s="31" t="n">
        <v>21413.1</v>
      </c>
      <c r="E443" s="31" t="n">
        <v>21413.1</v>
      </c>
      <c r="F443" s="31" t="n">
        <v>21428.6</v>
      </c>
      <c r="G443" s="31" t="n">
        <v>21451</v>
      </c>
      <c r="H443" s="31" t="n">
        <v>21463.5</v>
      </c>
      <c r="I443" s="31" t="n">
        <v>21483.8</v>
      </c>
      <c r="J443" s="31" t="n">
        <v>21510.7</v>
      </c>
      <c r="K443" s="31" t="n">
        <v>15702.8</v>
      </c>
      <c r="L443" s="31" t="n">
        <v>15605.2</v>
      </c>
      <c r="M443" s="30" t="inlineStr">
        <is>
          <t>AMR2</t>
        </is>
      </c>
      <c r="N443" s="30" t="inlineStr">
        <is>
          <t>AMR2</t>
        </is>
      </c>
      <c r="O443" s="32" t="n">
        <v>0</v>
      </c>
      <c r="P443" s="32" t="n">
        <v>0</v>
      </c>
      <c r="Q443" s="32" t="n">
        <v>13</v>
      </c>
      <c r="R443" s="31" t="n">
        <v>36.2</v>
      </c>
      <c r="S443" s="31" t="n">
        <v>36.2</v>
      </c>
      <c r="T443" s="30" t="inlineStr">
        <is>
          <t>AMR2</t>
        </is>
      </c>
      <c r="U443" s="31" t="n">
        <v>48.4</v>
      </c>
      <c r="V443" s="31" t="n">
        <v>48.4</v>
      </c>
      <c r="W443" s="30" t="inlineStr">
        <is>
          <t>AMR2</t>
        </is>
      </c>
      <c r="X443" s="32" t="n">
        <v>0</v>
      </c>
      <c r="Y443" s="32" t="n">
        <v>0</v>
      </c>
      <c r="Z443" s="31" t="n">
        <v>0</v>
      </c>
      <c r="AA443" s="32" t="n">
        <v>0</v>
      </c>
      <c r="AB443" s="32" t="n">
        <v>0</v>
      </c>
      <c r="AC443" s="32" t="n">
        <v>0</v>
      </c>
      <c r="AD443" s="32" t="n">
        <v>0</v>
      </c>
      <c r="AE443" s="31" t="n">
        <v>0</v>
      </c>
      <c r="AF443" s="32" t="n">
        <v>0</v>
      </c>
      <c r="AG443" s="31" t="n">
        <v>0</v>
      </c>
      <c r="AH443" s="32" t="n">
        <v>40</v>
      </c>
      <c r="AI443" s="31" t="n">
        <v>42.7</v>
      </c>
      <c r="AJ443" s="31" t="n">
        <v>42.4</v>
      </c>
      <c r="AK443" s="31" t="n">
        <v>0</v>
      </c>
      <c r="AL443" s="30" t="inlineStr">
        <is>
          <t>T-0592</t>
        </is>
      </c>
      <c r="AM443" s="30" t="inlineStr">
        <is>
          <t>C-03-03</t>
        </is>
      </c>
      <c r="AN443" s="30" t="inlineStr">
        <is>
          <t>T-0492</t>
        </is>
      </c>
      <c r="AO443" s="30" t="inlineStr">
        <is>
          <t>C-01-01</t>
        </is>
      </c>
    </row>
    <row r="444">
      <c r="A444" s="30" t="inlineStr">
        <is>
          <t>O0443</t>
        </is>
      </c>
      <c r="B444" s="30" t="inlineStr">
        <is>
          <t>J</t>
        </is>
      </c>
      <c r="C444" s="31" t="n">
        <v>5824.8</v>
      </c>
      <c r="D444" s="31" t="n">
        <v>21428.6</v>
      </c>
      <c r="E444" s="31" t="n">
        <v>21428.6</v>
      </c>
      <c r="F444" s="31" t="n">
        <v>21439.9</v>
      </c>
      <c r="G444" s="31" t="n">
        <v>21469.5</v>
      </c>
      <c r="H444" s="31" t="n">
        <v>21485.5</v>
      </c>
      <c r="I444" s="31" t="n">
        <v>21521.8</v>
      </c>
      <c r="J444" s="31" t="n">
        <v>21556.9</v>
      </c>
      <c r="K444" s="31" t="n">
        <v>15732.1</v>
      </c>
      <c r="L444" s="31" t="n">
        <v>15603.8</v>
      </c>
      <c r="M444" s="30" t="inlineStr">
        <is>
          <t>AMR3</t>
        </is>
      </c>
      <c r="N444" s="30" t="inlineStr">
        <is>
          <t>AMR1</t>
        </is>
      </c>
      <c r="O444" s="32" t="n">
        <v>0</v>
      </c>
      <c r="P444" s="32" t="n">
        <v>0</v>
      </c>
      <c r="Q444" s="32" t="n">
        <v>21</v>
      </c>
      <c r="R444" s="31" t="n">
        <v>40</v>
      </c>
      <c r="S444" s="31" t="n">
        <v>40</v>
      </c>
      <c r="T444" s="30" t="inlineStr">
        <is>
          <t>AMR3</t>
        </is>
      </c>
      <c r="U444" s="31" t="n">
        <v>63.4</v>
      </c>
      <c r="V444" s="31" t="n">
        <v>63.4</v>
      </c>
      <c r="W444" s="30" t="inlineStr">
        <is>
          <t>AMR1</t>
        </is>
      </c>
      <c r="X444" s="32" t="n">
        <v>0</v>
      </c>
      <c r="Y444" s="32" t="n">
        <v>0</v>
      </c>
      <c r="Z444" s="31" t="n">
        <v>0</v>
      </c>
      <c r="AA444" s="32" t="n">
        <v>0</v>
      </c>
      <c r="AB444" s="32" t="n">
        <v>0</v>
      </c>
      <c r="AC444" s="32" t="n">
        <v>1</v>
      </c>
      <c r="AD444" s="32" t="n">
        <v>0</v>
      </c>
      <c r="AE444" s="31" t="n">
        <v>0</v>
      </c>
      <c r="AF444" s="32" t="n">
        <v>0</v>
      </c>
      <c r="AG444" s="31" t="n">
        <v>0</v>
      </c>
      <c r="AH444" s="32" t="n">
        <v>61</v>
      </c>
      <c r="AI444" s="31" t="n">
        <v>66.5</v>
      </c>
      <c r="AJ444" s="31" t="n">
        <v>42.8</v>
      </c>
      <c r="AK444" s="31" t="n">
        <v>3</v>
      </c>
      <c r="AL444" s="30" t="inlineStr">
        <is>
          <t>T-0593</t>
        </is>
      </c>
      <c r="AM444" s="30" t="inlineStr">
        <is>
          <t>J-01-02</t>
        </is>
      </c>
      <c r="AN444" s="30" t="inlineStr">
        <is>
          <t>T-0467</t>
        </is>
      </c>
      <c r="AO444" s="30" t="inlineStr">
        <is>
          <t>J-03-02</t>
        </is>
      </c>
    </row>
    <row r="445">
      <c r="A445" s="30" t="inlineStr">
        <is>
          <t>O0444</t>
        </is>
      </c>
      <c r="B445" s="30" t="inlineStr">
        <is>
          <t>A</t>
        </is>
      </c>
      <c r="C445" s="31" t="n">
        <v>5847</v>
      </c>
      <c r="D445" s="31" t="n">
        <v>21495.3</v>
      </c>
      <c r="E445" s="31" t="n">
        <v>21495.3</v>
      </c>
      <c r="F445" s="31" t="n">
        <v>21509.5</v>
      </c>
      <c r="G445" s="31" t="n">
        <v>21538.6</v>
      </c>
      <c r="H445" s="31" t="n">
        <v>21558.8</v>
      </c>
      <c r="I445" s="31" t="n">
        <v>21586.9</v>
      </c>
      <c r="J445" s="31" t="n">
        <v>21623.3</v>
      </c>
      <c r="K445" s="31" t="n">
        <v>15776.3</v>
      </c>
      <c r="L445" s="31" t="n">
        <v>15648.3</v>
      </c>
      <c r="M445" s="30" t="inlineStr">
        <is>
          <t>AMR3</t>
        </is>
      </c>
      <c r="N445" s="30" t="inlineStr">
        <is>
          <t>AMR3</t>
        </is>
      </c>
      <c r="O445" s="32" t="n">
        <v>0</v>
      </c>
      <c r="P445" s="32" t="n">
        <v>0</v>
      </c>
      <c r="Q445" s="32" t="n">
        <v>21</v>
      </c>
      <c r="R445" s="31" t="n">
        <v>42.4</v>
      </c>
      <c r="S445" s="31" t="n">
        <v>42.4</v>
      </c>
      <c r="T445" s="30" t="inlineStr">
        <is>
          <t>AMR3</t>
        </is>
      </c>
      <c r="U445" s="31" t="n">
        <v>61.2</v>
      </c>
      <c r="V445" s="31" t="n">
        <v>61.2</v>
      </c>
      <c r="W445" s="30" t="inlineStr">
        <is>
          <t>AMR3</t>
        </is>
      </c>
      <c r="X445" s="32" t="n">
        <v>0</v>
      </c>
      <c r="Y445" s="32" t="n">
        <v>0</v>
      </c>
      <c r="Z445" s="31" t="n">
        <v>0</v>
      </c>
      <c r="AA445" s="32" t="n">
        <v>0</v>
      </c>
      <c r="AB445" s="32" t="n">
        <v>0</v>
      </c>
      <c r="AC445" s="32" t="n">
        <v>0</v>
      </c>
      <c r="AD445" s="32" t="n">
        <v>0</v>
      </c>
      <c r="AE445" s="31" t="n">
        <v>0</v>
      </c>
      <c r="AF445" s="32" t="n">
        <v>0</v>
      </c>
      <c r="AG445" s="31" t="n">
        <v>0</v>
      </c>
      <c r="AH445" s="32" t="n">
        <v>67</v>
      </c>
      <c r="AI445" s="31" t="n">
        <v>66.3</v>
      </c>
      <c r="AJ445" s="31" t="n">
        <v>41.5</v>
      </c>
      <c r="AK445" s="31" t="n">
        <v>0</v>
      </c>
      <c r="AL445" s="30" t="inlineStr">
        <is>
          <t>T-0594</t>
        </is>
      </c>
      <c r="AM445" s="30" t="inlineStr">
        <is>
          <t>A-04-02</t>
        </is>
      </c>
      <c r="AN445" s="30" t="inlineStr">
        <is>
          <t>T-0245</t>
        </is>
      </c>
      <c r="AO445" s="30" t="inlineStr">
        <is>
          <t>A-01-03</t>
        </is>
      </c>
    </row>
    <row r="446">
      <c r="A446" s="30" t="inlineStr">
        <is>
          <t>O0445</t>
        </is>
      </c>
      <c r="B446" s="30" t="inlineStr">
        <is>
          <t>D</t>
        </is>
      </c>
      <c r="C446" s="31" t="n">
        <v>5865.6</v>
      </c>
      <c r="D446" s="31" t="n">
        <v>21534.4</v>
      </c>
      <c r="E446" s="31" t="n">
        <v>21534.4</v>
      </c>
      <c r="F446" s="31" t="n">
        <v>21545.4</v>
      </c>
      <c r="G446" s="31" t="n">
        <v>21567.3</v>
      </c>
      <c r="H446" s="31" t="n">
        <v>21580.6</v>
      </c>
      <c r="I446" s="31" t="n">
        <v>21607.4</v>
      </c>
      <c r="J446" s="31" t="n">
        <v>21638.9</v>
      </c>
      <c r="K446" s="31" t="n">
        <v>15773.3</v>
      </c>
      <c r="L446" s="31" t="n">
        <v>15668.8</v>
      </c>
      <c r="M446" s="30" t="inlineStr">
        <is>
          <t>AMR2</t>
        </is>
      </c>
      <c r="N446" s="30" t="inlineStr">
        <is>
          <t>AMR1</t>
        </is>
      </c>
      <c r="O446" s="32" t="n">
        <v>0</v>
      </c>
      <c r="P446" s="32" t="n">
        <v>0</v>
      </c>
      <c r="Q446" s="32" t="n">
        <v>13</v>
      </c>
      <c r="R446" s="31" t="n">
        <v>29.6</v>
      </c>
      <c r="S446" s="31" t="n">
        <v>29.6</v>
      </c>
      <c r="T446" s="30" t="inlineStr">
        <is>
          <t>AMR2</t>
        </is>
      </c>
      <c r="U446" s="31" t="n">
        <v>51.2</v>
      </c>
      <c r="V446" s="31" t="n">
        <v>51.2</v>
      </c>
      <c r="W446" s="30" t="inlineStr">
        <is>
          <t>AMR1</t>
        </is>
      </c>
      <c r="X446" s="32" t="n">
        <v>0</v>
      </c>
      <c r="Y446" s="32" t="n">
        <v>0</v>
      </c>
      <c r="Z446" s="31" t="n">
        <v>0</v>
      </c>
      <c r="AA446" s="32" t="n">
        <v>0</v>
      </c>
      <c r="AB446" s="32" t="n">
        <v>1</v>
      </c>
      <c r="AC446" s="32" t="n">
        <v>1</v>
      </c>
      <c r="AD446" s="32" t="n">
        <v>1</v>
      </c>
      <c r="AE446" s="31" t="n">
        <v>2.3</v>
      </c>
      <c r="AF446" s="32" t="n">
        <v>0</v>
      </c>
      <c r="AG446" s="31" t="n">
        <v>0</v>
      </c>
      <c r="AH446" s="32" t="n">
        <v>42</v>
      </c>
      <c r="AI446" s="31" t="n">
        <v>47.8</v>
      </c>
      <c r="AJ446" s="31" t="n">
        <v>38.1</v>
      </c>
      <c r="AK446" s="31" t="n">
        <v>5.3</v>
      </c>
      <c r="AL446" s="30" t="inlineStr">
        <is>
          <t>T-0595</t>
        </is>
      </c>
      <c r="AM446" s="30" t="inlineStr">
        <is>
          <t>D-06-01</t>
        </is>
      </c>
      <c r="AN446" s="30" t="inlineStr">
        <is>
          <t>T-0456</t>
        </is>
      </c>
      <c r="AO446" s="30" t="inlineStr">
        <is>
          <t>D-02-01</t>
        </is>
      </c>
    </row>
    <row r="447">
      <c r="A447" s="30" t="inlineStr">
        <is>
          <t>O0446</t>
        </is>
      </c>
      <c r="B447" s="30" t="inlineStr">
        <is>
          <t>H</t>
        </is>
      </c>
      <c r="C447" s="31" t="n">
        <v>5886.7</v>
      </c>
      <c r="D447" s="31" t="n">
        <v>21590.4</v>
      </c>
      <c r="E447" s="31" t="n">
        <v>21590.4</v>
      </c>
      <c r="F447" s="31" t="n">
        <v>21601.1</v>
      </c>
      <c r="G447" s="31" t="n">
        <v>21625.2</v>
      </c>
      <c r="H447" s="31" t="n">
        <v>21639.7</v>
      </c>
      <c r="I447" s="31" t="n">
        <v>21667</v>
      </c>
      <c r="J447" s="31" t="n">
        <v>21692.7</v>
      </c>
      <c r="K447" s="31" t="n">
        <v>15806</v>
      </c>
      <c r="L447" s="31" t="n">
        <v>15703.7</v>
      </c>
      <c r="M447" s="30" t="inlineStr">
        <is>
          <t>AMR2</t>
        </is>
      </c>
      <c r="N447" s="30" t="inlineStr">
        <is>
          <t>AMR2</t>
        </is>
      </c>
      <c r="O447" s="32" t="n">
        <v>0</v>
      </c>
      <c r="P447" s="32" t="n">
        <v>0</v>
      </c>
      <c r="Q447" s="32" t="n">
        <v>15</v>
      </c>
      <c r="R447" s="31" t="n">
        <v>33.1</v>
      </c>
      <c r="S447" s="31" t="n">
        <v>33.1</v>
      </c>
      <c r="T447" s="30" t="inlineStr">
        <is>
          <t>AMR2</t>
        </is>
      </c>
      <c r="U447" s="31" t="n">
        <v>52.7</v>
      </c>
      <c r="V447" s="31" t="n">
        <v>52.7</v>
      </c>
      <c r="W447" s="30" t="inlineStr">
        <is>
          <t>AMR2</t>
        </is>
      </c>
      <c r="X447" s="32" t="n">
        <v>0</v>
      </c>
      <c r="Y447" s="32" t="n">
        <v>0</v>
      </c>
      <c r="Z447" s="31" t="n">
        <v>0</v>
      </c>
      <c r="AA447" s="32" t="n">
        <v>0</v>
      </c>
      <c r="AB447" s="32" t="n">
        <v>0</v>
      </c>
      <c r="AC447" s="32" t="n">
        <v>0</v>
      </c>
      <c r="AD447" s="32" t="n">
        <v>0</v>
      </c>
      <c r="AE447" s="31" t="n">
        <v>0</v>
      </c>
      <c r="AF447" s="32" t="n">
        <v>0</v>
      </c>
      <c r="AG447" s="31" t="n">
        <v>0</v>
      </c>
      <c r="AH447" s="32" t="n">
        <v>42</v>
      </c>
      <c r="AI447" s="31" t="n">
        <v>47.3</v>
      </c>
      <c r="AJ447" s="31" t="n">
        <v>40.5</v>
      </c>
      <c r="AK447" s="31" t="n">
        <v>0</v>
      </c>
      <c r="AL447" s="30" t="inlineStr">
        <is>
          <t>T-0596</t>
        </is>
      </c>
      <c r="AM447" s="30" t="inlineStr">
        <is>
          <t>H-03-03</t>
        </is>
      </c>
      <c r="AN447" s="30" t="inlineStr">
        <is>
          <t>T-0507</t>
        </is>
      </c>
      <c r="AO447" s="30" t="inlineStr">
        <is>
          <t>H-05-01</t>
        </is>
      </c>
    </row>
    <row r="448">
      <c r="A448" s="30" t="inlineStr">
        <is>
          <t>O0447</t>
        </is>
      </c>
      <c r="B448" s="30" t="inlineStr">
        <is>
          <t>E</t>
        </is>
      </c>
      <c r="C448" s="31" t="n">
        <v>5907.1</v>
      </c>
      <c r="D448" s="31" t="n">
        <v>21647</v>
      </c>
      <c r="E448" s="31" t="n">
        <v>21647</v>
      </c>
      <c r="F448" s="31" t="n">
        <v>21659.2</v>
      </c>
      <c r="G448" s="31" t="n">
        <v>21686.1</v>
      </c>
      <c r="H448" s="31" t="n">
        <v>21709.5</v>
      </c>
      <c r="I448" s="31" t="n">
        <v>21749.4</v>
      </c>
      <c r="J448" s="31" t="n">
        <v>21788.7</v>
      </c>
      <c r="K448" s="31" t="n">
        <v>15881.6</v>
      </c>
      <c r="L448" s="31" t="n">
        <v>15739.9</v>
      </c>
      <c r="M448" s="30" t="inlineStr">
        <is>
          <t>AMR3</t>
        </is>
      </c>
      <c r="N448" s="30" t="inlineStr">
        <is>
          <t>AMR1</t>
        </is>
      </c>
      <c r="O448" s="32" t="n">
        <v>0</v>
      </c>
      <c r="P448" s="32" t="n">
        <v>0</v>
      </c>
      <c r="Q448" s="32" t="n">
        <v>19</v>
      </c>
      <c r="R448" s="31" t="n">
        <v>35.8</v>
      </c>
      <c r="S448" s="31" t="n">
        <v>35.8</v>
      </c>
      <c r="T448" s="30" t="inlineStr">
        <is>
          <t>AMR3</t>
        </is>
      </c>
      <c r="U448" s="31" t="n">
        <v>62.1</v>
      </c>
      <c r="V448" s="31" t="n">
        <v>62.1</v>
      </c>
      <c r="W448" s="30" t="inlineStr">
        <is>
          <t>AMR1</t>
        </is>
      </c>
      <c r="X448" s="32" t="n">
        <v>0</v>
      </c>
      <c r="Y448" s="32" t="n">
        <v>0</v>
      </c>
      <c r="Z448" s="31" t="n">
        <v>0</v>
      </c>
      <c r="AA448" s="32" t="n">
        <v>0</v>
      </c>
      <c r="AB448" s="32" t="n">
        <v>2</v>
      </c>
      <c r="AC448" s="32" t="n">
        <v>1</v>
      </c>
      <c r="AD448" s="32" t="n">
        <v>1</v>
      </c>
      <c r="AE448" s="31" t="n">
        <v>4.1</v>
      </c>
      <c r="AF448" s="32" t="n">
        <v>1</v>
      </c>
      <c r="AG448" s="31" t="n">
        <v>0.4</v>
      </c>
      <c r="AH448" s="32" t="n">
        <v>62</v>
      </c>
      <c r="AI448" s="31" t="n">
        <v>62.6</v>
      </c>
      <c r="AJ448" s="31" t="n">
        <v>40.4</v>
      </c>
      <c r="AK448" s="31" t="n">
        <v>15.3</v>
      </c>
      <c r="AL448" s="30" t="inlineStr">
        <is>
          <t>T-0597</t>
        </is>
      </c>
      <c r="AM448" s="30" t="inlineStr">
        <is>
          <t>E-06-01</t>
        </is>
      </c>
      <c r="AN448" s="30" t="inlineStr">
        <is>
          <t>T-0371</t>
        </is>
      </c>
      <c r="AO448" s="30" t="inlineStr">
        <is>
          <t>E-03-01</t>
        </is>
      </c>
    </row>
    <row r="449">
      <c r="A449" s="30" t="inlineStr">
        <is>
          <t>O0448</t>
        </is>
      </c>
      <c r="B449" s="30" t="inlineStr">
        <is>
          <t>D</t>
        </is>
      </c>
      <c r="C449" s="31" t="n">
        <v>5931.1</v>
      </c>
      <c r="D449" s="31" t="n">
        <v>21662.6</v>
      </c>
      <c r="E449" s="31" t="n">
        <v>21662.6</v>
      </c>
      <c r="F449" s="31" t="n">
        <v>21677</v>
      </c>
      <c r="G449" s="31" t="n">
        <v>21696.7</v>
      </c>
      <c r="H449" s="31" t="n">
        <v>21719.8</v>
      </c>
      <c r="I449" s="31" t="n">
        <v>21745.8</v>
      </c>
      <c r="J449" s="31" t="n">
        <v>21776.4</v>
      </c>
      <c r="K449" s="31" t="n">
        <v>15845.3</v>
      </c>
      <c r="L449" s="31" t="n">
        <v>15731.5</v>
      </c>
      <c r="M449" s="30" t="inlineStr">
        <is>
          <t>AMR1</t>
        </is>
      </c>
      <c r="N449" s="30" t="inlineStr">
        <is>
          <t>AMR3</t>
        </is>
      </c>
      <c r="O449" s="32" t="n">
        <v>0</v>
      </c>
      <c r="P449" s="32" t="n">
        <v>0</v>
      </c>
      <c r="Q449" s="32" t="n">
        <v>13</v>
      </c>
      <c r="R449" s="31" t="n">
        <v>33.2</v>
      </c>
      <c r="S449" s="31" t="n">
        <v>33.2</v>
      </c>
      <c r="T449" s="30" t="inlineStr">
        <is>
          <t>AMR1</t>
        </is>
      </c>
      <c r="U449" s="31" t="n">
        <v>56.8</v>
      </c>
      <c r="V449" s="31" t="n">
        <v>56.8</v>
      </c>
      <c r="W449" s="30" t="inlineStr">
        <is>
          <t>AMR3</t>
        </is>
      </c>
      <c r="X449" s="32" t="n">
        <v>0</v>
      </c>
      <c r="Y449" s="32" t="n">
        <v>0</v>
      </c>
      <c r="Z449" s="31" t="n">
        <v>0</v>
      </c>
      <c r="AA449" s="32" t="n">
        <v>0</v>
      </c>
      <c r="AB449" s="32" t="n">
        <v>0</v>
      </c>
      <c r="AC449" s="32" t="n">
        <v>0</v>
      </c>
      <c r="AD449" s="32" t="n">
        <v>0</v>
      </c>
      <c r="AE449" s="31" t="n">
        <v>0</v>
      </c>
      <c r="AF449" s="32" t="n">
        <v>0</v>
      </c>
      <c r="AG449" s="31" t="n">
        <v>0</v>
      </c>
      <c r="AH449" s="32" t="n">
        <v>39</v>
      </c>
      <c r="AI449" s="31" t="n">
        <v>43.4</v>
      </c>
      <c r="AJ449" s="31" t="n">
        <v>47.3</v>
      </c>
      <c r="AK449" s="31" t="n">
        <v>0</v>
      </c>
      <c r="AL449" s="30" t="inlineStr">
        <is>
          <t>T-0598</t>
        </is>
      </c>
      <c r="AM449" s="30" t="inlineStr">
        <is>
          <t>D-02-01</t>
        </is>
      </c>
      <c r="AN449" s="30" t="inlineStr">
        <is>
          <t>T-0466</t>
        </is>
      </c>
      <c r="AO449" s="30" t="inlineStr">
        <is>
          <t>D-02-02</t>
        </is>
      </c>
    </row>
    <row r="450">
      <c r="A450" s="30" t="inlineStr">
        <is>
          <t>O0449</t>
        </is>
      </c>
      <c r="B450" s="30" t="inlineStr">
        <is>
          <t>J</t>
        </is>
      </c>
      <c r="C450" s="31" t="n">
        <v>5952.9</v>
      </c>
      <c r="D450" s="31" t="n">
        <v>21726.2</v>
      </c>
      <c r="E450" s="31" t="n">
        <v>21726.2</v>
      </c>
      <c r="F450" s="31" t="n">
        <v>21736.7</v>
      </c>
      <c r="G450" s="31" t="n">
        <v>21764.5</v>
      </c>
      <c r="H450" s="31" t="n">
        <v>21784.7</v>
      </c>
      <c r="I450" s="31" t="n">
        <v>21815.8</v>
      </c>
      <c r="J450" s="31" t="n">
        <v>21850</v>
      </c>
      <c r="K450" s="31" t="n">
        <v>15897.1</v>
      </c>
      <c r="L450" s="31" t="n">
        <v>15773.3</v>
      </c>
      <c r="M450" s="30" t="inlineStr">
        <is>
          <t>AMR2</t>
        </is>
      </c>
      <c r="N450" s="30" t="inlineStr">
        <is>
          <t>AMR2</t>
        </is>
      </c>
      <c r="O450" s="32" t="n">
        <v>0</v>
      </c>
      <c r="P450" s="32" t="n">
        <v>0</v>
      </c>
      <c r="Q450" s="32" t="n">
        <v>21</v>
      </c>
      <c r="R450" s="31" t="n">
        <v>37.4</v>
      </c>
      <c r="S450" s="31" t="n">
        <v>37.4</v>
      </c>
      <c r="T450" s="30" t="inlineStr">
        <is>
          <t>AMR2</t>
        </is>
      </c>
      <c r="U450" s="31" t="n">
        <v>62</v>
      </c>
      <c r="V450" s="31" t="n">
        <v>62</v>
      </c>
      <c r="W450" s="30" t="inlineStr">
        <is>
          <t>AMR2</t>
        </is>
      </c>
      <c r="X450" s="32" t="n">
        <v>0</v>
      </c>
      <c r="Y450" s="32" t="n">
        <v>0</v>
      </c>
      <c r="Z450" s="31" t="n">
        <v>0</v>
      </c>
      <c r="AA450" s="32" t="n">
        <v>0</v>
      </c>
      <c r="AB450" s="32" t="n">
        <v>0</v>
      </c>
      <c r="AC450" s="32" t="n">
        <v>0</v>
      </c>
      <c r="AD450" s="32" t="n">
        <v>0</v>
      </c>
      <c r="AE450" s="31" t="n">
        <v>0</v>
      </c>
      <c r="AF450" s="32" t="n">
        <v>0</v>
      </c>
      <c r="AG450" s="31" t="n">
        <v>0</v>
      </c>
      <c r="AH450" s="32" t="n">
        <v>63</v>
      </c>
      <c r="AI450" s="31" t="n">
        <v>64.8</v>
      </c>
      <c r="AJ450" s="31" t="n">
        <v>38.8</v>
      </c>
      <c r="AK450" s="31" t="n">
        <v>0</v>
      </c>
      <c r="AL450" s="30" t="inlineStr">
        <is>
          <t>T-0599</t>
        </is>
      </c>
      <c r="AM450" s="30" t="inlineStr">
        <is>
          <t>J-02-02</t>
        </is>
      </c>
      <c r="AN450" s="30" t="inlineStr">
        <is>
          <t>T-0468</t>
        </is>
      </c>
      <c r="AO450" s="30" t="inlineStr">
        <is>
          <t>J-05-03</t>
        </is>
      </c>
    </row>
    <row r="451">
      <c r="A451" s="30" t="inlineStr">
        <is>
          <t>O0450</t>
        </is>
      </c>
      <c r="B451" s="30" t="inlineStr">
        <is>
          <t>E</t>
        </is>
      </c>
      <c r="C451" s="31" t="n">
        <v>5972.5</v>
      </c>
      <c r="D451" s="31" t="n">
        <v>21800.1</v>
      </c>
      <c r="E451" s="31" t="n">
        <v>21800.1</v>
      </c>
      <c r="F451" s="31" t="n">
        <v>21816.3</v>
      </c>
      <c r="G451" s="31" t="n">
        <v>21841.2</v>
      </c>
      <c r="H451" s="31" t="n">
        <v>21860.7</v>
      </c>
      <c r="I451" s="31" t="n">
        <v>21889.3</v>
      </c>
      <c r="J451" s="31" t="n">
        <v>21926.1</v>
      </c>
      <c r="K451" s="31" t="n">
        <v>15953.6</v>
      </c>
      <c r="L451" s="31" t="n">
        <v>15827.6</v>
      </c>
      <c r="M451" s="30" t="inlineStr">
        <is>
          <t>AMR3</t>
        </is>
      </c>
      <c r="N451" s="30" t="inlineStr">
        <is>
          <t>AMR3</t>
        </is>
      </c>
      <c r="O451" s="32" t="n">
        <v>0</v>
      </c>
      <c r="P451" s="32" t="n">
        <v>0</v>
      </c>
      <c r="Q451" s="32" t="n">
        <v>19</v>
      </c>
      <c r="R451" s="31" t="n">
        <v>39.4</v>
      </c>
      <c r="S451" s="31" t="n">
        <v>39.4</v>
      </c>
      <c r="T451" s="30" t="inlineStr">
        <is>
          <t>AMR3</t>
        </is>
      </c>
      <c r="U451" s="31" t="n">
        <v>62.1</v>
      </c>
      <c r="V451" s="31" t="n">
        <v>62.1</v>
      </c>
      <c r="W451" s="30" t="inlineStr">
        <is>
          <t>AMR3</t>
        </is>
      </c>
      <c r="X451" s="32" t="n">
        <v>0</v>
      </c>
      <c r="Y451" s="32" t="n">
        <v>0</v>
      </c>
      <c r="Z451" s="31" t="n">
        <v>0</v>
      </c>
      <c r="AA451" s="32" t="n">
        <v>0</v>
      </c>
      <c r="AB451" s="32" t="n">
        <v>0</v>
      </c>
      <c r="AC451" s="32" t="n">
        <v>0</v>
      </c>
      <c r="AD451" s="32" t="n">
        <v>0</v>
      </c>
      <c r="AE451" s="31" t="n">
        <v>0</v>
      </c>
      <c r="AF451" s="32" t="n">
        <v>0</v>
      </c>
      <c r="AG451" s="31" t="n">
        <v>0</v>
      </c>
      <c r="AH451" s="32" t="n">
        <v>62</v>
      </c>
      <c r="AI451" s="31" t="n">
        <v>62.5</v>
      </c>
      <c r="AJ451" s="31" t="n">
        <v>44</v>
      </c>
      <c r="AK451" s="31" t="n">
        <v>0</v>
      </c>
      <c r="AL451" s="30" t="inlineStr">
        <is>
          <t>T-0600</t>
        </is>
      </c>
      <c r="AM451" s="30" t="inlineStr">
        <is>
          <t>E-03-01</t>
        </is>
      </c>
      <c r="AN451" s="30" t="inlineStr">
        <is>
          <t>T-0407</t>
        </is>
      </c>
      <c r="AO451" s="30" t="inlineStr">
        <is>
          <t>E-04-01</t>
        </is>
      </c>
    </row>
    <row r="452">
      <c r="A452" s="30" t="inlineStr">
        <is>
          <t>O0451</t>
        </is>
      </c>
      <c r="B452" s="30" t="inlineStr">
        <is>
          <t>G</t>
        </is>
      </c>
      <c r="C452" s="31" t="n">
        <v>5992.5</v>
      </c>
      <c r="D452" s="31" t="n">
        <v>21816.4</v>
      </c>
      <c r="E452" s="31" t="n">
        <v>21816.4</v>
      </c>
      <c r="F452" s="31" t="n">
        <v>21827.3</v>
      </c>
      <c r="G452" s="31" t="n">
        <v>21857.5</v>
      </c>
      <c r="H452" s="31" t="n">
        <v>21873.7</v>
      </c>
      <c r="I452" s="31" t="n">
        <v>21909</v>
      </c>
      <c r="J452" s="31" t="n">
        <v>21941.4</v>
      </c>
      <c r="K452" s="31" t="n">
        <v>15948.9</v>
      </c>
      <c r="L452" s="31" t="n">
        <v>15823.9</v>
      </c>
      <c r="M452" s="30" t="inlineStr">
        <is>
          <t>AMR1</t>
        </is>
      </c>
      <c r="N452" s="30" t="inlineStr">
        <is>
          <t>AMR2</t>
        </is>
      </c>
      <c r="O452" s="32" t="n">
        <v>0</v>
      </c>
      <c r="P452" s="32" t="n">
        <v>0</v>
      </c>
      <c r="Q452" s="32" t="n">
        <v>17</v>
      </c>
      <c r="R452" s="31" t="n">
        <v>38.6</v>
      </c>
      <c r="S452" s="31" t="n">
        <v>38.6</v>
      </c>
      <c r="T452" s="30" t="inlineStr">
        <is>
          <t>AMR1</t>
        </is>
      </c>
      <c r="U452" s="31" t="n">
        <v>58.8</v>
      </c>
      <c r="V452" s="31" t="n">
        <v>58.8</v>
      </c>
      <c r="W452" s="30" t="inlineStr">
        <is>
          <t>AMR2</t>
        </is>
      </c>
      <c r="X452" s="32" t="n">
        <v>0</v>
      </c>
      <c r="Y452" s="32" t="n">
        <v>0</v>
      </c>
      <c r="Z452" s="31" t="n">
        <v>0</v>
      </c>
      <c r="AA452" s="32" t="n">
        <v>0</v>
      </c>
      <c r="AB452" s="32" t="n">
        <v>1</v>
      </c>
      <c r="AC452" s="32" t="n">
        <v>1</v>
      </c>
      <c r="AD452" s="32" t="n">
        <v>1</v>
      </c>
      <c r="AE452" s="31" t="n">
        <v>2.7</v>
      </c>
      <c r="AF452" s="32" t="n">
        <v>1</v>
      </c>
      <c r="AG452" s="31" t="n">
        <v>0.4</v>
      </c>
      <c r="AH452" s="32" t="n">
        <v>51</v>
      </c>
      <c r="AI452" s="31" t="n">
        <v>53.7</v>
      </c>
      <c r="AJ452" s="31" t="n">
        <v>47</v>
      </c>
      <c r="AK452" s="31" t="n">
        <v>8.1</v>
      </c>
      <c r="AL452" s="30" t="inlineStr">
        <is>
          <t>T-0601</t>
        </is>
      </c>
      <c r="AM452" s="30" t="inlineStr">
        <is>
          <t>G-01-01</t>
        </is>
      </c>
      <c r="AN452" s="30" t="inlineStr">
        <is>
          <t>T-0361</t>
        </is>
      </c>
      <c r="AO452" s="30" t="inlineStr">
        <is>
          <t>G-03-01</t>
        </is>
      </c>
    </row>
    <row r="453">
      <c r="A453" s="30" t="inlineStr">
        <is>
          <t>O0452</t>
        </is>
      </c>
      <c r="B453" s="30" t="inlineStr">
        <is>
          <t>J</t>
        </is>
      </c>
      <c r="C453" s="31" t="n">
        <v>6015.7</v>
      </c>
      <c r="D453" s="31" t="n">
        <v>21883.1</v>
      </c>
      <c r="E453" s="31" t="n">
        <v>21883.1</v>
      </c>
      <c r="F453" s="31" t="n">
        <v>21897.7</v>
      </c>
      <c r="G453" s="31" t="n">
        <v>21929.3</v>
      </c>
      <c r="H453" s="31" t="n">
        <v>21950.8</v>
      </c>
      <c r="I453" s="31" t="n">
        <v>21984.7</v>
      </c>
      <c r="J453" s="31" t="n">
        <v>22019.2</v>
      </c>
      <c r="K453" s="31" t="n">
        <v>16003.5</v>
      </c>
      <c r="L453" s="31" t="n">
        <v>15867.4</v>
      </c>
      <c r="M453" s="30" t="inlineStr">
        <is>
          <t>AMR1</t>
        </is>
      </c>
      <c r="N453" s="30" t="inlineStr">
        <is>
          <t>AMR1</t>
        </is>
      </c>
      <c r="O453" s="32" t="n">
        <v>0</v>
      </c>
      <c r="P453" s="32" t="n">
        <v>0</v>
      </c>
      <c r="Q453" s="32" t="n">
        <v>21</v>
      </c>
      <c r="R453" s="31" t="n">
        <v>44.5</v>
      </c>
      <c r="S453" s="31" t="n">
        <v>44.5</v>
      </c>
      <c r="T453" s="30" t="inlineStr">
        <is>
          <t>AMR1</t>
        </is>
      </c>
      <c r="U453" s="31" t="n">
        <v>60.1</v>
      </c>
      <c r="V453" s="31" t="n">
        <v>60.1</v>
      </c>
      <c r="W453" s="30" t="inlineStr">
        <is>
          <t>AMR1</t>
        </is>
      </c>
      <c r="X453" s="32" t="n">
        <v>0</v>
      </c>
      <c r="Y453" s="32" t="n">
        <v>0</v>
      </c>
      <c r="Z453" s="31" t="n">
        <v>0</v>
      </c>
      <c r="AA453" s="32" t="n">
        <v>0</v>
      </c>
      <c r="AB453" s="32" t="n">
        <v>1</v>
      </c>
      <c r="AC453" s="32" t="n">
        <v>1</v>
      </c>
      <c r="AD453" s="32" t="n">
        <v>0</v>
      </c>
      <c r="AE453" s="31" t="n">
        <v>0</v>
      </c>
      <c r="AF453" s="32" t="n">
        <v>0</v>
      </c>
      <c r="AG453" s="31" t="n">
        <v>0</v>
      </c>
      <c r="AH453" s="32" t="n">
        <v>64</v>
      </c>
      <c r="AI453" s="31" t="n">
        <v>65.59999999999999</v>
      </c>
      <c r="AJ453" s="31" t="n">
        <v>44</v>
      </c>
      <c r="AK453" s="31" t="n">
        <v>5</v>
      </c>
      <c r="AL453" s="30" t="inlineStr">
        <is>
          <t>T-0602</t>
        </is>
      </c>
      <c r="AM453" s="30" t="inlineStr">
        <is>
          <t>J-03-02</t>
        </is>
      </c>
      <c r="AN453" s="30" t="inlineStr">
        <is>
          <t>T-0485</t>
        </is>
      </c>
      <c r="AO453" s="30" t="inlineStr">
        <is>
          <t>J-05-01</t>
        </is>
      </c>
    </row>
    <row r="454">
      <c r="A454" s="30" t="inlineStr">
        <is>
          <t>O0453</t>
        </is>
      </c>
      <c r="B454" s="30" t="inlineStr">
        <is>
          <t>A</t>
        </is>
      </c>
      <c r="C454" s="31" t="n">
        <v>6039.4</v>
      </c>
      <c r="D454" s="31" t="n">
        <v>21960.7</v>
      </c>
      <c r="E454" s="31" t="n">
        <v>21960.7</v>
      </c>
      <c r="F454" s="31" t="n">
        <v>21975.6</v>
      </c>
      <c r="G454" s="31" t="n">
        <v>22005.6</v>
      </c>
      <c r="H454" s="31" t="n">
        <v>22024.5</v>
      </c>
      <c r="I454" s="31" t="n">
        <v>22057.3</v>
      </c>
      <c r="J454" s="31" t="n">
        <v>22104.6</v>
      </c>
      <c r="K454" s="31" t="n">
        <v>16065.2</v>
      </c>
      <c r="L454" s="31" t="n">
        <v>15921.3</v>
      </c>
      <c r="M454" s="30" t="inlineStr">
        <is>
          <t>AMR3</t>
        </is>
      </c>
      <c r="N454" s="30" t="inlineStr">
        <is>
          <t>AMR3</t>
        </is>
      </c>
      <c r="O454" s="32" t="n">
        <v>0</v>
      </c>
      <c r="P454" s="32" t="n">
        <v>0</v>
      </c>
      <c r="Q454" s="32" t="n">
        <v>21</v>
      </c>
      <c r="R454" s="31" t="n">
        <v>44.8</v>
      </c>
      <c r="S454" s="31" t="n">
        <v>44.8</v>
      </c>
      <c r="T454" s="30" t="inlineStr">
        <is>
          <t>AMR3</t>
        </is>
      </c>
      <c r="U454" s="31" t="n">
        <v>65</v>
      </c>
      <c r="V454" s="31" t="n">
        <v>65</v>
      </c>
      <c r="W454" s="30" t="inlineStr">
        <is>
          <t>AMR3</t>
        </is>
      </c>
      <c r="X454" s="32" t="n">
        <v>0</v>
      </c>
      <c r="Y454" s="32" t="n">
        <v>0</v>
      </c>
      <c r="Z454" s="31" t="n">
        <v>0</v>
      </c>
      <c r="AA454" s="32" t="n">
        <v>0</v>
      </c>
      <c r="AB454" s="32" t="n">
        <v>0</v>
      </c>
      <c r="AC454" s="32" t="n">
        <v>0</v>
      </c>
      <c r="AD454" s="32" t="n">
        <v>1</v>
      </c>
      <c r="AE454" s="31" t="n">
        <v>10.7</v>
      </c>
      <c r="AF454" s="32" t="n">
        <v>1</v>
      </c>
      <c r="AG454" s="31" t="n">
        <v>5.7</v>
      </c>
      <c r="AH454" s="32" t="n">
        <v>66</v>
      </c>
      <c r="AI454" s="31" t="n">
        <v>65.5</v>
      </c>
      <c r="AJ454" s="31" t="n">
        <v>47.7</v>
      </c>
      <c r="AK454" s="31" t="n">
        <v>11.8</v>
      </c>
      <c r="AL454" s="30" t="inlineStr">
        <is>
          <t>T-0603</t>
        </is>
      </c>
      <c r="AM454" s="30" t="inlineStr">
        <is>
          <t>A-06-02</t>
        </is>
      </c>
      <c r="AN454" s="30" t="inlineStr">
        <is>
          <t>T-0264</t>
        </is>
      </c>
      <c r="AO454" s="30" t="inlineStr">
        <is>
          <t>A-02-03</t>
        </is>
      </c>
    </row>
    <row r="455">
      <c r="A455" s="30" t="inlineStr">
        <is>
          <t>O0454</t>
        </is>
      </c>
      <c r="B455" s="30" t="inlineStr">
        <is>
          <t>I</t>
        </is>
      </c>
      <c r="C455" s="31" t="n">
        <v>6063.2</v>
      </c>
      <c r="D455" s="31" t="n">
        <v>21975.7</v>
      </c>
      <c r="E455" s="31" t="n">
        <v>21975.7</v>
      </c>
      <c r="F455" s="31" t="n">
        <v>21987.8</v>
      </c>
      <c r="G455" s="31" t="n">
        <v>22011.5</v>
      </c>
      <c r="H455" s="31" t="n">
        <v>22027.6</v>
      </c>
      <c r="I455" s="31" t="n">
        <v>22064.5</v>
      </c>
      <c r="J455" s="31" t="n">
        <v>22092.3</v>
      </c>
      <c r="K455" s="31" t="n">
        <v>16029.1</v>
      </c>
      <c r="L455" s="31" t="n">
        <v>15912.5</v>
      </c>
      <c r="M455" s="30" t="inlineStr">
        <is>
          <t>AMR2</t>
        </is>
      </c>
      <c r="N455" s="30" t="inlineStr">
        <is>
          <t>AMR2</t>
        </is>
      </c>
      <c r="O455" s="32" t="n">
        <v>0</v>
      </c>
      <c r="P455" s="32" t="n">
        <v>0</v>
      </c>
      <c r="Q455" s="32" t="n">
        <v>15</v>
      </c>
      <c r="R455" s="31" t="n">
        <v>34.1</v>
      </c>
      <c r="S455" s="31" t="n">
        <v>34.1</v>
      </c>
      <c r="T455" s="30" t="inlineStr">
        <is>
          <t>AMR2</t>
        </is>
      </c>
      <c r="U455" s="31" t="n">
        <v>55</v>
      </c>
      <c r="V455" s="31" t="n">
        <v>55</v>
      </c>
      <c r="W455" s="30" t="inlineStr">
        <is>
          <t>AMR2</t>
        </is>
      </c>
      <c r="X455" s="32" t="n">
        <v>0</v>
      </c>
      <c r="Y455" s="32" t="n">
        <v>0</v>
      </c>
      <c r="Z455" s="31" t="n">
        <v>0</v>
      </c>
      <c r="AA455" s="32" t="n">
        <v>0</v>
      </c>
      <c r="AB455" s="32" t="n">
        <v>1</v>
      </c>
      <c r="AC455" s="32" t="n">
        <v>1</v>
      </c>
      <c r="AD455" s="32" t="n">
        <v>0</v>
      </c>
      <c r="AE455" s="31" t="n">
        <v>0</v>
      </c>
      <c r="AF455" s="32" t="n">
        <v>0</v>
      </c>
      <c r="AG455" s="31" t="n">
        <v>0</v>
      </c>
      <c r="AH455" s="32" t="n">
        <v>48</v>
      </c>
      <c r="AI455" s="31" t="n">
        <v>54.2</v>
      </c>
      <c r="AJ455" s="31" t="n">
        <v>43.3</v>
      </c>
      <c r="AK455" s="31" t="n">
        <v>3</v>
      </c>
      <c r="AL455" s="30" t="inlineStr">
        <is>
          <t>T-0604</t>
        </is>
      </c>
      <c r="AM455" s="30" t="inlineStr">
        <is>
          <t>I-03-01</t>
        </is>
      </c>
      <c r="AN455" s="30" t="inlineStr">
        <is>
          <t>T-0461</t>
        </is>
      </c>
      <c r="AO455" s="30" t="inlineStr">
        <is>
          <t>I-04-01</t>
        </is>
      </c>
    </row>
    <row r="456">
      <c r="A456" s="30" t="inlineStr">
        <is>
          <t>O0455</t>
        </is>
      </c>
      <c r="B456" s="30" t="inlineStr">
        <is>
          <t>I</t>
        </is>
      </c>
      <c r="C456" s="31" t="n">
        <v>6085.3</v>
      </c>
      <c r="D456" s="31" t="n">
        <v>22048.1</v>
      </c>
      <c r="E456" s="31" t="n">
        <v>22048.1</v>
      </c>
      <c r="F456" s="31" t="n">
        <v>22061.2</v>
      </c>
      <c r="G456" s="31" t="n">
        <v>22086.1</v>
      </c>
      <c r="H456" s="31" t="n">
        <v>22102.9</v>
      </c>
      <c r="I456" s="31" t="n">
        <v>22143.4</v>
      </c>
      <c r="J456" s="31" t="n">
        <v>22173</v>
      </c>
      <c r="K456" s="31" t="n">
        <v>16087.7</v>
      </c>
      <c r="L456" s="31" t="n">
        <v>15962.8</v>
      </c>
      <c r="M456" s="30" t="inlineStr">
        <is>
          <t>AMR1</t>
        </is>
      </c>
      <c r="N456" s="30" t="inlineStr">
        <is>
          <t>AMR1</t>
        </is>
      </c>
      <c r="O456" s="32" t="n">
        <v>0</v>
      </c>
      <c r="P456" s="32" t="n">
        <v>0</v>
      </c>
      <c r="Q456" s="32" t="n">
        <v>15</v>
      </c>
      <c r="R456" s="31" t="n">
        <v>35.5</v>
      </c>
      <c r="S456" s="31" t="n">
        <v>35.5</v>
      </c>
      <c r="T456" s="30" t="inlineStr">
        <is>
          <t>AMR1</t>
        </is>
      </c>
      <c r="U456" s="31" t="n">
        <v>55.6</v>
      </c>
      <c r="V456" s="31" t="n">
        <v>55.6</v>
      </c>
      <c r="W456" s="30" t="inlineStr">
        <is>
          <t>AMR1</t>
        </is>
      </c>
      <c r="X456" s="32" t="n">
        <v>0</v>
      </c>
      <c r="Y456" s="32" t="n">
        <v>0</v>
      </c>
      <c r="Z456" s="31" t="n">
        <v>0</v>
      </c>
      <c r="AA456" s="32" t="n">
        <v>0</v>
      </c>
      <c r="AB456" s="32" t="n">
        <v>2</v>
      </c>
      <c r="AC456" s="32" t="n">
        <v>2</v>
      </c>
      <c r="AD456" s="32" t="n">
        <v>1</v>
      </c>
      <c r="AE456" s="31" t="n">
        <v>2</v>
      </c>
      <c r="AF456" s="32" t="n">
        <v>1</v>
      </c>
      <c r="AG456" s="31" t="n">
        <v>0.4</v>
      </c>
      <c r="AH456" s="32" t="n">
        <v>49</v>
      </c>
      <c r="AI456" s="31" t="n">
        <v>54.4</v>
      </c>
      <c r="AJ456" s="31" t="n">
        <v>45.3</v>
      </c>
      <c r="AK456" s="31" t="n">
        <v>8.4</v>
      </c>
      <c r="AL456" s="30" t="inlineStr">
        <is>
          <t>T-0605</t>
        </is>
      </c>
      <c r="AM456" s="30" t="inlineStr">
        <is>
          <t>I-04-03</t>
        </is>
      </c>
      <c r="AN456" s="30" t="inlineStr">
        <is>
          <t>T-0481</t>
        </is>
      </c>
      <c r="AO456" s="30" t="inlineStr">
        <is>
          <t>I-05-01</t>
        </is>
      </c>
    </row>
    <row r="457">
      <c r="A457" s="30" t="inlineStr">
        <is>
          <t>O0456</t>
        </is>
      </c>
      <c r="B457" s="30" t="inlineStr">
        <is>
          <t>C</t>
        </is>
      </c>
      <c r="C457" s="31" t="n">
        <v>6103.1</v>
      </c>
      <c r="D457" s="31" t="n">
        <v>22120.4</v>
      </c>
      <c r="E457" s="31" t="n">
        <v>22120.4</v>
      </c>
      <c r="F457" s="31" t="n">
        <v>22131.8</v>
      </c>
      <c r="G457" s="31" t="n">
        <v>22154.7</v>
      </c>
      <c r="H457" s="31" t="n">
        <v>22166.9</v>
      </c>
      <c r="I457" s="31" t="n">
        <v>22187.5</v>
      </c>
      <c r="J457" s="31" t="n">
        <v>22212.8</v>
      </c>
      <c r="K457" s="31" t="n">
        <v>16109.7</v>
      </c>
      <c r="L457" s="31" t="n">
        <v>16017.3</v>
      </c>
      <c r="M457" s="30" t="inlineStr">
        <is>
          <t>AMR2</t>
        </is>
      </c>
      <c r="N457" s="30" t="inlineStr">
        <is>
          <t>AMR2</t>
        </is>
      </c>
      <c r="O457" s="32" t="n">
        <v>0</v>
      </c>
      <c r="P457" s="32" t="n">
        <v>0</v>
      </c>
      <c r="Q457" s="32" t="n">
        <v>13</v>
      </c>
      <c r="R457" s="31" t="n">
        <v>33.4</v>
      </c>
      <c r="S457" s="31" t="n">
        <v>33.4</v>
      </c>
      <c r="T457" s="30" t="inlineStr">
        <is>
          <t>AMR2</t>
        </is>
      </c>
      <c r="U457" s="31" t="n">
        <v>46.6</v>
      </c>
      <c r="V457" s="31" t="n">
        <v>46.6</v>
      </c>
      <c r="W457" s="30" t="inlineStr">
        <is>
          <t>AMR2</t>
        </is>
      </c>
      <c r="X457" s="32" t="n">
        <v>0</v>
      </c>
      <c r="Y457" s="32" t="n">
        <v>0</v>
      </c>
      <c r="Z457" s="31" t="n">
        <v>0</v>
      </c>
      <c r="AA457" s="32" t="n">
        <v>0</v>
      </c>
      <c r="AB457" s="32" t="n">
        <v>0</v>
      </c>
      <c r="AC457" s="32" t="n">
        <v>0</v>
      </c>
      <c r="AD457" s="32" t="n">
        <v>0</v>
      </c>
      <c r="AE457" s="31" t="n">
        <v>0</v>
      </c>
      <c r="AF457" s="32" t="n">
        <v>0</v>
      </c>
      <c r="AG457" s="31" t="n">
        <v>0</v>
      </c>
      <c r="AH457" s="32" t="n">
        <v>39</v>
      </c>
      <c r="AI457" s="31" t="n">
        <v>42.4</v>
      </c>
      <c r="AJ457" s="31" t="n">
        <v>37.8</v>
      </c>
      <c r="AK457" s="31" t="n">
        <v>0</v>
      </c>
      <c r="AL457" s="30" t="inlineStr">
        <is>
          <t>T-0606</t>
        </is>
      </c>
      <c r="AM457" s="30" t="inlineStr">
        <is>
          <t>C-01-01</t>
        </is>
      </c>
      <c r="AN457" s="30" t="inlineStr">
        <is>
          <t>T-0498</t>
        </is>
      </c>
      <c r="AO457" s="30" t="inlineStr">
        <is>
          <t>C-04-01</t>
        </is>
      </c>
    </row>
    <row r="458">
      <c r="A458" s="30" t="inlineStr">
        <is>
          <t>O0457</t>
        </is>
      </c>
      <c r="B458" s="30" t="inlineStr">
        <is>
          <t>I</t>
        </is>
      </c>
      <c r="C458" s="31" t="n">
        <v>6122.6</v>
      </c>
      <c r="D458" s="31" t="n">
        <v>22132.9</v>
      </c>
      <c r="E458" s="31" t="n">
        <v>22132.9</v>
      </c>
      <c r="F458" s="31" t="n">
        <v>22147.2</v>
      </c>
      <c r="G458" s="31" t="n">
        <v>22175.4</v>
      </c>
      <c r="H458" s="31" t="n">
        <v>22192.2</v>
      </c>
      <c r="I458" s="31" t="n">
        <v>22226.4</v>
      </c>
      <c r="J458" s="31" t="n">
        <v>22257.6</v>
      </c>
      <c r="K458" s="31" t="n">
        <v>16135</v>
      </c>
      <c r="L458" s="31" t="n">
        <v>16010.3</v>
      </c>
      <c r="M458" s="30" t="inlineStr">
        <is>
          <t>AMR3</t>
        </is>
      </c>
      <c r="N458" s="30" t="inlineStr">
        <is>
          <t>AMR3</t>
        </is>
      </c>
      <c r="O458" s="32" t="n">
        <v>0</v>
      </c>
      <c r="P458" s="32" t="n">
        <v>0</v>
      </c>
      <c r="Q458" s="32" t="n">
        <v>15</v>
      </c>
      <c r="R458" s="31" t="n">
        <v>40</v>
      </c>
      <c r="S458" s="31" t="n">
        <v>40</v>
      </c>
      <c r="T458" s="30" t="inlineStr">
        <is>
          <t>AMR3</t>
        </is>
      </c>
      <c r="U458" s="31" t="n">
        <v>55.6</v>
      </c>
      <c r="V458" s="31" t="n">
        <v>55.6</v>
      </c>
      <c r="W458" s="30" t="inlineStr">
        <is>
          <t>AMR3</t>
        </is>
      </c>
      <c r="X458" s="32" t="n">
        <v>0</v>
      </c>
      <c r="Y458" s="32" t="n">
        <v>0</v>
      </c>
      <c r="Z458" s="31" t="n">
        <v>0</v>
      </c>
      <c r="AA458" s="32" t="n">
        <v>0</v>
      </c>
      <c r="AB458" s="32" t="n">
        <v>1</v>
      </c>
      <c r="AC458" s="32" t="n">
        <v>1</v>
      </c>
      <c r="AD458" s="32" t="n">
        <v>0</v>
      </c>
      <c r="AE458" s="31" t="n">
        <v>0</v>
      </c>
      <c r="AF458" s="32" t="n">
        <v>0</v>
      </c>
      <c r="AG458" s="31" t="n">
        <v>0</v>
      </c>
      <c r="AH458" s="32" t="n">
        <v>49</v>
      </c>
      <c r="AI458" s="31" t="n">
        <v>55.1</v>
      </c>
      <c r="AJ458" s="31" t="n">
        <v>49.8</v>
      </c>
      <c r="AK458" s="31" t="n">
        <v>3</v>
      </c>
      <c r="AL458" s="30" t="inlineStr">
        <is>
          <t>T-0607</t>
        </is>
      </c>
      <c r="AM458" s="30" t="inlineStr">
        <is>
          <t>I-04-01</t>
        </is>
      </c>
      <c r="AN458" s="30" t="inlineStr">
        <is>
          <t>T-0483</t>
        </is>
      </c>
      <c r="AO458" s="30" t="inlineStr">
        <is>
          <t>I-06-01</t>
        </is>
      </c>
    </row>
    <row r="459">
      <c r="A459" s="30" t="inlineStr">
        <is>
          <t>O0458</t>
        </is>
      </c>
      <c r="B459" s="30" t="inlineStr">
        <is>
          <t>B</t>
        </is>
      </c>
      <c r="C459" s="31" t="n">
        <v>6145.9</v>
      </c>
      <c r="D459" s="31" t="n">
        <v>22201.1</v>
      </c>
      <c r="E459" s="31" t="n">
        <v>22201.1</v>
      </c>
      <c r="F459" s="31" t="n">
        <v>22212.7</v>
      </c>
      <c r="G459" s="31" t="n">
        <v>22236</v>
      </c>
      <c r="H459" s="31" t="n">
        <v>22236.5</v>
      </c>
      <c r="I459" s="31" t="n">
        <v>22260.4</v>
      </c>
      <c r="J459" s="31" t="n">
        <v>22292.7</v>
      </c>
      <c r="K459" s="31" t="n">
        <v>16146.8</v>
      </c>
      <c r="L459" s="31" t="n">
        <v>16055.2</v>
      </c>
      <c r="M459" s="30" t="inlineStr">
        <is>
          <t>AMR1</t>
        </is>
      </c>
      <c r="N459" s="30" t="inlineStr">
        <is>
          <t>AMR2</t>
        </is>
      </c>
      <c r="O459" s="32" t="n">
        <v>0</v>
      </c>
      <c r="P459" s="32" t="n">
        <v>0</v>
      </c>
      <c r="Q459" s="32" t="n">
        <v>15</v>
      </c>
      <c r="R459" s="31" t="n">
        <v>34</v>
      </c>
      <c r="S459" s="31" t="n">
        <v>34</v>
      </c>
      <c r="T459" s="30" t="inlineStr">
        <is>
          <t>AMR1</t>
        </is>
      </c>
      <c r="U459" s="31" t="n">
        <v>53.9</v>
      </c>
      <c r="V459" s="31" t="n">
        <v>53.9</v>
      </c>
      <c r="W459" s="30" t="inlineStr">
        <is>
          <t>AMR2</t>
        </is>
      </c>
      <c r="X459" s="32" t="n">
        <v>0</v>
      </c>
      <c r="Y459" s="32" t="n">
        <v>0</v>
      </c>
      <c r="Z459" s="31" t="n">
        <v>0</v>
      </c>
      <c r="AA459" s="32" t="n">
        <v>0</v>
      </c>
      <c r="AB459" s="32" t="n">
        <v>0</v>
      </c>
      <c r="AC459" s="32" t="n">
        <v>0</v>
      </c>
      <c r="AD459" s="32" t="n">
        <v>0</v>
      </c>
      <c r="AE459" s="31" t="n">
        <v>0</v>
      </c>
      <c r="AF459" s="32" t="n">
        <v>0</v>
      </c>
      <c r="AG459" s="31" t="n">
        <v>0</v>
      </c>
      <c r="AH459" s="32" t="n">
        <v>49</v>
      </c>
      <c r="AI459" s="31" t="n">
        <v>50.5</v>
      </c>
      <c r="AJ459" s="31" t="n">
        <v>40.6</v>
      </c>
      <c r="AK459" s="31" t="n">
        <v>0</v>
      </c>
      <c r="AL459" s="30" t="inlineStr">
        <is>
          <t>T-0608</t>
        </is>
      </c>
      <c r="AM459" s="30" t="inlineStr">
        <is>
          <t>B-04-02</t>
        </is>
      </c>
      <c r="AN459" s="30" t="inlineStr">
        <is>
          <t>T-0387</t>
        </is>
      </c>
      <c r="AO459" s="30" t="inlineStr">
        <is>
          <t>B-01-03</t>
        </is>
      </c>
    </row>
    <row r="460">
      <c r="A460" s="30" t="inlineStr">
        <is>
          <t>O0459</t>
        </is>
      </c>
      <c r="B460" s="30" t="inlineStr">
        <is>
          <t>F</t>
        </is>
      </c>
      <c r="C460" s="31" t="n">
        <v>6169.1</v>
      </c>
      <c r="D460" s="31" t="n">
        <v>22250.8</v>
      </c>
      <c r="E460" s="31" t="n">
        <v>22250.8</v>
      </c>
      <c r="F460" s="31" t="n">
        <v>22263.4</v>
      </c>
      <c r="G460" s="31" t="n">
        <v>22293.4</v>
      </c>
      <c r="H460" s="31" t="n">
        <v>22316.4</v>
      </c>
      <c r="I460" s="31" t="n">
        <v>22352.8</v>
      </c>
      <c r="J460" s="31" t="n">
        <v>22386.4</v>
      </c>
      <c r="K460" s="31" t="n">
        <v>16217.3</v>
      </c>
      <c r="L460" s="31" t="n">
        <v>16081.7</v>
      </c>
      <c r="M460" s="30" t="inlineStr">
        <is>
          <t>AMR1</t>
        </is>
      </c>
      <c r="N460" s="30" t="inlineStr">
        <is>
          <t>AMR2</t>
        </is>
      </c>
      <c r="O460" s="32" t="n">
        <v>0</v>
      </c>
      <c r="P460" s="32" t="n">
        <v>0</v>
      </c>
      <c r="Q460" s="32" t="n">
        <v>23</v>
      </c>
      <c r="R460" s="31" t="n">
        <v>40.1</v>
      </c>
      <c r="S460" s="31" t="n">
        <v>40.1</v>
      </c>
      <c r="T460" s="30" t="inlineStr">
        <is>
          <t>AMR1</t>
        </is>
      </c>
      <c r="U460" s="31" t="n">
        <v>62.8</v>
      </c>
      <c r="V460" s="31" t="n">
        <v>62.8</v>
      </c>
      <c r="W460" s="30" t="inlineStr">
        <is>
          <t>AMR2</t>
        </is>
      </c>
      <c r="X460" s="32" t="n">
        <v>0</v>
      </c>
      <c r="Y460" s="32" t="n">
        <v>0</v>
      </c>
      <c r="Z460" s="31" t="n">
        <v>0</v>
      </c>
      <c r="AA460" s="32" t="n">
        <v>0</v>
      </c>
      <c r="AB460" s="32" t="n">
        <v>0</v>
      </c>
      <c r="AC460" s="32" t="n">
        <v>1</v>
      </c>
      <c r="AD460" s="32" t="n">
        <v>1</v>
      </c>
      <c r="AE460" s="31" t="n">
        <v>1.1</v>
      </c>
      <c r="AF460" s="32" t="n">
        <v>0</v>
      </c>
      <c r="AG460" s="31" t="n">
        <v>0</v>
      </c>
      <c r="AH460" s="32" t="n">
        <v>67</v>
      </c>
      <c r="AI460" s="31" t="n">
        <v>70.8</v>
      </c>
      <c r="AJ460" s="31" t="n">
        <v>37.7</v>
      </c>
      <c r="AK460" s="31" t="n">
        <v>4.1</v>
      </c>
      <c r="AL460" s="30" t="inlineStr">
        <is>
          <t>T-0609</t>
        </is>
      </c>
      <c r="AM460" s="30" t="inlineStr">
        <is>
          <t>F-02-02</t>
        </is>
      </c>
      <c r="AN460" s="30" t="inlineStr">
        <is>
          <t>T-0401</t>
        </is>
      </c>
      <c r="AO460" s="30" t="inlineStr">
        <is>
          <t>F-05-02</t>
        </is>
      </c>
    </row>
    <row r="461">
      <c r="A461" s="30" t="inlineStr">
        <is>
          <t>O0460</t>
        </is>
      </c>
      <c r="B461" s="30" t="inlineStr">
        <is>
          <t>G</t>
        </is>
      </c>
      <c r="C461" s="31" t="n">
        <v>6188.3</v>
      </c>
      <c r="D461" s="31" t="n">
        <v>22281.3</v>
      </c>
      <c r="E461" s="31" t="n">
        <v>22281.3</v>
      </c>
      <c r="F461" s="31" t="n">
        <v>22292.2</v>
      </c>
      <c r="G461" s="31" t="n">
        <v>22318.4</v>
      </c>
      <c r="H461" s="31" t="n">
        <v>22322.9</v>
      </c>
      <c r="I461" s="31" t="n">
        <v>22346.8</v>
      </c>
      <c r="J461" s="31" t="n">
        <v>22373.4</v>
      </c>
      <c r="K461" s="31" t="n">
        <v>16185.1</v>
      </c>
      <c r="L461" s="31" t="n">
        <v>16093</v>
      </c>
      <c r="M461" s="30" t="inlineStr">
        <is>
          <t>AMR3</t>
        </is>
      </c>
      <c r="N461" s="30" t="inlineStr">
        <is>
          <t>AMR1</t>
        </is>
      </c>
      <c r="O461" s="32" t="n">
        <v>0</v>
      </c>
      <c r="P461" s="32" t="n">
        <v>0</v>
      </c>
      <c r="Q461" s="32" t="n">
        <v>17</v>
      </c>
      <c r="R461" s="31" t="n">
        <v>33.8</v>
      </c>
      <c r="S461" s="31" t="n">
        <v>33.8</v>
      </c>
      <c r="T461" s="30" t="inlineStr">
        <is>
          <t>AMR3</t>
        </is>
      </c>
      <c r="U461" s="31" t="n">
        <v>52.2</v>
      </c>
      <c r="V461" s="31" t="n">
        <v>52.2</v>
      </c>
      <c r="W461" s="30" t="inlineStr">
        <is>
          <t>AMR1</t>
        </is>
      </c>
      <c r="X461" s="32" t="n">
        <v>0</v>
      </c>
      <c r="Y461" s="32" t="n">
        <v>0</v>
      </c>
      <c r="Z461" s="31" t="n">
        <v>0</v>
      </c>
      <c r="AA461" s="32" t="n">
        <v>0</v>
      </c>
      <c r="AB461" s="32" t="n">
        <v>0</v>
      </c>
      <c r="AC461" s="32" t="n">
        <v>0</v>
      </c>
      <c r="AD461" s="32" t="n">
        <v>0</v>
      </c>
      <c r="AE461" s="31" t="n">
        <v>0</v>
      </c>
      <c r="AF461" s="32" t="n">
        <v>0</v>
      </c>
      <c r="AG461" s="31" t="n">
        <v>0</v>
      </c>
      <c r="AH461" s="32" t="n">
        <v>46</v>
      </c>
      <c r="AI461" s="31" t="n">
        <v>50.4</v>
      </c>
      <c r="AJ461" s="31" t="n">
        <v>35.6</v>
      </c>
      <c r="AK461" s="31" t="n">
        <v>1.6</v>
      </c>
      <c r="AL461" s="30" t="inlineStr">
        <is>
          <t>T-0610</t>
        </is>
      </c>
      <c r="AM461" s="30" t="inlineStr">
        <is>
          <t>G-03-01</t>
        </is>
      </c>
      <c r="AN461" s="30" t="inlineStr">
        <is>
          <t>T-0396</t>
        </is>
      </c>
      <c r="AO461" s="30" t="inlineStr">
        <is>
          <t>G-06-01</t>
        </is>
      </c>
    </row>
    <row r="462">
      <c r="A462" s="30" t="inlineStr">
        <is>
          <t>O0461</t>
        </is>
      </c>
      <c r="B462" s="30" t="inlineStr">
        <is>
          <t>G</t>
        </is>
      </c>
      <c r="C462" s="31" t="n">
        <v>6207</v>
      </c>
      <c r="D462" s="31" t="n">
        <v>22335.9</v>
      </c>
      <c r="E462" s="31" t="n">
        <v>22335.9</v>
      </c>
      <c r="F462" s="31" t="n">
        <v>22352.1</v>
      </c>
      <c r="G462" s="31" t="n">
        <v>22376.1</v>
      </c>
      <c r="H462" s="31" t="n">
        <v>22391.6</v>
      </c>
      <c r="I462" s="31" t="n">
        <v>22417.2</v>
      </c>
      <c r="J462" s="31" t="n">
        <v>22444.6</v>
      </c>
      <c r="K462" s="31" t="n">
        <v>16237.6</v>
      </c>
      <c r="L462" s="31" t="n">
        <v>16128.9</v>
      </c>
      <c r="M462" s="30" t="inlineStr">
        <is>
          <t>AMR3</t>
        </is>
      </c>
      <c r="N462" s="30" t="inlineStr">
        <is>
          <t>AMR3</t>
        </is>
      </c>
      <c r="O462" s="32" t="n">
        <v>0</v>
      </c>
      <c r="P462" s="32" t="n">
        <v>0</v>
      </c>
      <c r="Q462" s="32" t="n">
        <v>17</v>
      </c>
      <c r="R462" s="31" t="n">
        <v>40.1</v>
      </c>
      <c r="S462" s="31" t="n">
        <v>40.1</v>
      </c>
      <c r="T462" s="30" t="inlineStr">
        <is>
          <t>AMR3</t>
        </is>
      </c>
      <c r="U462" s="31" t="n">
        <v>52.7</v>
      </c>
      <c r="V462" s="31" t="n">
        <v>52.7</v>
      </c>
      <c r="W462" s="30" t="inlineStr">
        <is>
          <t>AMR3</t>
        </is>
      </c>
      <c r="X462" s="32" t="n">
        <v>0</v>
      </c>
      <c r="Y462" s="32" t="n">
        <v>0</v>
      </c>
      <c r="Z462" s="31" t="n">
        <v>0</v>
      </c>
      <c r="AA462" s="32" t="n">
        <v>0</v>
      </c>
      <c r="AB462" s="32" t="n">
        <v>0</v>
      </c>
      <c r="AC462" s="32" t="n">
        <v>0</v>
      </c>
      <c r="AD462" s="32" t="n">
        <v>0</v>
      </c>
      <c r="AE462" s="31" t="n">
        <v>0</v>
      </c>
      <c r="AF462" s="32" t="n">
        <v>0</v>
      </c>
      <c r="AG462" s="31" t="n">
        <v>0</v>
      </c>
      <c r="AH462" s="32" t="n">
        <v>46</v>
      </c>
      <c r="AI462" s="31" t="n">
        <v>50.8</v>
      </c>
      <c r="AJ462" s="31" t="n">
        <v>42.4</v>
      </c>
      <c r="AK462" s="31" t="n">
        <v>0</v>
      </c>
      <c r="AL462" s="30" t="inlineStr">
        <is>
          <t>T-0611</t>
        </is>
      </c>
      <c r="AM462" s="30" t="inlineStr">
        <is>
          <t>G-06-01</t>
        </is>
      </c>
      <c r="AN462" s="30" t="inlineStr">
        <is>
          <t>T-0412</t>
        </is>
      </c>
      <c r="AO462" s="30" t="inlineStr">
        <is>
          <t>G-04-01</t>
        </is>
      </c>
    </row>
    <row r="463">
      <c r="A463" s="30" t="inlineStr">
        <is>
          <t>O0462</t>
        </is>
      </c>
      <c r="B463" s="30" t="inlineStr">
        <is>
          <t>A</t>
        </is>
      </c>
      <c r="C463" s="31" t="n">
        <v>6225.8</v>
      </c>
      <c r="D463" s="31" t="n">
        <v>22397.1</v>
      </c>
      <c r="E463" s="31" t="n">
        <v>22397.1</v>
      </c>
      <c r="F463" s="31" t="n">
        <v>22410.7</v>
      </c>
      <c r="G463" s="31" t="n">
        <v>22443.3</v>
      </c>
      <c r="H463" s="31" t="n">
        <v>22464.9</v>
      </c>
      <c r="I463" s="31" t="n">
        <v>22492.7</v>
      </c>
      <c r="J463" s="31" t="n">
        <v>22528.6</v>
      </c>
      <c r="K463" s="31" t="n">
        <v>16302.8</v>
      </c>
      <c r="L463" s="31" t="n">
        <v>16171.3</v>
      </c>
      <c r="M463" s="30" t="inlineStr">
        <is>
          <t>AMR1</t>
        </is>
      </c>
      <c r="N463" s="30" t="inlineStr">
        <is>
          <t>AMR1</t>
        </is>
      </c>
      <c r="O463" s="32" t="n">
        <v>0</v>
      </c>
      <c r="P463" s="32" t="n">
        <v>0</v>
      </c>
      <c r="Q463" s="32" t="n">
        <v>21</v>
      </c>
      <c r="R463" s="31" t="n">
        <v>43.7</v>
      </c>
      <c r="S463" s="31" t="n">
        <v>43.7</v>
      </c>
      <c r="T463" s="30" t="inlineStr">
        <is>
          <t>AMR1</t>
        </is>
      </c>
      <c r="U463" s="31" t="n">
        <v>61.9</v>
      </c>
      <c r="V463" s="31" t="n">
        <v>61.9</v>
      </c>
      <c r="W463" s="30" t="inlineStr">
        <is>
          <t>AMR1</t>
        </is>
      </c>
      <c r="X463" s="32" t="n">
        <v>0</v>
      </c>
      <c r="Y463" s="32" t="n">
        <v>0</v>
      </c>
      <c r="Z463" s="31" t="n">
        <v>0</v>
      </c>
      <c r="AA463" s="32" t="n">
        <v>0</v>
      </c>
      <c r="AB463" s="32" t="n">
        <v>0</v>
      </c>
      <c r="AC463" s="32" t="n">
        <v>0</v>
      </c>
      <c r="AD463" s="32" t="n">
        <v>0</v>
      </c>
      <c r="AE463" s="31" t="n">
        <v>0</v>
      </c>
      <c r="AF463" s="32" t="n">
        <v>0</v>
      </c>
      <c r="AG463" s="31" t="n">
        <v>0</v>
      </c>
      <c r="AH463" s="32" t="n">
        <v>67</v>
      </c>
      <c r="AI463" s="31" t="n">
        <v>66.40000000000001</v>
      </c>
      <c r="AJ463" s="31" t="n">
        <v>43.5</v>
      </c>
      <c r="AK463" s="31" t="n">
        <v>0</v>
      </c>
      <c r="AL463" s="30" t="inlineStr">
        <is>
          <t>T-0612</t>
        </is>
      </c>
      <c r="AM463" s="30" t="inlineStr">
        <is>
          <t>A-01-03</t>
        </is>
      </c>
      <c r="AN463" s="30" t="inlineStr">
        <is>
          <t>T-0273</t>
        </is>
      </c>
      <c r="AO463" s="30" t="inlineStr">
        <is>
          <t>A-03-03</t>
        </is>
      </c>
    </row>
    <row r="464">
      <c r="A464" s="30" t="inlineStr">
        <is>
          <t>O0463</t>
        </is>
      </c>
      <c r="B464" s="30" t="inlineStr">
        <is>
          <t>F</t>
        </is>
      </c>
      <c r="C464" s="31" t="n">
        <v>6250.1</v>
      </c>
      <c r="D464" s="31" t="n">
        <v>22410.1</v>
      </c>
      <c r="E464" s="31" t="n">
        <v>22410.1</v>
      </c>
      <c r="F464" s="31" t="n">
        <v>22421.4</v>
      </c>
      <c r="G464" s="31" t="n">
        <v>22452.2</v>
      </c>
      <c r="H464" s="31" t="n">
        <v>22468.3</v>
      </c>
      <c r="I464" s="31" t="n">
        <v>22502.3</v>
      </c>
      <c r="J464" s="31" t="n">
        <v>22542.4</v>
      </c>
      <c r="K464" s="31" t="n">
        <v>16292.3</v>
      </c>
      <c r="L464" s="31" t="n">
        <v>16160</v>
      </c>
      <c r="M464" s="30" t="inlineStr">
        <is>
          <t>AMR2</t>
        </is>
      </c>
      <c r="N464" s="30" t="inlineStr">
        <is>
          <t>AMR3</t>
        </is>
      </c>
      <c r="O464" s="32" t="n">
        <v>0</v>
      </c>
      <c r="P464" s="32" t="n">
        <v>0</v>
      </c>
      <c r="Q464" s="32" t="n">
        <v>23</v>
      </c>
      <c r="R464" s="31" t="n">
        <v>40.4</v>
      </c>
      <c r="S464" s="31" t="n">
        <v>40.4</v>
      </c>
      <c r="T464" s="30" t="inlineStr">
        <is>
          <t>AMR2</t>
        </is>
      </c>
      <c r="U464" s="31" t="n">
        <v>65.09999999999999</v>
      </c>
      <c r="V464" s="31" t="n">
        <v>65.09999999999999</v>
      </c>
      <c r="W464" s="30" t="inlineStr">
        <is>
          <t>AMR3</t>
        </is>
      </c>
      <c r="X464" s="32" t="n">
        <v>0</v>
      </c>
      <c r="Y464" s="32" t="n">
        <v>0</v>
      </c>
      <c r="Z464" s="31" t="n">
        <v>0</v>
      </c>
      <c r="AA464" s="32" t="n">
        <v>0</v>
      </c>
      <c r="AB464" s="32" t="n">
        <v>0</v>
      </c>
      <c r="AC464" s="32" t="n">
        <v>0</v>
      </c>
      <c r="AD464" s="32" t="n">
        <v>1</v>
      </c>
      <c r="AE464" s="31" t="n">
        <v>5.2</v>
      </c>
      <c r="AF464" s="32" t="n">
        <v>1</v>
      </c>
      <c r="AG464" s="31" t="n">
        <v>0.2</v>
      </c>
      <c r="AH464" s="32" t="n">
        <v>70</v>
      </c>
      <c r="AI464" s="31" t="n">
        <v>69.2</v>
      </c>
      <c r="AJ464" s="31" t="n">
        <v>40.3</v>
      </c>
      <c r="AK464" s="31" t="n">
        <v>6.7</v>
      </c>
      <c r="AL464" s="30" t="inlineStr">
        <is>
          <t>T-0613</t>
        </is>
      </c>
      <c r="AM464" s="30" t="inlineStr">
        <is>
          <t>F-03-02</t>
        </is>
      </c>
      <c r="AN464" s="30" t="inlineStr">
        <is>
          <t>T-0419</t>
        </is>
      </c>
      <c r="AO464" s="30" t="inlineStr">
        <is>
          <t>F-02-03</t>
        </is>
      </c>
    </row>
    <row r="465">
      <c r="A465" s="30" t="inlineStr">
        <is>
          <t>O0464</t>
        </is>
      </c>
      <c r="B465" s="30" t="inlineStr">
        <is>
          <t>E</t>
        </is>
      </c>
      <c r="C465" s="31" t="n">
        <v>6266.4</v>
      </c>
      <c r="D465" s="31" t="n">
        <v>22475.1</v>
      </c>
      <c r="E465" s="31" t="n">
        <v>22475.1</v>
      </c>
      <c r="F465" s="31" t="n">
        <v>22487.2</v>
      </c>
      <c r="G465" s="31" t="n">
        <v>22516</v>
      </c>
      <c r="H465" s="31" t="n">
        <v>22536.2</v>
      </c>
      <c r="I465" s="31" t="n">
        <v>22561.9</v>
      </c>
      <c r="J465" s="31" t="n">
        <v>22596</v>
      </c>
      <c r="K465" s="31" t="n">
        <v>16329.6</v>
      </c>
      <c r="L465" s="31" t="n">
        <v>16208.7</v>
      </c>
      <c r="M465" s="30" t="inlineStr">
        <is>
          <t>AMR2</t>
        </is>
      </c>
      <c r="N465" s="30" t="inlineStr">
        <is>
          <t>AMR2</t>
        </is>
      </c>
      <c r="O465" s="32" t="n">
        <v>0</v>
      </c>
      <c r="P465" s="32" t="n">
        <v>0</v>
      </c>
      <c r="Q465" s="32" t="n">
        <v>19</v>
      </c>
      <c r="R465" s="31" t="n">
        <v>38.4</v>
      </c>
      <c r="S465" s="31" t="n">
        <v>38.4</v>
      </c>
      <c r="T465" s="30" t="inlineStr">
        <is>
          <t>AMR2</t>
        </is>
      </c>
      <c r="U465" s="31" t="n">
        <v>60</v>
      </c>
      <c r="V465" s="31" t="n">
        <v>60</v>
      </c>
      <c r="W465" s="30" t="inlineStr">
        <is>
          <t>AMR2</t>
        </is>
      </c>
      <c r="X465" s="32" t="n">
        <v>0</v>
      </c>
      <c r="Y465" s="32" t="n">
        <v>0</v>
      </c>
      <c r="Z465" s="31" t="n">
        <v>0</v>
      </c>
      <c r="AA465" s="32" t="n">
        <v>0</v>
      </c>
      <c r="AB465" s="32" t="n">
        <v>0</v>
      </c>
      <c r="AC465" s="32" t="n">
        <v>0</v>
      </c>
      <c r="AD465" s="32" t="n">
        <v>0</v>
      </c>
      <c r="AE465" s="31" t="n">
        <v>0</v>
      </c>
      <c r="AF465" s="32" t="n">
        <v>0</v>
      </c>
      <c r="AG465" s="31" t="n">
        <v>0</v>
      </c>
      <c r="AH465" s="32" t="n">
        <v>59</v>
      </c>
      <c r="AI465" s="31" t="n">
        <v>59.8</v>
      </c>
      <c r="AJ465" s="31" t="n">
        <v>40.9</v>
      </c>
      <c r="AK465" s="31" t="n">
        <v>0</v>
      </c>
      <c r="AL465" s="30" t="inlineStr">
        <is>
          <t>T-0614</t>
        </is>
      </c>
      <c r="AM465" s="30" t="inlineStr">
        <is>
          <t>E-04-01</t>
        </is>
      </c>
      <c r="AN465" s="30" t="inlineStr">
        <is>
          <t>T-0445</t>
        </is>
      </c>
      <c r="AO465" s="30" t="inlineStr">
        <is>
          <t>E-01-02</t>
        </is>
      </c>
    </row>
    <row r="466">
      <c r="A466" s="30" t="inlineStr">
        <is>
          <t>O0465</t>
        </is>
      </c>
      <c r="B466" s="30" t="inlineStr">
        <is>
          <t>C</t>
        </is>
      </c>
      <c r="C466" s="31" t="n">
        <v>6288.4</v>
      </c>
      <c r="D466" s="31" t="n">
        <v>22552.3</v>
      </c>
      <c r="E466" s="31" t="n">
        <v>22552.3</v>
      </c>
      <c r="F466" s="31" t="n">
        <v>22564.1</v>
      </c>
      <c r="G466" s="31" t="n">
        <v>22587.4</v>
      </c>
      <c r="H466" s="31" t="n">
        <v>22600.2</v>
      </c>
      <c r="I466" s="31" t="n">
        <v>22622.2</v>
      </c>
      <c r="J466" s="31" t="n">
        <v>22652.1</v>
      </c>
      <c r="K466" s="31" t="n">
        <v>16363.7</v>
      </c>
      <c r="L466" s="31" t="n">
        <v>16263.9</v>
      </c>
      <c r="M466" s="30" t="inlineStr">
        <is>
          <t>AMR1</t>
        </is>
      </c>
      <c r="N466" s="30" t="inlineStr">
        <is>
          <t>AMR1</t>
        </is>
      </c>
      <c r="O466" s="32" t="n">
        <v>0</v>
      </c>
      <c r="P466" s="32" t="n">
        <v>0</v>
      </c>
      <c r="Q466" s="32" t="n">
        <v>13</v>
      </c>
      <c r="R466" s="31" t="n">
        <v>32.3</v>
      </c>
      <c r="S466" s="31" t="n">
        <v>32.3</v>
      </c>
      <c r="T466" s="30" t="inlineStr">
        <is>
          <t>AMR1</t>
        </is>
      </c>
      <c r="U466" s="31" t="n">
        <v>50.2</v>
      </c>
      <c r="V466" s="31" t="n">
        <v>50.2</v>
      </c>
      <c r="W466" s="30" t="inlineStr">
        <is>
          <t>AMR1</t>
        </is>
      </c>
      <c r="X466" s="32" t="n">
        <v>0</v>
      </c>
      <c r="Y466" s="32" t="n">
        <v>0</v>
      </c>
      <c r="Z466" s="31" t="n">
        <v>0</v>
      </c>
      <c r="AA466" s="32" t="n">
        <v>0</v>
      </c>
      <c r="AB466" s="32" t="n">
        <v>0</v>
      </c>
      <c r="AC466" s="32" t="n">
        <v>0</v>
      </c>
      <c r="AD466" s="32" t="n">
        <v>1</v>
      </c>
      <c r="AE466" s="31" t="n">
        <v>1.9</v>
      </c>
      <c r="AF466" s="32" t="n">
        <v>0</v>
      </c>
      <c r="AG466" s="31" t="n">
        <v>0</v>
      </c>
      <c r="AH466" s="32" t="n">
        <v>39</v>
      </c>
      <c r="AI466" s="31" t="n">
        <v>43.4</v>
      </c>
      <c r="AJ466" s="31" t="n">
        <v>40.3</v>
      </c>
      <c r="AK466" s="31" t="n">
        <v>3.3</v>
      </c>
      <c r="AL466" s="30" t="inlineStr">
        <is>
          <t>T-0615</t>
        </is>
      </c>
      <c r="AM466" s="30" t="inlineStr">
        <is>
          <t>C-04-01</t>
        </is>
      </c>
      <c r="AN466" s="30" t="inlineStr">
        <is>
          <t>T-0500</t>
        </is>
      </c>
      <c r="AO466" s="30" t="inlineStr">
        <is>
          <t>C-05-01</t>
        </is>
      </c>
    </row>
    <row r="467">
      <c r="A467" s="30" t="inlineStr">
        <is>
          <t>O0466</t>
        </is>
      </c>
      <c r="B467" s="30" t="inlineStr">
        <is>
          <t>J</t>
        </is>
      </c>
      <c r="C467" s="31" t="n">
        <v>6308.1</v>
      </c>
      <c r="D467" s="31" t="n">
        <v>22566.1</v>
      </c>
      <c r="E467" s="31" t="n">
        <v>22566.1</v>
      </c>
      <c r="F467" s="31" t="n">
        <v>22576.6</v>
      </c>
      <c r="G467" s="31" t="n">
        <v>22610.2</v>
      </c>
      <c r="H467" s="31" t="n">
        <v>22619.7</v>
      </c>
      <c r="I467" s="31" t="n">
        <v>22652</v>
      </c>
      <c r="J467" s="31" t="n">
        <v>22684.7</v>
      </c>
      <c r="K467" s="31" t="n">
        <v>16376.6</v>
      </c>
      <c r="L467" s="31" t="n">
        <v>16258</v>
      </c>
      <c r="M467" s="30" t="inlineStr">
        <is>
          <t>AMR3</t>
        </is>
      </c>
      <c r="N467" s="30" t="inlineStr">
        <is>
          <t>AMR2</t>
        </is>
      </c>
      <c r="O467" s="32" t="n">
        <v>0</v>
      </c>
      <c r="P467" s="32" t="n">
        <v>0</v>
      </c>
      <c r="Q467" s="32" t="n">
        <v>21</v>
      </c>
      <c r="R467" s="31" t="n">
        <v>41.6</v>
      </c>
      <c r="S467" s="31" t="n">
        <v>41.6</v>
      </c>
      <c r="T467" s="30" t="inlineStr">
        <is>
          <t>AMR3</t>
        </is>
      </c>
      <c r="U467" s="31" t="n">
        <v>61.7</v>
      </c>
      <c r="V467" s="31" t="n">
        <v>61.7</v>
      </c>
      <c r="W467" s="30" t="inlineStr">
        <is>
          <t>AMR2</t>
        </is>
      </c>
      <c r="X467" s="32" t="n">
        <v>0</v>
      </c>
      <c r="Y467" s="32" t="n">
        <v>0</v>
      </c>
      <c r="Z467" s="31" t="n">
        <v>0</v>
      </c>
      <c r="AA467" s="32" t="n">
        <v>0</v>
      </c>
      <c r="AB467" s="32" t="n">
        <v>0</v>
      </c>
      <c r="AC467" s="32" t="n">
        <v>0</v>
      </c>
      <c r="AD467" s="32" t="n">
        <v>0</v>
      </c>
      <c r="AE467" s="31" t="n">
        <v>0</v>
      </c>
      <c r="AF467" s="32" t="n">
        <v>0</v>
      </c>
      <c r="AG467" s="31" t="n">
        <v>0</v>
      </c>
      <c r="AH467" s="32" t="n">
        <v>65</v>
      </c>
      <c r="AI467" s="31" t="n">
        <v>66.40000000000001</v>
      </c>
      <c r="AJ467" s="31" t="n">
        <v>42.7</v>
      </c>
      <c r="AK467" s="31" t="n">
        <v>0</v>
      </c>
      <c r="AL467" s="30" t="inlineStr">
        <is>
          <t>T-0616</t>
        </is>
      </c>
      <c r="AM467" s="30" t="inlineStr">
        <is>
          <t>J-05-01</t>
        </is>
      </c>
      <c r="AN467" s="30" t="inlineStr">
        <is>
          <t>T-0511</t>
        </is>
      </c>
      <c r="AO467" s="30" t="inlineStr">
        <is>
          <t>J-04-02</t>
        </is>
      </c>
    </row>
    <row r="468">
      <c r="A468" s="30" t="inlineStr">
        <is>
          <t>O0467</t>
        </is>
      </c>
      <c r="B468" s="30" t="inlineStr">
        <is>
          <t>A</t>
        </is>
      </c>
      <c r="C468" s="31" t="n">
        <v>6332.1</v>
      </c>
      <c r="D468" s="31" t="n">
        <v>22632.4</v>
      </c>
      <c r="E468" s="31" t="n">
        <v>22632.4</v>
      </c>
      <c r="F468" s="31" t="n">
        <v>22646.1</v>
      </c>
      <c r="G468" s="31" t="n">
        <v>22675.2</v>
      </c>
      <c r="H468" s="31" t="n">
        <v>22677.3</v>
      </c>
      <c r="I468" s="31" t="n">
        <v>22705.5</v>
      </c>
      <c r="J468" s="31" t="n">
        <v>22741.3</v>
      </c>
      <c r="K468" s="31" t="n">
        <v>16409.2</v>
      </c>
      <c r="L468" s="31" t="n">
        <v>16300.3</v>
      </c>
      <c r="M468" s="30" t="inlineStr">
        <is>
          <t>AMR3</t>
        </is>
      </c>
      <c r="N468" s="30" t="inlineStr">
        <is>
          <t>AMR1</t>
        </is>
      </c>
      <c r="O468" s="32" t="n">
        <v>0</v>
      </c>
      <c r="P468" s="32" t="n">
        <v>0</v>
      </c>
      <c r="Q468" s="32" t="n">
        <v>21</v>
      </c>
      <c r="R468" s="31" t="n">
        <v>40.3</v>
      </c>
      <c r="S468" s="31" t="n">
        <v>40.3</v>
      </c>
      <c r="T468" s="30" t="inlineStr">
        <is>
          <t>AMR3</t>
        </is>
      </c>
      <c r="U468" s="31" t="n">
        <v>64.7</v>
      </c>
      <c r="V468" s="31" t="n">
        <v>64.7</v>
      </c>
      <c r="W468" s="30" t="inlineStr">
        <is>
          <t>AMR1</t>
        </is>
      </c>
      <c r="X468" s="32" t="n">
        <v>0</v>
      </c>
      <c r="Y468" s="32" t="n">
        <v>0</v>
      </c>
      <c r="Z468" s="31" t="n">
        <v>0</v>
      </c>
      <c r="AA468" s="32" t="n">
        <v>0</v>
      </c>
      <c r="AB468" s="32" t="n">
        <v>0</v>
      </c>
      <c r="AC468" s="32" t="n">
        <v>0</v>
      </c>
      <c r="AD468" s="32" t="n">
        <v>0</v>
      </c>
      <c r="AE468" s="31" t="n">
        <v>0</v>
      </c>
      <c r="AF468" s="32" t="n">
        <v>0</v>
      </c>
      <c r="AG468" s="31" t="n">
        <v>0</v>
      </c>
      <c r="AH468" s="32" t="n">
        <v>65</v>
      </c>
      <c r="AI468" s="31" t="n">
        <v>63.9</v>
      </c>
      <c r="AJ468" s="31" t="n">
        <v>42.9</v>
      </c>
      <c r="AK468" s="31" t="n">
        <v>0</v>
      </c>
      <c r="AL468" s="30" t="inlineStr">
        <is>
          <t>T-0617</t>
        </is>
      </c>
      <c r="AM468" s="30" t="inlineStr">
        <is>
          <t>A-02-03</t>
        </is>
      </c>
      <c r="AN468" s="30" t="inlineStr">
        <is>
          <t>T-0354</t>
        </is>
      </c>
      <c r="AO468" s="30" t="inlineStr">
        <is>
          <t>A-04-03</t>
        </is>
      </c>
    </row>
    <row r="469">
      <c r="A469" s="30" t="inlineStr">
        <is>
          <t>O0468</t>
        </is>
      </c>
      <c r="B469" s="30" t="inlineStr">
        <is>
          <t>C</t>
        </is>
      </c>
      <c r="C469" s="31" t="n">
        <v>6349.3</v>
      </c>
      <c r="D469" s="31" t="n">
        <v>22696.8</v>
      </c>
      <c r="E469" s="31" t="n">
        <v>22696.8</v>
      </c>
      <c r="F469" s="31" t="n">
        <v>22712</v>
      </c>
      <c r="G469" s="31" t="n">
        <v>22734.5</v>
      </c>
      <c r="H469" s="31" t="n">
        <v>22747.3</v>
      </c>
      <c r="I469" s="31" t="n">
        <v>22768.3</v>
      </c>
      <c r="J469" s="31" t="n">
        <v>22793.5</v>
      </c>
      <c r="K469" s="31" t="n">
        <v>16444.2</v>
      </c>
      <c r="L469" s="31" t="n">
        <v>16347.5</v>
      </c>
      <c r="M469" s="30" t="inlineStr">
        <is>
          <t>AMR3</t>
        </is>
      </c>
      <c r="N469" s="30" t="inlineStr">
        <is>
          <t>AMR3</t>
        </is>
      </c>
      <c r="O469" s="32" t="n">
        <v>0</v>
      </c>
      <c r="P469" s="32" t="n">
        <v>0</v>
      </c>
      <c r="Q469" s="32" t="n">
        <v>13</v>
      </c>
      <c r="R469" s="31" t="n">
        <v>36.8</v>
      </c>
      <c r="S469" s="31" t="n">
        <v>36.8</v>
      </c>
      <c r="T469" s="30" t="inlineStr">
        <is>
          <t>AMR3</t>
        </is>
      </c>
      <c r="U469" s="31" t="n">
        <v>45.9</v>
      </c>
      <c r="V469" s="31" t="n">
        <v>45.9</v>
      </c>
      <c r="W469" s="30" t="inlineStr">
        <is>
          <t>AMR3</t>
        </is>
      </c>
      <c r="X469" s="32" t="n">
        <v>0</v>
      </c>
      <c r="Y469" s="32" t="n">
        <v>0</v>
      </c>
      <c r="Z469" s="31" t="n">
        <v>0</v>
      </c>
      <c r="AA469" s="32" t="n">
        <v>0</v>
      </c>
      <c r="AB469" s="32" t="n">
        <v>0</v>
      </c>
      <c r="AC469" s="32" t="n">
        <v>0</v>
      </c>
      <c r="AD469" s="32" t="n">
        <v>0</v>
      </c>
      <c r="AE469" s="31" t="n">
        <v>0</v>
      </c>
      <c r="AF469" s="32" t="n">
        <v>0</v>
      </c>
      <c r="AG469" s="31" t="n">
        <v>0</v>
      </c>
      <c r="AH469" s="32" t="n">
        <v>39</v>
      </c>
      <c r="AI469" s="31" t="n">
        <v>43.4</v>
      </c>
      <c r="AJ469" s="31" t="n">
        <v>40.5</v>
      </c>
      <c r="AK469" s="31" t="n">
        <v>0</v>
      </c>
      <c r="AL469" s="30" t="inlineStr">
        <is>
          <t>T-0618</t>
        </is>
      </c>
      <c r="AM469" s="30" t="inlineStr">
        <is>
          <t>C-05-01</t>
        </is>
      </c>
      <c r="AN469" s="30" t="inlineStr">
        <is>
          <t>T-0501</t>
        </is>
      </c>
      <c r="AO469" s="30" t="inlineStr">
        <is>
          <t>C-05-03</t>
        </is>
      </c>
    </row>
    <row r="470">
      <c r="A470" s="30" t="inlineStr">
        <is>
          <t>O0469</t>
        </is>
      </c>
      <c r="B470" s="30" t="inlineStr">
        <is>
          <t>J</t>
        </is>
      </c>
      <c r="C470" s="31" t="n">
        <v>6373.7</v>
      </c>
      <c r="D470" s="31" t="n">
        <v>22712.1</v>
      </c>
      <c r="E470" s="31" t="n">
        <v>22712.1</v>
      </c>
      <c r="F470" s="31" t="n">
        <v>22725.7</v>
      </c>
      <c r="G470" s="31" t="n">
        <v>22756</v>
      </c>
      <c r="H470" s="31" t="n">
        <v>22765</v>
      </c>
      <c r="I470" s="31" t="n">
        <v>22797.1</v>
      </c>
      <c r="J470" s="31" t="n">
        <v>22834.7</v>
      </c>
      <c r="K470" s="31" t="n">
        <v>16461</v>
      </c>
      <c r="L470" s="31" t="n">
        <v>16338.4</v>
      </c>
      <c r="M470" s="30" t="inlineStr">
        <is>
          <t>AMR2</t>
        </is>
      </c>
      <c r="N470" s="30" t="inlineStr">
        <is>
          <t>AMR1</t>
        </is>
      </c>
      <c r="O470" s="32" t="n">
        <v>0</v>
      </c>
      <c r="P470" s="32" t="n">
        <v>0</v>
      </c>
      <c r="Q470" s="32" t="n">
        <v>21</v>
      </c>
      <c r="R470" s="31" t="n">
        <v>41.4</v>
      </c>
      <c r="S470" s="31" t="n">
        <v>41.4</v>
      </c>
      <c r="T470" s="30" t="inlineStr">
        <is>
          <t>AMR2</t>
        </is>
      </c>
      <c r="U470" s="31" t="n">
        <v>64.40000000000001</v>
      </c>
      <c r="V470" s="31" t="n">
        <v>64.40000000000001</v>
      </c>
      <c r="W470" s="30" t="inlineStr">
        <is>
          <t>AMR1</t>
        </is>
      </c>
      <c r="X470" s="32" t="n">
        <v>0</v>
      </c>
      <c r="Y470" s="32" t="n">
        <v>0</v>
      </c>
      <c r="Z470" s="31" t="n">
        <v>0</v>
      </c>
      <c r="AA470" s="32" t="n">
        <v>0</v>
      </c>
      <c r="AB470" s="32" t="n">
        <v>0</v>
      </c>
      <c r="AC470" s="32" t="n">
        <v>0</v>
      </c>
      <c r="AD470" s="32" t="n">
        <v>1</v>
      </c>
      <c r="AE470" s="31" t="n">
        <v>2</v>
      </c>
      <c r="AF470" s="32" t="n">
        <v>0</v>
      </c>
      <c r="AG470" s="31" t="n">
        <v>0</v>
      </c>
      <c r="AH470" s="32" t="n">
        <v>65</v>
      </c>
      <c r="AI470" s="31" t="n">
        <v>66.40000000000001</v>
      </c>
      <c r="AJ470" s="31" t="n">
        <v>45.2</v>
      </c>
      <c r="AK470" s="31" t="n">
        <v>2</v>
      </c>
      <c r="AL470" s="30" t="inlineStr">
        <is>
          <t>T-0619</t>
        </is>
      </c>
      <c r="AM470" s="30" t="inlineStr">
        <is>
          <t>J-04-02</t>
        </is>
      </c>
      <c r="AN470" s="30" t="inlineStr">
        <is>
          <t>T-0544</t>
        </is>
      </c>
      <c r="AO470" s="30" t="inlineStr">
        <is>
          <t>J-05-02</t>
        </is>
      </c>
    </row>
    <row r="471">
      <c r="A471" s="30" t="inlineStr">
        <is>
          <t>O0470</t>
        </is>
      </c>
      <c r="B471" s="30" t="inlineStr">
        <is>
          <t>E</t>
        </is>
      </c>
      <c r="C471" s="31" t="n">
        <v>6392.9</v>
      </c>
      <c r="D471" s="31" t="n">
        <v>22778.2</v>
      </c>
      <c r="E471" s="31" t="n">
        <v>22778.2</v>
      </c>
      <c r="F471" s="31" t="n">
        <v>22789.9</v>
      </c>
      <c r="G471" s="31" t="n">
        <v>22816.3</v>
      </c>
      <c r="H471" s="31" t="n">
        <v>22817.2</v>
      </c>
      <c r="I471" s="31" t="n">
        <v>22843.6</v>
      </c>
      <c r="J471" s="31" t="n">
        <v>22877.5</v>
      </c>
      <c r="K471" s="31" t="n">
        <v>16484.6</v>
      </c>
      <c r="L471" s="31" t="n">
        <v>16385.3</v>
      </c>
      <c r="M471" s="30" t="inlineStr">
        <is>
          <t>AMR2</t>
        </is>
      </c>
      <c r="N471" s="30" t="inlineStr">
        <is>
          <t>AMR3</t>
        </is>
      </c>
      <c r="O471" s="32" t="n">
        <v>0</v>
      </c>
      <c r="P471" s="32" t="n">
        <v>0</v>
      </c>
      <c r="Q471" s="32" t="n">
        <v>19</v>
      </c>
      <c r="R471" s="31" t="n">
        <v>37.2</v>
      </c>
      <c r="S471" s="31" t="n">
        <v>37.2</v>
      </c>
      <c r="T471" s="30" t="inlineStr">
        <is>
          <t>AMR2</t>
        </is>
      </c>
      <c r="U471" s="31" t="n">
        <v>57</v>
      </c>
      <c r="V471" s="31" t="n">
        <v>57</v>
      </c>
      <c r="W471" s="30" t="inlineStr">
        <is>
          <t>AMR3</t>
        </is>
      </c>
      <c r="X471" s="32" t="n">
        <v>0</v>
      </c>
      <c r="Y471" s="32" t="n">
        <v>0</v>
      </c>
      <c r="Z471" s="31" t="n">
        <v>0</v>
      </c>
      <c r="AA471" s="32" t="n">
        <v>0</v>
      </c>
      <c r="AB471" s="32" t="n">
        <v>0</v>
      </c>
      <c r="AC471" s="32" t="n">
        <v>0</v>
      </c>
      <c r="AD471" s="32" t="n">
        <v>0</v>
      </c>
      <c r="AE471" s="31" t="n">
        <v>0</v>
      </c>
      <c r="AF471" s="32" t="n">
        <v>0</v>
      </c>
      <c r="AG471" s="31" t="n">
        <v>0</v>
      </c>
      <c r="AH471" s="32" t="n">
        <v>61</v>
      </c>
      <c r="AI471" s="31" t="n">
        <v>61.7</v>
      </c>
      <c r="AJ471" s="31" t="n">
        <v>36.7</v>
      </c>
      <c r="AK471" s="31" t="n">
        <v>0</v>
      </c>
      <c r="AL471" s="30" t="inlineStr">
        <is>
          <t>T-0620</t>
        </is>
      </c>
      <c r="AM471" s="30" t="inlineStr">
        <is>
          <t>E-01-02</t>
        </is>
      </c>
      <c r="AN471" s="30" t="inlineStr">
        <is>
          <t>T-0446</t>
        </is>
      </c>
      <c r="AO471" s="30" t="inlineStr">
        <is>
          <t>E-05-03</t>
        </is>
      </c>
    </row>
    <row r="472">
      <c r="A472" s="30" t="inlineStr">
        <is>
          <t>O0471</t>
        </is>
      </c>
      <c r="B472" s="30" t="inlineStr">
        <is>
          <t>A</t>
        </is>
      </c>
      <c r="C472" s="31" t="n">
        <v>6410.9</v>
      </c>
      <c r="D472" s="31" t="n">
        <v>22834.5</v>
      </c>
      <c r="E472" s="31" t="n">
        <v>22834.5</v>
      </c>
      <c r="F472" s="31" t="n">
        <v>22849.3</v>
      </c>
      <c r="G472" s="31" t="n">
        <v>22880.6</v>
      </c>
      <c r="H472" s="31" t="n">
        <v>22901.2</v>
      </c>
      <c r="I472" s="31" t="n">
        <v>22938.2</v>
      </c>
      <c r="J472" s="31" t="n">
        <v>22988.3</v>
      </c>
      <c r="K472" s="31" t="n">
        <v>16577.4</v>
      </c>
      <c r="L472" s="31" t="n">
        <v>16423.6</v>
      </c>
      <c r="M472" s="30" t="inlineStr">
        <is>
          <t>AMR2</t>
        </is>
      </c>
      <c r="N472" s="30" t="inlineStr">
        <is>
          <t>AMR3</t>
        </is>
      </c>
      <c r="O472" s="32" t="n">
        <v>0</v>
      </c>
      <c r="P472" s="32" t="n">
        <v>0</v>
      </c>
      <c r="Q472" s="32" t="n">
        <v>21</v>
      </c>
      <c r="R472" s="31" t="n">
        <v>44.4</v>
      </c>
      <c r="S472" s="31" t="n">
        <v>44.4</v>
      </c>
      <c r="T472" s="30" t="inlineStr">
        <is>
          <t>AMR2</t>
        </is>
      </c>
      <c r="U472" s="31" t="n">
        <v>66.7</v>
      </c>
      <c r="V472" s="31" t="n">
        <v>66.7</v>
      </c>
      <c r="W472" s="30" t="inlineStr">
        <is>
          <t>AMR3</t>
        </is>
      </c>
      <c r="X472" s="32" t="n">
        <v>0</v>
      </c>
      <c r="Y472" s="32" t="n">
        <v>0</v>
      </c>
      <c r="Z472" s="31" t="n">
        <v>0</v>
      </c>
      <c r="AA472" s="32" t="n">
        <v>0</v>
      </c>
      <c r="AB472" s="32" t="n">
        <v>0</v>
      </c>
      <c r="AC472" s="32" t="n">
        <v>1</v>
      </c>
      <c r="AD472" s="32" t="n">
        <v>1</v>
      </c>
      <c r="AE472" s="31" t="n">
        <v>11.3</v>
      </c>
      <c r="AF472" s="32" t="n">
        <v>1</v>
      </c>
      <c r="AG472" s="31" t="n">
        <v>6.3</v>
      </c>
      <c r="AH472" s="32" t="n">
        <v>68</v>
      </c>
      <c r="AI472" s="31" t="n">
        <v>69.90000000000001</v>
      </c>
      <c r="AJ472" s="31" t="n">
        <v>49</v>
      </c>
      <c r="AK472" s="31" t="n">
        <v>14.3</v>
      </c>
      <c r="AL472" s="30" t="inlineStr">
        <is>
          <t>T-0621</t>
        </is>
      </c>
      <c r="AM472" s="30" t="inlineStr">
        <is>
          <t>A-03-03</t>
        </is>
      </c>
      <c r="AN472" s="30" t="inlineStr">
        <is>
          <t>T-0367</t>
        </is>
      </c>
      <c r="AO472" s="30" t="inlineStr">
        <is>
          <t>A-02-01</t>
        </is>
      </c>
    </row>
    <row r="473">
      <c r="A473" s="30" t="inlineStr">
        <is>
          <t>O0472</t>
        </is>
      </c>
      <c r="B473" s="30" t="inlineStr">
        <is>
          <t>J</t>
        </is>
      </c>
      <c r="C473" s="31" t="n">
        <v>6430.1</v>
      </c>
      <c r="D473" s="31" t="n">
        <v>22858.4</v>
      </c>
      <c r="E473" s="31" t="n">
        <v>22858.4</v>
      </c>
      <c r="F473" s="31" t="n">
        <v>22871.4</v>
      </c>
      <c r="G473" s="31" t="n">
        <v>22902.2</v>
      </c>
      <c r="H473" s="31" t="n">
        <v>22907.7</v>
      </c>
      <c r="I473" s="31" t="n">
        <v>22939.8</v>
      </c>
      <c r="J473" s="31" t="n">
        <v>22972.7</v>
      </c>
      <c r="K473" s="31" t="n">
        <v>16542.6</v>
      </c>
      <c r="L473" s="31" t="n">
        <v>16428.3</v>
      </c>
      <c r="M473" s="30" t="inlineStr">
        <is>
          <t>AMR1</t>
        </is>
      </c>
      <c r="N473" s="30" t="inlineStr">
        <is>
          <t>AMR2</t>
        </is>
      </c>
      <c r="O473" s="32" t="n">
        <v>0</v>
      </c>
      <c r="P473" s="32" t="n">
        <v>0</v>
      </c>
      <c r="Q473" s="32" t="n">
        <v>21</v>
      </c>
      <c r="R473" s="31" t="n">
        <v>41.3</v>
      </c>
      <c r="S473" s="31" t="n">
        <v>41.3</v>
      </c>
      <c r="T473" s="30" t="inlineStr">
        <is>
          <t>AMR1</t>
        </is>
      </c>
      <c r="U473" s="31" t="n">
        <v>66.2</v>
      </c>
      <c r="V473" s="31" t="n">
        <v>66.2</v>
      </c>
      <c r="W473" s="30" t="inlineStr">
        <is>
          <t>AMR2</t>
        </is>
      </c>
      <c r="X473" s="32" t="n">
        <v>0</v>
      </c>
      <c r="Y473" s="32" t="n">
        <v>0</v>
      </c>
      <c r="Z473" s="31" t="n">
        <v>0</v>
      </c>
      <c r="AA473" s="32" t="n">
        <v>0</v>
      </c>
      <c r="AB473" s="32" t="n">
        <v>0</v>
      </c>
      <c r="AC473" s="32" t="n">
        <v>0</v>
      </c>
      <c r="AD473" s="32" t="n">
        <v>0</v>
      </c>
      <c r="AE473" s="31" t="n">
        <v>0</v>
      </c>
      <c r="AF473" s="32" t="n">
        <v>0</v>
      </c>
      <c r="AG473" s="31" t="n">
        <v>0</v>
      </c>
      <c r="AH473" s="32" t="n">
        <v>61</v>
      </c>
      <c r="AI473" s="31" t="n">
        <v>61.9</v>
      </c>
      <c r="AJ473" s="31" t="n">
        <v>46.9</v>
      </c>
      <c r="AK473" s="31" t="n">
        <v>0</v>
      </c>
      <c r="AL473" s="30" t="inlineStr">
        <is>
          <t>T-0622</t>
        </is>
      </c>
      <c r="AM473" s="30" t="inlineStr">
        <is>
          <t>J-05-02</t>
        </is>
      </c>
      <c r="AN473" s="30" t="inlineStr">
        <is>
          <t>T-0549</t>
        </is>
      </c>
      <c r="AO473" s="30" t="inlineStr">
        <is>
          <t>J-02-03</t>
        </is>
      </c>
    </row>
    <row r="474">
      <c r="A474" s="30" t="inlineStr">
        <is>
          <t>O0473</t>
        </is>
      </c>
      <c r="B474" s="30" t="inlineStr">
        <is>
          <t>H</t>
        </is>
      </c>
      <c r="C474" s="31" t="n">
        <v>6445.8</v>
      </c>
      <c r="D474" s="31" t="n">
        <v>22924.4</v>
      </c>
      <c r="E474" s="31" t="n">
        <v>22924.4</v>
      </c>
      <c r="F474" s="31" t="n">
        <v>22938.5</v>
      </c>
      <c r="G474" s="31" t="n">
        <v>22968.5</v>
      </c>
      <c r="H474" s="31" t="n">
        <v>22983.3</v>
      </c>
      <c r="I474" s="31" t="n">
        <v>23006.8</v>
      </c>
      <c r="J474" s="31" t="n">
        <v>23033.9</v>
      </c>
      <c r="K474" s="31" t="n">
        <v>16588.1</v>
      </c>
      <c r="L474" s="31" t="n">
        <v>16478.6</v>
      </c>
      <c r="M474" s="30" t="inlineStr">
        <is>
          <t>AMR1</t>
        </is>
      </c>
      <c r="N474" s="30" t="inlineStr">
        <is>
          <t>AMR1</t>
        </is>
      </c>
      <c r="O474" s="32" t="n">
        <v>0</v>
      </c>
      <c r="P474" s="32" t="n">
        <v>0</v>
      </c>
      <c r="Q474" s="32" t="n">
        <v>15</v>
      </c>
      <c r="R474" s="31" t="n">
        <v>40.4</v>
      </c>
      <c r="S474" s="31" t="n">
        <v>40.4</v>
      </c>
      <c r="T474" s="30" t="inlineStr">
        <is>
          <t>AMR1</t>
        </is>
      </c>
      <c r="U474" s="31" t="n">
        <v>50.3</v>
      </c>
      <c r="V474" s="31" t="n">
        <v>50.3</v>
      </c>
      <c r="W474" s="30" t="inlineStr">
        <is>
          <t>AMR1</t>
        </is>
      </c>
      <c r="X474" s="32" t="n">
        <v>0</v>
      </c>
      <c r="Y474" s="32" t="n">
        <v>0</v>
      </c>
      <c r="Z474" s="31" t="n">
        <v>0</v>
      </c>
      <c r="AA474" s="32" t="n">
        <v>0</v>
      </c>
      <c r="AB474" s="32" t="n">
        <v>0</v>
      </c>
      <c r="AC474" s="32" t="n">
        <v>0</v>
      </c>
      <c r="AD474" s="32" t="n">
        <v>0</v>
      </c>
      <c r="AE474" s="31" t="n">
        <v>0</v>
      </c>
      <c r="AF474" s="32" t="n">
        <v>0</v>
      </c>
      <c r="AG474" s="31" t="n">
        <v>0</v>
      </c>
      <c r="AH474" s="32" t="n">
        <v>41</v>
      </c>
      <c r="AI474" s="31" t="n">
        <v>46.5</v>
      </c>
      <c r="AJ474" s="31" t="n">
        <v>45.4</v>
      </c>
      <c r="AK474" s="31" t="n">
        <v>2.8</v>
      </c>
      <c r="AL474" s="30" t="inlineStr">
        <is>
          <t>T-0623</t>
        </is>
      </c>
      <c r="AM474" s="30" t="inlineStr">
        <is>
          <t>H-05-01</t>
        </is>
      </c>
      <c r="AN474" s="30" t="inlineStr">
        <is>
          <t>T-0508</t>
        </is>
      </c>
      <c r="AO474" s="30" t="inlineStr">
        <is>
          <t>H-04-03</t>
        </is>
      </c>
    </row>
    <row r="475">
      <c r="A475" s="30" t="inlineStr">
        <is>
          <t>O0474</t>
        </is>
      </c>
      <c r="B475" s="30" t="inlineStr">
        <is>
          <t>I</t>
        </is>
      </c>
      <c r="C475" s="31" t="n">
        <v>6466.1</v>
      </c>
      <c r="D475" s="31" t="n">
        <v>22996.4</v>
      </c>
      <c r="E475" s="31" t="n">
        <v>22996.4</v>
      </c>
      <c r="F475" s="31" t="n">
        <v>23008.7</v>
      </c>
      <c r="G475" s="31" t="n">
        <v>23035.7</v>
      </c>
      <c r="H475" s="31" t="n">
        <v>23052.5</v>
      </c>
      <c r="I475" s="31" t="n">
        <v>23082.5</v>
      </c>
      <c r="J475" s="31" t="n">
        <v>23107.4</v>
      </c>
      <c r="K475" s="31" t="n">
        <v>16641.3</v>
      </c>
      <c r="L475" s="31" t="n">
        <v>16530.3</v>
      </c>
      <c r="M475" s="30" t="inlineStr">
        <is>
          <t>AMR2</t>
        </is>
      </c>
      <c r="N475" s="30" t="inlineStr">
        <is>
          <t>AMR2</t>
        </is>
      </c>
      <c r="O475" s="32" t="n">
        <v>0</v>
      </c>
      <c r="P475" s="32" t="n">
        <v>0</v>
      </c>
      <c r="Q475" s="32" t="n">
        <v>15</v>
      </c>
      <c r="R475" s="31" t="n">
        <v>36.8</v>
      </c>
      <c r="S475" s="31" t="n">
        <v>36.8</v>
      </c>
      <c r="T475" s="30" t="inlineStr">
        <is>
          <t>AMR2</t>
        </is>
      </c>
      <c r="U475" s="31" t="n">
        <v>50</v>
      </c>
      <c r="V475" s="31" t="n">
        <v>50</v>
      </c>
      <c r="W475" s="30" t="inlineStr">
        <is>
          <t>AMR2</t>
        </is>
      </c>
      <c r="X475" s="32" t="n">
        <v>0</v>
      </c>
      <c r="Y475" s="32" t="n">
        <v>0</v>
      </c>
      <c r="Z475" s="31" t="n">
        <v>0</v>
      </c>
      <c r="AA475" s="32" t="n">
        <v>0</v>
      </c>
      <c r="AB475" s="32" t="n">
        <v>1</v>
      </c>
      <c r="AC475" s="32" t="n">
        <v>1</v>
      </c>
      <c r="AD475" s="32" t="n">
        <v>0</v>
      </c>
      <c r="AE475" s="31" t="n">
        <v>0</v>
      </c>
      <c r="AF475" s="32" t="n">
        <v>1</v>
      </c>
      <c r="AG475" s="31" t="n">
        <v>0.1</v>
      </c>
      <c r="AH475" s="32" t="n">
        <v>43</v>
      </c>
      <c r="AI475" s="31" t="n">
        <v>48.1</v>
      </c>
      <c r="AJ475" s="31" t="n">
        <v>41</v>
      </c>
      <c r="AK475" s="31" t="n">
        <v>5.1</v>
      </c>
      <c r="AL475" s="30" t="inlineStr">
        <is>
          <t>T-0624</t>
        </is>
      </c>
      <c r="AM475" s="30" t="inlineStr">
        <is>
          <t>I-05-01</t>
        </is>
      </c>
      <c r="AN475" s="30" t="inlineStr">
        <is>
          <t>T-0509</t>
        </is>
      </c>
      <c r="AO475" s="30" t="inlineStr">
        <is>
          <t>I-01-02</t>
        </is>
      </c>
    </row>
    <row r="476">
      <c r="A476" s="30" t="inlineStr">
        <is>
          <t>O0475</t>
        </is>
      </c>
      <c r="B476" s="30" t="inlineStr">
        <is>
          <t>C</t>
        </is>
      </c>
      <c r="C476" s="31" t="n">
        <v>6483.6</v>
      </c>
      <c r="D476" s="31" t="n">
        <v>23012</v>
      </c>
      <c r="E476" s="31" t="n">
        <v>23012</v>
      </c>
      <c r="F476" s="31" t="n">
        <v>23023.1</v>
      </c>
      <c r="G476" s="31" t="n">
        <v>23046.4</v>
      </c>
      <c r="H476" s="31" t="n">
        <v>23063.2</v>
      </c>
      <c r="I476" s="31" t="n">
        <v>23087.9</v>
      </c>
      <c r="J476" s="31" t="n">
        <v>23124.6</v>
      </c>
      <c r="K476" s="31" t="n">
        <v>16641</v>
      </c>
      <c r="L476" s="31" t="n">
        <v>16528.4</v>
      </c>
      <c r="M476" s="30" t="inlineStr">
        <is>
          <t>AMR3</t>
        </is>
      </c>
      <c r="N476" s="30" t="inlineStr">
        <is>
          <t>AMR3</t>
        </is>
      </c>
      <c r="O476" s="32" t="n">
        <v>0</v>
      </c>
      <c r="P476" s="32" t="n">
        <v>0</v>
      </c>
      <c r="Q476" s="32" t="n">
        <v>13</v>
      </c>
      <c r="R476" s="31" t="n">
        <v>33.5</v>
      </c>
      <c r="S476" s="31" t="n">
        <v>33.5</v>
      </c>
      <c r="T476" s="30" t="inlineStr">
        <is>
          <t>AMR3</t>
        </is>
      </c>
      <c r="U476" s="31" t="n">
        <v>54.6</v>
      </c>
      <c r="V476" s="31" t="n">
        <v>54.6</v>
      </c>
      <c r="W476" s="30" t="inlineStr">
        <is>
          <t>AMR3</t>
        </is>
      </c>
      <c r="X476" s="32" t="n">
        <v>0</v>
      </c>
      <c r="Y476" s="32" t="n">
        <v>0</v>
      </c>
      <c r="Z476" s="31" t="n">
        <v>0</v>
      </c>
      <c r="AA476" s="32" t="n">
        <v>0</v>
      </c>
      <c r="AB476" s="32" t="n">
        <v>0</v>
      </c>
      <c r="AC476" s="32" t="n">
        <v>0</v>
      </c>
      <c r="AD476" s="32" t="n">
        <v>1</v>
      </c>
      <c r="AE476" s="31" t="n">
        <v>5.9</v>
      </c>
      <c r="AF476" s="32" t="n">
        <v>1</v>
      </c>
      <c r="AG476" s="31" t="n">
        <v>0.9</v>
      </c>
      <c r="AH476" s="32" t="n">
        <v>41</v>
      </c>
      <c r="AI476" s="31" t="n">
        <v>44</v>
      </c>
      <c r="AJ476" s="31" t="n">
        <v>45.9</v>
      </c>
      <c r="AK476" s="31" t="n">
        <v>5.9</v>
      </c>
      <c r="AL476" s="30" t="inlineStr">
        <is>
          <t>T-0625</t>
        </is>
      </c>
      <c r="AM476" s="30" t="inlineStr">
        <is>
          <t>C-04-03</t>
        </is>
      </c>
      <c r="AN476" s="30" t="inlineStr">
        <is>
          <t>T-0502</t>
        </is>
      </c>
      <c r="AO476" s="30" t="inlineStr">
        <is>
          <t>C-03-01</t>
        </is>
      </c>
    </row>
    <row r="477">
      <c r="A477" s="30" t="inlineStr">
        <is>
          <t>O0476</t>
        </is>
      </c>
      <c r="B477" s="30" t="inlineStr">
        <is>
          <t>J</t>
        </is>
      </c>
      <c r="C477" s="31" t="n">
        <v>6502.8</v>
      </c>
      <c r="D477" s="31" t="n">
        <v>23066.6</v>
      </c>
      <c r="E477" s="31" t="n">
        <v>23066.6</v>
      </c>
      <c r="F477" s="31" t="n">
        <v>23080.4</v>
      </c>
      <c r="G477" s="31" t="n">
        <v>23111.4</v>
      </c>
      <c r="H477" s="31" t="n">
        <v>23131.6</v>
      </c>
      <c r="I477" s="31" t="n">
        <v>23169.4</v>
      </c>
      <c r="J477" s="31" t="n">
        <v>23202.7</v>
      </c>
      <c r="K477" s="31" t="n">
        <v>16699.9</v>
      </c>
      <c r="L477" s="31" t="n">
        <v>16563.8</v>
      </c>
      <c r="M477" s="30" t="inlineStr">
        <is>
          <t>AMR1</t>
        </is>
      </c>
      <c r="N477" s="30" t="inlineStr">
        <is>
          <t>AMR1</t>
        </is>
      </c>
      <c r="O477" s="32" t="n">
        <v>0</v>
      </c>
      <c r="P477" s="32" t="n">
        <v>0</v>
      </c>
      <c r="Q477" s="32" t="n">
        <v>21</v>
      </c>
      <c r="R477" s="31" t="n">
        <v>43.9</v>
      </c>
      <c r="S477" s="31" t="n">
        <v>43.9</v>
      </c>
      <c r="T477" s="30" t="inlineStr">
        <is>
          <t>AMR1</t>
        </is>
      </c>
      <c r="U477" s="31" t="n">
        <v>66.3</v>
      </c>
      <c r="V477" s="31" t="n">
        <v>66.3</v>
      </c>
      <c r="W477" s="30" t="inlineStr">
        <is>
          <t>AMR1</t>
        </is>
      </c>
      <c r="X477" s="32" t="n">
        <v>0</v>
      </c>
      <c r="Y477" s="32" t="n">
        <v>0</v>
      </c>
      <c r="Z477" s="31" t="n">
        <v>0</v>
      </c>
      <c r="AA477" s="32" t="n">
        <v>0</v>
      </c>
      <c r="AB477" s="32" t="n">
        <v>1</v>
      </c>
      <c r="AC477" s="32" t="n">
        <v>1</v>
      </c>
      <c r="AD477" s="32" t="n">
        <v>0</v>
      </c>
      <c r="AE477" s="31" t="n">
        <v>0</v>
      </c>
      <c r="AF477" s="32" t="n">
        <v>0</v>
      </c>
      <c r="AG477" s="31" t="n">
        <v>0</v>
      </c>
      <c r="AH477" s="32" t="n">
        <v>59</v>
      </c>
      <c r="AI477" s="31" t="n">
        <v>61.3</v>
      </c>
      <c r="AJ477" s="31" t="n">
        <v>49.6</v>
      </c>
      <c r="AK477" s="31" t="n">
        <v>5</v>
      </c>
      <c r="AL477" s="30" t="inlineStr">
        <is>
          <t>T-0626</t>
        </is>
      </c>
      <c r="AM477" s="30" t="inlineStr">
        <is>
          <t>J-02-03</t>
        </is>
      </c>
      <c r="AN477" s="30" t="inlineStr">
        <is>
          <t>T-0553</t>
        </is>
      </c>
      <c r="AO477" s="30" t="inlineStr">
        <is>
          <t>J-01-03</t>
        </is>
      </c>
    </row>
    <row r="478">
      <c r="A478" s="30" t="inlineStr">
        <is>
          <t>O0477</t>
        </is>
      </c>
      <c r="B478" s="30" t="inlineStr">
        <is>
          <t>G</t>
        </is>
      </c>
      <c r="C478" s="31" t="n">
        <v>6520.3</v>
      </c>
      <c r="D478" s="31" t="n">
        <v>23141.5</v>
      </c>
      <c r="E478" s="31" t="n">
        <v>23141.5</v>
      </c>
      <c r="F478" s="31" t="n">
        <v>23156.7</v>
      </c>
      <c r="G478" s="31" t="n">
        <v>23184.1</v>
      </c>
      <c r="H478" s="31" t="n">
        <v>23200.9</v>
      </c>
      <c r="I478" s="31" t="n">
        <v>23230.8</v>
      </c>
      <c r="J478" s="31" t="n">
        <v>23260.4</v>
      </c>
      <c r="K478" s="31" t="n">
        <v>16740.1</v>
      </c>
      <c r="L478" s="31" t="n">
        <v>16621.2</v>
      </c>
      <c r="M478" s="30" t="inlineStr">
        <is>
          <t>AMR2</t>
        </is>
      </c>
      <c r="N478" s="30" t="inlineStr">
        <is>
          <t>AMR2</t>
        </is>
      </c>
      <c r="O478" s="32" t="n">
        <v>0</v>
      </c>
      <c r="P478" s="32" t="n">
        <v>0</v>
      </c>
      <c r="Q478" s="32" t="n">
        <v>17</v>
      </c>
      <c r="R478" s="31" t="n">
        <v>41.7</v>
      </c>
      <c r="S478" s="31" t="n">
        <v>41.7</v>
      </c>
      <c r="T478" s="30" t="inlineStr">
        <is>
          <t>AMR2</t>
        </is>
      </c>
      <c r="U478" s="31" t="n">
        <v>56.2</v>
      </c>
      <c r="V478" s="31" t="n">
        <v>56.2</v>
      </c>
      <c r="W478" s="30" t="inlineStr">
        <is>
          <t>AMR2</t>
        </is>
      </c>
      <c r="X478" s="32" t="n">
        <v>0</v>
      </c>
      <c r="Y478" s="32" t="n">
        <v>0</v>
      </c>
      <c r="Z478" s="31" t="n">
        <v>0</v>
      </c>
      <c r="AA478" s="32" t="n">
        <v>0</v>
      </c>
      <c r="AB478" s="32" t="n">
        <v>0</v>
      </c>
      <c r="AC478" s="32" t="n">
        <v>0</v>
      </c>
      <c r="AD478" s="32" t="n">
        <v>0</v>
      </c>
      <c r="AE478" s="31" t="n">
        <v>0</v>
      </c>
      <c r="AF478" s="32" t="n">
        <v>0</v>
      </c>
      <c r="AG478" s="31" t="n">
        <v>0</v>
      </c>
      <c r="AH478" s="32" t="n">
        <v>51</v>
      </c>
      <c r="AI478" s="31" t="n">
        <v>54.6</v>
      </c>
      <c r="AJ478" s="31" t="n">
        <v>47.5</v>
      </c>
      <c r="AK478" s="31" t="n">
        <v>0</v>
      </c>
      <c r="AL478" s="30" t="inlineStr">
        <is>
          <t>T-0627</t>
        </is>
      </c>
      <c r="AM478" s="30" t="inlineStr">
        <is>
          <t>G-04-01</t>
        </is>
      </c>
      <c r="AN478" s="30" t="inlineStr">
        <is>
          <t>T-0421</t>
        </is>
      </c>
      <c r="AO478" s="30" t="inlineStr">
        <is>
          <t>G-01-02</t>
        </is>
      </c>
    </row>
    <row r="479">
      <c r="A479" s="30" t="inlineStr">
        <is>
          <t>O0478</t>
        </is>
      </c>
      <c r="B479" s="30" t="inlineStr">
        <is>
          <t>B</t>
        </is>
      </c>
      <c r="C479" s="31" t="n">
        <v>6541.9</v>
      </c>
      <c r="D479" s="31" t="n">
        <v>23156.7</v>
      </c>
      <c r="E479" s="31" t="n">
        <v>23156.7</v>
      </c>
      <c r="F479" s="31" t="n">
        <v>23171.7</v>
      </c>
      <c r="G479" s="31" t="n">
        <v>23197.1</v>
      </c>
      <c r="H479" s="31" t="n">
        <v>23213.3</v>
      </c>
      <c r="I479" s="31" t="n">
        <v>23238.1</v>
      </c>
      <c r="J479" s="31" t="n">
        <v>23274.7</v>
      </c>
      <c r="K479" s="31" t="n">
        <v>16732.8</v>
      </c>
      <c r="L479" s="31" t="n">
        <v>16614.8</v>
      </c>
      <c r="M479" s="30" t="inlineStr">
        <is>
          <t>AMR3</t>
        </is>
      </c>
      <c r="N479" s="30" t="inlineStr">
        <is>
          <t>AMR3</t>
        </is>
      </c>
      <c r="O479" s="32" t="n">
        <v>0</v>
      </c>
      <c r="P479" s="32" t="n">
        <v>0</v>
      </c>
      <c r="Q479" s="32" t="n">
        <v>15</v>
      </c>
      <c r="R479" s="31" t="n">
        <v>37.9</v>
      </c>
      <c r="S479" s="31" t="n">
        <v>37.9</v>
      </c>
      <c r="T479" s="30" t="inlineStr">
        <is>
          <t>AMR3</t>
        </is>
      </c>
      <c r="U479" s="31" t="n">
        <v>54.6</v>
      </c>
      <c r="V479" s="31" t="n">
        <v>54.6</v>
      </c>
      <c r="W479" s="30" t="inlineStr">
        <is>
          <t>AMR3</t>
        </is>
      </c>
      <c r="X479" s="32" t="n">
        <v>0</v>
      </c>
      <c r="Y479" s="32" t="n">
        <v>0</v>
      </c>
      <c r="Z479" s="31" t="n">
        <v>0</v>
      </c>
      <c r="AA479" s="32" t="n">
        <v>0</v>
      </c>
      <c r="AB479" s="32" t="n">
        <v>0</v>
      </c>
      <c r="AC479" s="32" t="n">
        <v>0</v>
      </c>
      <c r="AD479" s="32" t="n">
        <v>1</v>
      </c>
      <c r="AE479" s="31" t="n">
        <v>6.5</v>
      </c>
      <c r="AF479" s="32" t="n">
        <v>1</v>
      </c>
      <c r="AG479" s="31" t="n">
        <v>1.5</v>
      </c>
      <c r="AH479" s="32" t="n">
        <v>47</v>
      </c>
      <c r="AI479" s="31" t="n">
        <v>50.1</v>
      </c>
      <c r="AJ479" s="31" t="n">
        <v>45.2</v>
      </c>
      <c r="AK479" s="31" t="n">
        <v>6.5</v>
      </c>
      <c r="AL479" s="30" t="inlineStr">
        <is>
          <t>T-0628</t>
        </is>
      </c>
      <c r="AM479" s="30" t="inlineStr">
        <is>
          <t>B-01-03</t>
        </is>
      </c>
      <c r="AN479" s="30" t="inlineStr">
        <is>
          <t>T-0413</t>
        </is>
      </c>
      <c r="AO479" s="30" t="inlineStr">
        <is>
          <t>B-05-02</t>
        </is>
      </c>
    </row>
    <row r="480">
      <c r="A480" s="30" t="inlineStr">
        <is>
          <t>O0479</t>
        </is>
      </c>
      <c r="B480" s="30" t="inlineStr">
        <is>
          <t>B</t>
        </is>
      </c>
      <c r="C480" s="31" t="n">
        <v>6566.6</v>
      </c>
      <c r="D480" s="31" t="n">
        <v>23226.4</v>
      </c>
      <c r="E480" s="31" t="n">
        <v>23226.4</v>
      </c>
      <c r="F480" s="31" t="n">
        <v>23240.8</v>
      </c>
      <c r="G480" s="31" t="n">
        <v>23262.7</v>
      </c>
      <c r="H480" s="31" t="n">
        <v>23277.5</v>
      </c>
      <c r="I480" s="31" t="n">
        <v>23302.5</v>
      </c>
      <c r="J480" s="31" t="n">
        <v>23331.5</v>
      </c>
      <c r="K480" s="31" t="n">
        <v>16764.9</v>
      </c>
      <c r="L480" s="31" t="n">
        <v>16659.8</v>
      </c>
      <c r="M480" s="30" t="inlineStr">
        <is>
          <t>AMR1</t>
        </is>
      </c>
      <c r="N480" s="30" t="inlineStr">
        <is>
          <t>AMR1</t>
        </is>
      </c>
      <c r="O480" s="32" t="n">
        <v>0</v>
      </c>
      <c r="P480" s="32" t="n">
        <v>0</v>
      </c>
      <c r="Q480" s="32" t="n">
        <v>15</v>
      </c>
      <c r="R480" s="31" t="n">
        <v>35.4</v>
      </c>
      <c r="S480" s="31" t="n">
        <v>35.4</v>
      </c>
      <c r="T480" s="30" t="inlineStr">
        <is>
          <t>AMR1</t>
        </is>
      </c>
      <c r="U480" s="31" t="n">
        <v>55.7</v>
      </c>
      <c r="V480" s="31" t="n">
        <v>55.7</v>
      </c>
      <c r="W480" s="30" t="inlineStr">
        <is>
          <t>AMR1</t>
        </is>
      </c>
      <c r="X480" s="32" t="n">
        <v>0</v>
      </c>
      <c r="Y480" s="32" t="n">
        <v>0</v>
      </c>
      <c r="Z480" s="31" t="n">
        <v>0</v>
      </c>
      <c r="AA480" s="32" t="n">
        <v>0</v>
      </c>
      <c r="AB480" s="32" t="n">
        <v>0</v>
      </c>
      <c r="AC480" s="32" t="n">
        <v>0</v>
      </c>
      <c r="AD480" s="32" t="n">
        <v>0</v>
      </c>
      <c r="AE480" s="31" t="n">
        <v>0</v>
      </c>
      <c r="AF480" s="32" t="n">
        <v>0</v>
      </c>
      <c r="AG480" s="31" t="n">
        <v>0</v>
      </c>
      <c r="AH480" s="32" t="n">
        <v>43</v>
      </c>
      <c r="AI480" s="31" t="n">
        <v>46.5</v>
      </c>
      <c r="AJ480" s="31" t="n">
        <v>43.8</v>
      </c>
      <c r="AK480" s="31" t="n">
        <v>0</v>
      </c>
      <c r="AL480" s="30" t="inlineStr">
        <is>
          <t>T-0629</t>
        </is>
      </c>
      <c r="AM480" s="30" t="inlineStr">
        <is>
          <t>B-05-02</t>
        </is>
      </c>
      <c r="AN480" s="30" t="inlineStr">
        <is>
          <t>T-0426</t>
        </is>
      </c>
      <c r="AO480" s="30" t="inlineStr">
        <is>
          <t>B-06-02</t>
        </is>
      </c>
    </row>
    <row r="481">
      <c r="A481" s="30" t="inlineStr">
        <is>
          <t>O0480</t>
        </is>
      </c>
      <c r="B481" s="30" t="inlineStr">
        <is>
          <t>I</t>
        </is>
      </c>
      <c r="C481" s="31" t="n">
        <v>6587.1</v>
      </c>
      <c r="D481" s="31" t="n">
        <v>23284.1</v>
      </c>
      <c r="E481" s="31" t="n">
        <v>23284.1</v>
      </c>
      <c r="F481" s="31" t="n">
        <v>23298.5</v>
      </c>
      <c r="G481" s="31" t="n">
        <v>23324.8</v>
      </c>
      <c r="H481" s="31" t="n">
        <v>23342.3</v>
      </c>
      <c r="I481" s="31" t="n">
        <v>23371.3</v>
      </c>
      <c r="J481" s="31" t="n">
        <v>23399.9</v>
      </c>
      <c r="K481" s="31" t="n">
        <v>16812.8</v>
      </c>
      <c r="L481" s="31" t="n">
        <v>16697</v>
      </c>
      <c r="M481" s="30" t="inlineStr">
        <is>
          <t>AMR2</t>
        </is>
      </c>
      <c r="N481" s="30" t="inlineStr">
        <is>
          <t>AMR2</t>
        </is>
      </c>
      <c r="O481" s="32" t="n">
        <v>0</v>
      </c>
      <c r="P481" s="32" t="n">
        <v>0</v>
      </c>
      <c r="Q481" s="32" t="n">
        <v>15</v>
      </c>
      <c r="R481" s="31" t="n">
        <v>37.4</v>
      </c>
      <c r="S481" s="31" t="n">
        <v>37.4</v>
      </c>
      <c r="T481" s="30" t="inlineStr">
        <is>
          <t>AMR2</t>
        </is>
      </c>
      <c r="U481" s="31" t="n">
        <v>52.7</v>
      </c>
      <c r="V481" s="31" t="n">
        <v>52.7</v>
      </c>
      <c r="W481" s="30" t="inlineStr">
        <is>
          <t>AMR2</t>
        </is>
      </c>
      <c r="X481" s="32" t="n">
        <v>0</v>
      </c>
      <c r="Y481" s="32" t="n">
        <v>0</v>
      </c>
      <c r="Z481" s="31" t="n">
        <v>0</v>
      </c>
      <c r="AA481" s="32" t="n">
        <v>0</v>
      </c>
      <c r="AB481" s="32" t="n">
        <v>1</v>
      </c>
      <c r="AC481" s="32" t="n">
        <v>1</v>
      </c>
      <c r="AD481" s="32" t="n">
        <v>0</v>
      </c>
      <c r="AE481" s="31" t="n">
        <v>0</v>
      </c>
      <c r="AF481" s="32" t="n">
        <v>1</v>
      </c>
      <c r="AG481" s="31" t="n">
        <v>0.1</v>
      </c>
      <c r="AH481" s="32" t="n">
        <v>44</v>
      </c>
      <c r="AI481" s="31" t="n">
        <v>48.9</v>
      </c>
      <c r="AJ481" s="31" t="n">
        <v>44.3</v>
      </c>
      <c r="AK481" s="31" t="n">
        <v>5.1</v>
      </c>
      <c r="AL481" s="30" t="inlineStr">
        <is>
          <t>T-0630</t>
        </is>
      </c>
      <c r="AM481" s="30" t="inlineStr">
        <is>
          <t>I-06-01</t>
        </is>
      </c>
      <c r="AN481" s="30" t="inlineStr">
        <is>
          <t>T-0518</t>
        </is>
      </c>
      <c r="AO481" s="30" t="inlineStr">
        <is>
          <t>I-02-02</t>
        </is>
      </c>
    </row>
    <row r="482">
      <c r="A482" s="30" t="inlineStr">
        <is>
          <t>O0481</t>
        </is>
      </c>
      <c r="B482" s="30" t="inlineStr">
        <is>
          <t>H</t>
        </is>
      </c>
      <c r="C482" s="31" t="n">
        <v>6602.3</v>
      </c>
      <c r="D482" s="31" t="n">
        <v>23298.4</v>
      </c>
      <c r="E482" s="31" t="n">
        <v>23298.4</v>
      </c>
      <c r="F482" s="31" t="n">
        <v>23312.7</v>
      </c>
      <c r="G482" s="31" t="n">
        <v>23339.7</v>
      </c>
      <c r="H482" s="31" t="n">
        <v>23354.5</v>
      </c>
      <c r="I482" s="31" t="n">
        <v>23379.6</v>
      </c>
      <c r="J482" s="31" t="n">
        <v>23411.8</v>
      </c>
      <c r="K482" s="31" t="n">
        <v>16809.5</v>
      </c>
      <c r="L482" s="31" t="n">
        <v>16696.1</v>
      </c>
      <c r="M482" s="30" t="inlineStr">
        <is>
          <t>AMR3</t>
        </is>
      </c>
      <c r="N482" s="30" t="inlineStr">
        <is>
          <t>AMR3</t>
        </is>
      </c>
      <c r="O482" s="32" t="n">
        <v>0</v>
      </c>
      <c r="P482" s="32" t="n">
        <v>0</v>
      </c>
      <c r="Q482" s="32" t="n">
        <v>15</v>
      </c>
      <c r="R482" s="31" t="n">
        <v>40.4</v>
      </c>
      <c r="S482" s="31" t="n">
        <v>40.4</v>
      </c>
      <c r="T482" s="30" t="inlineStr">
        <is>
          <t>AMR3</t>
        </is>
      </c>
      <c r="U482" s="31" t="n">
        <v>49.3</v>
      </c>
      <c r="V482" s="31" t="n">
        <v>49.3</v>
      </c>
      <c r="W482" s="30" t="inlineStr">
        <is>
          <t>AMR3</t>
        </is>
      </c>
      <c r="X482" s="32" t="n">
        <v>0</v>
      </c>
      <c r="Y482" s="32" t="n">
        <v>0</v>
      </c>
      <c r="Z482" s="31" t="n">
        <v>0</v>
      </c>
      <c r="AA482" s="32" t="n">
        <v>0</v>
      </c>
      <c r="AB482" s="32" t="n">
        <v>0</v>
      </c>
      <c r="AC482" s="32" t="n">
        <v>0</v>
      </c>
      <c r="AD482" s="32" t="n">
        <v>1</v>
      </c>
      <c r="AE482" s="31" t="n">
        <v>9.199999999999999</v>
      </c>
      <c r="AF482" s="32" t="n">
        <v>1</v>
      </c>
      <c r="AG482" s="31" t="n">
        <v>4.2</v>
      </c>
      <c r="AH482" s="32" t="n">
        <v>41</v>
      </c>
      <c r="AI482" s="31" t="n">
        <v>45</v>
      </c>
      <c r="AJ482" s="31" t="n">
        <v>44.4</v>
      </c>
      <c r="AK482" s="31" t="n">
        <v>9.199999999999999</v>
      </c>
      <c r="AL482" s="30" t="inlineStr">
        <is>
          <t>T-0631</t>
        </is>
      </c>
      <c r="AM482" s="30" t="inlineStr">
        <is>
          <t>H-04-03</t>
        </is>
      </c>
      <c r="AN482" s="30" t="inlineStr">
        <is>
          <t>T-0516</t>
        </is>
      </c>
      <c r="AO482" s="30" t="inlineStr">
        <is>
          <t>H-02-02</t>
        </is>
      </c>
    </row>
    <row r="483">
      <c r="A483" s="30" t="inlineStr">
        <is>
          <t>O0482</t>
        </is>
      </c>
      <c r="B483" s="30" t="inlineStr">
        <is>
          <t>F</t>
        </is>
      </c>
      <c r="C483" s="31" t="n">
        <v>6623.6</v>
      </c>
      <c r="D483" s="31" t="n">
        <v>23360.6</v>
      </c>
      <c r="E483" s="31" t="n">
        <v>23360.6</v>
      </c>
      <c r="F483" s="31" t="n">
        <v>23375.8</v>
      </c>
      <c r="G483" s="31" t="n">
        <v>23405.6</v>
      </c>
      <c r="H483" s="31" t="n">
        <v>23423.6</v>
      </c>
      <c r="I483" s="31" t="n">
        <v>23460.5</v>
      </c>
      <c r="J483" s="31" t="n">
        <v>23501.7</v>
      </c>
      <c r="K483" s="31" t="n">
        <v>16878.1</v>
      </c>
      <c r="L483" s="31" t="n">
        <v>16737</v>
      </c>
      <c r="M483" s="30" t="inlineStr">
        <is>
          <t>AMR1</t>
        </is>
      </c>
      <c r="N483" s="30" t="inlineStr">
        <is>
          <t>AMR2</t>
        </is>
      </c>
      <c r="O483" s="32" t="n">
        <v>0</v>
      </c>
      <c r="P483" s="32" t="n">
        <v>0</v>
      </c>
      <c r="Q483" s="32" t="n">
        <v>23</v>
      </c>
      <c r="R483" s="31" t="n">
        <v>44.1</v>
      </c>
      <c r="S483" s="31" t="n">
        <v>44.1</v>
      </c>
      <c r="T483" s="30" t="inlineStr">
        <is>
          <t>AMR1</t>
        </is>
      </c>
      <c r="U483" s="31" t="n">
        <v>67.7</v>
      </c>
      <c r="V483" s="31" t="n">
        <v>67.7</v>
      </c>
      <c r="W483" s="30" t="inlineStr">
        <is>
          <t>AMR2</t>
        </is>
      </c>
      <c r="X483" s="32" t="n">
        <v>0</v>
      </c>
      <c r="Y483" s="32" t="n">
        <v>0</v>
      </c>
      <c r="Z483" s="31" t="n">
        <v>0</v>
      </c>
      <c r="AA483" s="32" t="n">
        <v>0</v>
      </c>
      <c r="AB483" s="32" t="n">
        <v>2</v>
      </c>
      <c r="AC483" s="32" t="n">
        <v>2</v>
      </c>
      <c r="AD483" s="32" t="n">
        <v>0</v>
      </c>
      <c r="AE483" s="31" t="n">
        <v>0</v>
      </c>
      <c r="AF483" s="32" t="n">
        <v>1</v>
      </c>
      <c r="AG483" s="31" t="n">
        <v>0.2</v>
      </c>
      <c r="AH483" s="32" t="n">
        <v>67</v>
      </c>
      <c r="AI483" s="31" t="n">
        <v>68.3</v>
      </c>
      <c r="AJ483" s="31" t="n">
        <v>46.6</v>
      </c>
      <c r="AK483" s="31" t="n">
        <v>8.199999999999999</v>
      </c>
      <c r="AL483" s="30" t="inlineStr">
        <is>
          <t>T-0632</t>
        </is>
      </c>
      <c r="AM483" s="30" t="inlineStr">
        <is>
          <t>F-05-02</t>
        </is>
      </c>
      <c r="AN483" s="30" t="inlineStr">
        <is>
          <t>T-0433</t>
        </is>
      </c>
      <c r="AO483" s="30" t="inlineStr">
        <is>
          <t>F-04-02</t>
        </is>
      </c>
    </row>
    <row r="484">
      <c r="A484" s="30" t="inlineStr">
        <is>
          <t>O0483</t>
        </is>
      </c>
      <c r="B484" s="30" t="inlineStr">
        <is>
          <t>F</t>
        </is>
      </c>
      <c r="C484" s="31" t="n">
        <v>6646.1</v>
      </c>
      <c r="D484" s="31" t="n">
        <v>23434.2</v>
      </c>
      <c r="E484" s="31" t="n">
        <v>23434.2</v>
      </c>
      <c r="F484" s="31" t="n">
        <v>23445.4</v>
      </c>
      <c r="G484" s="31" t="n">
        <v>23483.3</v>
      </c>
      <c r="H484" s="31" t="n">
        <v>23493.5</v>
      </c>
      <c r="I484" s="31" t="n">
        <v>23525.1</v>
      </c>
      <c r="J484" s="31" t="n">
        <v>23560.4</v>
      </c>
      <c r="K484" s="31" t="n">
        <v>16914.3</v>
      </c>
      <c r="L484" s="31" t="n">
        <v>16788.1</v>
      </c>
      <c r="M484" s="30" t="inlineStr">
        <is>
          <t>AMR1</t>
        </is>
      </c>
      <c r="N484" s="30" t="inlineStr">
        <is>
          <t>AMR3</t>
        </is>
      </c>
      <c r="O484" s="32" t="n">
        <v>0</v>
      </c>
      <c r="P484" s="32" t="n">
        <v>0</v>
      </c>
      <c r="Q484" s="32" t="n">
        <v>23</v>
      </c>
      <c r="R484" s="31" t="n">
        <v>41.8</v>
      </c>
      <c r="S484" s="31" t="n">
        <v>41.8</v>
      </c>
      <c r="T484" s="30" t="inlineStr">
        <is>
          <t>AMR1</t>
        </is>
      </c>
      <c r="U484" s="31" t="n">
        <v>65.09999999999999</v>
      </c>
      <c r="V484" s="31" t="n">
        <v>65.09999999999999</v>
      </c>
      <c r="W484" s="30" t="inlineStr">
        <is>
          <t>AMR3</t>
        </is>
      </c>
      <c r="X484" s="32" t="n">
        <v>0</v>
      </c>
      <c r="Y484" s="32" t="n">
        <v>0</v>
      </c>
      <c r="Z484" s="31" t="n">
        <v>0</v>
      </c>
      <c r="AA484" s="32" t="n">
        <v>0</v>
      </c>
      <c r="AB484" s="32" t="n">
        <v>1</v>
      </c>
      <c r="AC484" s="32" t="n">
        <v>1</v>
      </c>
      <c r="AD484" s="32" t="n">
        <v>0</v>
      </c>
      <c r="AE484" s="31" t="n">
        <v>0</v>
      </c>
      <c r="AF484" s="32" t="n">
        <v>0</v>
      </c>
      <c r="AG484" s="31" t="n">
        <v>0</v>
      </c>
      <c r="AH484" s="32" t="n">
        <v>69</v>
      </c>
      <c r="AI484" s="31" t="n">
        <v>69.5</v>
      </c>
      <c r="AJ484" s="31" t="n">
        <v>41.7</v>
      </c>
      <c r="AK484" s="31" t="n">
        <v>4.8</v>
      </c>
      <c r="AL484" s="30" t="inlineStr">
        <is>
          <t>T-0634</t>
        </is>
      </c>
      <c r="AM484" s="30" t="inlineStr">
        <is>
          <t>F-02-03</t>
        </is>
      </c>
      <c r="AN484" s="30" t="inlineStr">
        <is>
          <t>T-0437</t>
        </is>
      </c>
      <c r="AO484" s="30" t="inlineStr">
        <is>
          <t>F-03-03</t>
        </is>
      </c>
    </row>
    <row r="485">
      <c r="A485" s="30" t="inlineStr">
        <is>
          <t>O0484</t>
        </is>
      </c>
      <c r="B485" s="30" t="inlineStr">
        <is>
          <t>B</t>
        </is>
      </c>
      <c r="C485" s="31" t="n">
        <v>6664.6</v>
      </c>
      <c r="D485" s="31" t="n">
        <v>23445.4</v>
      </c>
      <c r="E485" s="31" t="n">
        <v>23445.4</v>
      </c>
      <c r="F485" s="31" t="n">
        <v>23456.9</v>
      </c>
      <c r="G485" s="31" t="n">
        <v>23480</v>
      </c>
      <c r="H485" s="31" t="n">
        <v>23506.9</v>
      </c>
      <c r="I485" s="31" t="n">
        <v>23534.9</v>
      </c>
      <c r="J485" s="31" t="n">
        <v>23574.1</v>
      </c>
      <c r="K485" s="31" t="n">
        <v>16909.5</v>
      </c>
      <c r="L485" s="31" t="n">
        <v>16780.8</v>
      </c>
      <c r="M485" s="30" t="inlineStr">
        <is>
          <t>AMR3</t>
        </is>
      </c>
      <c r="N485" s="30" t="inlineStr">
        <is>
          <t>AMR1</t>
        </is>
      </c>
      <c r="O485" s="32" t="n">
        <v>0</v>
      </c>
      <c r="P485" s="32" t="n">
        <v>0</v>
      </c>
      <c r="Q485" s="32" t="n">
        <v>15</v>
      </c>
      <c r="R485" s="31" t="n">
        <v>34.5</v>
      </c>
      <c r="S485" s="31" t="n">
        <v>34.5</v>
      </c>
      <c r="T485" s="30" t="inlineStr">
        <is>
          <t>AMR3</t>
        </is>
      </c>
      <c r="U485" s="31" t="n">
        <v>56.4</v>
      </c>
      <c r="V485" s="31" t="n">
        <v>56.4</v>
      </c>
      <c r="W485" s="30" t="inlineStr">
        <is>
          <t>AMR1</t>
        </is>
      </c>
      <c r="X485" s="32" t="n">
        <v>0</v>
      </c>
      <c r="Y485" s="32" t="n">
        <v>0</v>
      </c>
      <c r="Z485" s="31" t="n">
        <v>0</v>
      </c>
      <c r="AA485" s="32" t="n">
        <v>0</v>
      </c>
      <c r="AB485" s="32" t="n">
        <v>0</v>
      </c>
      <c r="AC485" s="32" t="n">
        <v>0</v>
      </c>
      <c r="AD485" s="32" t="n">
        <v>1</v>
      </c>
      <c r="AE485" s="31" t="n">
        <v>9</v>
      </c>
      <c r="AF485" s="32" t="n">
        <v>1</v>
      </c>
      <c r="AG485" s="31" t="n">
        <v>4</v>
      </c>
      <c r="AH485" s="32" t="n">
        <v>46</v>
      </c>
      <c r="AI485" s="31" t="n">
        <v>49.2</v>
      </c>
      <c r="AJ485" s="31" t="n">
        <v>43.6</v>
      </c>
      <c r="AK485" s="31" t="n">
        <v>9</v>
      </c>
      <c r="AL485" s="30" t="inlineStr">
        <is>
          <t>T-0633</t>
        </is>
      </c>
      <c r="AM485" s="30" t="inlineStr">
        <is>
          <t>B-06-02</t>
        </is>
      </c>
      <c r="AN485" s="30" t="inlineStr">
        <is>
          <t>T-0429</t>
        </is>
      </c>
      <c r="AO485" s="30" t="inlineStr">
        <is>
          <t>B-03-01</t>
        </is>
      </c>
    </row>
    <row r="486">
      <c r="A486" s="30" t="inlineStr">
        <is>
          <t>O0485</t>
        </is>
      </c>
      <c r="B486" s="30" t="inlineStr">
        <is>
          <t>F</t>
        </is>
      </c>
      <c r="C486" s="31" t="n">
        <v>6686.9</v>
      </c>
      <c r="D486" s="31" t="n">
        <v>23525.4</v>
      </c>
      <c r="E486" s="31" t="n">
        <v>23525.4</v>
      </c>
      <c r="F486" s="31" t="n">
        <v>23541.2</v>
      </c>
      <c r="G486" s="31" t="n">
        <v>23573.7</v>
      </c>
      <c r="H486" s="31" t="n">
        <v>23584.1</v>
      </c>
      <c r="I486" s="31" t="n">
        <v>23612.2</v>
      </c>
      <c r="J486" s="31" t="n">
        <v>23645.6</v>
      </c>
      <c r="K486" s="31" t="n">
        <v>16958.7</v>
      </c>
      <c r="L486" s="31" t="n">
        <v>16838.5</v>
      </c>
      <c r="M486" s="30" t="inlineStr">
        <is>
          <t>AMR2</t>
        </is>
      </c>
      <c r="N486" s="30" t="inlineStr">
        <is>
          <t>AMR3</t>
        </is>
      </c>
      <c r="O486" s="32" t="n">
        <v>0</v>
      </c>
      <c r="P486" s="32" t="n">
        <v>0</v>
      </c>
      <c r="Q486" s="32" t="n">
        <v>23</v>
      </c>
      <c r="R486" s="31" t="n">
        <v>47.4</v>
      </c>
      <c r="S486" s="31" t="n">
        <v>47.4</v>
      </c>
      <c r="T486" s="30" t="inlineStr">
        <is>
          <t>AMR2</t>
        </is>
      </c>
      <c r="U486" s="31" t="n">
        <v>64.2</v>
      </c>
      <c r="V486" s="31" t="n">
        <v>64.2</v>
      </c>
      <c r="W486" s="30" t="inlineStr">
        <is>
          <t>AMR3</t>
        </is>
      </c>
      <c r="X486" s="32" t="n">
        <v>0</v>
      </c>
      <c r="Y486" s="32" t="n">
        <v>0</v>
      </c>
      <c r="Z486" s="31" t="n">
        <v>0</v>
      </c>
      <c r="AA486" s="32" t="n">
        <v>0</v>
      </c>
      <c r="AB486" s="32" t="n">
        <v>0</v>
      </c>
      <c r="AC486" s="32" t="n">
        <v>0</v>
      </c>
      <c r="AD486" s="32" t="n">
        <v>0</v>
      </c>
      <c r="AE486" s="31" t="n">
        <v>0</v>
      </c>
      <c r="AF486" s="32" t="n">
        <v>0</v>
      </c>
      <c r="AG486" s="31" t="n">
        <v>0</v>
      </c>
      <c r="AH486" s="32" t="n">
        <v>63</v>
      </c>
      <c r="AI486" s="31" t="n">
        <v>63.4</v>
      </c>
      <c r="AJ486" s="31" t="n">
        <v>46.4</v>
      </c>
      <c r="AK486" s="31" t="n">
        <v>0</v>
      </c>
      <c r="AL486" s="30" t="inlineStr">
        <is>
          <t>T-0635</t>
        </is>
      </c>
      <c r="AM486" s="30" t="inlineStr">
        <is>
          <t>F-04-02</t>
        </is>
      </c>
      <c r="AN486" s="30" t="inlineStr">
        <is>
          <t>T-0455</t>
        </is>
      </c>
      <c r="AO486" s="30" t="inlineStr">
        <is>
          <t>F-06-02</t>
        </is>
      </c>
    </row>
    <row r="487">
      <c r="A487" s="30" t="inlineStr">
        <is>
          <t>O0486</t>
        </is>
      </c>
      <c r="B487" s="30" t="inlineStr">
        <is>
          <t>I</t>
        </is>
      </c>
      <c r="C487" s="31" t="n">
        <v>6702.4</v>
      </c>
      <c r="D487" s="31" t="n">
        <v>23595.9</v>
      </c>
      <c r="E487" s="31" t="n">
        <v>23595.9</v>
      </c>
      <c r="F487" s="31" t="n">
        <v>23609.5</v>
      </c>
      <c r="G487" s="31" t="n">
        <v>23632</v>
      </c>
      <c r="H487" s="31" t="n">
        <v>23646.8</v>
      </c>
      <c r="I487" s="31" t="n">
        <v>23674.8</v>
      </c>
      <c r="J487" s="31" t="n">
        <v>23705.1</v>
      </c>
      <c r="K487" s="31" t="n">
        <v>17002.7</v>
      </c>
      <c r="L487" s="31" t="n">
        <v>16893.5</v>
      </c>
      <c r="M487" s="30" t="inlineStr">
        <is>
          <t>AMR2</t>
        </is>
      </c>
      <c r="N487" s="30" t="inlineStr">
        <is>
          <t>AMR2</t>
        </is>
      </c>
      <c r="O487" s="32" t="n">
        <v>0</v>
      </c>
      <c r="P487" s="32" t="n">
        <v>0</v>
      </c>
      <c r="Q487" s="32" t="n">
        <v>15</v>
      </c>
      <c r="R487" s="31" t="n">
        <v>35.2</v>
      </c>
      <c r="S487" s="31" t="n">
        <v>35.2</v>
      </c>
      <c r="T487" s="30" t="inlineStr">
        <is>
          <t>AMR2</t>
        </is>
      </c>
      <c r="U487" s="31" t="n">
        <v>53.7</v>
      </c>
      <c r="V487" s="31" t="n">
        <v>53.7</v>
      </c>
      <c r="W487" s="30" t="inlineStr">
        <is>
          <t>AMR2</t>
        </is>
      </c>
      <c r="X487" s="32" t="n">
        <v>0</v>
      </c>
      <c r="Y487" s="32" t="n">
        <v>0</v>
      </c>
      <c r="Z487" s="31" t="n">
        <v>0</v>
      </c>
      <c r="AA487" s="32" t="n">
        <v>0</v>
      </c>
      <c r="AB487" s="32" t="n">
        <v>1</v>
      </c>
      <c r="AC487" s="32" t="n">
        <v>1</v>
      </c>
      <c r="AD487" s="32" t="n">
        <v>0</v>
      </c>
      <c r="AE487" s="31" t="n">
        <v>0</v>
      </c>
      <c r="AF487" s="32" t="n">
        <v>0</v>
      </c>
      <c r="AG487" s="31" t="n">
        <v>0</v>
      </c>
      <c r="AH487" s="32" t="n">
        <v>43</v>
      </c>
      <c r="AI487" s="31" t="n">
        <v>48.3</v>
      </c>
      <c r="AJ487" s="31" t="n">
        <v>43.1</v>
      </c>
      <c r="AK487" s="31" t="n">
        <v>3</v>
      </c>
      <c r="AL487" s="30" t="inlineStr">
        <is>
          <t>T-0636</t>
        </is>
      </c>
      <c r="AM487" s="30" t="inlineStr">
        <is>
          <t>I-01-02</t>
        </is>
      </c>
      <c r="AN487" s="30" t="inlineStr">
        <is>
          <t>T-0528</t>
        </is>
      </c>
      <c r="AO487" s="30" t="inlineStr">
        <is>
          <t>I-03-02</t>
        </is>
      </c>
    </row>
    <row r="488">
      <c r="A488" s="30" t="inlineStr">
        <is>
          <t>O0487</t>
        </is>
      </c>
      <c r="B488" s="30" t="inlineStr">
        <is>
          <t>C</t>
        </is>
      </c>
      <c r="C488" s="31" t="n">
        <v>6725.5</v>
      </c>
      <c r="D488" s="31" t="n">
        <v>23609.6</v>
      </c>
      <c r="E488" s="31" t="n">
        <v>23609.6</v>
      </c>
      <c r="F488" s="31" t="n">
        <v>23624.7</v>
      </c>
      <c r="G488" s="31" t="n">
        <v>23645.1</v>
      </c>
      <c r="H488" s="31" t="n">
        <v>23657.6</v>
      </c>
      <c r="I488" s="31" t="n">
        <v>23680.2</v>
      </c>
      <c r="J488" s="31" t="n">
        <v>23721.6</v>
      </c>
      <c r="K488" s="31" t="n">
        <v>16996.1</v>
      </c>
      <c r="L488" s="31" t="n">
        <v>16884.1</v>
      </c>
      <c r="M488" s="30" t="inlineStr">
        <is>
          <t>AMR1</t>
        </is>
      </c>
      <c r="N488" s="30" t="inlineStr">
        <is>
          <t>AMR1</t>
        </is>
      </c>
      <c r="O488" s="32" t="n">
        <v>0</v>
      </c>
      <c r="P488" s="32" t="n">
        <v>0</v>
      </c>
      <c r="Q488" s="32" t="n">
        <v>13</v>
      </c>
      <c r="R488" s="31" t="n">
        <v>33.8</v>
      </c>
      <c r="S488" s="31" t="n">
        <v>33.8</v>
      </c>
      <c r="T488" s="30" t="inlineStr">
        <is>
          <t>AMR1</t>
        </is>
      </c>
      <c r="U488" s="31" t="n">
        <v>53.1</v>
      </c>
      <c r="V488" s="31" t="n">
        <v>53.1</v>
      </c>
      <c r="W488" s="30" t="inlineStr">
        <is>
          <t>AMR1</t>
        </is>
      </c>
      <c r="X488" s="32" t="n">
        <v>0</v>
      </c>
      <c r="Y488" s="32" t="n">
        <v>0</v>
      </c>
      <c r="Z488" s="31" t="n">
        <v>0</v>
      </c>
      <c r="AA488" s="32" t="n">
        <v>0</v>
      </c>
      <c r="AB488" s="32" t="n">
        <v>0</v>
      </c>
      <c r="AC488" s="32" t="n">
        <v>0</v>
      </c>
      <c r="AD488" s="32" t="n">
        <v>1</v>
      </c>
      <c r="AE488" s="31" t="n">
        <v>12.6</v>
      </c>
      <c r="AF488" s="32" t="n">
        <v>1</v>
      </c>
      <c r="AG488" s="31" t="n">
        <v>7.6</v>
      </c>
      <c r="AH488" s="32" t="n">
        <v>38</v>
      </c>
      <c r="AI488" s="31" t="n">
        <v>42.2</v>
      </c>
      <c r="AJ488" s="31" t="n">
        <v>44.7</v>
      </c>
      <c r="AK488" s="31" t="n">
        <v>12.6</v>
      </c>
      <c r="AL488" s="30" t="inlineStr">
        <is>
          <t>T-0637</t>
        </is>
      </c>
      <c r="AM488" s="30" t="inlineStr">
        <is>
          <t>C-03-01</t>
        </is>
      </c>
      <c r="AN488" s="30" t="inlineStr">
        <is>
          <t>T-0505</t>
        </is>
      </c>
      <c r="AO488" s="30" t="inlineStr">
        <is>
          <t>C-06-01</t>
        </is>
      </c>
    </row>
    <row r="489">
      <c r="A489" s="30" t="inlineStr">
        <is>
          <t>O0488</t>
        </is>
      </c>
      <c r="B489" s="30" t="inlineStr">
        <is>
          <t>H</t>
        </is>
      </c>
      <c r="C489" s="31" t="n">
        <v>6745.1</v>
      </c>
      <c r="D489" s="31" t="n">
        <v>23674</v>
      </c>
      <c r="E489" s="31" t="n">
        <v>23674</v>
      </c>
      <c r="F489" s="31" t="n">
        <v>23689.3</v>
      </c>
      <c r="G489" s="31" t="n">
        <v>23714.8</v>
      </c>
      <c r="H489" s="31" t="n">
        <v>23728.8</v>
      </c>
      <c r="I489" s="31" t="n">
        <v>23755.2</v>
      </c>
      <c r="J489" s="31" t="n">
        <v>23783</v>
      </c>
      <c r="K489" s="31" t="n">
        <v>17037.9</v>
      </c>
      <c r="L489" s="31" t="n">
        <v>16928.9</v>
      </c>
      <c r="M489" s="30" t="inlineStr">
        <is>
          <t>AMR3</t>
        </is>
      </c>
      <c r="N489" s="30" t="inlineStr">
        <is>
          <t>AMR2</t>
        </is>
      </c>
      <c r="O489" s="32" t="n">
        <v>0</v>
      </c>
      <c r="P489" s="32" t="n">
        <v>0</v>
      </c>
      <c r="Q489" s="32" t="n">
        <v>15</v>
      </c>
      <c r="R489" s="31" t="n">
        <v>39.9</v>
      </c>
      <c r="S489" s="31" t="n">
        <v>39.9</v>
      </c>
      <c r="T489" s="30" t="inlineStr">
        <is>
          <t>AMR3</t>
        </is>
      </c>
      <c r="U489" s="31" t="n">
        <v>53.9</v>
      </c>
      <c r="V489" s="31" t="n">
        <v>53.9</v>
      </c>
      <c r="W489" s="30" t="inlineStr">
        <is>
          <t>AMR2</t>
        </is>
      </c>
      <c r="X489" s="32" t="n">
        <v>0</v>
      </c>
      <c r="Y489" s="32" t="n">
        <v>0</v>
      </c>
      <c r="Z489" s="31" t="n">
        <v>0</v>
      </c>
      <c r="AA489" s="32" t="n">
        <v>0</v>
      </c>
      <c r="AB489" s="32" t="n">
        <v>0</v>
      </c>
      <c r="AC489" s="32" t="n">
        <v>0</v>
      </c>
      <c r="AD489" s="32" t="n">
        <v>0</v>
      </c>
      <c r="AE489" s="31" t="n">
        <v>0</v>
      </c>
      <c r="AF489" s="32" t="n">
        <v>0</v>
      </c>
      <c r="AG489" s="31" t="n">
        <v>0</v>
      </c>
      <c r="AH489" s="32" t="n">
        <v>41</v>
      </c>
      <c r="AI489" s="31" t="n">
        <v>46.5</v>
      </c>
      <c r="AJ489" s="31" t="n">
        <v>48.5</v>
      </c>
      <c r="AK489" s="31" t="n">
        <v>0</v>
      </c>
      <c r="AL489" s="30" t="inlineStr">
        <is>
          <t>T-0638</t>
        </is>
      </c>
      <c r="AM489" s="30" t="inlineStr">
        <is>
          <t>H-02-02</t>
        </is>
      </c>
      <c r="AN489" s="30" t="inlineStr">
        <is>
          <t>T-0517</t>
        </is>
      </c>
      <c r="AO489" s="30" t="inlineStr">
        <is>
          <t>H-04-02</t>
        </is>
      </c>
    </row>
    <row r="490">
      <c r="A490" s="30" t="inlineStr">
        <is>
          <t>O0489</t>
        </is>
      </c>
      <c r="B490" s="30" t="inlineStr">
        <is>
          <t>C</t>
        </is>
      </c>
      <c r="C490" s="31" t="n">
        <v>6762</v>
      </c>
      <c r="D490" s="31" t="n">
        <v>23732.2</v>
      </c>
      <c r="E490" s="31" t="n">
        <v>23732.2</v>
      </c>
      <c r="F490" s="31" t="n">
        <v>23747.8</v>
      </c>
      <c r="G490" s="31" t="n">
        <v>23768.4</v>
      </c>
      <c r="H490" s="31" t="n">
        <v>23783.9</v>
      </c>
      <c r="I490" s="31" t="n">
        <v>23808.9</v>
      </c>
      <c r="J490" s="31" t="n">
        <v>23834.1</v>
      </c>
      <c r="K490" s="31" t="n">
        <v>17072.1</v>
      </c>
      <c r="L490" s="31" t="n">
        <v>16970.2</v>
      </c>
      <c r="M490" s="30" t="inlineStr">
        <is>
          <t>AMR3</t>
        </is>
      </c>
      <c r="N490" s="30" t="inlineStr">
        <is>
          <t>AMR3</t>
        </is>
      </c>
      <c r="O490" s="32" t="n">
        <v>0</v>
      </c>
      <c r="P490" s="32" t="n">
        <v>0</v>
      </c>
      <c r="Q490" s="32" t="n">
        <v>13</v>
      </c>
      <c r="R490" s="31" t="n">
        <v>36.1</v>
      </c>
      <c r="S490" s="31" t="n">
        <v>36.1</v>
      </c>
      <c r="T490" s="30" t="inlineStr">
        <is>
          <t>AMR3</t>
        </is>
      </c>
      <c r="U490" s="31" t="n">
        <v>51.4</v>
      </c>
      <c r="V490" s="31" t="n">
        <v>51.4</v>
      </c>
      <c r="W490" s="30" t="inlineStr">
        <is>
          <t>AMR3</t>
        </is>
      </c>
      <c r="X490" s="32" t="n">
        <v>0</v>
      </c>
      <c r="Y490" s="32" t="n">
        <v>0</v>
      </c>
      <c r="Z490" s="31" t="n">
        <v>0</v>
      </c>
      <c r="AA490" s="32" t="n">
        <v>0</v>
      </c>
      <c r="AB490" s="32" t="n">
        <v>0</v>
      </c>
      <c r="AC490" s="32" t="n">
        <v>0</v>
      </c>
      <c r="AD490" s="32" t="n">
        <v>0</v>
      </c>
      <c r="AE490" s="31" t="n">
        <v>0</v>
      </c>
      <c r="AF490" s="32" t="n">
        <v>0</v>
      </c>
      <c r="AG490" s="31" t="n">
        <v>0</v>
      </c>
      <c r="AH490" s="32" t="n">
        <v>38</v>
      </c>
      <c r="AI490" s="31" t="n">
        <v>41.1</v>
      </c>
      <c r="AJ490" s="31" t="n">
        <v>45.3</v>
      </c>
      <c r="AK490" s="31" t="n">
        <v>0</v>
      </c>
      <c r="AL490" s="30" t="inlineStr">
        <is>
          <t>T-0639</t>
        </is>
      </c>
      <c r="AM490" s="30" t="inlineStr">
        <is>
          <t>C-06-01</t>
        </is>
      </c>
      <c r="AN490" s="30" t="inlineStr">
        <is>
          <t>T-0506</t>
        </is>
      </c>
      <c r="AO490" s="30" t="inlineStr">
        <is>
          <t>C-01-02</t>
        </is>
      </c>
    </row>
    <row r="491">
      <c r="A491" s="30" t="inlineStr">
        <is>
          <t>O0490</t>
        </is>
      </c>
      <c r="B491" s="30" t="inlineStr">
        <is>
          <t>H</t>
        </is>
      </c>
      <c r="C491" s="31" t="n">
        <v>6784.1</v>
      </c>
      <c r="D491" s="31" t="n">
        <v>23747.9</v>
      </c>
      <c r="E491" s="31" t="n">
        <v>23747.9</v>
      </c>
      <c r="F491" s="31" t="n">
        <v>23761.1</v>
      </c>
      <c r="G491" s="31" t="n">
        <v>23790</v>
      </c>
      <c r="H491" s="31" t="n">
        <v>23804.8</v>
      </c>
      <c r="I491" s="31" t="n">
        <v>23830.9</v>
      </c>
      <c r="J491" s="31" t="n">
        <v>23855.5</v>
      </c>
      <c r="K491" s="31" t="n">
        <v>17071.4</v>
      </c>
      <c r="L491" s="31" t="n">
        <v>16963.8</v>
      </c>
      <c r="M491" s="30" t="inlineStr">
        <is>
          <t>AMR1</t>
        </is>
      </c>
      <c r="N491" s="30" t="inlineStr">
        <is>
          <t>AMR1</t>
        </is>
      </c>
      <c r="O491" s="32" t="n">
        <v>0</v>
      </c>
      <c r="P491" s="32" t="n">
        <v>0</v>
      </c>
      <c r="Q491" s="32" t="n">
        <v>15</v>
      </c>
      <c r="R491" s="31" t="n">
        <v>35.3</v>
      </c>
      <c r="S491" s="31" t="n">
        <v>35.3</v>
      </c>
      <c r="T491" s="30" t="inlineStr">
        <is>
          <t>AMR1</t>
        </is>
      </c>
      <c r="U491" s="31" t="n">
        <v>50.8</v>
      </c>
      <c r="V491" s="31" t="n">
        <v>50.8</v>
      </c>
      <c r="W491" s="30" t="inlineStr">
        <is>
          <t>AMR1</t>
        </is>
      </c>
      <c r="X491" s="32" t="n">
        <v>0</v>
      </c>
      <c r="Y491" s="32" t="n">
        <v>0</v>
      </c>
      <c r="Z491" s="31" t="n">
        <v>0</v>
      </c>
      <c r="AA491" s="32" t="n">
        <v>0</v>
      </c>
      <c r="AB491" s="32" t="n">
        <v>1</v>
      </c>
      <c r="AC491" s="32" t="n">
        <v>1</v>
      </c>
      <c r="AD491" s="32" t="n">
        <v>1</v>
      </c>
      <c r="AE491" s="31" t="n">
        <v>2</v>
      </c>
      <c r="AF491" s="32" t="n">
        <v>0</v>
      </c>
      <c r="AG491" s="31" t="n">
        <v>0</v>
      </c>
      <c r="AH491" s="32" t="n">
        <v>45</v>
      </c>
      <c r="AI491" s="31" t="n">
        <v>49</v>
      </c>
      <c r="AJ491" s="31" t="n">
        <v>40.8</v>
      </c>
      <c r="AK491" s="31" t="n">
        <v>3</v>
      </c>
      <c r="AL491" s="30" t="inlineStr">
        <is>
          <t>T-0640</t>
        </is>
      </c>
      <c r="AM491" s="30" t="inlineStr">
        <is>
          <t>H-04-02</t>
        </is>
      </c>
      <c r="AN491" s="30" t="inlineStr">
        <is>
          <t>T-0519</t>
        </is>
      </c>
      <c r="AO491" s="30" t="inlineStr">
        <is>
          <t>H-03-01</t>
        </is>
      </c>
    </row>
    <row r="492">
      <c r="A492" s="30" t="inlineStr">
        <is>
          <t>O0491</t>
        </is>
      </c>
      <c r="B492" s="30" t="inlineStr">
        <is>
          <t>A</t>
        </is>
      </c>
      <c r="C492" s="31" t="n">
        <v>6802.1</v>
      </c>
      <c r="D492" s="31" t="n">
        <v>23808.1</v>
      </c>
      <c r="E492" s="31" t="n">
        <v>23808.1</v>
      </c>
      <c r="F492" s="31" t="n">
        <v>23819.9</v>
      </c>
      <c r="G492" s="31" t="n">
        <v>23849.2</v>
      </c>
      <c r="H492" s="31" t="n">
        <v>23857.8</v>
      </c>
      <c r="I492" s="31" t="n">
        <v>23885</v>
      </c>
      <c r="J492" s="31" t="n">
        <v>23922.7</v>
      </c>
      <c r="K492" s="31" t="n">
        <v>17120.6</v>
      </c>
      <c r="L492" s="31" t="n">
        <v>17006</v>
      </c>
      <c r="M492" s="30" t="inlineStr">
        <is>
          <t>AMR2</t>
        </is>
      </c>
      <c r="N492" s="30" t="inlineStr">
        <is>
          <t>AMR3</t>
        </is>
      </c>
      <c r="O492" s="32" t="n">
        <v>0</v>
      </c>
      <c r="P492" s="32" t="n">
        <v>0</v>
      </c>
      <c r="Q492" s="32" t="n">
        <v>21</v>
      </c>
      <c r="R492" s="31" t="n">
        <v>38.6</v>
      </c>
      <c r="S492" s="31" t="n">
        <v>38.6</v>
      </c>
      <c r="T492" s="30" t="inlineStr">
        <is>
          <t>AMR2</t>
        </is>
      </c>
      <c r="U492" s="31" t="n">
        <v>64.09999999999999</v>
      </c>
      <c r="V492" s="31" t="n">
        <v>64.09999999999999</v>
      </c>
      <c r="W492" s="30" t="inlineStr">
        <is>
          <t>AMR3</t>
        </is>
      </c>
      <c r="X492" s="32" t="n">
        <v>0</v>
      </c>
      <c r="Y492" s="32" t="n">
        <v>0</v>
      </c>
      <c r="Z492" s="31" t="n">
        <v>0</v>
      </c>
      <c r="AA492" s="32" t="n">
        <v>0</v>
      </c>
      <c r="AB492" s="32" t="n">
        <v>0</v>
      </c>
      <c r="AC492" s="32" t="n">
        <v>0</v>
      </c>
      <c r="AD492" s="32" t="n">
        <v>0</v>
      </c>
      <c r="AE492" s="31" t="n">
        <v>0</v>
      </c>
      <c r="AF492" s="32" t="n">
        <v>0</v>
      </c>
      <c r="AG492" s="31" t="n">
        <v>0</v>
      </c>
      <c r="AH492" s="32" t="n">
        <v>67</v>
      </c>
      <c r="AI492" s="31" t="n">
        <v>65.40000000000001</v>
      </c>
      <c r="AJ492" s="31" t="n">
        <v>40.6</v>
      </c>
      <c r="AK492" s="31" t="n">
        <v>0</v>
      </c>
      <c r="AL492" s="30" t="inlineStr">
        <is>
          <t>T-0641</t>
        </is>
      </c>
      <c r="AM492" s="30" t="inlineStr">
        <is>
          <t>A-02-01</t>
        </is>
      </c>
      <c r="AN492" s="30" t="inlineStr">
        <is>
          <t>T-0372</t>
        </is>
      </c>
      <c r="AO492" s="30" t="inlineStr">
        <is>
          <t>A-03-01</t>
        </is>
      </c>
    </row>
    <row r="493">
      <c r="A493" s="30" t="inlineStr">
        <is>
          <t>O0492</t>
        </is>
      </c>
      <c r="B493" s="30" t="inlineStr">
        <is>
          <t>F</t>
        </is>
      </c>
      <c r="C493" s="31" t="n">
        <v>6825.9</v>
      </c>
      <c r="D493" s="31" t="n">
        <v>23870.8</v>
      </c>
      <c r="E493" s="31" t="n">
        <v>23870.8</v>
      </c>
      <c r="F493" s="31" t="n">
        <v>23884.3</v>
      </c>
      <c r="G493" s="31" t="n">
        <v>23915.5</v>
      </c>
      <c r="H493" s="31" t="n">
        <v>23936.4</v>
      </c>
      <c r="I493" s="31" t="n">
        <v>23972.4</v>
      </c>
      <c r="J493" s="31" t="n">
        <v>24013.2</v>
      </c>
      <c r="K493" s="31" t="n">
        <v>17187.3</v>
      </c>
      <c r="L493" s="31" t="n">
        <v>17044.9</v>
      </c>
      <c r="M493" s="30" t="inlineStr">
        <is>
          <t>AMR2</t>
        </is>
      </c>
      <c r="N493" s="30" t="inlineStr">
        <is>
          <t>AMR2</t>
        </is>
      </c>
      <c r="O493" s="32" t="n">
        <v>0</v>
      </c>
      <c r="P493" s="32" t="n">
        <v>0</v>
      </c>
      <c r="Q493" s="32" t="n">
        <v>23</v>
      </c>
      <c r="R493" s="31" t="n">
        <v>44.6</v>
      </c>
      <c r="S493" s="31" t="n">
        <v>44.6</v>
      </c>
      <c r="T493" s="30" t="inlineStr">
        <is>
          <t>AMR2</t>
        </is>
      </c>
      <c r="U493" s="31" t="n">
        <v>70.09999999999999</v>
      </c>
      <c r="V493" s="31" t="n">
        <v>70.09999999999999</v>
      </c>
      <c r="W493" s="30" t="inlineStr">
        <is>
          <t>AMR2</t>
        </is>
      </c>
      <c r="X493" s="32" t="n">
        <v>0</v>
      </c>
      <c r="Y493" s="32" t="n">
        <v>0</v>
      </c>
      <c r="Z493" s="31" t="n">
        <v>0</v>
      </c>
      <c r="AA493" s="32" t="n">
        <v>0</v>
      </c>
      <c r="AB493" s="32" t="n">
        <v>0</v>
      </c>
      <c r="AC493" s="32" t="n">
        <v>0</v>
      </c>
      <c r="AD493" s="32" t="n">
        <v>1</v>
      </c>
      <c r="AE493" s="31" t="n">
        <v>3.4</v>
      </c>
      <c r="AF493" s="32" t="n">
        <v>0</v>
      </c>
      <c r="AG493" s="31" t="n">
        <v>0</v>
      </c>
      <c r="AH493" s="32" t="n">
        <v>68</v>
      </c>
      <c r="AI493" s="31" t="n">
        <v>68.59999999999999</v>
      </c>
      <c r="AJ493" s="31" t="n">
        <v>49.5</v>
      </c>
      <c r="AK493" s="31" t="n">
        <v>3.4</v>
      </c>
      <c r="AL493" s="30" t="inlineStr">
        <is>
          <t>T-0642</t>
        </is>
      </c>
      <c r="AM493" s="30" t="inlineStr">
        <is>
          <t>F-06-02</t>
        </is>
      </c>
      <c r="AN493" s="30" t="inlineStr">
        <is>
          <t>T-0473</t>
        </is>
      </c>
      <c r="AO493" s="30" t="inlineStr">
        <is>
          <t>F-01-02</t>
        </is>
      </c>
    </row>
    <row r="494">
      <c r="A494" s="30" t="inlineStr">
        <is>
          <t>O0493</t>
        </is>
      </c>
      <c r="B494" s="30" t="inlineStr">
        <is>
          <t>I</t>
        </is>
      </c>
      <c r="C494" s="31" t="n">
        <v>6846.1</v>
      </c>
      <c r="D494" s="31" t="n">
        <v>23884.4</v>
      </c>
      <c r="E494" s="31" t="n">
        <v>23884.4</v>
      </c>
      <c r="F494" s="31" t="n">
        <v>23898.5</v>
      </c>
      <c r="G494" s="31" t="n">
        <v>23921.7</v>
      </c>
      <c r="H494" s="31" t="n">
        <v>23939.9</v>
      </c>
      <c r="I494" s="31" t="n">
        <v>23971.2</v>
      </c>
      <c r="J494" s="31" t="n">
        <v>23996.9</v>
      </c>
      <c r="K494" s="31" t="n">
        <v>17150.8</v>
      </c>
      <c r="L494" s="31" t="n">
        <v>17038.3</v>
      </c>
      <c r="M494" s="30" t="inlineStr">
        <is>
          <t>AMR1</t>
        </is>
      </c>
      <c r="N494" s="30" t="inlineStr">
        <is>
          <t>AMR1</t>
        </is>
      </c>
      <c r="O494" s="32" t="n">
        <v>0</v>
      </c>
      <c r="P494" s="32" t="n">
        <v>0</v>
      </c>
      <c r="Q494" s="32" t="n">
        <v>15</v>
      </c>
      <c r="R494" s="31" t="n">
        <v>36.4</v>
      </c>
      <c r="S494" s="31" t="n">
        <v>36.4</v>
      </c>
      <c r="T494" s="30" t="inlineStr">
        <is>
          <t>AMR1</t>
        </is>
      </c>
      <c r="U494" s="31" t="n">
        <v>48.5</v>
      </c>
      <c r="V494" s="31" t="n">
        <v>48.5</v>
      </c>
      <c r="W494" s="30" t="inlineStr">
        <is>
          <t>AMR1</t>
        </is>
      </c>
      <c r="X494" s="32" t="n">
        <v>0</v>
      </c>
      <c r="Y494" s="32" t="n">
        <v>0</v>
      </c>
      <c r="Z494" s="31" t="n">
        <v>0</v>
      </c>
      <c r="AA494" s="32" t="n">
        <v>0</v>
      </c>
      <c r="AB494" s="32" t="n">
        <v>1</v>
      </c>
      <c r="AC494" s="32" t="n">
        <v>1</v>
      </c>
      <c r="AD494" s="32" t="n">
        <v>0</v>
      </c>
      <c r="AE494" s="31" t="n">
        <v>0</v>
      </c>
      <c r="AF494" s="32" t="n">
        <v>1</v>
      </c>
      <c r="AG494" s="31" t="n">
        <v>0.2</v>
      </c>
      <c r="AH494" s="32" t="n">
        <v>45</v>
      </c>
      <c r="AI494" s="31" t="n">
        <v>50</v>
      </c>
      <c r="AJ494" s="31" t="n">
        <v>39.1</v>
      </c>
      <c r="AK494" s="31" t="n">
        <v>5.2</v>
      </c>
      <c r="AL494" s="30" t="inlineStr">
        <is>
          <t>T-0643</t>
        </is>
      </c>
      <c r="AM494" s="30" t="inlineStr">
        <is>
          <t>I-02-02</t>
        </is>
      </c>
      <c r="AN494" s="30" t="inlineStr">
        <is>
          <t>T-0532</t>
        </is>
      </c>
      <c r="AO494" s="30" t="inlineStr">
        <is>
          <t>I-04-02</t>
        </is>
      </c>
    </row>
    <row r="495">
      <c r="A495" s="30" t="inlineStr">
        <is>
          <t>O0494</t>
        </is>
      </c>
      <c r="B495" s="30" t="inlineStr">
        <is>
          <t>D</t>
        </is>
      </c>
      <c r="C495" s="31" t="n">
        <v>6863.6</v>
      </c>
      <c r="D495" s="31" t="n">
        <v>23950.4</v>
      </c>
      <c r="E495" s="31" t="n">
        <v>23950.4</v>
      </c>
      <c r="F495" s="31" t="n">
        <v>23966.7</v>
      </c>
      <c r="G495" s="31" t="n">
        <v>23990.6</v>
      </c>
      <c r="H495" s="31" t="n">
        <v>24003.4</v>
      </c>
      <c r="I495" s="31" t="n">
        <v>24032.1</v>
      </c>
      <c r="J495" s="31" t="n">
        <v>24059.5</v>
      </c>
      <c r="K495" s="31" t="n">
        <v>17195.9</v>
      </c>
      <c r="L495" s="31" t="n">
        <v>17086.8</v>
      </c>
      <c r="M495" s="30" t="inlineStr">
        <is>
          <t>AMR3</t>
        </is>
      </c>
      <c r="N495" s="30" t="inlineStr">
        <is>
          <t>AMR3</t>
        </is>
      </c>
      <c r="O495" s="32" t="n">
        <v>0</v>
      </c>
      <c r="P495" s="32" t="n">
        <v>0</v>
      </c>
      <c r="Q495" s="32" t="n">
        <v>13</v>
      </c>
      <c r="R495" s="31" t="n">
        <v>39.3</v>
      </c>
      <c r="S495" s="31" t="n">
        <v>39.3</v>
      </c>
      <c r="T495" s="30" t="inlineStr">
        <is>
          <t>AMR3</t>
        </is>
      </c>
      <c r="U495" s="31" t="n">
        <v>49.1</v>
      </c>
      <c r="V495" s="31" t="n">
        <v>49.1</v>
      </c>
      <c r="W495" s="30" t="inlineStr">
        <is>
          <t>AMR3</t>
        </is>
      </c>
      <c r="X495" s="32" t="n">
        <v>0</v>
      </c>
      <c r="Y495" s="32" t="n">
        <v>0</v>
      </c>
      <c r="Z495" s="31" t="n">
        <v>0</v>
      </c>
      <c r="AA495" s="32" t="n">
        <v>0</v>
      </c>
      <c r="AB495" s="32" t="n">
        <v>1</v>
      </c>
      <c r="AC495" s="32" t="n">
        <v>1</v>
      </c>
      <c r="AD495" s="32" t="n">
        <v>0</v>
      </c>
      <c r="AE495" s="31" t="n">
        <v>0</v>
      </c>
      <c r="AF495" s="32" t="n">
        <v>1</v>
      </c>
      <c r="AG495" s="31" t="n">
        <v>0.2</v>
      </c>
      <c r="AH495" s="32" t="n">
        <v>41</v>
      </c>
      <c r="AI495" s="31" t="n">
        <v>45.4</v>
      </c>
      <c r="AJ495" s="31" t="n">
        <v>45.7</v>
      </c>
      <c r="AK495" s="31" t="n">
        <v>5.2</v>
      </c>
      <c r="AL495" s="30" t="inlineStr">
        <is>
          <t>T-0644</t>
        </is>
      </c>
      <c r="AM495" s="30" t="inlineStr">
        <is>
          <t>D-01-02</t>
        </is>
      </c>
      <c r="AN495" s="30" t="inlineStr">
        <is>
          <t>T-0471</t>
        </is>
      </c>
      <c r="AO495" s="30" t="inlineStr">
        <is>
          <t>D-03-02</t>
        </is>
      </c>
    </row>
    <row r="496">
      <c r="A496" s="30" t="inlineStr">
        <is>
          <t>O0495</t>
        </is>
      </c>
      <c r="B496" s="30" t="inlineStr">
        <is>
          <t>A</t>
        </is>
      </c>
      <c r="C496" s="31" t="n">
        <v>6882.2</v>
      </c>
      <c r="D496" s="31" t="n">
        <v>24025.6</v>
      </c>
      <c r="E496" s="31" t="n">
        <v>24025.6</v>
      </c>
      <c r="F496" s="31" t="n">
        <v>24036.9</v>
      </c>
      <c r="G496" s="31" t="n">
        <v>24068.1</v>
      </c>
      <c r="H496" s="31" t="n">
        <v>24083.2</v>
      </c>
      <c r="I496" s="31" t="n">
        <v>24111</v>
      </c>
      <c r="J496" s="31" t="n">
        <v>24149</v>
      </c>
      <c r="K496" s="31" t="n">
        <v>17266.8</v>
      </c>
      <c r="L496" s="31" t="n">
        <v>17143.4</v>
      </c>
      <c r="M496" s="30" t="inlineStr">
        <is>
          <t>AMR1</t>
        </is>
      </c>
      <c r="N496" s="30" t="inlineStr">
        <is>
          <t>AMR3</t>
        </is>
      </c>
      <c r="O496" s="32" t="n">
        <v>0</v>
      </c>
      <c r="P496" s="32" t="n">
        <v>0</v>
      </c>
      <c r="Q496" s="32" t="n">
        <v>21</v>
      </c>
      <c r="R496" s="31" t="n">
        <v>40.8</v>
      </c>
      <c r="S496" s="31" t="n">
        <v>40.8</v>
      </c>
      <c r="T496" s="30" t="inlineStr">
        <is>
          <t>AMR1</t>
        </is>
      </c>
      <c r="U496" s="31" t="n">
        <v>66.5</v>
      </c>
      <c r="V496" s="31" t="n">
        <v>66.5</v>
      </c>
      <c r="W496" s="30" t="inlineStr">
        <is>
          <t>AMR3</t>
        </is>
      </c>
      <c r="X496" s="32" t="n">
        <v>0</v>
      </c>
      <c r="Y496" s="32" t="n">
        <v>0</v>
      </c>
      <c r="Z496" s="31" t="n">
        <v>0</v>
      </c>
      <c r="AA496" s="32" t="n">
        <v>0</v>
      </c>
      <c r="AB496" s="32" t="n">
        <v>1</v>
      </c>
      <c r="AC496" s="32" t="n">
        <v>0</v>
      </c>
      <c r="AD496" s="32" t="n">
        <v>0</v>
      </c>
      <c r="AE496" s="31" t="n">
        <v>0</v>
      </c>
      <c r="AF496" s="32" t="n">
        <v>0</v>
      </c>
      <c r="AG496" s="31" t="n">
        <v>0</v>
      </c>
      <c r="AH496" s="32" t="n">
        <v>64</v>
      </c>
      <c r="AI496" s="31" t="n">
        <v>63.1</v>
      </c>
      <c r="AJ496" s="31" t="n">
        <v>45.2</v>
      </c>
      <c r="AK496" s="31" t="n">
        <v>0</v>
      </c>
      <c r="AL496" s="30" t="inlineStr">
        <is>
          <t>T-0645</t>
        </is>
      </c>
      <c r="AM496" s="30" t="inlineStr">
        <is>
          <t>A-03-01</t>
        </is>
      </c>
      <c r="AN496" s="30" t="inlineStr">
        <is>
          <t>T-0377</t>
        </is>
      </c>
      <c r="AO496" s="30" t="inlineStr">
        <is>
          <t>A-05-01</t>
        </is>
      </c>
    </row>
    <row r="497">
      <c r="A497" s="30" t="inlineStr">
        <is>
          <t>O0496</t>
        </is>
      </c>
      <c r="B497" s="30" t="inlineStr">
        <is>
          <t>F</t>
        </is>
      </c>
      <c r="C497" s="31" t="n">
        <v>6899.9</v>
      </c>
      <c r="D497" s="31" t="n">
        <v>24036.9</v>
      </c>
      <c r="E497" s="31" t="n">
        <v>24036.9</v>
      </c>
      <c r="F497" s="31" t="n">
        <v>24048.9</v>
      </c>
      <c r="G497" s="31" t="n">
        <v>24083.7</v>
      </c>
      <c r="H497" s="31" t="n">
        <v>24090.9</v>
      </c>
      <c r="I497" s="31" t="n">
        <v>24121.6</v>
      </c>
      <c r="J497" s="31" t="n">
        <v>24164.8</v>
      </c>
      <c r="K497" s="31" t="n">
        <v>17264.9</v>
      </c>
      <c r="L497" s="31" t="n">
        <v>17137</v>
      </c>
      <c r="M497" s="30" t="inlineStr">
        <is>
          <t>AMR2</t>
        </is>
      </c>
      <c r="N497" s="30" t="inlineStr">
        <is>
          <t>AMR1</t>
        </is>
      </c>
      <c r="O497" s="32" t="n">
        <v>0</v>
      </c>
      <c r="P497" s="32" t="n">
        <v>0</v>
      </c>
      <c r="Q497" s="32" t="n">
        <v>23</v>
      </c>
      <c r="R497" s="31" t="n">
        <v>44.3</v>
      </c>
      <c r="S497" s="31" t="n">
        <v>44.3</v>
      </c>
      <c r="T497" s="30" t="inlineStr">
        <is>
          <t>AMR2</t>
        </is>
      </c>
      <c r="U497" s="31" t="n">
        <v>64.2</v>
      </c>
      <c r="V497" s="31" t="n">
        <v>64.2</v>
      </c>
      <c r="W497" s="30" t="inlineStr">
        <is>
          <t>AMR1</t>
        </is>
      </c>
      <c r="X497" s="32" t="n">
        <v>0</v>
      </c>
      <c r="Y497" s="32" t="n">
        <v>0</v>
      </c>
      <c r="Z497" s="31" t="n">
        <v>0</v>
      </c>
      <c r="AA497" s="32" t="n">
        <v>0</v>
      </c>
      <c r="AB497" s="32" t="n">
        <v>0</v>
      </c>
      <c r="AC497" s="32" t="n">
        <v>0</v>
      </c>
      <c r="AD497" s="32" t="n">
        <v>1</v>
      </c>
      <c r="AE497" s="31" t="n">
        <v>6.4</v>
      </c>
      <c r="AF497" s="32" t="n">
        <v>1</v>
      </c>
      <c r="AG497" s="31" t="n">
        <v>1.4</v>
      </c>
      <c r="AH497" s="32" t="n">
        <v>71</v>
      </c>
      <c r="AI497" s="31" t="n">
        <v>71</v>
      </c>
      <c r="AJ497" s="31" t="n">
        <v>43.3</v>
      </c>
      <c r="AK497" s="31" t="n">
        <v>6.4</v>
      </c>
      <c r="AL497" s="30" t="inlineStr">
        <is>
          <t>T-0646</t>
        </is>
      </c>
      <c r="AM497" s="30" t="inlineStr">
        <is>
          <t>F-01-02</t>
        </is>
      </c>
      <c r="AN497" s="30" t="inlineStr">
        <is>
          <t>T-0512</t>
        </is>
      </c>
      <c r="AO497" s="30" t="inlineStr">
        <is>
          <t>F-01-03</t>
        </is>
      </c>
    </row>
    <row r="498">
      <c r="A498" s="30" t="inlineStr">
        <is>
          <t>O0497</t>
        </is>
      </c>
      <c r="B498" s="30" t="inlineStr">
        <is>
          <t>H</t>
        </is>
      </c>
      <c r="C498" s="31" t="n">
        <v>6923.8</v>
      </c>
      <c r="D498" s="31" t="n">
        <v>24107.3</v>
      </c>
      <c r="E498" s="31" t="n">
        <v>24107.3</v>
      </c>
      <c r="F498" s="31" t="n">
        <v>24123.2</v>
      </c>
      <c r="G498" s="31" t="n">
        <v>24148.3</v>
      </c>
      <c r="H498" s="31" t="n">
        <v>24162.8</v>
      </c>
      <c r="I498" s="31" t="n">
        <v>24186.8</v>
      </c>
      <c r="J498" s="31" t="n">
        <v>24211.8</v>
      </c>
      <c r="K498" s="31" t="n">
        <v>17288</v>
      </c>
      <c r="L498" s="31" t="n">
        <v>17183.5</v>
      </c>
      <c r="M498" s="30" t="inlineStr">
        <is>
          <t>AMR2</t>
        </is>
      </c>
      <c r="N498" s="30" t="inlineStr">
        <is>
          <t>AMR2</t>
        </is>
      </c>
      <c r="O498" s="32" t="n">
        <v>0</v>
      </c>
      <c r="P498" s="32" t="n">
        <v>0</v>
      </c>
      <c r="Q498" s="32" t="n">
        <v>15</v>
      </c>
      <c r="R498" s="31" t="n">
        <v>37.4</v>
      </c>
      <c r="S498" s="31" t="n">
        <v>37.4</v>
      </c>
      <c r="T498" s="30" t="inlineStr">
        <is>
          <t>AMR2</t>
        </is>
      </c>
      <c r="U498" s="31" t="n">
        <v>49.1</v>
      </c>
      <c r="V498" s="31" t="n">
        <v>49.1</v>
      </c>
      <c r="W498" s="30" t="inlineStr">
        <is>
          <t>AMR2</t>
        </is>
      </c>
      <c r="X498" s="32" t="n">
        <v>0</v>
      </c>
      <c r="Y498" s="32" t="n">
        <v>0</v>
      </c>
      <c r="Z498" s="31" t="n">
        <v>0</v>
      </c>
      <c r="AA498" s="32" t="n">
        <v>0</v>
      </c>
      <c r="AB498" s="32" t="n">
        <v>0</v>
      </c>
      <c r="AC498" s="32" t="n">
        <v>0</v>
      </c>
      <c r="AD498" s="32" t="n">
        <v>0</v>
      </c>
      <c r="AE498" s="31" t="n">
        <v>0</v>
      </c>
      <c r="AF498" s="32" t="n">
        <v>0</v>
      </c>
      <c r="AG498" s="31" t="n">
        <v>0</v>
      </c>
      <c r="AH498" s="32" t="n">
        <v>44</v>
      </c>
      <c r="AI498" s="31" t="n">
        <v>46.9</v>
      </c>
      <c r="AJ498" s="31" t="n">
        <v>41.2</v>
      </c>
      <c r="AK498" s="31" t="n">
        <v>1.9</v>
      </c>
      <c r="AL498" s="30" t="inlineStr">
        <is>
          <t>T-0647</t>
        </is>
      </c>
      <c r="AM498" s="30" t="inlineStr">
        <is>
          <t>H-03-01</t>
        </is>
      </c>
      <c r="AN498" s="30" t="inlineStr">
        <is>
          <t>T-0524</t>
        </is>
      </c>
      <c r="AO498" s="30" t="inlineStr">
        <is>
          <t>H-03-02</t>
        </is>
      </c>
    </row>
    <row r="499">
      <c r="A499" s="30" t="inlineStr">
        <is>
          <t>O0498</t>
        </is>
      </c>
      <c r="B499" s="30" t="inlineStr">
        <is>
          <t>C</t>
        </is>
      </c>
      <c r="C499" s="31" t="n">
        <v>6942.2</v>
      </c>
      <c r="D499" s="31" t="n">
        <v>24172.7</v>
      </c>
      <c r="E499" s="31" t="n">
        <v>24172.7</v>
      </c>
      <c r="F499" s="31" t="n">
        <v>24187</v>
      </c>
      <c r="G499" s="31" t="n">
        <v>24207.8</v>
      </c>
      <c r="H499" s="31" t="n">
        <v>24220</v>
      </c>
      <c r="I499" s="31" t="n">
        <v>24244.9</v>
      </c>
      <c r="J499" s="31" t="n">
        <v>24280.5</v>
      </c>
      <c r="K499" s="31" t="n">
        <v>17338.3</v>
      </c>
      <c r="L499" s="31" t="n">
        <v>17230.5</v>
      </c>
      <c r="M499" s="30" t="inlineStr">
        <is>
          <t>AMR3</t>
        </is>
      </c>
      <c r="N499" s="30" t="inlineStr">
        <is>
          <t>AMR3</t>
        </is>
      </c>
      <c r="O499" s="32" t="n">
        <v>0</v>
      </c>
      <c r="P499" s="32" t="n">
        <v>0</v>
      </c>
      <c r="Q499" s="32" t="n">
        <v>13</v>
      </c>
      <c r="R499" s="31" t="n">
        <v>34.2</v>
      </c>
      <c r="S499" s="31" t="n">
        <v>34.2</v>
      </c>
      <c r="T499" s="30" t="inlineStr">
        <is>
          <t>AMR3</t>
        </is>
      </c>
      <c r="U499" s="31" t="n">
        <v>55.6</v>
      </c>
      <c r="V499" s="31" t="n">
        <v>55.6</v>
      </c>
      <c r="W499" s="30" t="inlineStr">
        <is>
          <t>AMR3</t>
        </is>
      </c>
      <c r="X499" s="32" t="n">
        <v>0</v>
      </c>
      <c r="Y499" s="32" t="n">
        <v>0</v>
      </c>
      <c r="Z499" s="31" t="n">
        <v>0</v>
      </c>
      <c r="AA499" s="32" t="n">
        <v>0</v>
      </c>
      <c r="AB499" s="32" t="n">
        <v>0</v>
      </c>
      <c r="AC499" s="32" t="n">
        <v>1</v>
      </c>
      <c r="AD499" s="32" t="n">
        <v>0</v>
      </c>
      <c r="AE499" s="31" t="n">
        <v>0</v>
      </c>
      <c r="AF499" s="32" t="n">
        <v>0</v>
      </c>
      <c r="AG499" s="31" t="n">
        <v>0</v>
      </c>
      <c r="AH499" s="32" t="n">
        <v>41</v>
      </c>
      <c r="AI499" s="31" t="n">
        <v>45</v>
      </c>
      <c r="AJ499" s="31" t="n">
        <v>47.6</v>
      </c>
      <c r="AK499" s="31" t="n">
        <v>3</v>
      </c>
      <c r="AL499" s="30" t="inlineStr">
        <is>
          <t>T-0648</t>
        </is>
      </c>
      <c r="AM499" s="30" t="inlineStr">
        <is>
          <t>C-01-02</t>
        </is>
      </c>
      <c r="AN499" s="30" t="inlineStr">
        <is>
          <t>T-0510</t>
        </is>
      </c>
      <c r="AO499" s="30" t="inlineStr">
        <is>
          <t>C-02-02</t>
        </is>
      </c>
    </row>
    <row r="500">
      <c r="A500" s="30" t="inlineStr">
        <is>
          <t>O0499</t>
        </is>
      </c>
      <c r="B500" s="30" t="inlineStr">
        <is>
          <t>F</t>
        </is>
      </c>
      <c r="C500" s="31" t="n">
        <v>6964.1</v>
      </c>
      <c r="D500" s="31" t="n">
        <v>24188.5</v>
      </c>
      <c r="E500" s="31" t="n">
        <v>24188.5</v>
      </c>
      <c r="F500" s="31" t="n">
        <v>24199.2</v>
      </c>
      <c r="G500" s="31" t="n">
        <v>24233.9</v>
      </c>
      <c r="H500" s="31" t="n">
        <v>24235.5</v>
      </c>
      <c r="I500" s="31" t="n">
        <v>24269.1</v>
      </c>
      <c r="J500" s="31" t="n">
        <v>24304.2</v>
      </c>
      <c r="K500" s="31" t="n">
        <v>17340.1</v>
      </c>
      <c r="L500" s="31" t="n">
        <v>17224.4</v>
      </c>
      <c r="M500" s="30" t="inlineStr">
        <is>
          <t>AMR1</t>
        </is>
      </c>
      <c r="N500" s="30" t="inlineStr">
        <is>
          <t>AMR2</t>
        </is>
      </c>
      <c r="O500" s="32" t="n">
        <v>0</v>
      </c>
      <c r="P500" s="32" t="n">
        <v>0</v>
      </c>
      <c r="Q500" s="32" t="n">
        <v>23</v>
      </c>
      <c r="R500" s="31" t="n">
        <v>42.9</v>
      </c>
      <c r="S500" s="31" t="n">
        <v>42.9</v>
      </c>
      <c r="T500" s="30" t="inlineStr">
        <is>
          <t>AMR1</t>
        </is>
      </c>
      <c r="U500" s="31" t="n">
        <v>69.40000000000001</v>
      </c>
      <c r="V500" s="31" t="n">
        <v>69.40000000000001</v>
      </c>
      <c r="W500" s="30" t="inlineStr">
        <is>
          <t>AMR2</t>
        </is>
      </c>
      <c r="X500" s="32" t="n">
        <v>0</v>
      </c>
      <c r="Y500" s="32" t="n">
        <v>0</v>
      </c>
      <c r="Z500" s="31" t="n">
        <v>0</v>
      </c>
      <c r="AA500" s="32" t="n">
        <v>0</v>
      </c>
      <c r="AB500" s="32" t="n">
        <v>0</v>
      </c>
      <c r="AC500" s="32" t="n">
        <v>0</v>
      </c>
      <c r="AD500" s="32" t="n">
        <v>0</v>
      </c>
      <c r="AE500" s="31" t="n">
        <v>0</v>
      </c>
      <c r="AF500" s="32" t="n">
        <v>0</v>
      </c>
      <c r="AG500" s="31" t="n">
        <v>0</v>
      </c>
      <c r="AH500" s="32" t="n">
        <v>67</v>
      </c>
      <c r="AI500" s="31" t="n">
        <v>67</v>
      </c>
      <c r="AJ500" s="31" t="n">
        <v>47.1</v>
      </c>
      <c r="AK500" s="31" t="n">
        <v>0</v>
      </c>
      <c r="AL500" s="30" t="inlineStr">
        <is>
          <t>T-0649</t>
        </is>
      </c>
      <c r="AM500" s="30" t="inlineStr">
        <is>
          <t>F-01-03</t>
        </is>
      </c>
      <c r="AN500" s="30" t="inlineStr">
        <is>
          <t>T-0540</t>
        </is>
      </c>
      <c r="AO500" s="30" t="inlineStr">
        <is>
          <t>F-04-01</t>
        </is>
      </c>
    </row>
    <row r="501">
      <c r="A501" s="30" t="inlineStr">
        <is>
          <t>O0500</t>
        </is>
      </c>
      <c r="B501" s="30" t="inlineStr">
        <is>
          <t>B</t>
        </is>
      </c>
      <c r="C501" s="31" t="n">
        <v>6981.8</v>
      </c>
      <c r="D501" s="31" t="n">
        <v>24262.7</v>
      </c>
      <c r="E501" s="31" t="n">
        <v>24262.7</v>
      </c>
      <c r="F501" s="31" t="n">
        <v>24275.4</v>
      </c>
      <c r="G501" s="31" t="n">
        <v>24299.4</v>
      </c>
      <c r="H501" s="31" t="n">
        <v>24304.2</v>
      </c>
      <c r="I501" s="31" t="n">
        <v>24331.3</v>
      </c>
      <c r="J501" s="31" t="n">
        <v>24360.9</v>
      </c>
      <c r="K501" s="31" t="n">
        <v>17379.1</v>
      </c>
      <c r="L501" s="31" t="n">
        <v>17280.9</v>
      </c>
      <c r="M501" s="30" t="inlineStr">
        <is>
          <t>AMR1</t>
        </is>
      </c>
      <c r="N501" s="30" t="inlineStr">
        <is>
          <t>AMR3</t>
        </is>
      </c>
      <c r="O501" s="32" t="n">
        <v>0</v>
      </c>
      <c r="P501" s="32" t="n">
        <v>0</v>
      </c>
      <c r="Q501" s="32" t="n">
        <v>15</v>
      </c>
      <c r="R501" s="31" t="n">
        <v>35</v>
      </c>
      <c r="S501" s="31" t="n">
        <v>35</v>
      </c>
      <c r="T501" s="30" t="inlineStr">
        <is>
          <t>AMR1</t>
        </is>
      </c>
      <c r="U501" s="31" t="n">
        <v>54.4</v>
      </c>
      <c r="V501" s="31" t="n">
        <v>54.4</v>
      </c>
      <c r="W501" s="30" t="inlineStr">
        <is>
          <t>AMR3</t>
        </is>
      </c>
      <c r="X501" s="32" t="n">
        <v>0</v>
      </c>
      <c r="Y501" s="32" t="n">
        <v>0</v>
      </c>
      <c r="Z501" s="31" t="n">
        <v>0</v>
      </c>
      <c r="AA501" s="32" t="n">
        <v>0</v>
      </c>
      <c r="AB501" s="32" t="n">
        <v>1</v>
      </c>
      <c r="AC501" s="32" t="n">
        <v>0</v>
      </c>
      <c r="AD501" s="32" t="n">
        <v>0</v>
      </c>
      <c r="AE501" s="31" t="n">
        <v>0</v>
      </c>
      <c r="AF501" s="32" t="n">
        <v>0</v>
      </c>
      <c r="AG501" s="31" t="n">
        <v>0</v>
      </c>
      <c r="AH501" s="32" t="n">
        <v>50</v>
      </c>
      <c r="AI501" s="31" t="n">
        <v>51.3</v>
      </c>
      <c r="AJ501" s="31" t="n">
        <v>42.1</v>
      </c>
      <c r="AK501" s="31" t="n">
        <v>0</v>
      </c>
      <c r="AL501" s="30" t="inlineStr">
        <is>
          <t>T-0650</t>
        </is>
      </c>
      <c r="AM501" s="30" t="inlineStr">
        <is>
          <t>B-03-01</t>
        </is>
      </c>
      <c r="AN501" s="30" t="inlineStr">
        <is>
          <t>T-0431</t>
        </is>
      </c>
      <c r="AO501" s="30" t="inlineStr">
        <is>
          <t>B-02-03</t>
        </is>
      </c>
    </row>
    <row r="502">
      <c r="A502" s="30" t="inlineStr">
        <is>
          <t>O0501</t>
        </is>
      </c>
      <c r="B502" s="30" t="inlineStr">
        <is>
          <t>G</t>
        </is>
      </c>
      <c r="C502" s="31" t="n">
        <v>7001</v>
      </c>
      <c r="D502" s="31" t="n">
        <v>24314.9</v>
      </c>
      <c r="E502" s="31" t="n">
        <v>24314.9</v>
      </c>
      <c r="F502" s="31" t="n">
        <v>24326.6</v>
      </c>
      <c r="G502" s="31" t="n">
        <v>24358.6</v>
      </c>
      <c r="H502" s="31" t="n">
        <v>24375.5</v>
      </c>
      <c r="I502" s="31" t="n">
        <v>24407.5</v>
      </c>
      <c r="J502" s="31" t="n">
        <v>24449.5</v>
      </c>
      <c r="K502" s="31" t="n">
        <v>17448.5</v>
      </c>
      <c r="L502" s="31" t="n">
        <v>17313.9</v>
      </c>
      <c r="M502" s="30" t="inlineStr">
        <is>
          <t>AMR1</t>
        </is>
      </c>
      <c r="N502" s="30" t="inlineStr">
        <is>
          <t>AMR2</t>
        </is>
      </c>
      <c r="O502" s="32" t="n">
        <v>0</v>
      </c>
      <c r="P502" s="32" t="n">
        <v>0</v>
      </c>
      <c r="Q502" s="32" t="n">
        <v>17</v>
      </c>
      <c r="R502" s="31" t="n">
        <v>38.6</v>
      </c>
      <c r="S502" s="31" t="n">
        <v>38.6</v>
      </c>
      <c r="T502" s="30" t="inlineStr">
        <is>
          <t>AMR1</t>
        </is>
      </c>
      <c r="U502" s="31" t="n">
        <v>54.9</v>
      </c>
      <c r="V502" s="31" t="n">
        <v>54.9</v>
      </c>
      <c r="W502" s="30" t="inlineStr">
        <is>
          <t>AMR2</t>
        </is>
      </c>
      <c r="X502" s="32" t="n">
        <v>0</v>
      </c>
      <c r="Y502" s="32" t="n">
        <v>0</v>
      </c>
      <c r="Z502" s="31" t="n">
        <v>0</v>
      </c>
      <c r="AA502" s="32" t="n">
        <v>0</v>
      </c>
      <c r="AB502" s="32" t="n">
        <v>2</v>
      </c>
      <c r="AC502" s="32" t="n">
        <v>1</v>
      </c>
      <c r="AD502" s="32" t="n">
        <v>2</v>
      </c>
      <c r="AE502" s="31" t="n">
        <v>10.8</v>
      </c>
      <c r="AF502" s="32" t="n">
        <v>2</v>
      </c>
      <c r="AG502" s="31" t="n">
        <v>3.6</v>
      </c>
      <c r="AH502" s="32" t="n">
        <v>53</v>
      </c>
      <c r="AI502" s="31" t="n">
        <v>56.2</v>
      </c>
      <c r="AJ502" s="31" t="n">
        <v>43.1</v>
      </c>
      <c r="AK502" s="31" t="n">
        <v>18.4</v>
      </c>
      <c r="AL502" s="30" t="inlineStr">
        <is>
          <t>T-0651</t>
        </is>
      </c>
      <c r="AM502" s="30" t="inlineStr">
        <is>
          <t>G-01-02</t>
        </is>
      </c>
      <c r="AN502" s="30" t="inlineStr">
        <is>
          <t>T-0435</t>
        </is>
      </c>
      <c r="AO502" s="30" t="inlineStr">
        <is>
          <t>G-02-02</t>
        </is>
      </c>
    </row>
    <row r="503">
      <c r="A503" s="30" t="inlineStr">
        <is>
          <t>O0502</t>
        </is>
      </c>
      <c r="B503" s="30" t="inlineStr">
        <is>
          <t>C</t>
        </is>
      </c>
      <c r="C503" s="31" t="n">
        <v>7026</v>
      </c>
      <c r="D503" s="31" t="n">
        <v>24327.9</v>
      </c>
      <c r="E503" s="31" t="n">
        <v>24327.9</v>
      </c>
      <c r="F503" s="31" t="n">
        <v>24343.6</v>
      </c>
      <c r="G503" s="31" t="n">
        <v>24363.3</v>
      </c>
      <c r="H503" s="31" t="n">
        <v>24384.6</v>
      </c>
      <c r="I503" s="31" t="n">
        <v>24407.9</v>
      </c>
      <c r="J503" s="31" t="n">
        <v>24433.1</v>
      </c>
      <c r="K503" s="31" t="n">
        <v>17407.1</v>
      </c>
      <c r="L503" s="31" t="n">
        <v>17301.9</v>
      </c>
      <c r="M503" s="30" t="inlineStr">
        <is>
          <t>AMR2</t>
        </is>
      </c>
      <c r="N503" s="30" t="inlineStr">
        <is>
          <t>AMR3</t>
        </is>
      </c>
      <c r="O503" s="32" t="n">
        <v>0</v>
      </c>
      <c r="P503" s="32" t="n">
        <v>0</v>
      </c>
      <c r="Q503" s="32" t="n">
        <v>13</v>
      </c>
      <c r="R503" s="31" t="n">
        <v>34.5</v>
      </c>
      <c r="S503" s="31" t="n">
        <v>34.5</v>
      </c>
      <c r="T503" s="30" t="inlineStr">
        <is>
          <t>AMR2</t>
        </is>
      </c>
      <c r="U503" s="31" t="n">
        <v>48.6</v>
      </c>
      <c r="V503" s="31" t="n">
        <v>48.6</v>
      </c>
      <c r="W503" s="30" t="inlineStr">
        <is>
          <t>AMR3</t>
        </is>
      </c>
      <c r="X503" s="32" t="n">
        <v>0</v>
      </c>
      <c r="Y503" s="32" t="n">
        <v>0</v>
      </c>
      <c r="Z503" s="31" t="n">
        <v>0</v>
      </c>
      <c r="AA503" s="32" t="n">
        <v>0</v>
      </c>
      <c r="AB503" s="32" t="n">
        <v>0</v>
      </c>
      <c r="AC503" s="32" t="n">
        <v>0</v>
      </c>
      <c r="AD503" s="32" t="n">
        <v>0</v>
      </c>
      <c r="AE503" s="31" t="n">
        <v>0</v>
      </c>
      <c r="AF503" s="32" t="n">
        <v>0</v>
      </c>
      <c r="AG503" s="31" t="n">
        <v>0</v>
      </c>
      <c r="AH503" s="32" t="n">
        <v>41</v>
      </c>
      <c r="AI503" s="31" t="n">
        <v>43</v>
      </c>
      <c r="AJ503" s="31" t="n">
        <v>40.9</v>
      </c>
      <c r="AK503" s="31" t="n">
        <v>0</v>
      </c>
      <c r="AL503" s="30" t="inlineStr">
        <is>
          <t>T-0652</t>
        </is>
      </c>
      <c r="AM503" s="30" t="inlineStr">
        <is>
          <t>C-02-02</t>
        </is>
      </c>
      <c r="AN503" s="30" t="inlineStr">
        <is>
          <t>T-0513</t>
        </is>
      </c>
      <c r="AO503" s="30" t="inlineStr">
        <is>
          <t>C-03-02</t>
        </is>
      </c>
    </row>
    <row r="504">
      <c r="A504" s="30" t="inlineStr">
        <is>
          <t>O0503</t>
        </is>
      </c>
      <c r="B504" s="30" t="inlineStr">
        <is>
          <t>B</t>
        </is>
      </c>
      <c r="C504" s="31" t="n">
        <v>7043.9</v>
      </c>
      <c r="D504" s="31" t="n">
        <v>24388.1</v>
      </c>
      <c r="E504" s="31" t="n">
        <v>24388.1</v>
      </c>
      <c r="F504" s="31" t="n">
        <v>24401.6</v>
      </c>
      <c r="G504" s="31" t="n">
        <v>24429.3</v>
      </c>
      <c r="H504" s="31" t="n">
        <v>24445.5</v>
      </c>
      <c r="I504" s="31" t="n">
        <v>24468.4</v>
      </c>
      <c r="J504" s="31" t="n">
        <v>24498.4</v>
      </c>
      <c r="K504" s="31" t="n">
        <v>17454.5</v>
      </c>
      <c r="L504" s="31" t="n">
        <v>17344.2</v>
      </c>
      <c r="M504" s="30" t="inlineStr">
        <is>
          <t>AMR1</t>
        </is>
      </c>
      <c r="N504" s="30" t="inlineStr">
        <is>
          <t>AMR1</t>
        </is>
      </c>
      <c r="O504" s="32" t="n">
        <v>0</v>
      </c>
      <c r="P504" s="32" t="n">
        <v>0</v>
      </c>
      <c r="Q504" s="32" t="n">
        <v>15</v>
      </c>
      <c r="R504" s="31" t="n">
        <v>38.7</v>
      </c>
      <c r="S504" s="31" t="n">
        <v>38.7</v>
      </c>
      <c r="T504" s="30" t="inlineStr">
        <is>
          <t>AMR1</t>
        </is>
      </c>
      <c r="U504" s="31" t="n">
        <v>51.1</v>
      </c>
      <c r="V504" s="31" t="n">
        <v>51.1</v>
      </c>
      <c r="W504" s="30" t="inlineStr">
        <is>
          <t>AMR1</t>
        </is>
      </c>
      <c r="X504" s="32" t="n">
        <v>0</v>
      </c>
      <c r="Y504" s="32" t="n">
        <v>0</v>
      </c>
      <c r="Z504" s="31" t="n">
        <v>0</v>
      </c>
      <c r="AA504" s="32" t="n">
        <v>0</v>
      </c>
      <c r="AB504" s="32" t="n">
        <v>0</v>
      </c>
      <c r="AC504" s="32" t="n">
        <v>0</v>
      </c>
      <c r="AD504" s="32" t="n">
        <v>0</v>
      </c>
      <c r="AE504" s="31" t="n">
        <v>0</v>
      </c>
      <c r="AF504" s="32" t="n">
        <v>0</v>
      </c>
      <c r="AG504" s="31" t="n">
        <v>0</v>
      </c>
      <c r="AH504" s="32" t="n">
        <v>49</v>
      </c>
      <c r="AI504" s="31" t="n">
        <v>51.6</v>
      </c>
      <c r="AJ504" s="31" t="n">
        <v>42.5</v>
      </c>
      <c r="AK504" s="31" t="n">
        <v>0</v>
      </c>
      <c r="AL504" s="30" t="inlineStr">
        <is>
          <t>T-0653</t>
        </is>
      </c>
      <c r="AM504" s="30" t="inlineStr">
        <is>
          <t>B-02-03</t>
        </is>
      </c>
      <c r="AN504" s="30" t="inlineStr">
        <is>
          <t>T-0484</t>
        </is>
      </c>
      <c r="AO504" s="30" t="inlineStr">
        <is>
          <t>B-03-03</t>
        </is>
      </c>
    </row>
    <row r="505">
      <c r="A505" s="30" t="inlineStr">
        <is>
          <t>O0504</t>
        </is>
      </c>
      <c r="B505" s="30" t="inlineStr">
        <is>
          <t>E</t>
        </is>
      </c>
      <c r="C505" s="31" t="n">
        <v>7062.2</v>
      </c>
      <c r="D505" s="31" t="n">
        <v>24456.8</v>
      </c>
      <c r="E505" s="31" t="n">
        <v>24456.8</v>
      </c>
      <c r="F505" s="31" t="n">
        <v>24472.8</v>
      </c>
      <c r="G505" s="31" t="n">
        <v>24501.5</v>
      </c>
      <c r="H505" s="31" t="n">
        <v>24521.7</v>
      </c>
      <c r="I505" s="31" t="n">
        <v>24558.2</v>
      </c>
      <c r="J505" s="31" t="n">
        <v>24602.5</v>
      </c>
      <c r="K505" s="31" t="n">
        <v>17540.3</v>
      </c>
      <c r="L505" s="31" t="n">
        <v>17394.6</v>
      </c>
      <c r="M505" s="30" t="inlineStr">
        <is>
          <t>AMR3</t>
        </is>
      </c>
      <c r="N505" s="30" t="inlineStr">
        <is>
          <t>AMR3</t>
        </is>
      </c>
      <c r="O505" s="32" t="n">
        <v>0</v>
      </c>
      <c r="P505" s="32" t="n">
        <v>0</v>
      </c>
      <c r="Q505" s="32" t="n">
        <v>19</v>
      </c>
      <c r="R505" s="31" t="n">
        <v>42.2</v>
      </c>
      <c r="S505" s="31" t="n">
        <v>42.2</v>
      </c>
      <c r="T505" s="30" t="inlineStr">
        <is>
          <t>AMR3</t>
        </is>
      </c>
      <c r="U505" s="31" t="n">
        <v>61.2</v>
      </c>
      <c r="V505" s="31" t="n">
        <v>61.2</v>
      </c>
      <c r="W505" s="30" t="inlineStr">
        <is>
          <t>AMR3</t>
        </is>
      </c>
      <c r="X505" s="32" t="n">
        <v>0</v>
      </c>
      <c r="Y505" s="32" t="n">
        <v>0</v>
      </c>
      <c r="Z505" s="31" t="n">
        <v>0</v>
      </c>
      <c r="AA505" s="32" t="n">
        <v>0</v>
      </c>
      <c r="AB505" s="32" t="n">
        <v>1</v>
      </c>
      <c r="AC505" s="32" t="n">
        <v>1</v>
      </c>
      <c r="AD505" s="32" t="n">
        <v>1</v>
      </c>
      <c r="AE505" s="31" t="n">
        <v>9</v>
      </c>
      <c r="AF505" s="32" t="n">
        <v>1</v>
      </c>
      <c r="AG505" s="31" t="n">
        <v>4</v>
      </c>
      <c r="AH505" s="32" t="n">
        <v>63</v>
      </c>
      <c r="AI505" s="31" t="n">
        <v>66.5</v>
      </c>
      <c r="AJ505" s="31" t="n">
        <v>45.9</v>
      </c>
      <c r="AK505" s="31" t="n">
        <v>13.1</v>
      </c>
      <c r="AL505" s="30" t="inlineStr">
        <is>
          <t>T-0654</t>
        </is>
      </c>
      <c r="AM505" s="30" t="inlineStr">
        <is>
          <t>E-04-03</t>
        </is>
      </c>
      <c r="AN505" s="30" t="inlineStr">
        <is>
          <t>T-0458</t>
        </is>
      </c>
      <c r="AO505" s="30" t="inlineStr">
        <is>
          <t>E-05-01</t>
        </is>
      </c>
    </row>
    <row r="506">
      <c r="A506" s="30" t="inlineStr">
        <is>
          <t>O0505</t>
        </is>
      </c>
      <c r="B506" s="30" t="inlineStr">
        <is>
          <t>G</t>
        </is>
      </c>
      <c r="C506" s="31" t="n">
        <v>7081.6</v>
      </c>
      <c r="D506" s="31" t="n">
        <v>24473.2</v>
      </c>
      <c r="E506" s="31" t="n">
        <v>24473.2</v>
      </c>
      <c r="F506" s="31" t="n">
        <v>24484.7</v>
      </c>
      <c r="G506" s="31" t="n">
        <v>24512.4</v>
      </c>
      <c r="H506" s="31" t="n">
        <v>24530.6</v>
      </c>
      <c r="I506" s="31" t="n">
        <v>24563</v>
      </c>
      <c r="J506" s="31" t="n">
        <v>24589.9</v>
      </c>
      <c r="K506" s="31" t="n">
        <v>17508.3</v>
      </c>
      <c r="L506" s="31" t="n">
        <v>17391.6</v>
      </c>
      <c r="M506" s="30" t="inlineStr">
        <is>
          <t>AMR2</t>
        </is>
      </c>
      <c r="N506" s="30" t="inlineStr">
        <is>
          <t>AMR1</t>
        </is>
      </c>
      <c r="O506" s="32" t="n">
        <v>0</v>
      </c>
      <c r="P506" s="32" t="n">
        <v>0</v>
      </c>
      <c r="Q506" s="32" t="n">
        <v>17</v>
      </c>
      <c r="R506" s="31" t="n">
        <v>36.7</v>
      </c>
      <c r="S506" s="31" t="n">
        <v>36.7</v>
      </c>
      <c r="T506" s="30" t="inlineStr">
        <is>
          <t>AMR2</t>
        </is>
      </c>
      <c r="U506" s="31" t="n">
        <v>52.9</v>
      </c>
      <c r="V506" s="31" t="n">
        <v>52.9</v>
      </c>
      <c r="W506" s="30" t="inlineStr">
        <is>
          <t>AMR1</t>
        </is>
      </c>
      <c r="X506" s="32" t="n">
        <v>0</v>
      </c>
      <c r="Y506" s="32" t="n">
        <v>0</v>
      </c>
      <c r="Z506" s="31" t="n">
        <v>0</v>
      </c>
      <c r="AA506" s="32" t="n">
        <v>0</v>
      </c>
      <c r="AB506" s="32" t="n">
        <v>0</v>
      </c>
      <c r="AC506" s="32" t="n">
        <v>1</v>
      </c>
      <c r="AD506" s="32" t="n">
        <v>0</v>
      </c>
      <c r="AE506" s="31" t="n">
        <v>0</v>
      </c>
      <c r="AF506" s="32" t="n">
        <v>0</v>
      </c>
      <c r="AG506" s="31" t="n">
        <v>0</v>
      </c>
      <c r="AH506" s="32" t="n">
        <v>51</v>
      </c>
      <c r="AI506" s="31" t="n">
        <v>56.3</v>
      </c>
      <c r="AJ506" s="31" t="n">
        <v>39.2</v>
      </c>
      <c r="AK506" s="31" t="n">
        <v>3</v>
      </c>
      <c r="AL506" s="30" t="inlineStr">
        <is>
          <t>T-0655</t>
        </is>
      </c>
      <c r="AM506" s="30" t="inlineStr">
        <is>
          <t>G-02-02</t>
        </is>
      </c>
      <c r="AN506" s="30" t="inlineStr">
        <is>
          <t>T-0448</t>
        </is>
      </c>
      <c r="AO506" s="30" t="inlineStr">
        <is>
          <t>G-03-02</t>
        </is>
      </c>
    </row>
    <row r="507">
      <c r="A507" s="30" t="inlineStr">
        <is>
          <t>O0506</t>
        </is>
      </c>
      <c r="B507" s="30" t="inlineStr">
        <is>
          <t>F</t>
        </is>
      </c>
      <c r="C507" s="31" t="n">
        <v>7103.5</v>
      </c>
      <c r="D507" s="31" t="n">
        <v>24537</v>
      </c>
      <c r="E507" s="31" t="n">
        <v>24537</v>
      </c>
      <c r="F507" s="31" t="n">
        <v>24551.4</v>
      </c>
      <c r="G507" s="31" t="n">
        <v>24582.8</v>
      </c>
      <c r="H507" s="31" t="n">
        <v>24605</v>
      </c>
      <c r="I507" s="31" t="n">
        <v>24638.5</v>
      </c>
      <c r="J507" s="31" t="n">
        <v>24675</v>
      </c>
      <c r="K507" s="31" t="n">
        <v>17571.5</v>
      </c>
      <c r="L507" s="31" t="n">
        <v>17433.5</v>
      </c>
      <c r="M507" s="30" t="inlineStr">
        <is>
          <t>AMR2</t>
        </is>
      </c>
      <c r="N507" s="30" t="inlineStr">
        <is>
          <t>AMR2</t>
        </is>
      </c>
      <c r="O507" s="32" t="n">
        <v>0</v>
      </c>
      <c r="P507" s="32" t="n">
        <v>0</v>
      </c>
      <c r="Q507" s="32" t="n">
        <v>23</v>
      </c>
      <c r="R507" s="31" t="n">
        <v>44.9</v>
      </c>
      <c r="S507" s="31" t="n">
        <v>44.9</v>
      </c>
      <c r="T507" s="30" t="inlineStr">
        <is>
          <t>AMR2</t>
        </is>
      </c>
      <c r="U507" s="31" t="n">
        <v>69.7</v>
      </c>
      <c r="V507" s="31" t="n">
        <v>69.7</v>
      </c>
      <c r="W507" s="30" t="inlineStr">
        <is>
          <t>AMR2</t>
        </is>
      </c>
      <c r="X507" s="32" t="n">
        <v>0</v>
      </c>
      <c r="Y507" s="32" t="n">
        <v>0</v>
      </c>
      <c r="Z507" s="31" t="n">
        <v>0</v>
      </c>
      <c r="AA507" s="32" t="n">
        <v>0</v>
      </c>
      <c r="AB507" s="32" t="n">
        <v>0</v>
      </c>
      <c r="AC507" s="32" t="n">
        <v>0</v>
      </c>
      <c r="AD507" s="32" t="n">
        <v>0</v>
      </c>
      <c r="AE507" s="31" t="n">
        <v>0</v>
      </c>
      <c r="AF507" s="32" t="n">
        <v>0</v>
      </c>
      <c r="AG507" s="31" t="n">
        <v>0</v>
      </c>
      <c r="AH507" s="32" t="n">
        <v>65</v>
      </c>
      <c r="AI507" s="31" t="n">
        <v>66.40000000000001</v>
      </c>
      <c r="AJ507" s="31" t="n">
        <v>49.4</v>
      </c>
      <c r="AK507" s="31" t="n">
        <v>0</v>
      </c>
      <c r="AL507" s="30" t="inlineStr">
        <is>
          <t>T-0656</t>
        </is>
      </c>
      <c r="AM507" s="30" t="inlineStr">
        <is>
          <t>F-04-01</t>
        </is>
      </c>
      <c r="AN507" s="30" t="inlineStr">
        <is>
          <t>T-0556</t>
        </is>
      </c>
      <c r="AO507" s="30" t="inlineStr">
        <is>
          <t>F-04-03</t>
        </is>
      </c>
    </row>
    <row r="508">
      <c r="A508" s="30" t="inlineStr">
        <is>
          <t>O0507</t>
        </is>
      </c>
      <c r="B508" s="30" t="inlineStr">
        <is>
          <t>F</t>
        </is>
      </c>
      <c r="C508" s="31" t="n">
        <v>7119</v>
      </c>
      <c r="D508" s="31" t="n">
        <v>24613.6</v>
      </c>
      <c r="E508" s="31" t="n">
        <v>24613.6</v>
      </c>
      <c r="F508" s="31" t="n">
        <v>24629.2</v>
      </c>
      <c r="G508" s="31" t="n">
        <v>24662.7</v>
      </c>
      <c r="H508" s="31" t="n">
        <v>24685.6</v>
      </c>
      <c r="I508" s="31" t="n">
        <v>24719.6</v>
      </c>
      <c r="J508" s="31" t="n">
        <v>24769.5</v>
      </c>
      <c r="K508" s="31" t="n">
        <v>17650.5</v>
      </c>
      <c r="L508" s="31" t="n">
        <v>17494.6</v>
      </c>
      <c r="M508" s="30" t="inlineStr">
        <is>
          <t>AMR1</t>
        </is>
      </c>
      <c r="N508" s="30" t="inlineStr">
        <is>
          <t>AMR1</t>
        </is>
      </c>
      <c r="O508" s="32" t="n">
        <v>0</v>
      </c>
      <c r="P508" s="32" t="n">
        <v>0</v>
      </c>
      <c r="Q508" s="32" t="n">
        <v>23</v>
      </c>
      <c r="R508" s="31" t="n">
        <v>47.4</v>
      </c>
      <c r="S508" s="31" t="n">
        <v>47.4</v>
      </c>
      <c r="T508" s="30" t="inlineStr">
        <is>
          <t>AMR1</t>
        </is>
      </c>
      <c r="U508" s="31" t="n">
        <v>68</v>
      </c>
      <c r="V508" s="31" t="n">
        <v>68</v>
      </c>
      <c r="W508" s="30" t="inlineStr">
        <is>
          <t>AMR1</t>
        </is>
      </c>
      <c r="X508" s="32" t="n">
        <v>0</v>
      </c>
      <c r="Y508" s="32" t="n">
        <v>0</v>
      </c>
      <c r="Z508" s="31" t="n">
        <v>0</v>
      </c>
      <c r="AA508" s="32" t="n">
        <v>0</v>
      </c>
      <c r="AB508" s="32" t="n">
        <v>0</v>
      </c>
      <c r="AC508" s="32" t="n">
        <v>0</v>
      </c>
      <c r="AD508" s="32" t="n">
        <v>1</v>
      </c>
      <c r="AE508" s="31" t="n">
        <v>12.6</v>
      </c>
      <c r="AF508" s="32" t="n">
        <v>1</v>
      </c>
      <c r="AG508" s="31" t="n">
        <v>7.6</v>
      </c>
      <c r="AH508" s="32" t="n">
        <v>70</v>
      </c>
      <c r="AI508" s="31" t="n">
        <v>70.2</v>
      </c>
      <c r="AJ508" s="31" t="n">
        <v>50.2</v>
      </c>
      <c r="AK508" s="31" t="n">
        <v>12.6</v>
      </c>
      <c r="AL508" s="30" t="inlineStr">
        <is>
          <t>T-0657</t>
        </is>
      </c>
      <c r="AM508" s="30" t="inlineStr">
        <is>
          <t>F-03-03</t>
        </is>
      </c>
      <c r="AN508" s="30" t="inlineStr">
        <is>
          <t>T-0569</t>
        </is>
      </c>
      <c r="AO508" s="30" t="inlineStr">
        <is>
          <t>F-02-01</t>
        </is>
      </c>
    </row>
    <row r="509">
      <c r="A509" s="30" t="inlineStr">
        <is>
          <t>O0508</t>
        </is>
      </c>
      <c r="B509" s="30" t="inlineStr">
        <is>
          <t>E</t>
        </is>
      </c>
      <c r="C509" s="31" t="n">
        <v>7144</v>
      </c>
      <c r="D509" s="31" t="n">
        <v>24629.2</v>
      </c>
      <c r="E509" s="31" t="n">
        <v>24629.2</v>
      </c>
      <c r="F509" s="31" t="n">
        <v>24642</v>
      </c>
      <c r="G509" s="31" t="n">
        <v>24671.3</v>
      </c>
      <c r="H509" s="31" t="n">
        <v>24691.5</v>
      </c>
      <c r="I509" s="31" t="n">
        <v>24716.6</v>
      </c>
      <c r="J509" s="31" t="n">
        <v>24753.2</v>
      </c>
      <c r="K509" s="31" t="n">
        <v>17609.2</v>
      </c>
      <c r="L509" s="31" t="n">
        <v>17485.2</v>
      </c>
      <c r="M509" s="30" t="inlineStr">
        <is>
          <t>AMR3</t>
        </is>
      </c>
      <c r="N509" s="30" t="inlineStr">
        <is>
          <t>AMR3</t>
        </is>
      </c>
      <c r="O509" s="32" t="n">
        <v>0</v>
      </c>
      <c r="P509" s="32" t="n">
        <v>0</v>
      </c>
      <c r="Q509" s="32" t="n">
        <v>19</v>
      </c>
      <c r="R509" s="31" t="n">
        <v>39.6</v>
      </c>
      <c r="S509" s="31" t="n">
        <v>39.6</v>
      </c>
      <c r="T509" s="30" t="inlineStr">
        <is>
          <t>AMR3</t>
        </is>
      </c>
      <c r="U509" s="31" t="n">
        <v>61.9</v>
      </c>
      <c r="V509" s="31" t="n">
        <v>61.9</v>
      </c>
      <c r="W509" s="30" t="inlineStr">
        <is>
          <t>AMR3</t>
        </is>
      </c>
      <c r="X509" s="32" t="n">
        <v>0</v>
      </c>
      <c r="Y509" s="32" t="n">
        <v>0</v>
      </c>
      <c r="Z509" s="31" t="n">
        <v>0</v>
      </c>
      <c r="AA509" s="32" t="n">
        <v>0</v>
      </c>
      <c r="AB509" s="32" t="n">
        <v>0</v>
      </c>
      <c r="AC509" s="32" t="n">
        <v>0</v>
      </c>
      <c r="AD509" s="32" t="n">
        <v>0</v>
      </c>
      <c r="AE509" s="31" t="n">
        <v>0</v>
      </c>
      <c r="AF509" s="32" t="n">
        <v>0</v>
      </c>
      <c r="AG509" s="31" t="n">
        <v>0</v>
      </c>
      <c r="AH509" s="32" t="n">
        <v>59</v>
      </c>
      <c r="AI509" s="31" t="n">
        <v>59.8</v>
      </c>
      <c r="AJ509" s="31" t="n">
        <v>44</v>
      </c>
      <c r="AK509" s="31" t="n">
        <v>0</v>
      </c>
      <c r="AL509" s="30" t="inlineStr">
        <is>
          <t>T-0658</t>
        </is>
      </c>
      <c r="AM509" s="30" t="inlineStr">
        <is>
          <t>E-05-01</t>
        </is>
      </c>
      <c r="AN509" s="30" t="inlineStr">
        <is>
          <t>T-0465</t>
        </is>
      </c>
      <c r="AO509" s="30" t="inlineStr">
        <is>
          <t>E-02-02</t>
        </is>
      </c>
    </row>
    <row r="510">
      <c r="A510" s="30" t="inlineStr">
        <is>
          <t>O0509</t>
        </is>
      </c>
      <c r="B510" s="30" t="inlineStr">
        <is>
          <t>A</t>
        </is>
      </c>
      <c r="C510" s="31" t="n">
        <v>7168.8</v>
      </c>
      <c r="D510" s="31" t="n">
        <v>24700.2</v>
      </c>
      <c r="E510" s="31" t="n">
        <v>24700.2</v>
      </c>
      <c r="F510" s="31" t="n">
        <v>24711.8</v>
      </c>
      <c r="G510" s="31" t="n">
        <v>24741.7</v>
      </c>
      <c r="H510" s="31" t="n">
        <v>24761.9</v>
      </c>
      <c r="I510" s="31" t="n">
        <v>24795.3</v>
      </c>
      <c r="J510" s="31" t="n">
        <v>24833.8</v>
      </c>
      <c r="K510" s="31" t="n">
        <v>17665</v>
      </c>
      <c r="L510" s="31" t="n">
        <v>17531.4</v>
      </c>
      <c r="M510" s="30" t="inlineStr">
        <is>
          <t>AMR2</t>
        </is>
      </c>
      <c r="N510" s="30" t="inlineStr">
        <is>
          <t>AMR2</t>
        </is>
      </c>
      <c r="O510" s="32" t="n">
        <v>0</v>
      </c>
      <c r="P510" s="32" t="n">
        <v>0</v>
      </c>
      <c r="Q510" s="32" t="n">
        <v>21</v>
      </c>
      <c r="R510" s="31" t="n">
        <v>40.6</v>
      </c>
      <c r="S510" s="31" t="n">
        <v>40.6</v>
      </c>
      <c r="T510" s="30" t="inlineStr">
        <is>
          <t>AMR2</t>
        </is>
      </c>
      <c r="U510" s="31" t="n">
        <v>68.59999999999999</v>
      </c>
      <c r="V510" s="31" t="n">
        <v>68.59999999999999</v>
      </c>
      <c r="W510" s="30" t="inlineStr">
        <is>
          <t>AMR2</t>
        </is>
      </c>
      <c r="X510" s="32" t="n">
        <v>0</v>
      </c>
      <c r="Y510" s="32" t="n">
        <v>0</v>
      </c>
      <c r="Z510" s="31" t="n">
        <v>0</v>
      </c>
      <c r="AA510" s="32" t="n">
        <v>0</v>
      </c>
      <c r="AB510" s="32" t="n">
        <v>0</v>
      </c>
      <c r="AC510" s="32" t="n">
        <v>0</v>
      </c>
      <c r="AD510" s="32" t="n">
        <v>0</v>
      </c>
      <c r="AE510" s="31" t="n">
        <v>0</v>
      </c>
      <c r="AF510" s="32" t="n">
        <v>0</v>
      </c>
      <c r="AG510" s="31" t="n">
        <v>0</v>
      </c>
      <c r="AH510" s="32" t="n">
        <v>67</v>
      </c>
      <c r="AI510" s="31" t="n">
        <v>66.3</v>
      </c>
      <c r="AJ510" s="31" t="n">
        <v>47.1</v>
      </c>
      <c r="AK510" s="31" t="n">
        <v>0</v>
      </c>
      <c r="AL510" s="30" t="inlineStr">
        <is>
          <t>T-0659</t>
        </is>
      </c>
      <c r="AM510" s="30" t="inlineStr">
        <is>
          <t>A-05-01</t>
        </is>
      </c>
      <c r="AN510" s="30" t="inlineStr">
        <is>
          <t>T-0428</t>
        </is>
      </c>
      <c r="AO510" s="30" t="inlineStr">
        <is>
          <t>A-01-02</t>
        </is>
      </c>
    </row>
    <row r="511">
      <c r="A511" s="30" t="inlineStr">
        <is>
          <t>O0510</t>
        </is>
      </c>
      <c r="B511" s="30" t="inlineStr">
        <is>
          <t>G</t>
        </is>
      </c>
      <c r="C511" s="31" t="n">
        <v>7190.5</v>
      </c>
      <c r="D511" s="31" t="n">
        <v>24776.9</v>
      </c>
      <c r="E511" s="31" t="n">
        <v>24776.9</v>
      </c>
      <c r="F511" s="31" t="n">
        <v>24791</v>
      </c>
      <c r="G511" s="31" t="n">
        <v>24815.2</v>
      </c>
      <c r="H511" s="31" t="n">
        <v>24832.7</v>
      </c>
      <c r="I511" s="31" t="n">
        <v>24862.5</v>
      </c>
      <c r="J511" s="31" t="n">
        <v>24889.1</v>
      </c>
      <c r="K511" s="31" t="n">
        <v>17698.6</v>
      </c>
      <c r="L511" s="31" t="n">
        <v>17586.4</v>
      </c>
      <c r="M511" s="30" t="inlineStr">
        <is>
          <t>AMR3</t>
        </is>
      </c>
      <c r="N511" s="30" t="inlineStr">
        <is>
          <t>AMR3</t>
        </is>
      </c>
      <c r="O511" s="32" t="n">
        <v>0</v>
      </c>
      <c r="P511" s="32" t="n">
        <v>0</v>
      </c>
      <c r="Q511" s="32" t="n">
        <v>17</v>
      </c>
      <c r="R511" s="31" t="n">
        <v>36.6</v>
      </c>
      <c r="S511" s="31" t="n">
        <v>36.6</v>
      </c>
      <c r="T511" s="30" t="inlineStr">
        <is>
          <t>AMR3</t>
        </is>
      </c>
      <c r="U511" s="31" t="n">
        <v>56.1</v>
      </c>
      <c r="V511" s="31" t="n">
        <v>56.1</v>
      </c>
      <c r="W511" s="30" t="inlineStr">
        <is>
          <t>AMR3</t>
        </is>
      </c>
      <c r="X511" s="32" t="n">
        <v>0</v>
      </c>
      <c r="Y511" s="32" t="n">
        <v>0</v>
      </c>
      <c r="Z511" s="31" t="n">
        <v>0</v>
      </c>
      <c r="AA511" s="32" t="n">
        <v>0</v>
      </c>
      <c r="AB511" s="32" t="n">
        <v>0</v>
      </c>
      <c r="AC511" s="32" t="n">
        <v>0</v>
      </c>
      <c r="AD511" s="32" t="n">
        <v>0</v>
      </c>
      <c r="AE511" s="31" t="n">
        <v>0</v>
      </c>
      <c r="AF511" s="32" t="n">
        <v>0</v>
      </c>
      <c r="AG511" s="31" t="n">
        <v>0</v>
      </c>
      <c r="AH511" s="32" t="n">
        <v>48</v>
      </c>
      <c r="AI511" s="31" t="n">
        <v>52.4</v>
      </c>
      <c r="AJ511" s="31" t="n">
        <v>42.3</v>
      </c>
      <c r="AK511" s="31" t="n">
        <v>0</v>
      </c>
      <c r="AL511" s="30" t="inlineStr">
        <is>
          <t>T-0660</t>
        </is>
      </c>
      <c r="AM511" s="30" t="inlineStr">
        <is>
          <t>G-03-02</t>
        </is>
      </c>
      <c r="AN511" s="30" t="inlineStr">
        <is>
          <t>T-0476</t>
        </is>
      </c>
      <c r="AO511" s="30" t="inlineStr">
        <is>
          <t>G-04-02</t>
        </is>
      </c>
    </row>
    <row r="512">
      <c r="A512" s="30" t="inlineStr">
        <is>
          <t>O0511</t>
        </is>
      </c>
      <c r="B512" s="30" t="inlineStr">
        <is>
          <t>C</t>
        </is>
      </c>
      <c r="C512" s="31" t="n">
        <v>7210.6</v>
      </c>
      <c r="D512" s="31" t="n">
        <v>24793.2</v>
      </c>
      <c r="E512" s="31" t="n">
        <v>24793.2</v>
      </c>
      <c r="F512" s="31" t="n">
        <v>24806.1</v>
      </c>
      <c r="G512" s="31" t="n">
        <v>24830.4</v>
      </c>
      <c r="H512" s="31" t="n">
        <v>24842.9</v>
      </c>
      <c r="I512" s="31" t="n">
        <v>24864.1</v>
      </c>
      <c r="J512" s="31" t="n">
        <v>24901.9</v>
      </c>
      <c r="K512" s="31" t="n">
        <v>17691.3</v>
      </c>
      <c r="L512" s="31" t="n">
        <v>17582.6</v>
      </c>
      <c r="M512" s="30" t="inlineStr">
        <is>
          <t>AMR1</t>
        </is>
      </c>
      <c r="N512" s="30" t="inlineStr">
        <is>
          <t>AMR1</t>
        </is>
      </c>
      <c r="O512" s="32" t="n">
        <v>0</v>
      </c>
      <c r="P512" s="32" t="n">
        <v>0</v>
      </c>
      <c r="Q512" s="32" t="n">
        <v>13</v>
      </c>
      <c r="R512" s="31" t="n">
        <v>35.5</v>
      </c>
      <c r="S512" s="31" t="n">
        <v>35.5</v>
      </c>
      <c r="T512" s="30" t="inlineStr">
        <is>
          <t>AMR1</t>
        </is>
      </c>
      <c r="U512" s="31" t="n">
        <v>47.3</v>
      </c>
      <c r="V512" s="31" t="n">
        <v>47.3</v>
      </c>
      <c r="W512" s="30" t="inlineStr">
        <is>
          <t>AMR1</t>
        </is>
      </c>
      <c r="X512" s="32" t="n">
        <v>0</v>
      </c>
      <c r="Y512" s="32" t="n">
        <v>0</v>
      </c>
      <c r="Z512" s="31" t="n">
        <v>0</v>
      </c>
      <c r="AA512" s="32" t="n">
        <v>0</v>
      </c>
      <c r="AB512" s="32" t="n">
        <v>0</v>
      </c>
      <c r="AC512" s="32" t="n">
        <v>0</v>
      </c>
      <c r="AD512" s="32" t="n">
        <v>1</v>
      </c>
      <c r="AE512" s="31" t="n">
        <v>9.5</v>
      </c>
      <c r="AF512" s="32" t="n">
        <v>1</v>
      </c>
      <c r="AG512" s="31" t="n">
        <v>4.5</v>
      </c>
      <c r="AH512" s="32" t="n">
        <v>40</v>
      </c>
      <c r="AI512" s="31" t="n">
        <v>44.2</v>
      </c>
      <c r="AJ512" s="31" t="n">
        <v>40.6</v>
      </c>
      <c r="AK512" s="31" t="n">
        <v>11.4</v>
      </c>
      <c r="AL512" s="30" t="inlineStr">
        <is>
          <t>T-0661</t>
        </is>
      </c>
      <c r="AM512" s="30" t="inlineStr">
        <is>
          <t>C-03-02</t>
        </is>
      </c>
      <c r="AN512" s="30" t="inlineStr">
        <is>
          <t>T-0515</t>
        </is>
      </c>
      <c r="AO512" s="30" t="inlineStr">
        <is>
          <t>C-05-02</t>
        </is>
      </c>
    </row>
    <row r="513">
      <c r="A513" s="30" t="inlineStr">
        <is>
          <t>O0512</t>
        </is>
      </c>
      <c r="B513" s="30" t="inlineStr">
        <is>
          <t>J</t>
        </is>
      </c>
      <c r="C513" s="31" t="n">
        <v>7227</v>
      </c>
      <c r="D513" s="31" t="n">
        <v>24857.5</v>
      </c>
      <c r="E513" s="31" t="n">
        <v>24857.5</v>
      </c>
      <c r="F513" s="31" t="n">
        <v>24873.3</v>
      </c>
      <c r="G513" s="31" t="n">
        <v>24904.4</v>
      </c>
      <c r="H513" s="31" t="n">
        <v>24912.8</v>
      </c>
      <c r="I513" s="31" t="n">
        <v>24944.2</v>
      </c>
      <c r="J513" s="31" t="n">
        <v>24977.7</v>
      </c>
      <c r="K513" s="31" t="n">
        <v>17750.7</v>
      </c>
      <c r="L513" s="31" t="n">
        <v>17630.5</v>
      </c>
      <c r="M513" s="30" t="inlineStr">
        <is>
          <t>AMR2</t>
        </is>
      </c>
      <c r="N513" s="30" t="inlineStr">
        <is>
          <t>AMR3</t>
        </is>
      </c>
      <c r="O513" s="32" t="n">
        <v>0</v>
      </c>
      <c r="P513" s="32" t="n">
        <v>0</v>
      </c>
      <c r="Q513" s="32" t="n">
        <v>21</v>
      </c>
      <c r="R513" s="31" t="n">
        <v>46</v>
      </c>
      <c r="S513" s="31" t="n">
        <v>46</v>
      </c>
      <c r="T513" s="30" t="inlineStr">
        <is>
          <t>AMR2</t>
        </is>
      </c>
      <c r="U513" s="31" t="n">
        <v>63.1</v>
      </c>
      <c r="V513" s="31" t="n">
        <v>63.1</v>
      </c>
      <c r="W513" s="30" t="inlineStr">
        <is>
          <t>AMR3</t>
        </is>
      </c>
      <c r="X513" s="32" t="n">
        <v>0</v>
      </c>
      <c r="Y513" s="32" t="n">
        <v>0</v>
      </c>
      <c r="Z513" s="31" t="n">
        <v>0</v>
      </c>
      <c r="AA513" s="32" t="n">
        <v>0</v>
      </c>
      <c r="AB513" s="32" t="n">
        <v>0</v>
      </c>
      <c r="AC513" s="32" t="n">
        <v>0</v>
      </c>
      <c r="AD513" s="32" t="n">
        <v>0</v>
      </c>
      <c r="AE513" s="31" t="n">
        <v>0</v>
      </c>
      <c r="AF513" s="32" t="n">
        <v>0</v>
      </c>
      <c r="AG513" s="31" t="n">
        <v>0</v>
      </c>
      <c r="AH513" s="32" t="n">
        <v>61</v>
      </c>
      <c r="AI513" s="31" t="n">
        <v>63.3</v>
      </c>
      <c r="AJ513" s="31" t="n">
        <v>48.5</v>
      </c>
      <c r="AK513" s="31" t="n">
        <v>0</v>
      </c>
      <c r="AL513" s="30" t="inlineStr">
        <is>
          <t>T-0662</t>
        </is>
      </c>
      <c r="AM513" s="30" t="inlineStr">
        <is>
          <t>J-01-03</t>
        </is>
      </c>
      <c r="AN513" s="30" t="inlineStr">
        <is>
          <t>T-0554</t>
        </is>
      </c>
      <c r="AO513" s="30" t="inlineStr">
        <is>
          <t>J-03-03</t>
        </is>
      </c>
    </row>
    <row r="514">
      <c r="A514" s="30" t="inlineStr">
        <is>
          <t>O0513</t>
        </is>
      </c>
      <c r="B514" s="30" t="inlineStr">
        <is>
          <t>A</t>
        </is>
      </c>
      <c r="C514" s="31" t="n">
        <v>7249.8</v>
      </c>
      <c r="D514" s="31" t="n">
        <v>24924.6</v>
      </c>
      <c r="E514" s="31" t="n">
        <v>24924.6</v>
      </c>
      <c r="F514" s="31" t="n">
        <v>24940.7</v>
      </c>
      <c r="G514" s="31" t="n">
        <v>24970.3</v>
      </c>
      <c r="H514" s="31" t="n">
        <v>24991.9</v>
      </c>
      <c r="I514" s="31" t="n">
        <v>25019</v>
      </c>
      <c r="J514" s="31" t="n">
        <v>25057.9</v>
      </c>
      <c r="K514" s="31" t="n">
        <v>17808.1</v>
      </c>
      <c r="L514" s="31" t="n">
        <v>17674.8</v>
      </c>
      <c r="M514" s="30" t="inlineStr">
        <is>
          <t>AMR2</t>
        </is>
      </c>
      <c r="N514" s="30" t="inlineStr">
        <is>
          <t>AMR2</t>
        </is>
      </c>
      <c r="O514" s="32" t="n">
        <v>0</v>
      </c>
      <c r="P514" s="32" t="n">
        <v>0</v>
      </c>
      <c r="Q514" s="32" t="n">
        <v>21</v>
      </c>
      <c r="R514" s="31" t="n">
        <v>43.2</v>
      </c>
      <c r="S514" s="31" t="n">
        <v>43.2</v>
      </c>
      <c r="T514" s="30" t="inlineStr">
        <is>
          <t>AMR2</t>
        </is>
      </c>
      <c r="U514" s="31" t="n">
        <v>64.2</v>
      </c>
      <c r="V514" s="31" t="n">
        <v>64.2</v>
      </c>
      <c r="W514" s="30" t="inlineStr">
        <is>
          <t>AMR2</t>
        </is>
      </c>
      <c r="X514" s="32" t="n">
        <v>0</v>
      </c>
      <c r="Y514" s="32" t="n">
        <v>0</v>
      </c>
      <c r="Z514" s="31" t="n">
        <v>0</v>
      </c>
      <c r="AA514" s="32" t="n">
        <v>0</v>
      </c>
      <c r="AB514" s="32" t="n">
        <v>0</v>
      </c>
      <c r="AC514" s="32" t="n">
        <v>0</v>
      </c>
      <c r="AD514" s="32" t="n">
        <v>0</v>
      </c>
      <c r="AE514" s="31" t="n">
        <v>0</v>
      </c>
      <c r="AF514" s="32" t="n">
        <v>0</v>
      </c>
      <c r="AG514" s="31" t="n">
        <v>0</v>
      </c>
      <c r="AH514" s="32" t="n">
        <v>67</v>
      </c>
      <c r="AI514" s="31" t="n">
        <v>66.40000000000001</v>
      </c>
      <c r="AJ514" s="31" t="n">
        <v>45.3</v>
      </c>
      <c r="AK514" s="31" t="n">
        <v>0</v>
      </c>
      <c r="AL514" s="30" t="inlineStr">
        <is>
          <t>T-0663</t>
        </is>
      </c>
      <c r="AM514" s="30" t="inlineStr">
        <is>
          <t>A-01-02</t>
        </is>
      </c>
      <c r="AN514" s="30" t="inlineStr">
        <is>
          <t>T-0463</t>
        </is>
      </c>
      <c r="AO514" s="30" t="inlineStr">
        <is>
          <t>A-03-02</t>
        </is>
      </c>
    </row>
    <row r="515">
      <c r="A515" s="30" t="inlineStr">
        <is>
          <t>O0514</t>
        </is>
      </c>
      <c r="B515" s="30" t="inlineStr">
        <is>
          <t>F</t>
        </is>
      </c>
      <c r="C515" s="31" t="n">
        <v>7265.5</v>
      </c>
      <c r="D515" s="31" t="n">
        <v>24940.8</v>
      </c>
      <c r="E515" s="31" t="n">
        <v>24940.8</v>
      </c>
      <c r="F515" s="31" t="n">
        <v>24955.5</v>
      </c>
      <c r="G515" s="31" t="n">
        <v>24989.8</v>
      </c>
      <c r="H515" s="31" t="n">
        <v>25001.4</v>
      </c>
      <c r="I515" s="31" t="n">
        <v>25032.2</v>
      </c>
      <c r="J515" s="31" t="n">
        <v>25069.4</v>
      </c>
      <c r="K515" s="31" t="n">
        <v>17803.9</v>
      </c>
      <c r="L515" s="31" t="n">
        <v>17675.3</v>
      </c>
      <c r="M515" s="30" t="inlineStr">
        <is>
          <t>AMR1</t>
        </is>
      </c>
      <c r="N515" s="30" t="inlineStr">
        <is>
          <t>AMR3</t>
        </is>
      </c>
      <c r="O515" s="32" t="n">
        <v>0</v>
      </c>
      <c r="P515" s="32" t="n">
        <v>0</v>
      </c>
      <c r="Q515" s="32" t="n">
        <v>23</v>
      </c>
      <c r="R515" s="31" t="n">
        <v>46.5</v>
      </c>
      <c r="S515" s="31" t="n">
        <v>46.5</v>
      </c>
      <c r="T515" s="30" t="inlineStr">
        <is>
          <t>AMR1</t>
        </is>
      </c>
      <c r="U515" s="31" t="n">
        <v>61.8</v>
      </c>
      <c r="V515" s="31" t="n">
        <v>61.8</v>
      </c>
      <c r="W515" s="30" t="inlineStr">
        <is>
          <t>AMR3</t>
        </is>
      </c>
      <c r="X515" s="32" t="n">
        <v>0</v>
      </c>
      <c r="Y515" s="32" t="n">
        <v>0</v>
      </c>
      <c r="Z515" s="31" t="n">
        <v>0</v>
      </c>
      <c r="AA515" s="32" t="n">
        <v>0</v>
      </c>
      <c r="AB515" s="32" t="n">
        <v>0</v>
      </c>
      <c r="AC515" s="32" t="n">
        <v>0</v>
      </c>
      <c r="AD515" s="32" t="n">
        <v>1</v>
      </c>
      <c r="AE515" s="31" t="n">
        <v>5.4</v>
      </c>
      <c r="AF515" s="32" t="n">
        <v>1</v>
      </c>
      <c r="AG515" s="31" t="n">
        <v>0.4</v>
      </c>
      <c r="AH515" s="32" t="n">
        <v>69</v>
      </c>
      <c r="AI515" s="31" t="n">
        <v>68.5</v>
      </c>
      <c r="AJ515" s="31" t="n">
        <v>43.1</v>
      </c>
      <c r="AK515" s="31" t="n">
        <v>5.4</v>
      </c>
      <c r="AL515" s="30" t="inlineStr">
        <is>
          <t>T-0664</t>
        </is>
      </c>
      <c r="AM515" s="30" t="inlineStr">
        <is>
          <t>F-02-01</t>
        </is>
      </c>
      <c r="AN515" s="30" t="inlineStr">
        <is>
          <t>T-0573</t>
        </is>
      </c>
      <c r="AO515" s="30" t="inlineStr">
        <is>
          <t>F-03-01</t>
        </is>
      </c>
    </row>
    <row r="516">
      <c r="A516" s="30" t="inlineStr">
        <is>
          <t>O0515</t>
        </is>
      </c>
      <c r="B516" s="30" t="inlineStr">
        <is>
          <t>J</t>
        </is>
      </c>
      <c r="C516" s="31" t="n">
        <v>7284.3</v>
      </c>
      <c r="D516" s="31" t="n">
        <v>25013.4</v>
      </c>
      <c r="E516" s="31" t="n">
        <v>25013.4</v>
      </c>
      <c r="F516" s="31" t="n">
        <v>25024.8</v>
      </c>
      <c r="G516" s="31" t="n">
        <v>25054</v>
      </c>
      <c r="H516" s="31" t="n">
        <v>25075.5</v>
      </c>
      <c r="I516" s="31" t="n">
        <v>25111.1</v>
      </c>
      <c r="J516" s="31" t="n">
        <v>25148</v>
      </c>
      <c r="K516" s="31" t="n">
        <v>17863.7</v>
      </c>
      <c r="L516" s="31" t="n">
        <v>17729.1</v>
      </c>
      <c r="M516" s="30" t="inlineStr">
        <is>
          <t>AMR1</t>
        </is>
      </c>
      <c r="N516" s="30" t="inlineStr">
        <is>
          <t>AMR1</t>
        </is>
      </c>
      <c r="O516" s="32" t="n">
        <v>0</v>
      </c>
      <c r="P516" s="32" t="n">
        <v>0</v>
      </c>
      <c r="Q516" s="32" t="n">
        <v>21</v>
      </c>
      <c r="R516" s="31" t="n">
        <v>38.9</v>
      </c>
      <c r="S516" s="31" t="n">
        <v>38.9</v>
      </c>
      <c r="T516" s="30" t="inlineStr">
        <is>
          <t>AMR1</t>
        </is>
      </c>
      <c r="U516" s="31" t="n">
        <v>63.1</v>
      </c>
      <c r="V516" s="31" t="n">
        <v>63.1</v>
      </c>
      <c r="W516" s="30" t="inlineStr">
        <is>
          <t>AMR1</t>
        </is>
      </c>
      <c r="X516" s="32" t="n">
        <v>0</v>
      </c>
      <c r="Y516" s="32" t="n">
        <v>0</v>
      </c>
      <c r="Z516" s="31" t="n">
        <v>0</v>
      </c>
      <c r="AA516" s="32" t="n">
        <v>0</v>
      </c>
      <c r="AB516" s="32" t="n">
        <v>1</v>
      </c>
      <c r="AC516" s="32" t="n">
        <v>1</v>
      </c>
      <c r="AD516" s="32" t="n">
        <v>0</v>
      </c>
      <c r="AE516" s="31" t="n">
        <v>0</v>
      </c>
      <c r="AF516" s="32" t="n">
        <v>0</v>
      </c>
      <c r="AG516" s="31" t="n">
        <v>0</v>
      </c>
      <c r="AH516" s="32" t="n">
        <v>66</v>
      </c>
      <c r="AI516" s="31" t="n">
        <v>68.7</v>
      </c>
      <c r="AJ516" s="31" t="n">
        <v>41.4</v>
      </c>
      <c r="AK516" s="31" t="n">
        <v>3</v>
      </c>
      <c r="AL516" s="30" t="inlineStr">
        <is>
          <t>T-0665</t>
        </is>
      </c>
      <c r="AM516" s="30" t="inlineStr">
        <is>
          <t>J-03-03</t>
        </is>
      </c>
      <c r="AN516" s="30" t="inlineStr">
        <is>
          <t>T-0555</t>
        </is>
      </c>
      <c r="AO516" s="30" t="inlineStr">
        <is>
          <t>J-06-03</t>
        </is>
      </c>
    </row>
    <row r="517">
      <c r="A517" s="30" t="inlineStr">
        <is>
          <t>O0516</t>
        </is>
      </c>
      <c r="B517" s="30" t="inlineStr">
        <is>
          <t>H</t>
        </is>
      </c>
      <c r="C517" s="31" t="n">
        <v>7305.4</v>
      </c>
      <c r="D517" s="31" t="n">
        <v>25086.7</v>
      </c>
      <c r="E517" s="31" t="n">
        <v>25086.7</v>
      </c>
      <c r="F517" s="31" t="n">
        <v>25099.2</v>
      </c>
      <c r="G517" s="31" t="n">
        <v>25124.7</v>
      </c>
      <c r="H517" s="31" t="n">
        <v>25139.2</v>
      </c>
      <c r="I517" s="31" t="n">
        <v>25169.2</v>
      </c>
      <c r="J517" s="31" t="n">
        <v>25195.8</v>
      </c>
      <c r="K517" s="31" t="n">
        <v>17890.4</v>
      </c>
      <c r="L517" s="31" t="n">
        <v>17781.3</v>
      </c>
      <c r="M517" s="30" t="inlineStr">
        <is>
          <t>AMR2</t>
        </is>
      </c>
      <c r="N517" s="30" t="inlineStr">
        <is>
          <t>AMR2</t>
        </is>
      </c>
      <c r="O517" s="32" t="n">
        <v>0</v>
      </c>
      <c r="P517" s="32" t="n">
        <v>0</v>
      </c>
      <c r="Q517" s="32" t="n">
        <v>15</v>
      </c>
      <c r="R517" s="31" t="n">
        <v>36.3</v>
      </c>
      <c r="S517" s="31" t="n">
        <v>36.3</v>
      </c>
      <c r="T517" s="30" t="inlineStr">
        <is>
          <t>AMR2</t>
        </is>
      </c>
      <c r="U517" s="31" t="n">
        <v>53.2</v>
      </c>
      <c r="V517" s="31" t="n">
        <v>53.2</v>
      </c>
      <c r="W517" s="30" t="inlineStr">
        <is>
          <t>AMR2</t>
        </is>
      </c>
      <c r="X517" s="32" t="n">
        <v>0</v>
      </c>
      <c r="Y517" s="32" t="n">
        <v>0</v>
      </c>
      <c r="Z517" s="31" t="n">
        <v>0</v>
      </c>
      <c r="AA517" s="32" t="n">
        <v>0</v>
      </c>
      <c r="AB517" s="32" t="n">
        <v>1</v>
      </c>
      <c r="AC517" s="32" t="n">
        <v>1</v>
      </c>
      <c r="AD517" s="32" t="n">
        <v>0</v>
      </c>
      <c r="AE517" s="31" t="n">
        <v>0</v>
      </c>
      <c r="AF517" s="32" t="n">
        <v>0</v>
      </c>
      <c r="AG517" s="31" t="n">
        <v>0</v>
      </c>
      <c r="AH517" s="32" t="n">
        <v>42</v>
      </c>
      <c r="AI517" s="31" t="n">
        <v>45.8</v>
      </c>
      <c r="AJ517" s="31" t="n">
        <v>44.2</v>
      </c>
      <c r="AK517" s="31" t="n">
        <v>4.6</v>
      </c>
      <c r="AL517" s="30" t="inlineStr">
        <is>
          <t>T-0666</t>
        </is>
      </c>
      <c r="AM517" s="30" t="inlineStr">
        <is>
          <t>H-03-02</t>
        </is>
      </c>
      <c r="AN517" s="30" t="inlineStr">
        <is>
          <t>T-0529</t>
        </is>
      </c>
      <c r="AO517" s="30" t="inlineStr">
        <is>
          <t>H-01-01</t>
        </is>
      </c>
    </row>
    <row r="518">
      <c r="A518" s="30" t="inlineStr">
        <is>
          <t>O0517</t>
        </is>
      </c>
      <c r="B518" s="30" t="inlineStr">
        <is>
          <t>B</t>
        </is>
      </c>
      <c r="C518" s="31" t="n">
        <v>7324.1</v>
      </c>
      <c r="D518" s="31" t="n">
        <v>25099.2</v>
      </c>
      <c r="E518" s="31" t="n">
        <v>25099.2</v>
      </c>
      <c r="F518" s="31" t="n">
        <v>25111.6</v>
      </c>
      <c r="G518" s="31" t="n">
        <v>25135</v>
      </c>
      <c r="H518" s="31" t="n">
        <v>25156.3</v>
      </c>
      <c r="I518" s="31" t="n">
        <v>25178.9</v>
      </c>
      <c r="J518" s="31" t="n">
        <v>25209.5</v>
      </c>
      <c r="K518" s="31" t="n">
        <v>17885.4</v>
      </c>
      <c r="L518" s="31" t="n">
        <v>17775.1</v>
      </c>
      <c r="M518" s="30" t="inlineStr">
        <is>
          <t>AMR3</t>
        </is>
      </c>
      <c r="N518" s="30" t="inlineStr">
        <is>
          <t>AMR3</t>
        </is>
      </c>
      <c r="O518" s="32" t="n">
        <v>0</v>
      </c>
      <c r="P518" s="32" t="n">
        <v>0</v>
      </c>
      <c r="Q518" s="32" t="n">
        <v>15</v>
      </c>
      <c r="R518" s="31" t="n">
        <v>34.1</v>
      </c>
      <c r="S518" s="31" t="n">
        <v>34.1</v>
      </c>
      <c r="T518" s="30" t="inlineStr">
        <is>
          <t>AMR3</t>
        </is>
      </c>
      <c r="U518" s="31" t="n">
        <v>51.8</v>
      </c>
      <c r="V518" s="31" t="n">
        <v>51.8</v>
      </c>
      <c r="W518" s="30" t="inlineStr">
        <is>
          <t>AMR3</t>
        </is>
      </c>
      <c r="X518" s="32" t="n">
        <v>0</v>
      </c>
      <c r="Y518" s="32" t="n">
        <v>0</v>
      </c>
      <c r="Z518" s="31" t="n">
        <v>0</v>
      </c>
      <c r="AA518" s="32" t="n">
        <v>0</v>
      </c>
      <c r="AB518" s="32" t="n">
        <v>0</v>
      </c>
      <c r="AC518" s="32" t="n">
        <v>0</v>
      </c>
      <c r="AD518" s="32" t="n">
        <v>1</v>
      </c>
      <c r="AE518" s="31" t="n">
        <v>1.1</v>
      </c>
      <c r="AF518" s="32" t="n">
        <v>0</v>
      </c>
      <c r="AG518" s="31" t="n">
        <v>0</v>
      </c>
      <c r="AH518" s="32" t="n">
        <v>46</v>
      </c>
      <c r="AI518" s="31" t="n">
        <v>49.3</v>
      </c>
      <c r="AJ518" s="31" t="n">
        <v>38.6</v>
      </c>
      <c r="AK518" s="31" t="n">
        <v>1.1</v>
      </c>
      <c r="AL518" s="30" t="inlineStr">
        <is>
          <t>T-0667</t>
        </is>
      </c>
      <c r="AM518" s="30" t="inlineStr">
        <is>
          <t>B-03-03</t>
        </is>
      </c>
      <c r="AN518" s="30" t="inlineStr">
        <is>
          <t>T-0495</t>
        </is>
      </c>
      <c r="AO518" s="30" t="inlineStr">
        <is>
          <t>B-04-03</t>
        </is>
      </c>
    </row>
    <row r="519">
      <c r="A519" s="30" t="inlineStr">
        <is>
          <t>O0518</t>
        </is>
      </c>
      <c r="B519" s="30" t="inlineStr">
        <is>
          <t>F</t>
        </is>
      </c>
      <c r="C519" s="31" t="n">
        <v>7340.5</v>
      </c>
      <c r="D519" s="31" t="n">
        <v>25171.7</v>
      </c>
      <c r="E519" s="31" t="n">
        <v>25171.7</v>
      </c>
      <c r="F519" s="31" t="n">
        <v>25187.2</v>
      </c>
      <c r="G519" s="31" t="n">
        <v>25219</v>
      </c>
      <c r="H519" s="31" t="n">
        <v>25219.5</v>
      </c>
      <c r="I519" s="31" t="n">
        <v>25247.8</v>
      </c>
      <c r="J519" s="31" t="n">
        <v>25282.7</v>
      </c>
      <c r="K519" s="31" t="n">
        <v>17942.2</v>
      </c>
      <c r="L519" s="31" t="n">
        <v>17831.2</v>
      </c>
      <c r="M519" s="30" t="inlineStr">
        <is>
          <t>AMR1</t>
        </is>
      </c>
      <c r="N519" s="30" t="inlineStr">
        <is>
          <t>AMR2</t>
        </is>
      </c>
      <c r="O519" s="32" t="n">
        <v>0</v>
      </c>
      <c r="P519" s="32" t="n">
        <v>0</v>
      </c>
      <c r="Q519" s="32" t="n">
        <v>23</v>
      </c>
      <c r="R519" s="31" t="n">
        <v>45.6</v>
      </c>
      <c r="S519" s="31" t="n">
        <v>45.6</v>
      </c>
      <c r="T519" s="30" t="inlineStr">
        <is>
          <t>AMR1</t>
        </is>
      </c>
      <c r="U519" s="31" t="n">
        <v>63.9</v>
      </c>
      <c r="V519" s="31" t="n">
        <v>63.9</v>
      </c>
      <c r="W519" s="30" t="inlineStr">
        <is>
          <t>AMR2</t>
        </is>
      </c>
      <c r="X519" s="32" t="n">
        <v>0</v>
      </c>
      <c r="Y519" s="32" t="n">
        <v>0</v>
      </c>
      <c r="Z519" s="31" t="n">
        <v>0</v>
      </c>
      <c r="AA519" s="32" t="n">
        <v>0</v>
      </c>
      <c r="AB519" s="32" t="n">
        <v>0</v>
      </c>
      <c r="AC519" s="32" t="n">
        <v>0</v>
      </c>
      <c r="AD519" s="32" t="n">
        <v>0</v>
      </c>
      <c r="AE519" s="31" t="n">
        <v>0</v>
      </c>
      <c r="AF519" s="32" t="n">
        <v>0</v>
      </c>
      <c r="AG519" s="31" t="n">
        <v>0</v>
      </c>
      <c r="AH519" s="32" t="n">
        <v>66</v>
      </c>
      <c r="AI519" s="31" t="n">
        <v>66.2</v>
      </c>
      <c r="AJ519" s="31" t="n">
        <v>44.3</v>
      </c>
      <c r="AK519" s="31" t="n">
        <v>0</v>
      </c>
      <c r="AL519" s="30" t="inlineStr">
        <is>
          <t>T-0668</t>
        </is>
      </c>
      <c r="AM519" s="30" t="inlineStr">
        <is>
          <t>F-03-01</t>
        </is>
      </c>
      <c r="AN519" s="30" t="inlineStr">
        <is>
          <t>T-0574</t>
        </is>
      </c>
      <c r="AO519" s="30" t="inlineStr">
        <is>
          <t>F-05-03</t>
        </is>
      </c>
    </row>
    <row r="520">
      <c r="A520" s="30" t="inlineStr">
        <is>
          <t>O0519</t>
        </is>
      </c>
      <c r="B520" s="30" t="inlineStr">
        <is>
          <t>E</t>
        </is>
      </c>
      <c r="C520" s="31" t="n">
        <v>7358.6</v>
      </c>
      <c r="D520" s="31" t="n">
        <v>25233.2</v>
      </c>
      <c r="E520" s="31" t="n">
        <v>25233.2</v>
      </c>
      <c r="F520" s="31" t="n">
        <v>25248.5</v>
      </c>
      <c r="G520" s="31" t="n">
        <v>25276.3</v>
      </c>
      <c r="H520" s="31" t="n">
        <v>25294.5</v>
      </c>
      <c r="I520" s="31" t="n">
        <v>25322.8</v>
      </c>
      <c r="J520" s="31" t="n">
        <v>25359.3</v>
      </c>
      <c r="K520" s="31" t="n">
        <v>18000.7</v>
      </c>
      <c r="L520" s="31" t="n">
        <v>17874.6</v>
      </c>
      <c r="M520" s="30" t="inlineStr">
        <is>
          <t>AMR3</t>
        </is>
      </c>
      <c r="N520" s="30" t="inlineStr">
        <is>
          <t>AMR3</t>
        </is>
      </c>
      <c r="O520" s="32" t="n">
        <v>0</v>
      </c>
      <c r="P520" s="32" t="n">
        <v>0</v>
      </c>
      <c r="Q520" s="32" t="n">
        <v>19</v>
      </c>
      <c r="R520" s="31" t="n">
        <v>42.2</v>
      </c>
      <c r="S520" s="31" t="n">
        <v>42.2</v>
      </c>
      <c r="T520" s="30" t="inlineStr">
        <is>
          <t>AMR3</t>
        </is>
      </c>
      <c r="U520" s="31" t="n">
        <v>61.5</v>
      </c>
      <c r="V520" s="31" t="n">
        <v>61.5</v>
      </c>
      <c r="W520" s="30" t="inlineStr">
        <is>
          <t>AMR3</t>
        </is>
      </c>
      <c r="X520" s="32" t="n">
        <v>0</v>
      </c>
      <c r="Y520" s="32" t="n">
        <v>0</v>
      </c>
      <c r="Z520" s="31" t="n">
        <v>0</v>
      </c>
      <c r="AA520" s="32" t="n">
        <v>0</v>
      </c>
      <c r="AB520" s="32" t="n">
        <v>0</v>
      </c>
      <c r="AC520" s="32" t="n">
        <v>0</v>
      </c>
      <c r="AD520" s="32" t="n">
        <v>0</v>
      </c>
      <c r="AE520" s="31" t="n">
        <v>0</v>
      </c>
      <c r="AF520" s="32" t="n">
        <v>0</v>
      </c>
      <c r="AG520" s="31" t="n">
        <v>0</v>
      </c>
      <c r="AH520" s="32" t="n">
        <v>61</v>
      </c>
      <c r="AI520" s="31" t="n">
        <v>61.7</v>
      </c>
      <c r="AJ520" s="31" t="n">
        <v>46.2</v>
      </c>
      <c r="AK520" s="31" t="n">
        <v>0</v>
      </c>
      <c r="AL520" s="30" t="inlineStr">
        <is>
          <t>T-0669</t>
        </is>
      </c>
      <c r="AM520" s="30" t="inlineStr">
        <is>
          <t>E-02-02</t>
        </is>
      </c>
      <c r="AN520" s="30" t="inlineStr">
        <is>
          <t>T-0479</t>
        </is>
      </c>
      <c r="AO520" s="30" t="inlineStr">
        <is>
          <t>E-04-02</t>
        </is>
      </c>
    </row>
    <row r="521">
      <c r="A521" s="30" t="inlineStr">
        <is>
          <t>O0520</t>
        </is>
      </c>
      <c r="B521" s="30" t="inlineStr">
        <is>
          <t>A</t>
        </is>
      </c>
      <c r="C521" s="31" t="n">
        <v>7383.2</v>
      </c>
      <c r="D521" s="31" t="n">
        <v>25248.6</v>
      </c>
      <c r="E521" s="31" t="n">
        <v>25248.6</v>
      </c>
      <c r="F521" s="31" t="n">
        <v>25262.2</v>
      </c>
      <c r="G521" s="31" t="n">
        <v>25290</v>
      </c>
      <c r="H521" s="31" t="n">
        <v>25306.4</v>
      </c>
      <c r="I521" s="31" t="n">
        <v>25340.7</v>
      </c>
      <c r="J521" s="31" t="n">
        <v>25377.5</v>
      </c>
      <c r="K521" s="31" t="n">
        <v>17994.3</v>
      </c>
      <c r="L521" s="31" t="n">
        <v>17865.4</v>
      </c>
      <c r="M521" s="30" t="inlineStr">
        <is>
          <t>AMR1</t>
        </is>
      </c>
      <c r="N521" s="30" t="inlineStr">
        <is>
          <t>AMR2</t>
        </is>
      </c>
      <c r="O521" s="32" t="n">
        <v>0</v>
      </c>
      <c r="P521" s="32" t="n">
        <v>0</v>
      </c>
      <c r="Q521" s="32" t="n">
        <v>21</v>
      </c>
      <c r="R521" s="31" t="n">
        <v>39.7</v>
      </c>
      <c r="S521" s="31" t="n">
        <v>39.7</v>
      </c>
      <c r="T521" s="30" t="inlineStr">
        <is>
          <t>AMR1</t>
        </is>
      </c>
      <c r="U521" s="31" t="n">
        <v>66.3</v>
      </c>
      <c r="V521" s="31" t="n">
        <v>66.3</v>
      </c>
      <c r="W521" s="30" t="inlineStr">
        <is>
          <t>AMR2</t>
        </is>
      </c>
      <c r="X521" s="32" t="n">
        <v>0</v>
      </c>
      <c r="Y521" s="32" t="n">
        <v>0</v>
      </c>
      <c r="Z521" s="31" t="n">
        <v>0</v>
      </c>
      <c r="AA521" s="32" t="n">
        <v>0</v>
      </c>
      <c r="AB521" s="32" t="n">
        <v>0</v>
      </c>
      <c r="AC521" s="32" t="n">
        <v>1</v>
      </c>
      <c r="AD521" s="32" t="n">
        <v>0</v>
      </c>
      <c r="AE521" s="31" t="n">
        <v>0</v>
      </c>
      <c r="AF521" s="32" t="n">
        <v>1</v>
      </c>
      <c r="AG521" s="31" t="n">
        <v>0.5</v>
      </c>
      <c r="AH521" s="32" t="n">
        <v>64</v>
      </c>
      <c r="AI521" s="31" t="n">
        <v>63.1</v>
      </c>
      <c r="AJ521" s="31" t="n">
        <v>43.9</v>
      </c>
      <c r="AK521" s="31" t="n">
        <v>5.5</v>
      </c>
      <c r="AL521" s="30" t="inlineStr">
        <is>
          <t>T-0670</t>
        </is>
      </c>
      <c r="AM521" s="30" t="inlineStr">
        <is>
          <t>A-03-02</t>
        </is>
      </c>
      <c r="AN521" s="30" t="inlineStr">
        <is>
          <t>T-0469</t>
        </is>
      </c>
      <c r="AO521" s="30" t="inlineStr">
        <is>
          <t>A-04-01</t>
        </is>
      </c>
    </row>
    <row r="522">
      <c r="A522" s="30" t="inlineStr">
        <is>
          <t>O0521</t>
        </is>
      </c>
      <c r="B522" s="30" t="inlineStr">
        <is>
          <t>G</t>
        </is>
      </c>
      <c r="C522" s="31" t="n">
        <v>7403.2</v>
      </c>
      <c r="D522" s="31" t="n">
        <v>25317.3</v>
      </c>
      <c r="E522" s="31" t="n">
        <v>25317.3</v>
      </c>
      <c r="F522" s="31" t="n">
        <v>25327.8</v>
      </c>
      <c r="G522" s="31" t="n">
        <v>25353</v>
      </c>
      <c r="H522" s="31" t="n">
        <v>25369.8</v>
      </c>
      <c r="I522" s="31" t="n">
        <v>25399.8</v>
      </c>
      <c r="J522" s="31" t="n">
        <v>25432.3</v>
      </c>
      <c r="K522" s="31" t="n">
        <v>18029.1</v>
      </c>
      <c r="L522" s="31" t="n">
        <v>17914.1</v>
      </c>
      <c r="M522" s="30" t="inlineStr">
        <is>
          <t>AMR1</t>
        </is>
      </c>
      <c r="N522" s="30" t="inlineStr">
        <is>
          <t>AMR1</t>
        </is>
      </c>
      <c r="O522" s="32" t="n">
        <v>0</v>
      </c>
      <c r="P522" s="32" t="n">
        <v>0</v>
      </c>
      <c r="Q522" s="32" t="n">
        <v>17</v>
      </c>
      <c r="R522" s="31" t="n">
        <v>34.8</v>
      </c>
      <c r="S522" s="31" t="n">
        <v>34.8</v>
      </c>
      <c r="T522" s="30" t="inlineStr">
        <is>
          <t>AMR1</t>
        </is>
      </c>
      <c r="U522" s="31" t="n">
        <v>59.2</v>
      </c>
      <c r="V522" s="31" t="n">
        <v>59.2</v>
      </c>
      <c r="W522" s="30" t="inlineStr">
        <is>
          <t>AMR1</t>
        </is>
      </c>
      <c r="X522" s="32" t="n">
        <v>0</v>
      </c>
      <c r="Y522" s="32" t="n">
        <v>0</v>
      </c>
      <c r="Z522" s="31" t="n">
        <v>0</v>
      </c>
      <c r="AA522" s="32" t="n">
        <v>0</v>
      </c>
      <c r="AB522" s="32" t="n">
        <v>0</v>
      </c>
      <c r="AC522" s="32" t="n">
        <v>0</v>
      </c>
      <c r="AD522" s="32" t="n">
        <v>0</v>
      </c>
      <c r="AE522" s="31" t="n">
        <v>0</v>
      </c>
      <c r="AF522" s="32" t="n">
        <v>0</v>
      </c>
      <c r="AG522" s="31" t="n">
        <v>0</v>
      </c>
      <c r="AH522" s="32" t="n">
        <v>51</v>
      </c>
      <c r="AI522" s="31" t="n">
        <v>54.6</v>
      </c>
      <c r="AJ522" s="31" t="n">
        <v>43.6</v>
      </c>
      <c r="AK522" s="31" t="n">
        <v>0</v>
      </c>
      <c r="AL522" s="30" t="inlineStr">
        <is>
          <t>T-0671</t>
        </is>
      </c>
      <c r="AM522" s="30" t="inlineStr">
        <is>
          <t>G-04-02</t>
        </is>
      </c>
      <c r="AN522" s="30" t="inlineStr">
        <is>
          <t>T-0487</t>
        </is>
      </c>
      <c r="AO522" s="30" t="inlineStr">
        <is>
          <t>G-02-01</t>
        </is>
      </c>
    </row>
    <row r="523">
      <c r="A523" s="30" t="inlineStr">
        <is>
          <t>O0522</t>
        </is>
      </c>
      <c r="B523" s="30" t="inlineStr">
        <is>
          <t>E</t>
        </is>
      </c>
      <c r="C523" s="31" t="n">
        <v>7419.4</v>
      </c>
      <c r="D523" s="31" t="n">
        <v>25383</v>
      </c>
      <c r="E523" s="31" t="n">
        <v>25383</v>
      </c>
      <c r="F523" s="31" t="n">
        <v>25396</v>
      </c>
      <c r="G523" s="31" t="n">
        <v>25425.9</v>
      </c>
      <c r="H523" s="31" t="n">
        <v>25446.1</v>
      </c>
      <c r="I523" s="31" t="n">
        <v>25475.8</v>
      </c>
      <c r="J523" s="31" t="n">
        <v>25514.6</v>
      </c>
      <c r="K523" s="31" t="n">
        <v>18095.2</v>
      </c>
      <c r="L523" s="31" t="n">
        <v>17963.6</v>
      </c>
      <c r="M523" s="30" t="inlineStr">
        <is>
          <t>AMR3</t>
        </is>
      </c>
      <c r="N523" s="30" t="inlineStr">
        <is>
          <t>AMR3</t>
        </is>
      </c>
      <c r="O523" s="32" t="n">
        <v>0</v>
      </c>
      <c r="P523" s="32" t="n">
        <v>0</v>
      </c>
      <c r="Q523" s="32" t="n">
        <v>19</v>
      </c>
      <c r="R523" s="31" t="n">
        <v>40.4</v>
      </c>
      <c r="S523" s="31" t="n">
        <v>40.4</v>
      </c>
      <c r="T523" s="30" t="inlineStr">
        <is>
          <t>AMR3</t>
        </is>
      </c>
      <c r="U523" s="31" t="n">
        <v>65.2</v>
      </c>
      <c r="V523" s="31" t="n">
        <v>65.2</v>
      </c>
      <c r="W523" s="30" t="inlineStr">
        <is>
          <t>AMR3</t>
        </is>
      </c>
      <c r="X523" s="32" t="n">
        <v>0</v>
      </c>
      <c r="Y523" s="32" t="n">
        <v>0</v>
      </c>
      <c r="Z523" s="31" t="n">
        <v>0</v>
      </c>
      <c r="AA523" s="32" t="n">
        <v>0</v>
      </c>
      <c r="AB523" s="32" t="n">
        <v>0</v>
      </c>
      <c r="AC523" s="32" t="n">
        <v>0</v>
      </c>
      <c r="AD523" s="32" t="n">
        <v>0</v>
      </c>
      <c r="AE523" s="31" t="n">
        <v>0</v>
      </c>
      <c r="AF523" s="32" t="n">
        <v>0</v>
      </c>
      <c r="AG523" s="31" t="n">
        <v>0</v>
      </c>
      <c r="AH523" s="32" t="n">
        <v>63</v>
      </c>
      <c r="AI523" s="31" t="n">
        <v>63.3</v>
      </c>
      <c r="AJ523" s="31" t="n">
        <v>48.1</v>
      </c>
      <c r="AK523" s="31" t="n">
        <v>0</v>
      </c>
      <c r="AL523" s="30" t="inlineStr">
        <is>
          <t>T-0672</t>
        </is>
      </c>
      <c r="AM523" s="30" t="inlineStr">
        <is>
          <t>E-04-02</t>
        </is>
      </c>
      <c r="AN523" s="30" t="inlineStr">
        <is>
          <t>T-0489</t>
        </is>
      </c>
      <c r="AO523" s="30" t="inlineStr">
        <is>
          <t>E-05-02</t>
        </is>
      </c>
    </row>
    <row r="524">
      <c r="A524" s="30" t="inlineStr">
        <is>
          <t>O0523</t>
        </is>
      </c>
      <c r="B524" s="30" t="inlineStr">
        <is>
          <t>J</t>
        </is>
      </c>
      <c r="C524" s="31" t="n">
        <v>7438.9</v>
      </c>
      <c r="D524" s="31" t="n">
        <v>25401.2</v>
      </c>
      <c r="E524" s="31" t="n">
        <v>25401.2</v>
      </c>
      <c r="F524" s="31" t="n">
        <v>25417</v>
      </c>
      <c r="G524" s="31" t="n">
        <v>25452.6</v>
      </c>
      <c r="H524" s="31" t="n">
        <v>25456</v>
      </c>
      <c r="I524" s="31" t="n">
        <v>25483.3</v>
      </c>
      <c r="J524" s="31" t="n">
        <v>25531.5</v>
      </c>
      <c r="K524" s="31" t="n">
        <v>18092.6</v>
      </c>
      <c r="L524" s="31" t="n">
        <v>17962.3</v>
      </c>
      <c r="M524" s="30" t="inlineStr">
        <is>
          <t>AMR2</t>
        </is>
      </c>
      <c r="N524" s="30" t="inlineStr">
        <is>
          <t>AMR1</t>
        </is>
      </c>
      <c r="O524" s="32" t="n">
        <v>0</v>
      </c>
      <c r="P524" s="32" t="n">
        <v>0</v>
      </c>
      <c r="Q524" s="32" t="n">
        <v>21</v>
      </c>
      <c r="R524" s="31" t="n">
        <v>47</v>
      </c>
      <c r="S524" s="31" t="n">
        <v>47</v>
      </c>
      <c r="T524" s="30" t="inlineStr">
        <is>
          <t>AMR2</t>
        </is>
      </c>
      <c r="U524" s="31" t="n">
        <v>61.7</v>
      </c>
      <c r="V524" s="31" t="n">
        <v>61.7</v>
      </c>
      <c r="W524" s="30" t="inlineStr">
        <is>
          <t>AMR1</t>
        </is>
      </c>
      <c r="X524" s="32" t="n">
        <v>0</v>
      </c>
      <c r="Y524" s="32" t="n">
        <v>0</v>
      </c>
      <c r="Z524" s="31" t="n">
        <v>0</v>
      </c>
      <c r="AA524" s="32" t="n">
        <v>0</v>
      </c>
      <c r="AB524" s="32" t="n">
        <v>0</v>
      </c>
      <c r="AC524" s="32" t="n">
        <v>0</v>
      </c>
      <c r="AD524" s="32" t="n">
        <v>1</v>
      </c>
      <c r="AE524" s="31" t="n">
        <v>14</v>
      </c>
      <c r="AF524" s="32" t="n">
        <v>1</v>
      </c>
      <c r="AG524" s="31" t="n">
        <v>9</v>
      </c>
      <c r="AH524" s="32" t="n">
        <v>61</v>
      </c>
      <c r="AI524" s="31" t="n">
        <v>62.9</v>
      </c>
      <c r="AJ524" s="31" t="n">
        <v>48.1</v>
      </c>
      <c r="AK524" s="31" t="n">
        <v>15.9</v>
      </c>
      <c r="AL524" s="30" t="inlineStr">
        <is>
          <t>T-0673</t>
        </is>
      </c>
      <c r="AM524" s="30" t="inlineStr">
        <is>
          <t>J-04-03</t>
        </is>
      </c>
      <c r="AN524" s="30" t="inlineStr">
        <is>
          <t>T-0565</t>
        </is>
      </c>
      <c r="AO524" s="30" t="inlineStr">
        <is>
          <t>J-01-01</t>
        </is>
      </c>
    </row>
    <row r="525">
      <c r="A525" s="30" t="inlineStr">
        <is>
          <t>O0524</t>
        </is>
      </c>
      <c r="B525" s="30" t="inlineStr">
        <is>
          <t>H</t>
        </is>
      </c>
      <c r="C525" s="31" t="n">
        <v>7460.8</v>
      </c>
      <c r="D525" s="31" t="n">
        <v>25474.8</v>
      </c>
      <c r="E525" s="31" t="n">
        <v>25474.8</v>
      </c>
      <c r="F525" s="31" t="n">
        <v>25490.6</v>
      </c>
      <c r="G525" s="31" t="n">
        <v>25517.7</v>
      </c>
      <c r="H525" s="31" t="n">
        <v>25531.9</v>
      </c>
      <c r="I525" s="31" t="n">
        <v>25558.7</v>
      </c>
      <c r="J525" s="31" t="n">
        <v>25586</v>
      </c>
      <c r="K525" s="31" t="n">
        <v>18125.2</v>
      </c>
      <c r="L525" s="31" t="n">
        <v>18014</v>
      </c>
      <c r="M525" s="30" t="inlineStr">
        <is>
          <t>AMR2</t>
        </is>
      </c>
      <c r="N525" s="30" t="inlineStr">
        <is>
          <t>AMR2</t>
        </is>
      </c>
      <c r="O525" s="32" t="n">
        <v>0</v>
      </c>
      <c r="P525" s="32" t="n">
        <v>0</v>
      </c>
      <c r="Q525" s="32" t="n">
        <v>15</v>
      </c>
      <c r="R525" s="31" t="n">
        <v>42</v>
      </c>
      <c r="S525" s="31" t="n">
        <v>42</v>
      </c>
      <c r="T525" s="30" t="inlineStr">
        <is>
          <t>AMR2</t>
        </is>
      </c>
      <c r="U525" s="31" t="n">
        <v>54.8</v>
      </c>
      <c r="V525" s="31" t="n">
        <v>54.8</v>
      </c>
      <c r="W525" s="30" t="inlineStr">
        <is>
          <t>AMR2</t>
        </is>
      </c>
      <c r="X525" s="32" t="n">
        <v>0</v>
      </c>
      <c r="Y525" s="32" t="n">
        <v>0</v>
      </c>
      <c r="Z525" s="31" t="n">
        <v>0</v>
      </c>
      <c r="AA525" s="32" t="n">
        <v>0</v>
      </c>
      <c r="AB525" s="32" t="n">
        <v>0</v>
      </c>
      <c r="AC525" s="32" t="n">
        <v>0</v>
      </c>
      <c r="AD525" s="32" t="n">
        <v>0</v>
      </c>
      <c r="AE525" s="31" t="n">
        <v>0</v>
      </c>
      <c r="AF525" s="32" t="n">
        <v>0</v>
      </c>
      <c r="AG525" s="31" t="n">
        <v>0</v>
      </c>
      <c r="AH525" s="32" t="n">
        <v>41</v>
      </c>
      <c r="AI525" s="31" t="n">
        <v>45.5</v>
      </c>
      <c r="AJ525" s="31" t="n">
        <v>51.5</v>
      </c>
      <c r="AK525" s="31" t="n">
        <v>0</v>
      </c>
      <c r="AL525" s="30" t="inlineStr">
        <is>
          <t>T-0674</t>
        </is>
      </c>
      <c r="AM525" s="30" t="inlineStr">
        <is>
          <t>H-01-01</t>
        </is>
      </c>
      <c r="AN525" s="30" t="inlineStr">
        <is>
          <t>T-0539</t>
        </is>
      </c>
      <c r="AO525" s="30" t="inlineStr">
        <is>
          <t>H-05-02</t>
        </is>
      </c>
    </row>
    <row r="526">
      <c r="A526" s="30" t="inlineStr">
        <is>
          <t>O0525</t>
        </is>
      </c>
      <c r="B526" s="30" t="inlineStr">
        <is>
          <t>B</t>
        </is>
      </c>
      <c r="C526" s="31" t="n">
        <v>7477</v>
      </c>
      <c r="D526" s="31" t="n">
        <v>25538.3</v>
      </c>
      <c r="E526" s="31" t="n">
        <v>25538.3</v>
      </c>
      <c r="F526" s="31" t="n">
        <v>25550.2</v>
      </c>
      <c r="G526" s="31" t="n">
        <v>25574.3</v>
      </c>
      <c r="H526" s="31" t="n">
        <v>25589.1</v>
      </c>
      <c r="I526" s="31" t="n">
        <v>25616.7</v>
      </c>
      <c r="J526" s="31" t="n">
        <v>25649.7</v>
      </c>
      <c r="K526" s="31" t="n">
        <v>18172.7</v>
      </c>
      <c r="L526" s="31" t="n">
        <v>18061.3</v>
      </c>
      <c r="M526" s="30" t="inlineStr">
        <is>
          <t>AMR3</t>
        </is>
      </c>
      <c r="N526" s="30" t="inlineStr">
        <is>
          <t>AMR3</t>
        </is>
      </c>
      <c r="O526" s="32" t="n">
        <v>0</v>
      </c>
      <c r="P526" s="32" t="n">
        <v>0</v>
      </c>
      <c r="Q526" s="32" t="n">
        <v>15</v>
      </c>
      <c r="R526" s="31" t="n">
        <v>35.1</v>
      </c>
      <c r="S526" s="31" t="n">
        <v>35.1</v>
      </c>
      <c r="T526" s="30" t="inlineStr">
        <is>
          <t>AMR3</t>
        </is>
      </c>
      <c r="U526" s="31" t="n">
        <v>57.3</v>
      </c>
      <c r="V526" s="31" t="n">
        <v>57.3</v>
      </c>
      <c r="W526" s="30" t="inlineStr">
        <is>
          <t>AMR3</t>
        </is>
      </c>
      <c r="X526" s="32" t="n">
        <v>0</v>
      </c>
      <c r="Y526" s="32" t="n">
        <v>0</v>
      </c>
      <c r="Z526" s="31" t="n">
        <v>0</v>
      </c>
      <c r="AA526" s="32" t="n">
        <v>0</v>
      </c>
      <c r="AB526" s="32" t="n">
        <v>0</v>
      </c>
      <c r="AC526" s="32" t="n">
        <v>0</v>
      </c>
      <c r="AD526" s="32" t="n">
        <v>0</v>
      </c>
      <c r="AE526" s="31" t="n">
        <v>0</v>
      </c>
      <c r="AF526" s="32" t="n">
        <v>0</v>
      </c>
      <c r="AG526" s="31" t="n">
        <v>0</v>
      </c>
      <c r="AH526" s="32" t="n">
        <v>49</v>
      </c>
      <c r="AI526" s="31" t="n">
        <v>51.5</v>
      </c>
      <c r="AJ526" s="31" t="n">
        <v>45.1</v>
      </c>
      <c r="AK526" s="31" t="n">
        <v>0</v>
      </c>
      <c r="AL526" s="30" t="inlineStr">
        <is>
          <t>T-0675</t>
        </is>
      </c>
      <c r="AM526" s="30" t="inlineStr">
        <is>
          <t>B-04-03</t>
        </is>
      </c>
      <c r="AN526" s="30" t="inlineStr">
        <is>
          <t>T-0497</t>
        </is>
      </c>
      <c r="AO526" s="30" t="inlineStr">
        <is>
          <t>B-01-01</t>
        </is>
      </c>
    </row>
    <row r="527">
      <c r="A527" s="30" t="inlineStr">
        <is>
          <t>O0526</t>
        </is>
      </c>
      <c r="B527" s="30" t="inlineStr">
        <is>
          <t>H</t>
        </is>
      </c>
      <c r="C527" s="31" t="n">
        <v>7493.8</v>
      </c>
      <c r="D527" s="31" t="n">
        <v>25555.2</v>
      </c>
      <c r="E527" s="31" t="n">
        <v>25555.2</v>
      </c>
      <c r="F527" s="31" t="n">
        <v>25570.4</v>
      </c>
      <c r="G527" s="31" t="n">
        <v>25598.2</v>
      </c>
      <c r="H527" s="31" t="n">
        <v>25609.7</v>
      </c>
      <c r="I527" s="31" t="n">
        <v>25640.2</v>
      </c>
      <c r="J527" s="31" t="n">
        <v>25663.3</v>
      </c>
      <c r="K527" s="31" t="n">
        <v>18169.5</v>
      </c>
      <c r="L527" s="31" t="n">
        <v>18061.4</v>
      </c>
      <c r="M527" s="30" t="inlineStr">
        <is>
          <t>AMR1</t>
        </is>
      </c>
      <c r="N527" s="30" t="inlineStr">
        <is>
          <t>AMR2</t>
        </is>
      </c>
      <c r="O527" s="32" t="n">
        <v>0</v>
      </c>
      <c r="P527" s="32" t="n">
        <v>0</v>
      </c>
      <c r="Q527" s="32" t="n">
        <v>15</v>
      </c>
      <c r="R527" s="31" t="n">
        <v>42.1</v>
      </c>
      <c r="S527" s="31" t="n">
        <v>42.1</v>
      </c>
      <c r="T527" s="30" t="inlineStr">
        <is>
          <t>AMR1</t>
        </is>
      </c>
      <c r="U527" s="31" t="n">
        <v>50.6</v>
      </c>
      <c r="V527" s="31" t="n">
        <v>50.6</v>
      </c>
      <c r="W527" s="30" t="inlineStr">
        <is>
          <t>AMR2</t>
        </is>
      </c>
      <c r="X527" s="32" t="n">
        <v>0</v>
      </c>
      <c r="Y527" s="32" t="n">
        <v>0</v>
      </c>
      <c r="Z527" s="31" t="n">
        <v>0</v>
      </c>
      <c r="AA527" s="32" t="n">
        <v>0</v>
      </c>
      <c r="AB527" s="32" t="n">
        <v>1</v>
      </c>
      <c r="AC527" s="32" t="n">
        <v>1</v>
      </c>
      <c r="AD527" s="32" t="n">
        <v>0</v>
      </c>
      <c r="AE527" s="31" t="n">
        <v>0</v>
      </c>
      <c r="AF527" s="32" t="n">
        <v>0</v>
      </c>
      <c r="AG527" s="31" t="n">
        <v>0</v>
      </c>
      <c r="AH527" s="32" t="n">
        <v>39</v>
      </c>
      <c r="AI527" s="31" t="n">
        <v>44.5</v>
      </c>
      <c r="AJ527" s="31" t="n">
        <v>47.4</v>
      </c>
      <c r="AK527" s="31" t="n">
        <v>4.7</v>
      </c>
      <c r="AL527" s="30" t="inlineStr">
        <is>
          <t>T-0676</t>
        </is>
      </c>
      <c r="AM527" s="30" t="inlineStr">
        <is>
          <t>H-05-02</t>
        </is>
      </c>
      <c r="AN527" s="30" t="inlineStr">
        <is>
          <t>T-0541</t>
        </is>
      </c>
      <c r="AO527" s="30" t="inlineStr">
        <is>
          <t>H-06-02</t>
        </is>
      </c>
    </row>
    <row r="528">
      <c r="A528" s="30" t="inlineStr">
        <is>
          <t>O0527</t>
        </is>
      </c>
      <c r="B528" s="30" t="inlineStr">
        <is>
          <t>F</t>
        </is>
      </c>
      <c r="C528" s="31" t="n">
        <v>7516.9</v>
      </c>
      <c r="D528" s="31" t="n">
        <v>25619.4</v>
      </c>
      <c r="E528" s="31" t="n">
        <v>25619.4</v>
      </c>
      <c r="F528" s="31" t="n">
        <v>25631.9</v>
      </c>
      <c r="G528" s="31" t="n">
        <v>25665.1</v>
      </c>
      <c r="H528" s="31" t="n">
        <v>25673.4</v>
      </c>
      <c r="I528" s="31" t="n">
        <v>25705.9</v>
      </c>
      <c r="J528" s="31" t="n">
        <v>25744.3</v>
      </c>
      <c r="K528" s="31" t="n">
        <v>18227.4</v>
      </c>
      <c r="L528" s="31" t="n">
        <v>18102.5</v>
      </c>
      <c r="M528" s="30" t="inlineStr">
        <is>
          <t>AMR1</t>
        </is>
      </c>
      <c r="N528" s="30" t="inlineStr">
        <is>
          <t>AMR3</t>
        </is>
      </c>
      <c r="O528" s="32" t="n">
        <v>0</v>
      </c>
      <c r="P528" s="32" t="n">
        <v>0</v>
      </c>
      <c r="Q528" s="32" t="n">
        <v>23</v>
      </c>
      <c r="R528" s="31" t="n">
        <v>44.8</v>
      </c>
      <c r="S528" s="31" t="n">
        <v>44.8</v>
      </c>
      <c r="T528" s="30" t="inlineStr">
        <is>
          <t>AMR1</t>
        </is>
      </c>
      <c r="U528" s="31" t="n">
        <v>68.59999999999999</v>
      </c>
      <c r="V528" s="31" t="n">
        <v>68.59999999999999</v>
      </c>
      <c r="W528" s="30" t="inlineStr">
        <is>
          <t>AMR3</t>
        </is>
      </c>
      <c r="X528" s="32" t="n">
        <v>0</v>
      </c>
      <c r="Y528" s="32" t="n">
        <v>0</v>
      </c>
      <c r="Z528" s="31" t="n">
        <v>0</v>
      </c>
      <c r="AA528" s="32" t="n">
        <v>0</v>
      </c>
      <c r="AB528" s="32" t="n">
        <v>0</v>
      </c>
      <c r="AC528" s="32" t="n">
        <v>0</v>
      </c>
      <c r="AD528" s="32" t="n">
        <v>0</v>
      </c>
      <c r="AE528" s="31" t="n">
        <v>0</v>
      </c>
      <c r="AF528" s="32" t="n">
        <v>0</v>
      </c>
      <c r="AG528" s="31" t="n">
        <v>0</v>
      </c>
      <c r="AH528" s="32" t="n">
        <v>69</v>
      </c>
      <c r="AI528" s="31" t="n">
        <v>68.40000000000001</v>
      </c>
      <c r="AJ528" s="31" t="n">
        <v>48.2</v>
      </c>
      <c r="AK528" s="31" t="n">
        <v>0</v>
      </c>
      <c r="AL528" s="30" t="inlineStr">
        <is>
          <t>T-0677</t>
        </is>
      </c>
      <c r="AM528" s="30" t="inlineStr">
        <is>
          <t>F-04-03</t>
        </is>
      </c>
      <c r="AN528" s="30" t="inlineStr">
        <is>
          <t>T-0579</t>
        </is>
      </c>
      <c r="AO528" s="30" t="inlineStr">
        <is>
          <t>F-01-01</t>
        </is>
      </c>
    </row>
    <row r="529">
      <c r="A529" s="30" t="inlineStr">
        <is>
          <t>O0528</t>
        </is>
      </c>
      <c r="B529" s="30" t="inlineStr">
        <is>
          <t>B</t>
        </is>
      </c>
      <c r="C529" s="31" t="n">
        <v>7535.3</v>
      </c>
      <c r="D529" s="31" t="n">
        <v>25687</v>
      </c>
      <c r="E529" s="31" t="n">
        <v>25687</v>
      </c>
      <c r="F529" s="31" t="n">
        <v>25699.1</v>
      </c>
      <c r="G529" s="31" t="n">
        <v>25722.6</v>
      </c>
      <c r="H529" s="31" t="n">
        <v>25738.8</v>
      </c>
      <c r="I529" s="31" t="n">
        <v>25767.5</v>
      </c>
      <c r="J529" s="31" t="n">
        <v>25802.1</v>
      </c>
      <c r="K529" s="31" t="n">
        <v>18266.8</v>
      </c>
      <c r="L529" s="31" t="n">
        <v>18151.7</v>
      </c>
      <c r="M529" s="30" t="inlineStr">
        <is>
          <t>AMR2</t>
        </is>
      </c>
      <c r="N529" s="30" t="inlineStr">
        <is>
          <t>AMR2</t>
        </is>
      </c>
      <c r="O529" s="32" t="n">
        <v>0</v>
      </c>
      <c r="P529" s="32" t="n">
        <v>0</v>
      </c>
      <c r="Q529" s="32" t="n">
        <v>15</v>
      </c>
      <c r="R529" s="31" t="n">
        <v>33.1</v>
      </c>
      <c r="S529" s="31" t="n">
        <v>33.1</v>
      </c>
      <c r="T529" s="30" t="inlineStr">
        <is>
          <t>AMR2</t>
        </is>
      </c>
      <c r="U529" s="31" t="n">
        <v>60</v>
      </c>
      <c r="V529" s="31" t="n">
        <v>60</v>
      </c>
      <c r="W529" s="30" t="inlineStr">
        <is>
          <t>AMR2</t>
        </is>
      </c>
      <c r="X529" s="32" t="n">
        <v>0</v>
      </c>
      <c r="Y529" s="32" t="n">
        <v>0</v>
      </c>
      <c r="Z529" s="31" t="n">
        <v>0</v>
      </c>
      <c r="AA529" s="32" t="n">
        <v>0</v>
      </c>
      <c r="AB529" s="32" t="n">
        <v>0</v>
      </c>
      <c r="AC529" s="32" t="n">
        <v>0</v>
      </c>
      <c r="AD529" s="32" t="n">
        <v>0</v>
      </c>
      <c r="AE529" s="31" t="n">
        <v>0</v>
      </c>
      <c r="AF529" s="32" t="n">
        <v>0</v>
      </c>
      <c r="AG529" s="31" t="n">
        <v>0</v>
      </c>
      <c r="AH529" s="32" t="n">
        <v>51</v>
      </c>
      <c r="AI529" s="31" t="n">
        <v>53.1</v>
      </c>
      <c r="AJ529" s="31" t="n">
        <v>45.8</v>
      </c>
      <c r="AK529" s="31" t="n">
        <v>0</v>
      </c>
      <c r="AL529" s="30" t="inlineStr">
        <is>
          <t>T-0678</t>
        </is>
      </c>
      <c r="AM529" s="30" t="inlineStr">
        <is>
          <t>B-01-01</t>
        </is>
      </c>
      <c r="AN529" s="30" t="inlineStr">
        <is>
          <t>T-0499</t>
        </is>
      </c>
      <c r="AO529" s="30" t="inlineStr">
        <is>
          <t>B-02-01</t>
        </is>
      </c>
    </row>
    <row r="530">
      <c r="A530" s="30" t="inlineStr">
        <is>
          <t>O0529</t>
        </is>
      </c>
      <c r="B530" s="30" t="inlineStr">
        <is>
          <t>E</t>
        </is>
      </c>
      <c r="C530" s="31" t="n">
        <v>7555.8</v>
      </c>
      <c r="D530" s="31" t="n">
        <v>25699.2</v>
      </c>
      <c r="E530" s="31" t="n">
        <v>25699.2</v>
      </c>
      <c r="F530" s="31" t="n">
        <v>25714</v>
      </c>
      <c r="G530" s="31" t="n">
        <v>25740.3</v>
      </c>
      <c r="H530" s="31" t="n">
        <v>25760.5</v>
      </c>
      <c r="I530" s="31" t="n">
        <v>25790</v>
      </c>
      <c r="J530" s="31" t="n">
        <v>25824.3</v>
      </c>
      <c r="K530" s="31" t="n">
        <v>18268.5</v>
      </c>
      <c r="L530" s="31" t="n">
        <v>18143.4</v>
      </c>
      <c r="M530" s="30" t="inlineStr">
        <is>
          <t>AMR1</t>
        </is>
      </c>
      <c r="N530" s="30" t="inlineStr">
        <is>
          <t>AMR1</t>
        </is>
      </c>
      <c r="O530" s="32" t="n">
        <v>0</v>
      </c>
      <c r="P530" s="32" t="n">
        <v>0</v>
      </c>
      <c r="Q530" s="32" t="n">
        <v>19</v>
      </c>
      <c r="R530" s="31" t="n">
        <v>38.6</v>
      </c>
      <c r="S530" s="31" t="n">
        <v>38.6</v>
      </c>
      <c r="T530" s="30" t="inlineStr">
        <is>
          <t>AMR1</t>
        </is>
      </c>
      <c r="U530" s="31" t="n">
        <v>64</v>
      </c>
      <c r="V530" s="31" t="n">
        <v>64</v>
      </c>
      <c r="W530" s="30" t="inlineStr">
        <is>
          <t>AMR1</t>
        </is>
      </c>
      <c r="X530" s="32" t="n">
        <v>0</v>
      </c>
      <c r="Y530" s="32" t="n">
        <v>0</v>
      </c>
      <c r="Z530" s="31" t="n">
        <v>0</v>
      </c>
      <c r="AA530" s="32" t="n">
        <v>0</v>
      </c>
      <c r="AB530" s="32" t="n">
        <v>0</v>
      </c>
      <c r="AC530" s="32" t="n">
        <v>0</v>
      </c>
      <c r="AD530" s="32" t="n">
        <v>0</v>
      </c>
      <c r="AE530" s="31" t="n">
        <v>0</v>
      </c>
      <c r="AF530" s="32" t="n">
        <v>0</v>
      </c>
      <c r="AG530" s="31" t="n">
        <v>0</v>
      </c>
      <c r="AH530" s="32" t="n">
        <v>59</v>
      </c>
      <c r="AI530" s="31" t="n">
        <v>59.8</v>
      </c>
      <c r="AJ530" s="31" t="n">
        <v>45.1</v>
      </c>
      <c r="AK530" s="31" t="n">
        <v>0</v>
      </c>
      <c r="AL530" s="30" t="inlineStr">
        <is>
          <t>T-0679</t>
        </is>
      </c>
      <c r="AM530" s="30" t="inlineStr">
        <is>
          <t>E-05-02</t>
        </is>
      </c>
      <c r="AN530" s="30" t="inlineStr">
        <is>
          <t>T-0514</t>
        </is>
      </c>
      <c r="AO530" s="30" t="inlineStr">
        <is>
          <t>E-01-03</t>
        </is>
      </c>
    </row>
    <row r="531">
      <c r="A531" s="30" t="inlineStr">
        <is>
          <t>O0530</t>
        </is>
      </c>
      <c r="B531" s="30" t="inlineStr">
        <is>
          <t>C</t>
        </is>
      </c>
      <c r="C531" s="31" t="n">
        <v>7577.9</v>
      </c>
      <c r="D531" s="31" t="n">
        <v>25769.1</v>
      </c>
      <c r="E531" s="31" t="n">
        <v>25769.1</v>
      </c>
      <c r="F531" s="31" t="n">
        <v>25785.3</v>
      </c>
      <c r="G531" s="31" t="n">
        <v>25810.1</v>
      </c>
      <c r="H531" s="31" t="n">
        <v>25822.9</v>
      </c>
      <c r="I531" s="31" t="n">
        <v>25854.5</v>
      </c>
      <c r="J531" s="31" t="n">
        <v>25882.8</v>
      </c>
      <c r="K531" s="31" t="n">
        <v>18304.9</v>
      </c>
      <c r="L531" s="31" t="n">
        <v>18191.2</v>
      </c>
      <c r="M531" s="30" t="inlineStr">
        <is>
          <t>AMR3</t>
        </is>
      </c>
      <c r="N531" s="30" t="inlineStr">
        <is>
          <t>AMR3</t>
        </is>
      </c>
      <c r="O531" s="32" t="n">
        <v>0</v>
      </c>
      <c r="P531" s="32" t="n">
        <v>0</v>
      </c>
      <c r="Q531" s="32" t="n">
        <v>13</v>
      </c>
      <c r="R531" s="31" t="n">
        <v>40.1</v>
      </c>
      <c r="S531" s="31" t="n">
        <v>40.1</v>
      </c>
      <c r="T531" s="30" t="inlineStr">
        <is>
          <t>AMR3</t>
        </is>
      </c>
      <c r="U531" s="31" t="n">
        <v>54.3</v>
      </c>
      <c r="V531" s="31" t="n">
        <v>54.3</v>
      </c>
      <c r="W531" s="30" t="inlineStr">
        <is>
          <t>AMR3</t>
        </is>
      </c>
      <c r="X531" s="32" t="n">
        <v>0</v>
      </c>
      <c r="Y531" s="32" t="n">
        <v>0</v>
      </c>
      <c r="Z531" s="31" t="n">
        <v>0</v>
      </c>
      <c r="AA531" s="32" t="n">
        <v>0</v>
      </c>
      <c r="AB531" s="32" t="n">
        <v>1</v>
      </c>
      <c r="AC531" s="32" t="n">
        <v>1</v>
      </c>
      <c r="AD531" s="32" t="n">
        <v>0</v>
      </c>
      <c r="AE531" s="31" t="n">
        <v>0</v>
      </c>
      <c r="AF531" s="32" t="n">
        <v>1</v>
      </c>
      <c r="AG531" s="31" t="n">
        <v>0.3</v>
      </c>
      <c r="AH531" s="32" t="n">
        <v>39</v>
      </c>
      <c r="AI531" s="31" t="n">
        <v>43.4</v>
      </c>
      <c r="AJ531" s="31" t="n">
        <v>52.2</v>
      </c>
      <c r="AK531" s="31" t="n">
        <v>5.3</v>
      </c>
      <c r="AL531" s="30" t="inlineStr">
        <is>
          <t>T-0680</t>
        </is>
      </c>
      <c r="AM531" s="30" t="inlineStr">
        <is>
          <t>C-05-02</t>
        </is>
      </c>
      <c r="AN531" s="30" t="inlineStr">
        <is>
          <t>T-0527</t>
        </is>
      </c>
      <c r="AO531" s="30" t="inlineStr">
        <is>
          <t>C-04-02</t>
        </is>
      </c>
    </row>
    <row r="532">
      <c r="A532" s="30" t="inlineStr">
        <is>
          <t>O0531</t>
        </is>
      </c>
      <c r="B532" s="30" t="inlineStr">
        <is>
          <t>B</t>
        </is>
      </c>
      <c r="C532" s="31" t="n">
        <v>7598</v>
      </c>
      <c r="D532" s="31" t="n">
        <v>25833.2</v>
      </c>
      <c r="E532" s="31" t="n">
        <v>25833.2</v>
      </c>
      <c r="F532" s="31" t="n">
        <v>25848</v>
      </c>
      <c r="G532" s="31" t="n">
        <v>25873.9</v>
      </c>
      <c r="H532" s="31" t="n">
        <v>25890.1</v>
      </c>
      <c r="I532" s="31" t="n">
        <v>25913.8</v>
      </c>
      <c r="J532" s="31" t="n">
        <v>25942.6</v>
      </c>
      <c r="K532" s="31" t="n">
        <v>18344.6</v>
      </c>
      <c r="L532" s="31" t="n">
        <v>18235.2</v>
      </c>
      <c r="M532" s="30" t="inlineStr">
        <is>
          <t>AMR2</t>
        </is>
      </c>
      <c r="N532" s="30" t="inlineStr">
        <is>
          <t>AMR2</t>
        </is>
      </c>
      <c r="O532" s="32" t="n">
        <v>0</v>
      </c>
      <c r="P532" s="32" t="n">
        <v>0</v>
      </c>
      <c r="Q532" s="32" t="n">
        <v>15</v>
      </c>
      <c r="R532" s="31" t="n">
        <v>38.2</v>
      </c>
      <c r="S532" s="31" t="n">
        <v>38.2</v>
      </c>
      <c r="T532" s="30" t="inlineStr">
        <is>
          <t>AMR2</t>
        </is>
      </c>
      <c r="U532" s="31" t="n">
        <v>52.2</v>
      </c>
      <c r="V532" s="31" t="n">
        <v>52.2</v>
      </c>
      <c r="W532" s="30" t="inlineStr">
        <is>
          <t>AMR2</t>
        </is>
      </c>
      <c r="X532" s="32" t="n">
        <v>0</v>
      </c>
      <c r="Y532" s="32" t="n">
        <v>0</v>
      </c>
      <c r="Z532" s="31" t="n">
        <v>0</v>
      </c>
      <c r="AA532" s="32" t="n">
        <v>0</v>
      </c>
      <c r="AB532" s="32" t="n">
        <v>0</v>
      </c>
      <c r="AC532" s="32" t="n">
        <v>0</v>
      </c>
      <c r="AD532" s="32" t="n">
        <v>0</v>
      </c>
      <c r="AE532" s="31" t="n">
        <v>0</v>
      </c>
      <c r="AF532" s="32" t="n">
        <v>0</v>
      </c>
      <c r="AG532" s="31" t="n">
        <v>0</v>
      </c>
      <c r="AH532" s="32" t="n">
        <v>47</v>
      </c>
      <c r="AI532" s="31" t="n">
        <v>50.1</v>
      </c>
      <c r="AJ532" s="31" t="n">
        <v>43.1</v>
      </c>
      <c r="AK532" s="31" t="n">
        <v>0</v>
      </c>
      <c r="AL532" s="30" t="inlineStr">
        <is>
          <t>T-0681</t>
        </is>
      </c>
      <c r="AM532" s="30" t="inlineStr">
        <is>
          <t>B-02-01</t>
        </is>
      </c>
      <c r="AN532" s="30" t="inlineStr">
        <is>
          <t>T-0530</t>
        </is>
      </c>
      <c r="AO532" s="30" t="inlineStr">
        <is>
          <t>B-04-01</t>
        </is>
      </c>
    </row>
    <row r="533">
      <c r="A533" s="30" t="inlineStr">
        <is>
          <t>O0532</t>
        </is>
      </c>
      <c r="B533" s="30" t="inlineStr">
        <is>
          <t>D</t>
        </is>
      </c>
      <c r="C533" s="31" t="n">
        <v>7620.9</v>
      </c>
      <c r="D533" s="31" t="n">
        <v>25848</v>
      </c>
      <c r="E533" s="31" t="n">
        <v>25848</v>
      </c>
      <c r="F533" s="31" t="n">
        <v>25863.7</v>
      </c>
      <c r="G533" s="31" t="n">
        <v>25885.7</v>
      </c>
      <c r="H533" s="31" t="n">
        <v>25898.5</v>
      </c>
      <c r="I533" s="31" t="n">
        <v>25926.7</v>
      </c>
      <c r="J533" s="31" t="n">
        <v>25957</v>
      </c>
      <c r="K533" s="31" t="n">
        <v>18336.1</v>
      </c>
      <c r="L533" s="31" t="n">
        <v>18227.1</v>
      </c>
      <c r="M533" s="30" t="inlineStr">
        <is>
          <t>AMR1</t>
        </is>
      </c>
      <c r="N533" s="30" t="inlineStr">
        <is>
          <t>AMR1</t>
        </is>
      </c>
      <c r="O533" s="32" t="n">
        <v>0</v>
      </c>
      <c r="P533" s="32" t="n">
        <v>0</v>
      </c>
      <c r="Q533" s="32" t="n">
        <v>13</v>
      </c>
      <c r="R533" s="31" t="n">
        <v>36.8</v>
      </c>
      <c r="S533" s="31" t="n">
        <v>36.8</v>
      </c>
      <c r="T533" s="30" t="inlineStr">
        <is>
          <t>AMR1</t>
        </is>
      </c>
      <c r="U533" s="31" t="n">
        <v>50.9</v>
      </c>
      <c r="V533" s="31" t="n">
        <v>50.9</v>
      </c>
      <c r="W533" s="30" t="inlineStr">
        <is>
          <t>AMR1</t>
        </is>
      </c>
      <c r="X533" s="32" t="n">
        <v>0</v>
      </c>
      <c r="Y533" s="32" t="n">
        <v>0</v>
      </c>
      <c r="Z533" s="31" t="n">
        <v>0</v>
      </c>
      <c r="AA533" s="32" t="n">
        <v>0</v>
      </c>
      <c r="AB533" s="32" t="n">
        <v>1</v>
      </c>
      <c r="AC533" s="32" t="n">
        <v>1</v>
      </c>
      <c r="AD533" s="32" t="n">
        <v>0</v>
      </c>
      <c r="AE533" s="31" t="n">
        <v>0</v>
      </c>
      <c r="AF533" s="32" t="n">
        <v>0</v>
      </c>
      <c r="AG533" s="31" t="n">
        <v>0</v>
      </c>
      <c r="AH533" s="32" t="n">
        <v>43</v>
      </c>
      <c r="AI533" s="31" t="n">
        <v>46.9</v>
      </c>
      <c r="AJ533" s="31" t="n">
        <v>45</v>
      </c>
      <c r="AK533" s="31" t="n">
        <v>4.3</v>
      </c>
      <c r="AL533" s="30" t="inlineStr">
        <is>
          <t>T-0682</t>
        </is>
      </c>
      <c r="AM533" s="30" t="inlineStr">
        <is>
          <t>D-02-02</t>
        </is>
      </c>
      <c r="AN533" s="30" t="inlineStr">
        <is>
          <t>T-0475</t>
        </is>
      </c>
      <c r="AO533" s="30" t="inlineStr">
        <is>
          <t>D-04-02</t>
        </is>
      </c>
    </row>
    <row r="534">
      <c r="A534" s="30" t="inlineStr">
        <is>
          <t>O0533</t>
        </is>
      </c>
      <c r="B534" s="30" t="inlineStr">
        <is>
          <t>I</t>
        </is>
      </c>
      <c r="C534" s="31" t="n">
        <v>7636.1</v>
      </c>
      <c r="D534" s="31" t="n">
        <v>25910.5</v>
      </c>
      <c r="E534" s="31" t="n">
        <v>25910.5</v>
      </c>
      <c r="F534" s="31" t="n">
        <v>25922.2</v>
      </c>
      <c r="G534" s="31" t="n">
        <v>25950.1</v>
      </c>
      <c r="H534" s="31" t="n">
        <v>25966.2</v>
      </c>
      <c r="I534" s="31" t="n">
        <v>26005.6</v>
      </c>
      <c r="J534" s="31" t="n">
        <v>26040.9</v>
      </c>
      <c r="K534" s="31" t="n">
        <v>18404.8</v>
      </c>
      <c r="L534" s="31" t="n">
        <v>18274.4</v>
      </c>
      <c r="M534" s="30" t="inlineStr">
        <is>
          <t>AMR3</t>
        </is>
      </c>
      <c r="N534" s="30" t="inlineStr">
        <is>
          <t>AMR3</t>
        </is>
      </c>
      <c r="O534" s="32" t="n">
        <v>0</v>
      </c>
      <c r="P534" s="32" t="n">
        <v>0</v>
      </c>
      <c r="Q534" s="32" t="n">
        <v>15</v>
      </c>
      <c r="R534" s="31" t="n">
        <v>35.6</v>
      </c>
      <c r="S534" s="31" t="n">
        <v>35.6</v>
      </c>
      <c r="T534" s="30" t="inlineStr">
        <is>
          <t>AMR3</t>
        </is>
      </c>
      <c r="U534" s="31" t="n">
        <v>54.5</v>
      </c>
      <c r="V534" s="31" t="n">
        <v>54.5</v>
      </c>
      <c r="W534" s="30" t="inlineStr">
        <is>
          <t>AMR3</t>
        </is>
      </c>
      <c r="X534" s="32" t="n">
        <v>0</v>
      </c>
      <c r="Y534" s="32" t="n">
        <v>0</v>
      </c>
      <c r="Z534" s="31" t="n">
        <v>0</v>
      </c>
      <c r="AA534" s="32" t="n">
        <v>0</v>
      </c>
      <c r="AB534" s="32" t="n">
        <v>1</v>
      </c>
      <c r="AC534" s="32" t="n">
        <v>3</v>
      </c>
      <c r="AD534" s="32" t="n">
        <v>1</v>
      </c>
      <c r="AE534" s="31" t="n">
        <v>2.3</v>
      </c>
      <c r="AF534" s="32" t="n">
        <v>0</v>
      </c>
      <c r="AG534" s="31" t="n">
        <v>0</v>
      </c>
      <c r="AH534" s="32" t="n">
        <v>50</v>
      </c>
      <c r="AI534" s="31" t="n">
        <v>56.7</v>
      </c>
      <c r="AJ534" s="31" t="n">
        <v>44.3</v>
      </c>
      <c r="AK534" s="31" t="n">
        <v>13.3</v>
      </c>
      <c r="AL534" s="30" t="inlineStr">
        <is>
          <t>T-0683</t>
        </is>
      </c>
      <c r="AM534" s="30" t="inlineStr">
        <is>
          <t>I-03-02</t>
        </is>
      </c>
      <c r="AN534" s="30" t="inlineStr">
        <is>
          <t>T-0534</t>
        </is>
      </c>
      <c r="AO534" s="30" t="inlineStr">
        <is>
          <t>I-05-02</t>
        </is>
      </c>
    </row>
    <row r="535">
      <c r="A535" s="30" t="inlineStr">
        <is>
          <t>O0534</t>
        </is>
      </c>
      <c r="B535" s="30" t="inlineStr">
        <is>
          <t>I</t>
        </is>
      </c>
      <c r="C535" s="31" t="n">
        <v>7654.8</v>
      </c>
      <c r="D535" s="31" t="n">
        <v>25976.2</v>
      </c>
      <c r="E535" s="31" t="n">
        <v>25976.2</v>
      </c>
      <c r="F535" s="31" t="n">
        <v>25988.1</v>
      </c>
      <c r="G535" s="31" t="n">
        <v>26025.1</v>
      </c>
      <c r="H535" s="31" t="n">
        <v>26041.6</v>
      </c>
      <c r="I535" s="31" t="n">
        <v>26076.8</v>
      </c>
      <c r="J535" s="31" t="n">
        <v>26119</v>
      </c>
      <c r="K535" s="31" t="n">
        <v>18464.2</v>
      </c>
      <c r="L535" s="31" t="n">
        <v>18321.4</v>
      </c>
      <c r="M535" s="30" t="inlineStr">
        <is>
          <t>AMR2</t>
        </is>
      </c>
      <c r="N535" s="30" t="inlineStr">
        <is>
          <t>AMR1</t>
        </is>
      </c>
      <c r="O535" s="32" t="n">
        <v>0</v>
      </c>
      <c r="P535" s="32" t="n">
        <v>0</v>
      </c>
      <c r="Q535" s="32" t="n">
        <v>15</v>
      </c>
      <c r="R535" s="31" t="n">
        <v>37.8</v>
      </c>
      <c r="S535" s="31" t="n">
        <v>37.8</v>
      </c>
      <c r="T535" s="30" t="inlineStr">
        <is>
          <t>AMR2</t>
        </is>
      </c>
      <c r="U535" s="31" t="n">
        <v>50.3</v>
      </c>
      <c r="V535" s="31" t="n">
        <v>50.3</v>
      </c>
      <c r="W535" s="30" t="inlineStr">
        <is>
          <t>AMR1</t>
        </is>
      </c>
      <c r="X535" s="32" t="n">
        <v>0</v>
      </c>
      <c r="Y535" s="32" t="n">
        <v>0</v>
      </c>
      <c r="Z535" s="31" t="n">
        <v>0</v>
      </c>
      <c r="AA535" s="32" t="n">
        <v>0</v>
      </c>
      <c r="AB535" s="32" t="n">
        <v>1</v>
      </c>
      <c r="AC535" s="32" t="n">
        <v>3</v>
      </c>
      <c r="AD535" s="32" t="n">
        <v>3</v>
      </c>
      <c r="AE535" s="31" t="n">
        <v>19.2</v>
      </c>
      <c r="AF535" s="32" t="n">
        <v>3</v>
      </c>
      <c r="AG535" s="31" t="n">
        <v>11.3</v>
      </c>
      <c r="AH535" s="32" t="n">
        <v>47</v>
      </c>
      <c r="AI535" s="31" t="n">
        <v>53.2</v>
      </c>
      <c r="AJ535" s="31" t="n">
        <v>42.3</v>
      </c>
      <c r="AK535" s="31" t="n">
        <v>30.8</v>
      </c>
      <c r="AL535" s="30" t="inlineStr">
        <is>
          <t>T-0684</t>
        </is>
      </c>
      <c r="AM535" s="30" t="inlineStr">
        <is>
          <t>I-04-02</t>
        </is>
      </c>
      <c r="AN535" s="30" t="inlineStr">
        <is>
          <t>T-0535</t>
        </is>
      </c>
      <c r="AO535" s="30" t="inlineStr">
        <is>
          <t>I-05-03</t>
        </is>
      </c>
    </row>
    <row r="536">
      <c r="A536" s="30" t="inlineStr">
        <is>
          <t>O0535</t>
        </is>
      </c>
      <c r="B536" s="30" t="inlineStr">
        <is>
          <t>B</t>
        </is>
      </c>
      <c r="C536" s="31" t="n">
        <v>7676</v>
      </c>
      <c r="D536" s="31" t="n">
        <v>25988.2</v>
      </c>
      <c r="E536" s="31" t="n">
        <v>25988.2</v>
      </c>
      <c r="F536" s="31" t="n">
        <v>26002.2</v>
      </c>
      <c r="G536" s="31" t="n">
        <v>26026.8</v>
      </c>
      <c r="H536" s="31" t="n">
        <v>26048</v>
      </c>
      <c r="I536" s="31" t="n">
        <v>26071.9</v>
      </c>
      <c r="J536" s="31" t="n">
        <v>26104.5</v>
      </c>
      <c r="K536" s="31" t="n">
        <v>18428.5</v>
      </c>
      <c r="L536" s="31" t="n">
        <v>18312.2</v>
      </c>
      <c r="M536" s="30" t="inlineStr">
        <is>
          <t>AMR1</t>
        </is>
      </c>
      <c r="N536" s="30" t="inlineStr">
        <is>
          <t>AMR2</t>
        </is>
      </c>
      <c r="O536" s="32" t="n">
        <v>0</v>
      </c>
      <c r="P536" s="32" t="n">
        <v>0</v>
      </c>
      <c r="Q536" s="32" t="n">
        <v>15</v>
      </c>
      <c r="R536" s="31" t="n">
        <v>37.7</v>
      </c>
      <c r="S536" s="31" t="n">
        <v>37.7</v>
      </c>
      <c r="T536" s="30" t="inlineStr">
        <is>
          <t>AMR1</t>
        </is>
      </c>
      <c r="U536" s="31" t="n">
        <v>57.2</v>
      </c>
      <c r="V536" s="31" t="n">
        <v>57.2</v>
      </c>
      <c r="W536" s="30" t="inlineStr">
        <is>
          <t>AMR2</t>
        </is>
      </c>
      <c r="X536" s="32" t="n">
        <v>0</v>
      </c>
      <c r="Y536" s="32" t="n">
        <v>0</v>
      </c>
      <c r="Z536" s="31" t="n">
        <v>0</v>
      </c>
      <c r="AA536" s="32" t="n">
        <v>0</v>
      </c>
      <c r="AB536" s="32" t="n">
        <v>0</v>
      </c>
      <c r="AC536" s="32" t="n">
        <v>0</v>
      </c>
      <c r="AD536" s="32" t="n">
        <v>0</v>
      </c>
      <c r="AE536" s="31" t="n">
        <v>0</v>
      </c>
      <c r="AF536" s="32" t="n">
        <v>0</v>
      </c>
      <c r="AG536" s="31" t="n">
        <v>0</v>
      </c>
      <c r="AH536" s="32" t="n">
        <v>45</v>
      </c>
      <c r="AI536" s="31" t="n">
        <v>47.5</v>
      </c>
      <c r="AJ536" s="31" t="n">
        <v>47.6</v>
      </c>
      <c r="AK536" s="31" t="n">
        <v>0</v>
      </c>
      <c r="AL536" s="30" t="inlineStr">
        <is>
          <t>T-0685</t>
        </is>
      </c>
      <c r="AM536" s="30" t="inlineStr">
        <is>
          <t>B-04-01</t>
        </is>
      </c>
      <c r="AN536" s="30" t="inlineStr">
        <is>
          <t>T-0545</t>
        </is>
      </c>
      <c r="AO536" s="30" t="inlineStr">
        <is>
          <t>B-05-01</t>
        </is>
      </c>
    </row>
    <row r="537">
      <c r="A537" s="30" t="inlineStr">
        <is>
          <t>O0536</t>
        </is>
      </c>
      <c r="B537" s="30" t="inlineStr">
        <is>
          <t>H</t>
        </is>
      </c>
      <c r="C537" s="31" t="n">
        <v>7694.1</v>
      </c>
      <c r="D537" s="31" t="n">
        <v>26069.6</v>
      </c>
      <c r="E537" s="31" t="n">
        <v>26069.6</v>
      </c>
      <c r="F537" s="31" t="n">
        <v>26085.6</v>
      </c>
      <c r="G537" s="31" t="n">
        <v>26106.8</v>
      </c>
      <c r="H537" s="31" t="n">
        <v>26120.3</v>
      </c>
      <c r="I537" s="31" t="n">
        <v>26147.3</v>
      </c>
      <c r="J537" s="31" t="n">
        <v>26169.3</v>
      </c>
      <c r="K537" s="31" t="n">
        <v>18475.2</v>
      </c>
      <c r="L537" s="31" t="n">
        <v>18375.5</v>
      </c>
      <c r="M537" s="30" t="inlineStr">
        <is>
          <t>AMR3</t>
        </is>
      </c>
      <c r="N537" s="30" t="inlineStr">
        <is>
          <t>AMR3</t>
        </is>
      </c>
      <c r="O537" s="32" t="n">
        <v>0</v>
      </c>
      <c r="P537" s="32" t="n">
        <v>0</v>
      </c>
      <c r="Q537" s="32" t="n">
        <v>15</v>
      </c>
      <c r="R537" s="31" t="n">
        <v>37.1</v>
      </c>
      <c r="S537" s="31" t="n">
        <v>37.1</v>
      </c>
      <c r="T537" s="30" t="inlineStr">
        <is>
          <t>AMR3</t>
        </is>
      </c>
      <c r="U537" s="31" t="n">
        <v>50.7</v>
      </c>
      <c r="V537" s="31" t="n">
        <v>50.7</v>
      </c>
      <c r="W537" s="30" t="inlineStr">
        <is>
          <t>AMR3</t>
        </is>
      </c>
      <c r="X537" s="32" t="n">
        <v>0</v>
      </c>
      <c r="Y537" s="32" t="n">
        <v>0</v>
      </c>
      <c r="Z537" s="31" t="n">
        <v>0</v>
      </c>
      <c r="AA537" s="32" t="n">
        <v>0</v>
      </c>
      <c r="AB537" s="32" t="n">
        <v>0</v>
      </c>
      <c r="AC537" s="32" t="n">
        <v>0</v>
      </c>
      <c r="AD537" s="32" t="n">
        <v>0</v>
      </c>
      <c r="AE537" s="31" t="n">
        <v>0</v>
      </c>
      <c r="AF537" s="32" t="n">
        <v>0</v>
      </c>
      <c r="AG537" s="31" t="n">
        <v>0</v>
      </c>
      <c r="AH537" s="32" t="n">
        <v>38</v>
      </c>
      <c r="AI537" s="31" t="n">
        <v>43.7</v>
      </c>
      <c r="AJ537" s="31" t="n">
        <v>42.5</v>
      </c>
      <c r="AK537" s="31" t="n">
        <v>0</v>
      </c>
      <c r="AL537" s="30" t="inlineStr">
        <is>
          <t>T-0686</t>
        </is>
      </c>
      <c r="AM537" s="30" t="inlineStr">
        <is>
          <t>H-06-02</t>
        </is>
      </c>
      <c r="AN537" s="30" t="inlineStr">
        <is>
          <t>T-0543</t>
        </is>
      </c>
      <c r="AO537" s="30" t="inlineStr">
        <is>
          <t>H-06-01</t>
        </is>
      </c>
    </row>
    <row r="538">
      <c r="A538" s="30" t="inlineStr">
        <is>
          <t>O0537</t>
        </is>
      </c>
      <c r="B538" s="30" t="inlineStr">
        <is>
          <t>G</t>
        </is>
      </c>
      <c r="C538" s="31" t="n">
        <v>7713.1</v>
      </c>
      <c r="D538" s="31" t="n">
        <v>26128.2</v>
      </c>
      <c r="E538" s="31" t="n">
        <v>26128.2</v>
      </c>
      <c r="F538" s="31" t="n">
        <v>26143.7</v>
      </c>
      <c r="G538" s="31" t="n">
        <v>26172.9</v>
      </c>
      <c r="H538" s="31" t="n">
        <v>26191.1</v>
      </c>
      <c r="I538" s="31" t="n">
        <v>26220.4</v>
      </c>
      <c r="J538" s="31" t="n">
        <v>26247.1</v>
      </c>
      <c r="K538" s="31" t="n">
        <v>18534</v>
      </c>
      <c r="L538" s="31" t="n">
        <v>18415.1</v>
      </c>
      <c r="M538" s="30" t="inlineStr">
        <is>
          <t>AMR2</t>
        </is>
      </c>
      <c r="N538" s="30" t="inlineStr">
        <is>
          <t>AMR2</t>
        </is>
      </c>
      <c r="O538" s="32" t="n">
        <v>0</v>
      </c>
      <c r="P538" s="32" t="n">
        <v>0</v>
      </c>
      <c r="Q538" s="32" t="n">
        <v>17</v>
      </c>
      <c r="R538" s="31" t="n">
        <v>42.2</v>
      </c>
      <c r="S538" s="31" t="n">
        <v>42.2</v>
      </c>
      <c r="T538" s="30" t="inlineStr">
        <is>
          <t>AMR2</t>
        </is>
      </c>
      <c r="U538" s="31" t="n">
        <v>55.7</v>
      </c>
      <c r="V538" s="31" t="n">
        <v>55.7</v>
      </c>
      <c r="W538" s="30" t="inlineStr">
        <is>
          <t>AMR2</t>
        </is>
      </c>
      <c r="X538" s="32" t="n">
        <v>0</v>
      </c>
      <c r="Y538" s="32" t="n">
        <v>0</v>
      </c>
      <c r="Z538" s="31" t="n">
        <v>0</v>
      </c>
      <c r="AA538" s="32" t="n">
        <v>0</v>
      </c>
      <c r="AB538" s="32" t="n">
        <v>0</v>
      </c>
      <c r="AC538" s="32" t="n">
        <v>0</v>
      </c>
      <c r="AD538" s="32" t="n">
        <v>0</v>
      </c>
      <c r="AE538" s="31" t="n">
        <v>0</v>
      </c>
      <c r="AF538" s="32" t="n">
        <v>0</v>
      </c>
      <c r="AG538" s="31" t="n">
        <v>0</v>
      </c>
      <c r="AH538" s="32" t="n">
        <v>49</v>
      </c>
      <c r="AI538" s="31" t="n">
        <v>53.2</v>
      </c>
      <c r="AJ538" s="31" t="n">
        <v>47.5</v>
      </c>
      <c r="AK538" s="31" t="n">
        <v>0</v>
      </c>
      <c r="AL538" s="30" t="inlineStr">
        <is>
          <t>T-0687</t>
        </is>
      </c>
      <c r="AM538" s="30" t="inlineStr">
        <is>
          <t>G-02-01</t>
        </is>
      </c>
      <c r="AN538" s="30" t="inlineStr">
        <is>
          <t>T-0494</t>
        </is>
      </c>
      <c r="AO538" s="30" t="inlineStr">
        <is>
          <t>G-05-02</t>
        </is>
      </c>
    </row>
    <row r="539">
      <c r="A539" s="30" t="inlineStr">
        <is>
          <t>O0538</t>
        </is>
      </c>
      <c r="B539" s="30" t="inlineStr">
        <is>
          <t>F</t>
        </is>
      </c>
      <c r="C539" s="31" t="n">
        <v>7728.9</v>
      </c>
      <c r="D539" s="31" t="n">
        <v>26143.8</v>
      </c>
      <c r="E539" s="31" t="n">
        <v>26143.8</v>
      </c>
      <c r="F539" s="31" t="n">
        <v>26159.3</v>
      </c>
      <c r="G539" s="31" t="n">
        <v>26191.1</v>
      </c>
      <c r="H539" s="31" t="n">
        <v>26194.5</v>
      </c>
      <c r="I539" s="31" t="n">
        <v>26226.2</v>
      </c>
      <c r="J539" s="31" t="n">
        <v>26264.2</v>
      </c>
      <c r="K539" s="31" t="n">
        <v>18535.3</v>
      </c>
      <c r="L539" s="31" t="n">
        <v>18414.9</v>
      </c>
      <c r="M539" s="30" t="inlineStr">
        <is>
          <t>AMR1</t>
        </is>
      </c>
      <c r="N539" s="30" t="inlineStr">
        <is>
          <t>AMR3</t>
        </is>
      </c>
      <c r="O539" s="32" t="n">
        <v>0</v>
      </c>
      <c r="P539" s="32" t="n">
        <v>0</v>
      </c>
      <c r="Q539" s="32" t="n">
        <v>23</v>
      </c>
      <c r="R539" s="31" t="n">
        <v>44.8</v>
      </c>
      <c r="S539" s="31" t="n">
        <v>44.8</v>
      </c>
      <c r="T539" s="30" t="inlineStr">
        <is>
          <t>AMR1</t>
        </is>
      </c>
      <c r="U539" s="31" t="n">
        <v>69</v>
      </c>
      <c r="V539" s="31" t="n">
        <v>69</v>
      </c>
      <c r="W539" s="30" t="inlineStr">
        <is>
          <t>AMR3</t>
        </is>
      </c>
      <c r="X539" s="32" t="n">
        <v>0</v>
      </c>
      <c r="Y539" s="32" t="n">
        <v>0</v>
      </c>
      <c r="Z539" s="31" t="n">
        <v>0</v>
      </c>
      <c r="AA539" s="32" t="n">
        <v>0</v>
      </c>
      <c r="AB539" s="32" t="n">
        <v>0</v>
      </c>
      <c r="AC539" s="32" t="n">
        <v>0</v>
      </c>
      <c r="AD539" s="32" t="n">
        <v>1</v>
      </c>
      <c r="AE539" s="31" t="n">
        <v>1.4</v>
      </c>
      <c r="AF539" s="32" t="n">
        <v>0</v>
      </c>
      <c r="AG539" s="31" t="n">
        <v>0</v>
      </c>
      <c r="AH539" s="32" t="n">
        <v>67</v>
      </c>
      <c r="AI539" s="31" t="n">
        <v>67</v>
      </c>
      <c r="AJ539" s="31" t="n">
        <v>48.6</v>
      </c>
      <c r="AK539" s="31" t="n">
        <v>1.4</v>
      </c>
      <c r="AL539" s="30" t="inlineStr">
        <is>
          <t>T-0688</t>
        </is>
      </c>
      <c r="AM539" s="30" t="inlineStr">
        <is>
          <t>F-01-01</t>
        </is>
      </c>
      <c r="AN539" s="30" t="inlineStr">
        <is>
          <t>T-0582</t>
        </is>
      </c>
      <c r="AO539" s="30" t="inlineStr">
        <is>
          <t>F-05-01</t>
        </is>
      </c>
    </row>
    <row r="540">
      <c r="A540" s="30" t="inlineStr">
        <is>
          <t>O0539</t>
        </is>
      </c>
      <c r="B540" s="30" t="inlineStr">
        <is>
          <t>H</t>
        </is>
      </c>
      <c r="C540" s="31" t="n">
        <v>7744.6</v>
      </c>
      <c r="D540" s="31" t="n">
        <v>26214.7</v>
      </c>
      <c r="E540" s="31" t="n">
        <v>26214.7</v>
      </c>
      <c r="F540" s="31" t="n">
        <v>26225.6</v>
      </c>
      <c r="G540" s="31" t="n">
        <v>26251.4</v>
      </c>
      <c r="H540" s="31" t="n">
        <v>26264.9</v>
      </c>
      <c r="I540" s="31" t="n">
        <v>26291.6</v>
      </c>
      <c r="J540" s="31" t="n">
        <v>26320</v>
      </c>
      <c r="K540" s="31" t="n">
        <v>18575.4</v>
      </c>
      <c r="L540" s="31" t="n">
        <v>18470.1</v>
      </c>
      <c r="M540" s="30" t="inlineStr">
        <is>
          <t>AMR1</t>
        </is>
      </c>
      <c r="N540" s="30" t="inlineStr">
        <is>
          <t>AMR1</t>
        </is>
      </c>
      <c r="O540" s="32" t="n">
        <v>0</v>
      </c>
      <c r="P540" s="32" t="n">
        <v>0</v>
      </c>
      <c r="Q540" s="32" t="n">
        <v>15</v>
      </c>
      <c r="R540" s="31" t="n">
        <v>36.6</v>
      </c>
      <c r="S540" s="31" t="n">
        <v>36.6</v>
      </c>
      <c r="T540" s="30" t="inlineStr">
        <is>
          <t>AMR1</t>
        </is>
      </c>
      <c r="U540" s="31" t="n">
        <v>56.3</v>
      </c>
      <c r="V540" s="31" t="n">
        <v>56.3</v>
      </c>
      <c r="W540" s="30" t="inlineStr">
        <is>
          <t>AMR1</t>
        </is>
      </c>
      <c r="X540" s="32" t="n">
        <v>0</v>
      </c>
      <c r="Y540" s="32" t="n">
        <v>0</v>
      </c>
      <c r="Z540" s="31" t="n">
        <v>0</v>
      </c>
      <c r="AA540" s="32" t="n">
        <v>0</v>
      </c>
      <c r="AB540" s="32" t="n">
        <v>0</v>
      </c>
      <c r="AC540" s="32" t="n">
        <v>0</v>
      </c>
      <c r="AD540" s="32" t="n">
        <v>0</v>
      </c>
      <c r="AE540" s="31" t="n">
        <v>0</v>
      </c>
      <c r="AF540" s="32" t="n">
        <v>0</v>
      </c>
      <c r="AG540" s="31" t="n">
        <v>0</v>
      </c>
      <c r="AH540" s="32" t="n">
        <v>40</v>
      </c>
      <c r="AI540" s="31" t="n">
        <v>44.2</v>
      </c>
      <c r="AJ540" s="31" t="n">
        <v>47.6</v>
      </c>
      <c r="AK540" s="31" t="n">
        <v>0</v>
      </c>
      <c r="AL540" s="30" t="inlineStr">
        <is>
          <t>T-0689</t>
        </is>
      </c>
      <c r="AM540" s="30" t="inlineStr">
        <is>
          <t>H-06-01</t>
        </is>
      </c>
      <c r="AN540" s="30" t="inlineStr">
        <is>
          <t>T-0552</t>
        </is>
      </c>
      <c r="AO540" s="30" t="inlineStr">
        <is>
          <t>H-01-03</t>
        </is>
      </c>
    </row>
    <row r="541">
      <c r="A541" s="30" t="inlineStr">
        <is>
          <t>O0540</t>
        </is>
      </c>
      <c r="B541" s="30" t="inlineStr">
        <is>
          <t>C</t>
        </is>
      </c>
      <c r="C541" s="31" t="n">
        <v>7764.8</v>
      </c>
      <c r="D541" s="31" t="n">
        <v>26270.8</v>
      </c>
      <c r="E541" s="31" t="n">
        <v>26270.8</v>
      </c>
      <c r="F541" s="31" t="n">
        <v>26285.9</v>
      </c>
      <c r="G541" s="31" t="n">
        <v>26310.2</v>
      </c>
      <c r="H541" s="31" t="n">
        <v>26326.4</v>
      </c>
      <c r="I541" s="31" t="n">
        <v>26349.1</v>
      </c>
      <c r="J541" s="31" t="n">
        <v>26375.3</v>
      </c>
      <c r="K541" s="31" t="n">
        <v>18610.5</v>
      </c>
      <c r="L541" s="31" t="n">
        <v>18506</v>
      </c>
      <c r="M541" s="30" t="inlineStr">
        <is>
          <t>AMR2</t>
        </is>
      </c>
      <c r="N541" s="30" t="inlineStr">
        <is>
          <t>AMR2</t>
        </is>
      </c>
      <c r="O541" s="32" t="n">
        <v>0</v>
      </c>
      <c r="P541" s="32" t="n">
        <v>0</v>
      </c>
      <c r="Q541" s="32" t="n">
        <v>13</v>
      </c>
      <c r="R541" s="31" t="n">
        <v>38.5</v>
      </c>
      <c r="S541" s="31" t="n">
        <v>38.5</v>
      </c>
      <c r="T541" s="30" t="inlineStr">
        <is>
          <t>AMR2</t>
        </is>
      </c>
      <c r="U541" s="31" t="n">
        <v>49.1</v>
      </c>
      <c r="V541" s="31" t="n">
        <v>49.1</v>
      </c>
      <c r="W541" s="30" t="inlineStr">
        <is>
          <t>AMR2</t>
        </is>
      </c>
      <c r="X541" s="32" t="n">
        <v>0</v>
      </c>
      <c r="Y541" s="32" t="n">
        <v>0</v>
      </c>
      <c r="Z541" s="31" t="n">
        <v>0</v>
      </c>
      <c r="AA541" s="32" t="n">
        <v>0</v>
      </c>
      <c r="AB541" s="32" t="n">
        <v>0</v>
      </c>
      <c r="AC541" s="32" t="n">
        <v>0</v>
      </c>
      <c r="AD541" s="32" t="n">
        <v>0</v>
      </c>
      <c r="AE541" s="31" t="n">
        <v>0</v>
      </c>
      <c r="AF541" s="32" t="n">
        <v>0</v>
      </c>
      <c r="AG541" s="31" t="n">
        <v>0</v>
      </c>
      <c r="AH541" s="32" t="n">
        <v>39</v>
      </c>
      <c r="AI541" s="31" t="n">
        <v>42.9</v>
      </c>
      <c r="AJ541" s="31" t="n">
        <v>45.4</v>
      </c>
      <c r="AK541" s="31" t="n">
        <v>0</v>
      </c>
      <c r="AL541" s="30" t="inlineStr">
        <is>
          <t>T-0690</t>
        </is>
      </c>
      <c r="AM541" s="30" t="inlineStr">
        <is>
          <t>C-04-02</t>
        </is>
      </c>
      <c r="AN541" s="30" t="inlineStr">
        <is>
          <t>T-0531</t>
        </is>
      </c>
      <c r="AO541" s="30" t="inlineStr">
        <is>
          <t>C-02-01</t>
        </is>
      </c>
    </row>
    <row r="542">
      <c r="A542" s="30" t="inlineStr">
        <is>
          <t>O0541</t>
        </is>
      </c>
      <c r="B542" s="30" t="inlineStr">
        <is>
          <t>C</t>
        </is>
      </c>
      <c r="C542" s="31" t="n">
        <v>7786.2</v>
      </c>
      <c r="D542" s="31" t="n">
        <v>26287.9</v>
      </c>
      <c r="E542" s="31" t="n">
        <v>26287.9</v>
      </c>
      <c r="F542" s="31" t="n">
        <v>26300.6</v>
      </c>
      <c r="G542" s="31" t="n">
        <v>26328.3</v>
      </c>
      <c r="H542" s="31" t="n">
        <v>26341.1</v>
      </c>
      <c r="I542" s="31" t="n">
        <v>26367.5</v>
      </c>
      <c r="J542" s="31" t="n">
        <v>26392.9</v>
      </c>
      <c r="K542" s="31" t="n">
        <v>18606.7</v>
      </c>
      <c r="L542" s="31" t="n">
        <v>18501.7</v>
      </c>
      <c r="M542" s="30" t="inlineStr">
        <is>
          <t>AMR3</t>
        </is>
      </c>
      <c r="N542" s="30" t="inlineStr">
        <is>
          <t>AMR3</t>
        </is>
      </c>
      <c r="O542" s="32" t="n">
        <v>0</v>
      </c>
      <c r="P542" s="32" t="n">
        <v>0</v>
      </c>
      <c r="Q542" s="32" t="n">
        <v>13</v>
      </c>
      <c r="R542" s="31" t="n">
        <v>35.7</v>
      </c>
      <c r="S542" s="31" t="n">
        <v>35.7</v>
      </c>
      <c r="T542" s="30" t="inlineStr">
        <is>
          <t>AMR3</t>
        </is>
      </c>
      <c r="U542" s="31" t="n">
        <v>48.5</v>
      </c>
      <c r="V542" s="31" t="n">
        <v>48.5</v>
      </c>
      <c r="W542" s="30" t="inlineStr">
        <is>
          <t>AMR3</t>
        </is>
      </c>
      <c r="X542" s="32" t="n">
        <v>0</v>
      </c>
      <c r="Y542" s="32" t="n">
        <v>0</v>
      </c>
      <c r="Z542" s="31" t="n">
        <v>0</v>
      </c>
      <c r="AA542" s="32" t="n">
        <v>0</v>
      </c>
      <c r="AB542" s="32" t="n">
        <v>2</v>
      </c>
      <c r="AC542" s="32" t="n">
        <v>2</v>
      </c>
      <c r="AD542" s="32" t="n">
        <v>0</v>
      </c>
      <c r="AE542" s="31" t="n">
        <v>0</v>
      </c>
      <c r="AF542" s="32" t="n">
        <v>0</v>
      </c>
      <c r="AG542" s="31" t="n">
        <v>0</v>
      </c>
      <c r="AH542" s="32" t="n">
        <v>37</v>
      </c>
      <c r="AI542" s="31" t="n">
        <v>41.4</v>
      </c>
      <c r="AJ542" s="31" t="n">
        <v>42</v>
      </c>
      <c r="AK542" s="31" t="n">
        <v>8.800000000000001</v>
      </c>
      <c r="AL542" s="30" t="inlineStr">
        <is>
          <t>T-0691</t>
        </is>
      </c>
      <c r="AM542" s="30" t="inlineStr">
        <is>
          <t>C-05-03</t>
        </is>
      </c>
      <c r="AN542" s="30" t="inlineStr">
        <is>
          <t>T-0537</t>
        </is>
      </c>
      <c r="AO542" s="30" t="inlineStr">
        <is>
          <t>C-06-02</t>
        </is>
      </c>
    </row>
    <row r="543">
      <c r="A543" s="30" t="inlineStr">
        <is>
          <t>O0542</t>
        </is>
      </c>
      <c r="B543" s="30" t="inlineStr">
        <is>
          <t>A</t>
        </is>
      </c>
      <c r="C543" s="31" t="n">
        <v>7805.5</v>
      </c>
      <c r="D543" s="31" t="n">
        <v>26351.1</v>
      </c>
      <c r="E543" s="31" t="n">
        <v>26351.1</v>
      </c>
      <c r="F543" s="31" t="n">
        <v>26367.2</v>
      </c>
      <c r="G543" s="31" t="n">
        <v>26396.8</v>
      </c>
      <c r="H543" s="31" t="n">
        <v>26399</v>
      </c>
      <c r="I543" s="31" t="n">
        <v>26428.4</v>
      </c>
      <c r="J543" s="31" t="n">
        <v>26467</v>
      </c>
      <c r="K543" s="31" t="n">
        <v>18661.5</v>
      </c>
      <c r="L543" s="31" t="n">
        <v>18545.6</v>
      </c>
      <c r="M543" s="30" t="inlineStr">
        <is>
          <t>AMR1</t>
        </is>
      </c>
      <c r="N543" s="30" t="inlineStr">
        <is>
          <t>AMR2</t>
        </is>
      </c>
      <c r="O543" s="32" t="n">
        <v>0</v>
      </c>
      <c r="P543" s="32" t="n">
        <v>0</v>
      </c>
      <c r="Q543" s="32" t="n">
        <v>21</v>
      </c>
      <c r="R543" s="31" t="n">
        <v>44.8</v>
      </c>
      <c r="S543" s="31" t="n">
        <v>44.8</v>
      </c>
      <c r="T543" s="30" t="inlineStr">
        <is>
          <t>AMR1</t>
        </is>
      </c>
      <c r="U543" s="31" t="n">
        <v>68.7</v>
      </c>
      <c r="V543" s="31" t="n">
        <v>68.7</v>
      </c>
      <c r="W543" s="30" t="inlineStr">
        <is>
          <t>AMR2</t>
        </is>
      </c>
      <c r="X543" s="32" t="n">
        <v>0</v>
      </c>
      <c r="Y543" s="32" t="n">
        <v>0</v>
      </c>
      <c r="Z543" s="31" t="n">
        <v>0</v>
      </c>
      <c r="AA543" s="32" t="n">
        <v>0</v>
      </c>
      <c r="AB543" s="32" t="n">
        <v>0</v>
      </c>
      <c r="AC543" s="32" t="n">
        <v>0</v>
      </c>
      <c r="AD543" s="32" t="n">
        <v>0</v>
      </c>
      <c r="AE543" s="31" t="n">
        <v>0</v>
      </c>
      <c r="AF543" s="32" t="n">
        <v>0</v>
      </c>
      <c r="AG543" s="31" t="n">
        <v>0</v>
      </c>
      <c r="AH543" s="32" t="n">
        <v>63</v>
      </c>
      <c r="AI543" s="31" t="n">
        <v>62.3</v>
      </c>
      <c r="AJ543" s="31" t="n">
        <v>51.4</v>
      </c>
      <c r="AK543" s="31" t="n">
        <v>0</v>
      </c>
      <c r="AL543" s="30" t="inlineStr">
        <is>
          <t>T-0692</t>
        </is>
      </c>
      <c r="AM543" s="30" t="inlineStr">
        <is>
          <t>A-04-01</t>
        </is>
      </c>
      <c r="AN543" s="30" t="inlineStr">
        <is>
          <t>T-0503</t>
        </is>
      </c>
      <c r="AO543" s="30" t="inlineStr">
        <is>
          <t>A-05-02</t>
        </is>
      </c>
    </row>
    <row r="544">
      <c r="A544" s="30" t="inlineStr">
        <is>
          <t>O0543</t>
        </is>
      </c>
      <c r="B544" s="30" t="inlineStr">
        <is>
          <t>E</t>
        </is>
      </c>
      <c r="C544" s="31" t="n">
        <v>7825.7</v>
      </c>
      <c r="D544" s="31" t="n">
        <v>26416.6</v>
      </c>
      <c r="E544" s="31" t="n">
        <v>26416.6</v>
      </c>
      <c r="F544" s="31" t="n">
        <v>26432.9</v>
      </c>
      <c r="G544" s="31" t="n">
        <v>26462.4</v>
      </c>
      <c r="H544" s="31" t="n">
        <v>26487.6</v>
      </c>
      <c r="I544" s="31" t="n">
        <v>26520</v>
      </c>
      <c r="J544" s="31" t="n">
        <v>26569.9</v>
      </c>
      <c r="K544" s="31" t="n">
        <v>18744.2</v>
      </c>
      <c r="L544" s="31" t="n">
        <v>18590.9</v>
      </c>
      <c r="M544" s="30" t="inlineStr">
        <is>
          <t>AMR3</t>
        </is>
      </c>
      <c r="N544" s="30" t="inlineStr">
        <is>
          <t>AMR1</t>
        </is>
      </c>
      <c r="O544" s="32" t="n">
        <v>0</v>
      </c>
      <c r="P544" s="32" t="n">
        <v>0</v>
      </c>
      <c r="Q544" s="32" t="n">
        <v>19</v>
      </c>
      <c r="R544" s="31" t="n">
        <v>44.9</v>
      </c>
      <c r="S544" s="31" t="n">
        <v>44.9</v>
      </c>
      <c r="T544" s="30" t="inlineStr">
        <is>
          <t>AMR3</t>
        </is>
      </c>
      <c r="U544" s="31" t="n">
        <v>59.6</v>
      </c>
      <c r="V544" s="31" t="n">
        <v>59.6</v>
      </c>
      <c r="W544" s="30" t="inlineStr">
        <is>
          <t>AMR1</t>
        </is>
      </c>
      <c r="X544" s="32" t="n">
        <v>0</v>
      </c>
      <c r="Y544" s="32" t="n">
        <v>0</v>
      </c>
      <c r="Z544" s="31" t="n">
        <v>0</v>
      </c>
      <c r="AA544" s="32" t="n">
        <v>0</v>
      </c>
      <c r="AB544" s="32" t="n">
        <v>0</v>
      </c>
      <c r="AC544" s="32" t="n">
        <v>1</v>
      </c>
      <c r="AD544" s="32" t="n">
        <v>1</v>
      </c>
      <c r="AE544" s="31" t="n">
        <v>12.3</v>
      </c>
      <c r="AF544" s="32" t="n">
        <v>2</v>
      </c>
      <c r="AG544" s="31" t="n">
        <v>7.9</v>
      </c>
      <c r="AH544" s="32" t="n">
        <v>63</v>
      </c>
      <c r="AI544" s="31" t="n">
        <v>63.2</v>
      </c>
      <c r="AJ544" s="31" t="n">
        <v>47</v>
      </c>
      <c r="AK544" s="31" t="n">
        <v>17.9</v>
      </c>
      <c r="AL544" s="30" t="inlineStr">
        <is>
          <t>T-0693</t>
        </is>
      </c>
      <c r="AM544" s="30" t="inlineStr">
        <is>
          <t>E-01-03</t>
        </is>
      </c>
      <c r="AN544" s="30" t="inlineStr">
        <is>
          <t>T-0521</t>
        </is>
      </c>
      <c r="AO544" s="30" t="inlineStr">
        <is>
          <t>E-06-02</t>
        </is>
      </c>
    </row>
    <row r="545">
      <c r="A545" s="30" t="inlineStr">
        <is>
          <t>O0544</t>
        </is>
      </c>
      <c r="B545" s="30" t="inlineStr">
        <is>
          <t>D</t>
        </is>
      </c>
      <c r="C545" s="31" t="n">
        <v>7842.3</v>
      </c>
      <c r="D545" s="31" t="n">
        <v>26433</v>
      </c>
      <c r="E545" s="31" t="n">
        <v>26433</v>
      </c>
      <c r="F545" s="31" t="n">
        <v>26448.9</v>
      </c>
      <c r="G545" s="31" t="n">
        <v>26473.5</v>
      </c>
      <c r="H545" s="31" t="n">
        <v>26494.9</v>
      </c>
      <c r="I545" s="31" t="n">
        <v>26521.2</v>
      </c>
      <c r="J545" s="31" t="n">
        <v>26554.6</v>
      </c>
      <c r="K545" s="31" t="n">
        <v>18712.3</v>
      </c>
      <c r="L545" s="31" t="n">
        <v>18590.7</v>
      </c>
      <c r="M545" s="30" t="inlineStr">
        <is>
          <t>AMR1</t>
        </is>
      </c>
      <c r="N545" s="30" t="inlineStr">
        <is>
          <t>AMR3</t>
        </is>
      </c>
      <c r="O545" s="32" t="n">
        <v>0</v>
      </c>
      <c r="P545" s="32" t="n">
        <v>0</v>
      </c>
      <c r="Q545" s="32" t="n">
        <v>13</v>
      </c>
      <c r="R545" s="31" t="n">
        <v>38.8</v>
      </c>
      <c r="S545" s="31" t="n">
        <v>38.8</v>
      </c>
      <c r="T545" s="30" t="inlineStr">
        <is>
          <t>AMR1</t>
        </is>
      </c>
      <c r="U545" s="31" t="n">
        <v>53.5</v>
      </c>
      <c r="V545" s="31" t="n">
        <v>53.5</v>
      </c>
      <c r="W545" s="30" t="inlineStr">
        <is>
          <t>AMR3</t>
        </is>
      </c>
      <c r="X545" s="32" t="n">
        <v>0</v>
      </c>
      <c r="Y545" s="32" t="n">
        <v>0</v>
      </c>
      <c r="Z545" s="31" t="n">
        <v>0</v>
      </c>
      <c r="AA545" s="32" t="n">
        <v>0</v>
      </c>
      <c r="AB545" s="32" t="n">
        <v>0</v>
      </c>
      <c r="AC545" s="32" t="n">
        <v>0</v>
      </c>
      <c r="AD545" s="32" t="n">
        <v>1</v>
      </c>
      <c r="AE545" s="31" t="n">
        <v>1.3</v>
      </c>
      <c r="AF545" s="32" t="n">
        <v>0</v>
      </c>
      <c r="AG545" s="31" t="n">
        <v>0</v>
      </c>
      <c r="AH545" s="32" t="n">
        <v>44</v>
      </c>
      <c r="AI545" s="31" t="n">
        <v>47.7</v>
      </c>
      <c r="AJ545" s="31" t="n">
        <v>49.6</v>
      </c>
      <c r="AK545" s="31" t="n">
        <v>2.9</v>
      </c>
      <c r="AL545" s="30" t="inlineStr">
        <is>
          <t>T-0694</t>
        </is>
      </c>
      <c r="AM545" s="30" t="inlineStr">
        <is>
          <t>D-03-02</t>
        </is>
      </c>
      <c r="AN545" s="30" t="inlineStr">
        <is>
          <t>T-0482</t>
        </is>
      </c>
      <c r="AO545" s="30" t="inlineStr">
        <is>
          <t>D-05-02</t>
        </is>
      </c>
    </row>
    <row r="546">
      <c r="A546" s="30" t="inlineStr">
        <is>
          <t>O0545</t>
        </is>
      </c>
      <c r="B546" s="30" t="inlineStr">
        <is>
          <t>I</t>
        </is>
      </c>
      <c r="C546" s="31" t="n">
        <v>7866.8</v>
      </c>
      <c r="D546" s="31" t="n">
        <v>26501.9</v>
      </c>
      <c r="E546" s="31" t="n">
        <v>26501.9</v>
      </c>
      <c r="F546" s="31" t="n">
        <v>26513.3</v>
      </c>
      <c r="G546" s="31" t="n">
        <v>26540.6</v>
      </c>
      <c r="H546" s="31" t="n">
        <v>26557.4</v>
      </c>
      <c r="I546" s="31" t="n">
        <v>26589.6</v>
      </c>
      <c r="J546" s="31" t="n">
        <v>26618.9</v>
      </c>
      <c r="K546" s="31" t="n">
        <v>18752.1</v>
      </c>
      <c r="L546" s="31" t="n">
        <v>18635.1</v>
      </c>
      <c r="M546" s="30" t="inlineStr">
        <is>
          <t>AMR2</t>
        </is>
      </c>
      <c r="N546" s="30" t="inlineStr">
        <is>
          <t>AMR2</t>
        </is>
      </c>
      <c r="O546" s="32" t="n">
        <v>0</v>
      </c>
      <c r="P546" s="32" t="n">
        <v>0</v>
      </c>
      <c r="Q546" s="32" t="n">
        <v>15</v>
      </c>
      <c r="R546" s="31" t="n">
        <v>36.2</v>
      </c>
      <c r="S546" s="31" t="n">
        <v>36.2</v>
      </c>
      <c r="T546" s="30" t="inlineStr">
        <is>
          <t>AMR2</t>
        </is>
      </c>
      <c r="U546" s="31" t="n">
        <v>51.7</v>
      </c>
      <c r="V546" s="31" t="n">
        <v>51.7</v>
      </c>
      <c r="W546" s="30" t="inlineStr">
        <is>
          <t>AMR2</t>
        </is>
      </c>
      <c r="X546" s="32" t="n">
        <v>0</v>
      </c>
      <c r="Y546" s="32" t="n">
        <v>0</v>
      </c>
      <c r="Z546" s="31" t="n">
        <v>0</v>
      </c>
      <c r="AA546" s="32" t="n">
        <v>0</v>
      </c>
      <c r="AB546" s="32" t="n">
        <v>1</v>
      </c>
      <c r="AC546" s="32" t="n">
        <v>1</v>
      </c>
      <c r="AD546" s="32" t="n">
        <v>0</v>
      </c>
      <c r="AE546" s="31" t="n">
        <v>0</v>
      </c>
      <c r="AF546" s="32" t="n">
        <v>0</v>
      </c>
      <c r="AG546" s="31" t="n">
        <v>0</v>
      </c>
      <c r="AH546" s="32" t="n">
        <v>49</v>
      </c>
      <c r="AI546" s="31" t="n">
        <v>53.1</v>
      </c>
      <c r="AJ546" s="31" t="n">
        <v>42.1</v>
      </c>
      <c r="AK546" s="31" t="n">
        <v>5</v>
      </c>
      <c r="AL546" s="30" t="inlineStr">
        <is>
          <t>T-0695</t>
        </is>
      </c>
      <c r="AM546" s="30" t="inlineStr">
        <is>
          <t>I-05-02</t>
        </is>
      </c>
      <c r="AN546" s="30" t="inlineStr">
        <is>
          <t>T-0542</t>
        </is>
      </c>
      <c r="AO546" s="30" t="inlineStr">
        <is>
          <t>I-06-02</t>
        </is>
      </c>
    </row>
    <row r="547">
      <c r="A547" s="30" t="inlineStr">
        <is>
          <t>O0546</t>
        </is>
      </c>
      <c r="B547" s="30" t="inlineStr">
        <is>
          <t>E</t>
        </is>
      </c>
      <c r="C547" s="31" t="n">
        <v>7890.3</v>
      </c>
      <c r="D547" s="31" t="n">
        <v>26582.7</v>
      </c>
      <c r="E547" s="31" t="n">
        <v>26582.7</v>
      </c>
      <c r="F547" s="31" t="n">
        <v>26593.5</v>
      </c>
      <c r="G547" s="31" t="n">
        <v>26622.3</v>
      </c>
      <c r="H547" s="31" t="n">
        <v>26643.2</v>
      </c>
      <c r="I547" s="31" t="n">
        <v>26675.9</v>
      </c>
      <c r="J547" s="31" t="n">
        <v>26709.2</v>
      </c>
      <c r="K547" s="31" t="n">
        <v>18818.9</v>
      </c>
      <c r="L547" s="31" t="n">
        <v>18692.4</v>
      </c>
      <c r="M547" s="30" t="inlineStr">
        <is>
          <t>AMR3</t>
        </is>
      </c>
      <c r="N547" s="30" t="inlineStr">
        <is>
          <t>AMR3</t>
        </is>
      </c>
      <c r="O547" s="32" t="n">
        <v>0</v>
      </c>
      <c r="P547" s="32" t="n">
        <v>0</v>
      </c>
      <c r="Q547" s="32" t="n">
        <v>19</v>
      </c>
      <c r="R547" s="31" t="n">
        <v>36.3</v>
      </c>
      <c r="S547" s="31" t="n">
        <v>36.3</v>
      </c>
      <c r="T547" s="30" t="inlineStr">
        <is>
          <t>AMR3</t>
        </is>
      </c>
      <c r="U547" s="31" t="n">
        <v>60</v>
      </c>
      <c r="V547" s="31" t="n">
        <v>60</v>
      </c>
      <c r="W547" s="30" t="inlineStr">
        <is>
          <t>AMR3</t>
        </is>
      </c>
      <c r="X547" s="32" t="n">
        <v>0</v>
      </c>
      <c r="Y547" s="32" t="n">
        <v>0</v>
      </c>
      <c r="Z547" s="31" t="n">
        <v>0</v>
      </c>
      <c r="AA547" s="32" t="n">
        <v>0</v>
      </c>
      <c r="AB547" s="32" t="n">
        <v>2</v>
      </c>
      <c r="AC547" s="32" t="n">
        <v>1</v>
      </c>
      <c r="AD547" s="32" t="n">
        <v>0</v>
      </c>
      <c r="AE547" s="31" t="n">
        <v>0</v>
      </c>
      <c r="AF547" s="32" t="n">
        <v>0</v>
      </c>
      <c r="AG547" s="31" t="n">
        <v>0</v>
      </c>
      <c r="AH547" s="32" t="n">
        <v>60</v>
      </c>
      <c r="AI547" s="31" t="n">
        <v>63.8</v>
      </c>
      <c r="AJ547" s="31" t="n">
        <v>38.8</v>
      </c>
      <c r="AK547" s="31" t="n">
        <v>3</v>
      </c>
      <c r="AL547" s="30" t="inlineStr">
        <is>
          <t>T-0696</t>
        </is>
      </c>
      <c r="AM547" s="30" t="inlineStr">
        <is>
          <t>E-06-02</t>
        </is>
      </c>
      <c r="AN547" s="30" t="inlineStr">
        <is>
          <t>T-0525</t>
        </is>
      </c>
      <c r="AO547" s="30" t="inlineStr">
        <is>
          <t>E-02-03</t>
        </is>
      </c>
    </row>
    <row r="548">
      <c r="A548" s="30" t="inlineStr">
        <is>
          <t>O0547</t>
        </is>
      </c>
      <c r="B548" s="30" t="inlineStr">
        <is>
          <t>I</t>
        </is>
      </c>
      <c r="C548" s="31" t="n">
        <v>7911.6</v>
      </c>
      <c r="D548" s="31" t="n">
        <v>26593.6</v>
      </c>
      <c r="E548" s="31" t="n">
        <v>26593.6</v>
      </c>
      <c r="F548" s="31" t="n">
        <v>26609</v>
      </c>
      <c r="G548" s="31" t="n">
        <v>26635.4</v>
      </c>
      <c r="H548" s="31" t="n">
        <v>26652.1</v>
      </c>
      <c r="I548" s="31" t="n">
        <v>26685.8</v>
      </c>
      <c r="J548" s="31" t="n">
        <v>26725.9</v>
      </c>
      <c r="K548" s="31" t="n">
        <v>18814.3</v>
      </c>
      <c r="L548" s="31" t="n">
        <v>18682</v>
      </c>
      <c r="M548" s="30" t="inlineStr">
        <is>
          <t>AMR1</t>
        </is>
      </c>
      <c r="N548" s="30" t="inlineStr">
        <is>
          <t>AMR2</t>
        </is>
      </c>
      <c r="O548" s="32" t="n">
        <v>0</v>
      </c>
      <c r="P548" s="32" t="n">
        <v>0</v>
      </c>
      <c r="Q548" s="32" t="n">
        <v>15</v>
      </c>
      <c r="R548" s="31" t="n">
        <v>38.5</v>
      </c>
      <c r="S548" s="31" t="n">
        <v>38.5</v>
      </c>
      <c r="T548" s="30" t="inlineStr">
        <is>
          <t>AMR1</t>
        </is>
      </c>
      <c r="U548" s="31" t="n">
        <v>57.3</v>
      </c>
      <c r="V548" s="31" t="n">
        <v>57.3</v>
      </c>
      <c r="W548" s="30" t="inlineStr">
        <is>
          <t>AMR2</t>
        </is>
      </c>
      <c r="X548" s="32" t="n">
        <v>0</v>
      </c>
      <c r="Y548" s="32" t="n">
        <v>0</v>
      </c>
      <c r="Z548" s="31" t="n">
        <v>0</v>
      </c>
      <c r="AA548" s="32" t="n">
        <v>0</v>
      </c>
      <c r="AB548" s="32" t="n">
        <v>2</v>
      </c>
      <c r="AC548" s="32" t="n">
        <v>1</v>
      </c>
      <c r="AD548" s="32" t="n">
        <v>1</v>
      </c>
      <c r="AE548" s="31" t="n">
        <v>9.9</v>
      </c>
      <c r="AF548" s="32" t="n">
        <v>1</v>
      </c>
      <c r="AG548" s="31" t="n">
        <v>4.9</v>
      </c>
      <c r="AH548" s="32" t="n">
        <v>44</v>
      </c>
      <c r="AI548" s="31" t="n">
        <v>48.9</v>
      </c>
      <c r="AJ548" s="31" t="n">
        <v>50</v>
      </c>
      <c r="AK548" s="31" t="n">
        <v>16.7</v>
      </c>
      <c r="AL548" s="30" t="inlineStr">
        <is>
          <t>T-0697</t>
        </is>
      </c>
      <c r="AM548" s="30" t="inlineStr">
        <is>
          <t>I-06-02</t>
        </is>
      </c>
      <c r="AN548" s="30" t="inlineStr">
        <is>
          <t>T-0546</t>
        </is>
      </c>
      <c r="AO548" s="30" t="inlineStr">
        <is>
          <t>I-01-03</t>
        </is>
      </c>
    </row>
    <row r="549">
      <c r="A549" s="30" t="inlineStr">
        <is>
          <t>O0548</t>
        </is>
      </c>
      <c r="B549" s="30" t="inlineStr">
        <is>
          <t>E</t>
        </is>
      </c>
      <c r="C549" s="31" t="n">
        <v>7927.9</v>
      </c>
      <c r="D549" s="31" t="n">
        <v>26661.9</v>
      </c>
      <c r="E549" s="31" t="n">
        <v>26661.9</v>
      </c>
      <c r="F549" s="31" t="n">
        <v>26674.5</v>
      </c>
      <c r="G549" s="31" t="n">
        <v>26701.1</v>
      </c>
      <c r="H549" s="31" t="n">
        <v>26721.3</v>
      </c>
      <c r="I549" s="31" t="n">
        <v>26748.6</v>
      </c>
      <c r="J549" s="31" t="n">
        <v>26785.1</v>
      </c>
      <c r="K549" s="31" t="n">
        <v>18857.2</v>
      </c>
      <c r="L549" s="31" t="n">
        <v>18734</v>
      </c>
      <c r="M549" s="30" t="inlineStr">
        <is>
          <t>AMR1</t>
        </is>
      </c>
      <c r="N549" s="30" t="inlineStr">
        <is>
          <t>AMR1</t>
        </is>
      </c>
      <c r="O549" s="32" t="n">
        <v>0</v>
      </c>
      <c r="P549" s="32" t="n">
        <v>0</v>
      </c>
      <c r="Q549" s="32" t="n">
        <v>19</v>
      </c>
      <c r="R549" s="31" t="n">
        <v>36.7</v>
      </c>
      <c r="S549" s="31" t="n">
        <v>36.7</v>
      </c>
      <c r="T549" s="30" t="inlineStr">
        <is>
          <t>AMR1</t>
        </is>
      </c>
      <c r="U549" s="31" t="n">
        <v>62.9</v>
      </c>
      <c r="V549" s="31" t="n">
        <v>62.9</v>
      </c>
      <c r="W549" s="30" t="inlineStr">
        <is>
          <t>AMR1</t>
        </is>
      </c>
      <c r="X549" s="32" t="n">
        <v>0</v>
      </c>
      <c r="Y549" s="32" t="n">
        <v>0</v>
      </c>
      <c r="Z549" s="31" t="n">
        <v>0</v>
      </c>
      <c r="AA549" s="32" t="n">
        <v>0</v>
      </c>
      <c r="AB549" s="32" t="n">
        <v>0</v>
      </c>
      <c r="AC549" s="32" t="n">
        <v>0</v>
      </c>
      <c r="AD549" s="32" t="n">
        <v>1</v>
      </c>
      <c r="AE549" s="31" t="n">
        <v>1.1</v>
      </c>
      <c r="AF549" s="32" t="n">
        <v>0</v>
      </c>
      <c r="AG549" s="31" t="n">
        <v>0</v>
      </c>
      <c r="AH549" s="32" t="n">
        <v>59</v>
      </c>
      <c r="AI549" s="31" t="n">
        <v>59.8</v>
      </c>
      <c r="AJ549" s="31" t="n">
        <v>42.1</v>
      </c>
      <c r="AK549" s="31" t="n">
        <v>1.1</v>
      </c>
      <c r="AL549" s="30" t="inlineStr">
        <is>
          <t>T-0698</t>
        </is>
      </c>
      <c r="AM549" s="30" t="inlineStr">
        <is>
          <t>E-05-03</t>
        </is>
      </c>
      <c r="AN549" s="30" t="inlineStr">
        <is>
          <t>T-0558</t>
        </is>
      </c>
      <c r="AO549" s="30" t="inlineStr">
        <is>
          <t>E-02-01</t>
        </is>
      </c>
    </row>
    <row r="550">
      <c r="A550" s="30" t="inlineStr">
        <is>
          <t>O0549</t>
        </is>
      </c>
      <c r="B550" s="30" t="inlineStr">
        <is>
          <t>I</t>
        </is>
      </c>
      <c r="C550" s="31" t="n">
        <v>7948.2</v>
      </c>
      <c r="D550" s="31" t="n">
        <v>26732.9</v>
      </c>
      <c r="E550" s="31" t="n">
        <v>26732.9</v>
      </c>
      <c r="F550" s="31" t="n">
        <v>26744.1</v>
      </c>
      <c r="G550" s="31" t="n">
        <v>26768</v>
      </c>
      <c r="H550" s="31" t="n">
        <v>26782.8</v>
      </c>
      <c r="I550" s="31" t="n">
        <v>26810</v>
      </c>
      <c r="J550" s="31" t="n">
        <v>26838.1</v>
      </c>
      <c r="K550" s="31" t="n">
        <v>18889.9</v>
      </c>
      <c r="L550" s="31" t="n">
        <v>18784.7</v>
      </c>
      <c r="M550" s="30" t="inlineStr">
        <is>
          <t>AMR3</t>
        </is>
      </c>
      <c r="N550" s="30" t="inlineStr">
        <is>
          <t>AMR3</t>
        </is>
      </c>
      <c r="O550" s="32" t="n">
        <v>0</v>
      </c>
      <c r="P550" s="32" t="n">
        <v>0</v>
      </c>
      <c r="Q550" s="32" t="n">
        <v>15</v>
      </c>
      <c r="R550" s="31" t="n">
        <v>34.2</v>
      </c>
      <c r="S550" s="31" t="n">
        <v>34.2</v>
      </c>
      <c r="T550" s="30" t="inlineStr">
        <is>
          <t>AMR3</t>
        </is>
      </c>
      <c r="U550" s="31" t="n">
        <v>55.5</v>
      </c>
      <c r="V550" s="31" t="n">
        <v>55.5</v>
      </c>
      <c r="W550" s="30" t="inlineStr">
        <is>
          <t>AMR3</t>
        </is>
      </c>
      <c r="X550" s="32" t="n">
        <v>0</v>
      </c>
      <c r="Y550" s="32" t="n">
        <v>0</v>
      </c>
      <c r="Z550" s="31" t="n">
        <v>0</v>
      </c>
      <c r="AA550" s="32" t="n">
        <v>0</v>
      </c>
      <c r="AB550" s="32" t="n">
        <v>1</v>
      </c>
      <c r="AC550" s="32" t="n">
        <v>0</v>
      </c>
      <c r="AD550" s="32" t="n">
        <v>0</v>
      </c>
      <c r="AE550" s="31" t="n">
        <v>0</v>
      </c>
      <c r="AF550" s="32" t="n">
        <v>0</v>
      </c>
      <c r="AG550" s="31" t="n">
        <v>0</v>
      </c>
      <c r="AH550" s="32" t="n">
        <v>41</v>
      </c>
      <c r="AI550" s="31" t="n">
        <v>46.5</v>
      </c>
      <c r="AJ550" s="31" t="n">
        <v>43.9</v>
      </c>
      <c r="AK550" s="31" t="n">
        <v>0</v>
      </c>
      <c r="AL550" s="30" t="inlineStr">
        <is>
          <t>T-0699</t>
        </is>
      </c>
      <c r="AM550" s="30" t="inlineStr">
        <is>
          <t>I-01-03</t>
        </is>
      </c>
      <c r="AN550" s="30" t="inlineStr">
        <is>
          <t>T-0559</t>
        </is>
      </c>
      <c r="AO550" s="30" t="inlineStr">
        <is>
          <t>I-02-03</t>
        </is>
      </c>
    </row>
    <row r="551">
      <c r="A551" s="30" t="inlineStr">
        <is>
          <t>O0550</t>
        </is>
      </c>
      <c r="B551" s="30" t="inlineStr">
        <is>
          <t>J</t>
        </is>
      </c>
      <c r="C551" s="31" t="n">
        <v>7964.9</v>
      </c>
      <c r="D551" s="31" t="n">
        <v>26749.6</v>
      </c>
      <c r="E551" s="31" t="n">
        <v>26749.6</v>
      </c>
      <c r="F551" s="31" t="n">
        <v>26762.3</v>
      </c>
      <c r="G551" s="31" t="n">
        <v>26792.9</v>
      </c>
      <c r="H551" s="31" t="n">
        <v>26812.3</v>
      </c>
      <c r="I551" s="31" t="n">
        <v>26847.4</v>
      </c>
      <c r="J551" s="31" t="n">
        <v>26888.2</v>
      </c>
      <c r="K551" s="31" t="n">
        <v>18923.3</v>
      </c>
      <c r="L551" s="31" t="n">
        <v>18784.7</v>
      </c>
      <c r="M551" s="30" t="inlineStr">
        <is>
          <t>AMR2</t>
        </is>
      </c>
      <c r="N551" s="30" t="inlineStr">
        <is>
          <t>AMR1</t>
        </is>
      </c>
      <c r="O551" s="32" t="n">
        <v>0</v>
      </c>
      <c r="P551" s="32" t="n">
        <v>0</v>
      </c>
      <c r="Q551" s="32" t="n">
        <v>21</v>
      </c>
      <c r="R551" s="31" t="n">
        <v>42.4</v>
      </c>
      <c r="S551" s="31" t="n">
        <v>42.4</v>
      </c>
      <c r="T551" s="30" t="inlineStr">
        <is>
          <t>AMR2</t>
        </is>
      </c>
      <c r="U551" s="31" t="n">
        <v>65.2</v>
      </c>
      <c r="V551" s="31" t="n">
        <v>65.2</v>
      </c>
      <c r="W551" s="30" t="inlineStr">
        <is>
          <t>AMR1</t>
        </is>
      </c>
      <c r="X551" s="32" t="n">
        <v>0</v>
      </c>
      <c r="Y551" s="32" t="n">
        <v>0</v>
      </c>
      <c r="Z551" s="31" t="n">
        <v>0</v>
      </c>
      <c r="AA551" s="32" t="n">
        <v>0</v>
      </c>
      <c r="AB551" s="32" t="n">
        <v>2</v>
      </c>
      <c r="AC551" s="32" t="n">
        <v>1</v>
      </c>
      <c r="AD551" s="32" t="n">
        <v>0</v>
      </c>
      <c r="AE551" s="31" t="n">
        <v>0</v>
      </c>
      <c r="AF551" s="32" t="n">
        <v>0</v>
      </c>
      <c r="AG551" s="31" t="n">
        <v>0</v>
      </c>
      <c r="AH551" s="32" t="n">
        <v>67</v>
      </c>
      <c r="AI551" s="31" t="n">
        <v>69.2</v>
      </c>
      <c r="AJ551" s="31" t="n">
        <v>47</v>
      </c>
      <c r="AK551" s="31" t="n">
        <v>3</v>
      </c>
      <c r="AL551" s="30" t="inlineStr">
        <is>
          <t>T-0700</t>
        </is>
      </c>
      <c r="AM551" s="30" t="inlineStr">
        <is>
          <t>J-01-01</t>
        </is>
      </c>
      <c r="AN551" s="30" t="inlineStr">
        <is>
          <t>T-0566</t>
        </is>
      </c>
      <c r="AO551" s="30" t="inlineStr">
        <is>
          <t>J-06-02</t>
        </is>
      </c>
    </row>
    <row r="552">
      <c r="A552" s="30" t="inlineStr">
        <is>
          <t>O0551</t>
        </is>
      </c>
      <c r="B552" s="30" t="inlineStr">
        <is>
          <t>J</t>
        </is>
      </c>
      <c r="C552" s="31" t="n">
        <v>7981.6</v>
      </c>
      <c r="D552" s="31" t="n">
        <v>26819.5</v>
      </c>
      <c r="E552" s="31" t="n">
        <v>26819.5</v>
      </c>
      <c r="F552" s="31" t="n">
        <v>26834.2</v>
      </c>
      <c r="G552" s="31" t="n">
        <v>26869</v>
      </c>
      <c r="H552" s="31" t="n">
        <v>26891.2</v>
      </c>
      <c r="I552" s="31" t="n">
        <v>26922.7</v>
      </c>
      <c r="J552" s="31" t="n">
        <v>26955</v>
      </c>
      <c r="K552" s="31" t="n">
        <v>18973.4</v>
      </c>
      <c r="L552" s="31" t="n">
        <v>18837.9</v>
      </c>
      <c r="M552" s="30" t="inlineStr">
        <is>
          <t>AMR2</t>
        </is>
      </c>
      <c r="N552" s="30" t="inlineStr">
        <is>
          <t>AMR2</t>
        </is>
      </c>
      <c r="O552" s="32" t="n">
        <v>0</v>
      </c>
      <c r="P552" s="32" t="n">
        <v>0</v>
      </c>
      <c r="Q552" s="32" t="n">
        <v>21</v>
      </c>
      <c r="R552" s="31" t="n">
        <v>41.8</v>
      </c>
      <c r="S552" s="31" t="n">
        <v>41.8</v>
      </c>
      <c r="T552" s="30" t="inlineStr">
        <is>
          <t>AMR2</t>
        </is>
      </c>
      <c r="U552" s="31" t="n">
        <v>64</v>
      </c>
      <c r="V552" s="31" t="n">
        <v>64</v>
      </c>
      <c r="W552" s="30" t="inlineStr">
        <is>
          <t>AMR2</t>
        </is>
      </c>
      <c r="X552" s="32" t="n">
        <v>0</v>
      </c>
      <c r="Y552" s="32" t="n">
        <v>0</v>
      </c>
      <c r="Z552" s="31" t="n">
        <v>0</v>
      </c>
      <c r="AA552" s="32" t="n">
        <v>0</v>
      </c>
      <c r="AB552" s="32" t="n">
        <v>1</v>
      </c>
      <c r="AC552" s="32" t="n">
        <v>1</v>
      </c>
      <c r="AD552" s="32" t="n">
        <v>0</v>
      </c>
      <c r="AE552" s="31" t="n">
        <v>0</v>
      </c>
      <c r="AF552" s="32" t="n">
        <v>1</v>
      </c>
      <c r="AG552" s="31" t="n">
        <v>0.2</v>
      </c>
      <c r="AH552" s="32" t="n">
        <v>61</v>
      </c>
      <c r="AI552" s="31" t="n">
        <v>62.9</v>
      </c>
      <c r="AJ552" s="31" t="n">
        <v>45.2</v>
      </c>
      <c r="AK552" s="31" t="n">
        <v>5.2</v>
      </c>
      <c r="AL552" s="30" t="inlineStr">
        <is>
          <t>T-0701</t>
        </is>
      </c>
      <c r="AM552" s="30" t="inlineStr">
        <is>
          <t>J-05-03</t>
        </is>
      </c>
      <c r="AN552" s="30" t="inlineStr">
        <is>
          <t>T-0571</t>
        </is>
      </c>
      <c r="AO552" s="30" t="inlineStr">
        <is>
          <t>J-02-01</t>
        </is>
      </c>
    </row>
    <row r="553">
      <c r="A553" s="30" t="inlineStr">
        <is>
          <t>O0552</t>
        </is>
      </c>
      <c r="B553" s="30" t="inlineStr">
        <is>
          <t>F</t>
        </is>
      </c>
      <c r="C553" s="31" t="n">
        <v>8005.6</v>
      </c>
      <c r="D553" s="31" t="n">
        <v>26861.8</v>
      </c>
      <c r="E553" s="31" t="n">
        <v>26861.8</v>
      </c>
      <c r="F553" s="31" t="n">
        <v>26873.5</v>
      </c>
      <c r="G553" s="31" t="n">
        <v>26905</v>
      </c>
      <c r="H553" s="31" t="n">
        <v>26911.9</v>
      </c>
      <c r="I553" s="31" t="n">
        <v>26943</v>
      </c>
      <c r="J553" s="31" t="n">
        <v>26976.8</v>
      </c>
      <c r="K553" s="31" t="n">
        <v>18971.2</v>
      </c>
      <c r="L553" s="31" t="n">
        <v>18856.2</v>
      </c>
      <c r="M553" s="30" t="inlineStr">
        <is>
          <t>AMR3</t>
        </is>
      </c>
      <c r="N553" s="30" t="inlineStr">
        <is>
          <t>AMR1</t>
        </is>
      </c>
      <c r="O553" s="32" t="n">
        <v>0</v>
      </c>
      <c r="P553" s="32" t="n">
        <v>0</v>
      </c>
      <c r="Q553" s="32" t="n">
        <v>23</v>
      </c>
      <c r="R553" s="31" t="n">
        <v>42.3</v>
      </c>
      <c r="S553" s="31" t="n">
        <v>42.3</v>
      </c>
      <c r="T553" s="30" t="inlineStr">
        <is>
          <t>AMR3</t>
        </is>
      </c>
      <c r="U553" s="31" t="n">
        <v>67.59999999999999</v>
      </c>
      <c r="V553" s="31" t="n">
        <v>67.59999999999999</v>
      </c>
      <c r="W553" s="30" t="inlineStr">
        <is>
          <t>AMR1</t>
        </is>
      </c>
      <c r="X553" s="32" t="n">
        <v>0</v>
      </c>
      <c r="Y553" s="32" t="n">
        <v>0</v>
      </c>
      <c r="Z553" s="31" t="n">
        <v>0</v>
      </c>
      <c r="AA553" s="32" t="n">
        <v>0</v>
      </c>
      <c r="AB553" s="32" t="n">
        <v>0</v>
      </c>
      <c r="AC553" s="32" t="n">
        <v>0</v>
      </c>
      <c r="AD553" s="32" t="n">
        <v>0</v>
      </c>
      <c r="AE553" s="31" t="n">
        <v>0</v>
      </c>
      <c r="AF553" s="32" t="n">
        <v>0</v>
      </c>
      <c r="AG553" s="31" t="n">
        <v>0</v>
      </c>
      <c r="AH553" s="32" t="n">
        <v>63</v>
      </c>
      <c r="AI553" s="31" t="n">
        <v>63.4</v>
      </c>
      <c r="AJ553" s="31" t="n">
        <v>44.7</v>
      </c>
      <c r="AK553" s="31" t="n">
        <v>0</v>
      </c>
      <c r="AL553" s="30" t="inlineStr">
        <is>
          <t>T-0702</t>
        </is>
      </c>
      <c r="AM553" s="30" t="inlineStr">
        <is>
          <t>F-05-01</t>
        </is>
      </c>
      <c r="AN553" s="30" t="inlineStr">
        <is>
          <t>T-0585</t>
        </is>
      </c>
      <c r="AO553" s="30" t="inlineStr">
        <is>
          <t>F-06-01</t>
        </is>
      </c>
    </row>
    <row r="554">
      <c r="A554" s="30" t="inlineStr">
        <is>
          <t>O0553</t>
        </is>
      </c>
      <c r="B554" s="30" t="inlineStr">
        <is>
          <t>A</t>
        </is>
      </c>
      <c r="C554" s="31" t="n">
        <v>8021</v>
      </c>
      <c r="D554" s="31" t="n">
        <v>26927.2</v>
      </c>
      <c r="E554" s="31" t="n">
        <v>26927.2</v>
      </c>
      <c r="F554" s="31" t="n">
        <v>26943</v>
      </c>
      <c r="G554" s="31" t="n">
        <v>26972.2</v>
      </c>
      <c r="H554" s="31" t="n">
        <v>26978.7</v>
      </c>
      <c r="I554" s="31" t="n">
        <v>27008.1</v>
      </c>
      <c r="J554" s="31" t="n">
        <v>27045.4</v>
      </c>
      <c r="K554" s="31" t="n">
        <v>19024.4</v>
      </c>
      <c r="L554" s="31" t="n">
        <v>18906.2</v>
      </c>
      <c r="M554" s="30" t="inlineStr">
        <is>
          <t>AMR3</t>
        </is>
      </c>
      <c r="N554" s="30" t="inlineStr">
        <is>
          <t>AMR2</t>
        </is>
      </c>
      <c r="O554" s="32" t="n">
        <v>0</v>
      </c>
      <c r="P554" s="32" t="n">
        <v>0</v>
      </c>
      <c r="Q554" s="32" t="n">
        <v>21</v>
      </c>
      <c r="R554" s="31" t="n">
        <v>44.1</v>
      </c>
      <c r="S554" s="31" t="n">
        <v>44.1</v>
      </c>
      <c r="T554" s="30" t="inlineStr">
        <is>
          <t>AMR3</t>
        </is>
      </c>
      <c r="U554" s="31" t="n">
        <v>67.40000000000001</v>
      </c>
      <c r="V554" s="31" t="n">
        <v>67.40000000000001</v>
      </c>
      <c r="W554" s="30" t="inlineStr">
        <is>
          <t>AMR2</t>
        </is>
      </c>
      <c r="X554" s="32" t="n">
        <v>0</v>
      </c>
      <c r="Y554" s="32" t="n">
        <v>0</v>
      </c>
      <c r="Z554" s="31" t="n">
        <v>0</v>
      </c>
      <c r="AA554" s="32" t="n">
        <v>0</v>
      </c>
      <c r="AB554" s="32" t="n">
        <v>0</v>
      </c>
      <c r="AC554" s="32" t="n">
        <v>0</v>
      </c>
      <c r="AD554" s="32" t="n">
        <v>0</v>
      </c>
      <c r="AE554" s="31" t="n">
        <v>0</v>
      </c>
      <c r="AF554" s="32" t="n">
        <v>0</v>
      </c>
      <c r="AG554" s="31" t="n">
        <v>0</v>
      </c>
      <c r="AH554" s="32" t="n">
        <v>63</v>
      </c>
      <c r="AI554" s="31" t="n">
        <v>62.3</v>
      </c>
      <c r="AJ554" s="31" t="n">
        <v>49.4</v>
      </c>
      <c r="AK554" s="31" t="n">
        <v>0</v>
      </c>
      <c r="AL554" s="30" t="inlineStr">
        <is>
          <t>T-0703</t>
        </is>
      </c>
      <c r="AM554" s="30" t="inlineStr">
        <is>
          <t>A-05-02</t>
        </is>
      </c>
      <c r="AN554" s="30" t="inlineStr">
        <is>
          <t>T-0504</t>
        </is>
      </c>
      <c r="AO554" s="30" t="inlineStr">
        <is>
          <t>A-05-03</t>
        </is>
      </c>
    </row>
    <row r="555">
      <c r="A555" s="30" t="inlineStr">
        <is>
          <t>O0554</t>
        </is>
      </c>
      <c r="B555" s="30" t="inlineStr">
        <is>
          <t>J</t>
        </is>
      </c>
      <c r="C555" s="31" t="n">
        <v>8036.5</v>
      </c>
      <c r="D555" s="31" t="n">
        <v>26992.4</v>
      </c>
      <c r="E555" s="31" t="n">
        <v>26992.4</v>
      </c>
      <c r="F555" s="31" t="n">
        <v>27005.9</v>
      </c>
      <c r="G555" s="31" t="n">
        <v>27037.9</v>
      </c>
      <c r="H555" s="31" t="n">
        <v>27061.1</v>
      </c>
      <c r="I555" s="31" t="n">
        <v>27091.2</v>
      </c>
      <c r="J555" s="31" t="n">
        <v>27131.5</v>
      </c>
      <c r="K555" s="31" t="n">
        <v>19095</v>
      </c>
      <c r="L555" s="31" t="n">
        <v>18955.9</v>
      </c>
      <c r="M555" s="30" t="inlineStr">
        <is>
          <t>AMR3</t>
        </is>
      </c>
      <c r="N555" s="30" t="inlineStr">
        <is>
          <t>AMR3</t>
        </is>
      </c>
      <c r="O555" s="32" t="n">
        <v>0</v>
      </c>
      <c r="P555" s="32" t="n">
        <v>0</v>
      </c>
      <c r="Q555" s="32" t="n">
        <v>21</v>
      </c>
      <c r="R555" s="31" t="n">
        <v>44.6</v>
      </c>
      <c r="S555" s="31" t="n">
        <v>44.6</v>
      </c>
      <c r="T555" s="30" t="inlineStr">
        <is>
          <t>AMR3</t>
        </is>
      </c>
      <c r="U555" s="31" t="n">
        <v>63.6</v>
      </c>
      <c r="V555" s="31" t="n">
        <v>63.6</v>
      </c>
      <c r="W555" s="30" t="inlineStr">
        <is>
          <t>AMR3</t>
        </is>
      </c>
      <c r="X555" s="32" t="n">
        <v>0</v>
      </c>
      <c r="Y555" s="32" t="n">
        <v>0</v>
      </c>
      <c r="Z555" s="31" t="n">
        <v>0</v>
      </c>
      <c r="AA555" s="32" t="n">
        <v>0</v>
      </c>
      <c r="AB555" s="32" t="n">
        <v>0</v>
      </c>
      <c r="AC555" s="32" t="n">
        <v>0</v>
      </c>
      <c r="AD555" s="32" t="n">
        <v>0</v>
      </c>
      <c r="AE555" s="31" t="n">
        <v>0</v>
      </c>
      <c r="AF555" s="32" t="n">
        <v>0</v>
      </c>
      <c r="AG555" s="31" t="n">
        <v>0</v>
      </c>
      <c r="AH555" s="32" t="n">
        <v>63</v>
      </c>
      <c r="AI555" s="31" t="n">
        <v>64.8</v>
      </c>
      <c r="AJ555" s="31" t="n">
        <v>47.6</v>
      </c>
      <c r="AK555" s="31" t="n">
        <v>3.5</v>
      </c>
      <c r="AL555" s="30" t="inlineStr">
        <is>
          <t>T-0704</t>
        </is>
      </c>
      <c r="AM555" s="30" t="inlineStr">
        <is>
          <t>J-02-01</t>
        </is>
      </c>
      <c r="AN555" s="30" t="inlineStr">
        <is>
          <t>T-0577</t>
        </is>
      </c>
      <c r="AO555" s="30" t="inlineStr">
        <is>
          <t>J-04-01</t>
        </is>
      </c>
    </row>
    <row r="556">
      <c r="A556" s="30" t="inlineStr">
        <is>
          <t>O0555</t>
        </is>
      </c>
      <c r="B556" s="30" t="inlineStr">
        <is>
          <t>J</t>
        </is>
      </c>
      <c r="C556" s="31" t="n">
        <v>8058</v>
      </c>
      <c r="D556" s="31" t="n">
        <v>27006</v>
      </c>
      <c r="E556" s="31" t="n">
        <v>27006</v>
      </c>
      <c r="F556" s="31" t="n">
        <v>27018.4</v>
      </c>
      <c r="G556" s="31" t="n">
        <v>27058.7</v>
      </c>
      <c r="H556" s="31" t="n">
        <v>27069.1</v>
      </c>
      <c r="I556" s="31" t="n">
        <v>27109.7</v>
      </c>
      <c r="J556" s="31" t="n">
        <v>27144.1</v>
      </c>
      <c r="K556" s="31" t="n">
        <v>19086.1</v>
      </c>
      <c r="L556" s="31" t="n">
        <v>18948</v>
      </c>
      <c r="M556" s="30" t="inlineStr">
        <is>
          <t>AMR1</t>
        </is>
      </c>
      <c r="N556" s="30" t="inlineStr">
        <is>
          <t>AMR2</t>
        </is>
      </c>
      <c r="O556" s="32" t="n">
        <v>0</v>
      </c>
      <c r="P556" s="32" t="n">
        <v>0</v>
      </c>
      <c r="Q556" s="32" t="n">
        <v>21</v>
      </c>
      <c r="R556" s="31" t="n">
        <v>43</v>
      </c>
      <c r="S556" s="31" t="n">
        <v>43</v>
      </c>
      <c r="T556" s="30" t="inlineStr">
        <is>
          <t>AMR1</t>
        </is>
      </c>
      <c r="U556" s="31" t="n">
        <v>61.2</v>
      </c>
      <c r="V556" s="31" t="n">
        <v>61.2</v>
      </c>
      <c r="W556" s="30" t="inlineStr">
        <is>
          <t>AMR2</t>
        </is>
      </c>
      <c r="X556" s="32" t="n">
        <v>0</v>
      </c>
      <c r="Y556" s="32" t="n">
        <v>0</v>
      </c>
      <c r="Z556" s="31" t="n">
        <v>0</v>
      </c>
      <c r="AA556" s="32" t="n">
        <v>0</v>
      </c>
      <c r="AB556" s="32" t="n">
        <v>0</v>
      </c>
      <c r="AC556" s="32" t="n">
        <v>0</v>
      </c>
      <c r="AD556" s="32" t="n">
        <v>1</v>
      </c>
      <c r="AE556" s="31" t="n">
        <v>1.6</v>
      </c>
      <c r="AF556" s="32" t="n">
        <v>0</v>
      </c>
      <c r="AG556" s="31" t="n">
        <v>0</v>
      </c>
      <c r="AH556" s="32" t="n">
        <v>72</v>
      </c>
      <c r="AI556" s="31" t="n">
        <v>76.5</v>
      </c>
      <c r="AJ556" s="31" t="n">
        <v>43.6</v>
      </c>
      <c r="AK556" s="31" t="n">
        <v>7.6</v>
      </c>
      <c r="AL556" s="30" t="inlineStr">
        <is>
          <t>T-0705</t>
        </is>
      </c>
      <c r="AM556" s="30" t="inlineStr">
        <is>
          <t>J-06-02</t>
        </is>
      </c>
      <c r="AN556" s="30" t="inlineStr">
        <is>
          <t>T-0578</t>
        </is>
      </c>
      <c r="AO556" s="30" t="inlineStr">
        <is>
          <t>J-06-01</t>
        </is>
      </c>
    </row>
    <row r="557">
      <c r="A557" s="30" t="inlineStr">
        <is>
          <t>O0556</t>
        </is>
      </c>
      <c r="B557" s="30" t="inlineStr">
        <is>
          <t>A</t>
        </is>
      </c>
      <c r="C557" s="31" t="n">
        <v>8079.2</v>
      </c>
      <c r="D557" s="31" t="n">
        <v>27081.6</v>
      </c>
      <c r="E557" s="31" t="n">
        <v>27081.6</v>
      </c>
      <c r="F557" s="31" t="n">
        <v>27095.3</v>
      </c>
      <c r="G557" s="31" t="n">
        <v>27125</v>
      </c>
      <c r="H557" s="31" t="n">
        <v>27145.2</v>
      </c>
      <c r="I557" s="31" t="n">
        <v>27171.7</v>
      </c>
      <c r="J557" s="31" t="n">
        <v>27208.6</v>
      </c>
      <c r="K557" s="31" t="n">
        <v>19129.4</v>
      </c>
      <c r="L557" s="31" t="n">
        <v>19002.4</v>
      </c>
      <c r="M557" s="30" t="inlineStr">
        <is>
          <t>AMR1</t>
        </is>
      </c>
      <c r="N557" s="30" t="inlineStr">
        <is>
          <t>AMR1</t>
        </is>
      </c>
      <c r="O557" s="32" t="n">
        <v>0</v>
      </c>
      <c r="P557" s="32" t="n">
        <v>0</v>
      </c>
      <c r="Q557" s="32" t="n">
        <v>21</v>
      </c>
      <c r="R557" s="31" t="n">
        <v>42.5</v>
      </c>
      <c r="S557" s="31" t="n">
        <v>42.5</v>
      </c>
      <c r="T557" s="30" t="inlineStr">
        <is>
          <t>AMR1</t>
        </is>
      </c>
      <c r="U557" s="31" t="n">
        <v>65.09999999999999</v>
      </c>
      <c r="V557" s="31" t="n">
        <v>65.09999999999999</v>
      </c>
      <c r="W557" s="30" t="inlineStr">
        <is>
          <t>AMR1</t>
        </is>
      </c>
      <c r="X557" s="32" t="n">
        <v>0</v>
      </c>
      <c r="Y557" s="32" t="n">
        <v>0</v>
      </c>
      <c r="Z557" s="31" t="n">
        <v>0</v>
      </c>
      <c r="AA557" s="32" t="n">
        <v>0</v>
      </c>
      <c r="AB557" s="32" t="n">
        <v>0</v>
      </c>
      <c r="AC557" s="32" t="n">
        <v>0</v>
      </c>
      <c r="AD557" s="32" t="n">
        <v>0</v>
      </c>
      <c r="AE557" s="31" t="n">
        <v>0</v>
      </c>
      <c r="AF557" s="32" t="n">
        <v>0</v>
      </c>
      <c r="AG557" s="31" t="n">
        <v>0</v>
      </c>
      <c r="AH557" s="32" t="n">
        <v>61</v>
      </c>
      <c r="AI557" s="31" t="n">
        <v>61.3</v>
      </c>
      <c r="AJ557" s="31" t="n">
        <v>45.5</v>
      </c>
      <c r="AK557" s="31" t="n">
        <v>0</v>
      </c>
      <c r="AL557" s="30" t="inlineStr">
        <is>
          <t>T-0706</t>
        </is>
      </c>
      <c r="AM557" s="30" t="inlineStr">
        <is>
          <t>A-04-03</t>
        </is>
      </c>
      <c r="AN557" s="30" t="inlineStr">
        <is>
          <t>T-0533</t>
        </is>
      </c>
      <c r="AO557" s="30" t="inlineStr">
        <is>
          <t>A-06-01</t>
        </is>
      </c>
    </row>
    <row r="558">
      <c r="A558" s="30" t="inlineStr">
        <is>
          <t>O0557</t>
        </is>
      </c>
      <c r="B558" s="30" t="inlineStr">
        <is>
          <t>I</t>
        </is>
      </c>
      <c r="C558" s="31" t="n">
        <v>8103.1</v>
      </c>
      <c r="D558" s="31" t="n">
        <v>27155.2</v>
      </c>
      <c r="E558" s="31" t="n">
        <v>27155.2</v>
      </c>
      <c r="F558" s="31" t="n">
        <v>27168.9</v>
      </c>
      <c r="G558" s="31" t="n">
        <v>27196.4</v>
      </c>
      <c r="H558" s="31" t="n">
        <v>27211.2</v>
      </c>
      <c r="I558" s="31" t="n">
        <v>27245</v>
      </c>
      <c r="J558" s="31" t="n">
        <v>27268.9</v>
      </c>
      <c r="K558" s="31" t="n">
        <v>19165.8</v>
      </c>
      <c r="L558" s="31" t="n">
        <v>19052.1</v>
      </c>
      <c r="M558" s="30" t="inlineStr">
        <is>
          <t>AMR3</t>
        </is>
      </c>
      <c r="N558" s="30" t="inlineStr">
        <is>
          <t>AMR3</t>
        </is>
      </c>
      <c r="O558" s="32" t="n">
        <v>0</v>
      </c>
      <c r="P558" s="32" t="n">
        <v>0</v>
      </c>
      <c r="Q558" s="32" t="n">
        <v>15</v>
      </c>
      <c r="R558" s="31" t="n">
        <v>40.3</v>
      </c>
      <c r="S558" s="31" t="n">
        <v>40.3</v>
      </c>
      <c r="T558" s="30" t="inlineStr">
        <is>
          <t>AMR3</t>
        </is>
      </c>
      <c r="U558" s="31" t="n">
        <v>52.8</v>
      </c>
      <c r="V558" s="31" t="n">
        <v>52.8</v>
      </c>
      <c r="W558" s="30" t="inlineStr">
        <is>
          <t>AMR3</t>
        </is>
      </c>
      <c r="X558" s="32" t="n">
        <v>0</v>
      </c>
      <c r="Y558" s="32" t="n">
        <v>0</v>
      </c>
      <c r="Z558" s="31" t="n">
        <v>0</v>
      </c>
      <c r="AA558" s="32" t="n">
        <v>0</v>
      </c>
      <c r="AB558" s="32" t="n">
        <v>1</v>
      </c>
      <c r="AC558" s="32" t="n">
        <v>1</v>
      </c>
      <c r="AD558" s="32" t="n">
        <v>1</v>
      </c>
      <c r="AE558" s="31" t="n">
        <v>1.4</v>
      </c>
      <c r="AF558" s="32" t="n">
        <v>0</v>
      </c>
      <c r="AG558" s="31" t="n">
        <v>0</v>
      </c>
      <c r="AH558" s="32" t="n">
        <v>41</v>
      </c>
      <c r="AI558" s="31" t="n">
        <v>46.5</v>
      </c>
      <c r="AJ558" s="31" t="n">
        <v>47.3</v>
      </c>
      <c r="AK558" s="31" t="n">
        <v>5.1</v>
      </c>
      <c r="AL558" s="30" t="inlineStr">
        <is>
          <t>T-0707</t>
        </is>
      </c>
      <c r="AM558" s="30" t="inlineStr">
        <is>
          <t>I-02-03</t>
        </is>
      </c>
      <c r="AN558" s="30" t="inlineStr">
        <is>
          <t>T-0575</t>
        </is>
      </c>
      <c r="AO558" s="30" t="inlineStr">
        <is>
          <t>I-01-01</t>
        </is>
      </c>
    </row>
    <row r="559">
      <c r="A559" s="30" t="inlineStr">
        <is>
          <t>O0558</t>
        </is>
      </c>
      <c r="B559" s="30" t="inlineStr">
        <is>
          <t>E</t>
        </is>
      </c>
      <c r="C559" s="31" t="n">
        <v>8124.5</v>
      </c>
      <c r="D559" s="31" t="n">
        <v>27169</v>
      </c>
      <c r="E559" s="31" t="n">
        <v>27169</v>
      </c>
      <c r="F559" s="31" t="n">
        <v>27183.7</v>
      </c>
      <c r="G559" s="31" t="n">
        <v>27212.8</v>
      </c>
      <c r="H559" s="31" t="n">
        <v>27231</v>
      </c>
      <c r="I559" s="31" t="n">
        <v>27257</v>
      </c>
      <c r="J559" s="31" t="n">
        <v>27289.4</v>
      </c>
      <c r="K559" s="31" t="n">
        <v>19164.9</v>
      </c>
      <c r="L559" s="31" t="n">
        <v>19044.5</v>
      </c>
      <c r="M559" s="30" t="inlineStr">
        <is>
          <t>AMR2</t>
        </is>
      </c>
      <c r="N559" s="30" t="inlineStr">
        <is>
          <t>AMR2</t>
        </is>
      </c>
      <c r="O559" s="32" t="n">
        <v>0</v>
      </c>
      <c r="P559" s="32" t="n">
        <v>0</v>
      </c>
      <c r="Q559" s="32" t="n">
        <v>19</v>
      </c>
      <c r="R559" s="31" t="n">
        <v>42.9</v>
      </c>
      <c r="S559" s="31" t="n">
        <v>42.9</v>
      </c>
      <c r="T559" s="30" t="inlineStr">
        <is>
          <t>AMR2</t>
        </is>
      </c>
      <c r="U559" s="31" t="n">
        <v>56.6</v>
      </c>
      <c r="V559" s="31" t="n">
        <v>56.6</v>
      </c>
      <c r="W559" s="30" t="inlineStr">
        <is>
          <t>AMR2</t>
        </is>
      </c>
      <c r="X559" s="32" t="n">
        <v>0</v>
      </c>
      <c r="Y559" s="32" t="n">
        <v>0</v>
      </c>
      <c r="Z559" s="31" t="n">
        <v>0</v>
      </c>
      <c r="AA559" s="32" t="n">
        <v>0</v>
      </c>
      <c r="AB559" s="32" t="n">
        <v>0</v>
      </c>
      <c r="AC559" s="32" t="n">
        <v>0</v>
      </c>
      <c r="AD559" s="32" t="n">
        <v>0</v>
      </c>
      <c r="AE559" s="31" t="n">
        <v>0</v>
      </c>
      <c r="AF559" s="32" t="n">
        <v>0</v>
      </c>
      <c r="AG559" s="31" t="n">
        <v>0</v>
      </c>
      <c r="AH559" s="32" t="n">
        <v>59</v>
      </c>
      <c r="AI559" s="31" t="n">
        <v>60.2</v>
      </c>
      <c r="AJ559" s="31" t="n">
        <v>42</v>
      </c>
      <c r="AK559" s="31" t="n">
        <v>0</v>
      </c>
      <c r="AL559" s="30" t="inlineStr">
        <is>
          <t>T-0708</t>
        </is>
      </c>
      <c r="AM559" s="30" t="inlineStr">
        <is>
          <t>E-02-01</t>
        </is>
      </c>
      <c r="AN559" s="30" t="inlineStr">
        <is>
          <t>T-0561</t>
        </is>
      </c>
      <c r="AO559" s="30" t="inlineStr">
        <is>
          <t>E-03-02</t>
        </is>
      </c>
    </row>
    <row r="560">
      <c r="A560" s="30" t="inlineStr">
        <is>
          <t>O0559</t>
        </is>
      </c>
      <c r="B560" s="30" t="inlineStr">
        <is>
          <t>G</t>
        </is>
      </c>
      <c r="C560" s="31" t="n">
        <v>8141.9</v>
      </c>
      <c r="D560" s="31" t="n">
        <v>27241.5</v>
      </c>
      <c r="E560" s="31" t="n">
        <v>27241.5</v>
      </c>
      <c r="F560" s="31" t="n">
        <v>27256</v>
      </c>
      <c r="G560" s="31" t="n">
        <v>27283.5</v>
      </c>
      <c r="H560" s="31" t="n">
        <v>27292.6</v>
      </c>
      <c r="I560" s="31" t="n">
        <v>27321</v>
      </c>
      <c r="J560" s="31" t="n">
        <v>27348.7</v>
      </c>
      <c r="K560" s="31" t="n">
        <v>19206.8</v>
      </c>
      <c r="L560" s="31" t="n">
        <v>19099.6</v>
      </c>
      <c r="M560" s="30" t="inlineStr">
        <is>
          <t>AMR1</t>
        </is>
      </c>
      <c r="N560" s="30" t="inlineStr">
        <is>
          <t>AMR3</t>
        </is>
      </c>
      <c r="O560" s="32" t="n">
        <v>0</v>
      </c>
      <c r="P560" s="32" t="n">
        <v>0</v>
      </c>
      <c r="Q560" s="32" t="n">
        <v>17</v>
      </c>
      <c r="R560" s="31" t="n">
        <v>41.1</v>
      </c>
      <c r="S560" s="31" t="n">
        <v>41.1</v>
      </c>
      <c r="T560" s="30" t="inlineStr">
        <is>
          <t>AMR1</t>
        </is>
      </c>
      <c r="U560" s="31" t="n">
        <v>58.8</v>
      </c>
      <c r="V560" s="31" t="n">
        <v>58.8</v>
      </c>
      <c r="W560" s="30" t="inlineStr">
        <is>
          <t>AMR3</t>
        </is>
      </c>
      <c r="X560" s="32" t="n">
        <v>0</v>
      </c>
      <c r="Y560" s="32" t="n">
        <v>0</v>
      </c>
      <c r="Z560" s="31" t="n">
        <v>0</v>
      </c>
      <c r="AA560" s="32" t="n">
        <v>0</v>
      </c>
      <c r="AB560" s="32" t="n">
        <v>0</v>
      </c>
      <c r="AC560" s="32" t="n">
        <v>0</v>
      </c>
      <c r="AD560" s="32" t="n">
        <v>0</v>
      </c>
      <c r="AE560" s="31" t="n">
        <v>0</v>
      </c>
      <c r="AF560" s="32" t="n">
        <v>0</v>
      </c>
      <c r="AG560" s="31" t="n">
        <v>0</v>
      </c>
      <c r="AH560" s="32" t="n">
        <v>45</v>
      </c>
      <c r="AI560" s="31" t="n">
        <v>48.6</v>
      </c>
      <c r="AJ560" s="31" t="n">
        <v>49.5</v>
      </c>
      <c r="AK560" s="31" t="n">
        <v>0</v>
      </c>
      <c r="AL560" s="30" t="inlineStr">
        <is>
          <t>T-0709</t>
        </is>
      </c>
      <c r="AM560" s="30" t="inlineStr">
        <is>
          <t>G-05-02</t>
        </is>
      </c>
      <c r="AN560" s="30" t="inlineStr">
        <is>
          <t>T-0496</t>
        </is>
      </c>
      <c r="AO560" s="30" t="inlineStr">
        <is>
          <t>G-06-02</t>
        </is>
      </c>
    </row>
    <row r="561">
      <c r="A561" s="30" t="inlineStr">
        <is>
          <t>O0560</t>
        </is>
      </c>
      <c r="B561" s="30" t="inlineStr">
        <is>
          <t>A</t>
        </is>
      </c>
      <c r="C561" s="31" t="n">
        <v>8161.5</v>
      </c>
      <c r="D561" s="31" t="n">
        <v>27300.3</v>
      </c>
      <c r="E561" s="31" t="n">
        <v>27300.3</v>
      </c>
      <c r="F561" s="31" t="n">
        <v>27316.5</v>
      </c>
      <c r="G561" s="31" t="n">
        <v>27344.9</v>
      </c>
      <c r="H561" s="31" t="n">
        <v>27363.8</v>
      </c>
      <c r="I561" s="31" t="n">
        <v>27398.2</v>
      </c>
      <c r="J561" s="31" t="n">
        <v>27436</v>
      </c>
      <c r="K561" s="31" t="n">
        <v>19274.5</v>
      </c>
      <c r="L561" s="31" t="n">
        <v>19138.8</v>
      </c>
      <c r="M561" s="30" t="inlineStr">
        <is>
          <t>AMR1</t>
        </is>
      </c>
      <c r="N561" s="30" t="inlineStr">
        <is>
          <t>AMR1</t>
        </is>
      </c>
      <c r="O561" s="32" t="n">
        <v>0</v>
      </c>
      <c r="P561" s="32" t="n">
        <v>0</v>
      </c>
      <c r="Q561" s="32" t="n">
        <v>21</v>
      </c>
      <c r="R561" s="31" t="n">
        <v>44.5</v>
      </c>
      <c r="S561" s="31" t="n">
        <v>44.5</v>
      </c>
      <c r="T561" s="30" t="inlineStr">
        <is>
          <t>AMR1</t>
        </is>
      </c>
      <c r="U561" s="31" t="n">
        <v>61.6</v>
      </c>
      <c r="V561" s="31" t="n">
        <v>61.6</v>
      </c>
      <c r="W561" s="30" t="inlineStr">
        <is>
          <t>AMR1</t>
        </is>
      </c>
      <c r="X561" s="32" t="n">
        <v>0</v>
      </c>
      <c r="Y561" s="32" t="n">
        <v>0</v>
      </c>
      <c r="Z561" s="31" t="n">
        <v>0</v>
      </c>
      <c r="AA561" s="32" t="n">
        <v>0</v>
      </c>
      <c r="AB561" s="32" t="n">
        <v>1</v>
      </c>
      <c r="AC561" s="32" t="n">
        <v>1</v>
      </c>
      <c r="AD561" s="32" t="n">
        <v>1</v>
      </c>
      <c r="AE561" s="31" t="n">
        <v>2.3</v>
      </c>
      <c r="AF561" s="32" t="n">
        <v>0</v>
      </c>
      <c r="AG561" s="31" t="n">
        <v>0</v>
      </c>
      <c r="AH561" s="32" t="n">
        <v>66</v>
      </c>
      <c r="AI561" s="31" t="n">
        <v>65.5</v>
      </c>
      <c r="AJ561" s="31" t="n">
        <v>44</v>
      </c>
      <c r="AK561" s="31" t="n">
        <v>7.3</v>
      </c>
      <c r="AL561" s="30" t="inlineStr">
        <is>
          <t>T-0710</t>
        </is>
      </c>
      <c r="AM561" s="30" t="inlineStr">
        <is>
          <t>A-06-01</t>
        </is>
      </c>
      <c r="AN561" s="30" t="inlineStr">
        <is>
          <t>T-0564</t>
        </is>
      </c>
      <c r="AO561" s="30" t="inlineStr">
        <is>
          <t>A-02-02</t>
        </is>
      </c>
    </row>
    <row r="562">
      <c r="A562" s="30" t="inlineStr">
        <is>
          <t>O0561</t>
        </is>
      </c>
      <c r="B562" s="30" t="inlineStr">
        <is>
          <t>H</t>
        </is>
      </c>
      <c r="C562" s="31" t="n">
        <v>8180.9</v>
      </c>
      <c r="D562" s="31" t="n">
        <v>27316.5</v>
      </c>
      <c r="E562" s="31" t="n">
        <v>27316.5</v>
      </c>
      <c r="F562" s="31" t="n">
        <v>27328.3</v>
      </c>
      <c r="G562" s="31" t="n">
        <v>27354.5</v>
      </c>
      <c r="H562" s="31" t="n">
        <v>27372.4</v>
      </c>
      <c r="I562" s="31" t="n">
        <v>27399.5</v>
      </c>
      <c r="J562" s="31" t="n">
        <v>27423.6</v>
      </c>
      <c r="K562" s="31" t="n">
        <v>19242.7</v>
      </c>
      <c r="L562" s="31" t="n">
        <v>19135.6</v>
      </c>
      <c r="M562" s="30" t="inlineStr">
        <is>
          <t>AMR2</t>
        </is>
      </c>
      <c r="N562" s="30" t="inlineStr">
        <is>
          <t>AMR3</t>
        </is>
      </c>
      <c r="O562" s="32" t="n">
        <v>0</v>
      </c>
      <c r="P562" s="32" t="n">
        <v>0</v>
      </c>
      <c r="Q562" s="32" t="n">
        <v>15</v>
      </c>
      <c r="R562" s="31" t="n">
        <v>37.1</v>
      </c>
      <c r="S562" s="31" t="n">
        <v>37.1</v>
      </c>
      <c r="T562" s="30" t="inlineStr">
        <is>
          <t>AMR2</t>
        </is>
      </c>
      <c r="U562" s="31" t="n">
        <v>52.4</v>
      </c>
      <c r="V562" s="31" t="n">
        <v>52.4</v>
      </c>
      <c r="W562" s="30" t="inlineStr">
        <is>
          <t>AMR3</t>
        </is>
      </c>
      <c r="X562" s="32" t="n">
        <v>0</v>
      </c>
      <c r="Y562" s="32" t="n">
        <v>0</v>
      </c>
      <c r="Z562" s="31" t="n">
        <v>0</v>
      </c>
      <c r="AA562" s="32" t="n">
        <v>0</v>
      </c>
      <c r="AB562" s="32" t="n">
        <v>0</v>
      </c>
      <c r="AC562" s="32" t="n">
        <v>0</v>
      </c>
      <c r="AD562" s="32" t="n">
        <v>0</v>
      </c>
      <c r="AE562" s="31" t="n">
        <v>0</v>
      </c>
      <c r="AF562" s="32" t="n">
        <v>0</v>
      </c>
      <c r="AG562" s="31" t="n">
        <v>0</v>
      </c>
      <c r="AH562" s="32" t="n">
        <v>41</v>
      </c>
      <c r="AI562" s="31" t="n">
        <v>45</v>
      </c>
      <c r="AJ562" s="31" t="n">
        <v>44.2</v>
      </c>
      <c r="AK562" s="31" t="n">
        <v>0</v>
      </c>
      <c r="AL562" s="30" t="inlineStr">
        <is>
          <t>T-0711</t>
        </is>
      </c>
      <c r="AM562" s="30" t="inlineStr">
        <is>
          <t>H-01-03</t>
        </is>
      </c>
      <c r="AN562" s="30" t="inlineStr">
        <is>
          <t>T-0557</t>
        </is>
      </c>
      <c r="AO562" s="30" t="inlineStr">
        <is>
          <t>H-01-02</t>
        </is>
      </c>
    </row>
    <row r="563">
      <c r="A563" s="30" t="inlineStr">
        <is>
          <t>O0562</t>
        </is>
      </c>
      <c r="B563" s="30" t="inlineStr">
        <is>
          <t>J</t>
        </is>
      </c>
      <c r="C563" s="31" t="n">
        <v>8197.9</v>
      </c>
      <c r="D563" s="31" t="n">
        <v>27375.1</v>
      </c>
      <c r="E563" s="31" t="n">
        <v>27375.1</v>
      </c>
      <c r="F563" s="31" t="n">
        <v>27390.3</v>
      </c>
      <c r="G563" s="31" t="n">
        <v>27420.7</v>
      </c>
      <c r="H563" s="31" t="n">
        <v>27442.9</v>
      </c>
      <c r="I563" s="31" t="n">
        <v>27479</v>
      </c>
      <c r="J563" s="31" t="n">
        <v>27512.5</v>
      </c>
      <c r="K563" s="31" t="n">
        <v>19314.6</v>
      </c>
      <c r="L563" s="31" t="n">
        <v>19177.2</v>
      </c>
      <c r="M563" s="30" t="inlineStr">
        <is>
          <t>AMR2</t>
        </is>
      </c>
      <c r="N563" s="30" t="inlineStr">
        <is>
          <t>AMR2</t>
        </is>
      </c>
      <c r="O563" s="32" t="n">
        <v>0</v>
      </c>
      <c r="P563" s="32" t="n">
        <v>0</v>
      </c>
      <c r="Q563" s="32" t="n">
        <v>21</v>
      </c>
      <c r="R563" s="31" t="n">
        <v>43.1</v>
      </c>
      <c r="S563" s="31" t="n">
        <v>43.1</v>
      </c>
      <c r="T563" s="30" t="inlineStr">
        <is>
          <t>AMR2</t>
        </is>
      </c>
      <c r="U563" s="31" t="n">
        <v>61.6</v>
      </c>
      <c r="V563" s="31" t="n">
        <v>61.6</v>
      </c>
      <c r="W563" s="30" t="inlineStr">
        <is>
          <t>AMR2</t>
        </is>
      </c>
      <c r="X563" s="32" t="n">
        <v>0</v>
      </c>
      <c r="Y563" s="32" t="n">
        <v>0</v>
      </c>
      <c r="Z563" s="31" t="n">
        <v>0</v>
      </c>
      <c r="AA563" s="32" t="n">
        <v>0</v>
      </c>
      <c r="AB563" s="32" t="n">
        <v>2</v>
      </c>
      <c r="AC563" s="32" t="n">
        <v>1</v>
      </c>
      <c r="AD563" s="32" t="n">
        <v>0</v>
      </c>
      <c r="AE563" s="31" t="n">
        <v>0</v>
      </c>
      <c r="AF563" s="32" t="n">
        <v>0</v>
      </c>
      <c r="AG563" s="31" t="n">
        <v>0</v>
      </c>
      <c r="AH563" s="32" t="n">
        <v>63</v>
      </c>
      <c r="AI563" s="31" t="n">
        <v>68.09999999999999</v>
      </c>
      <c r="AJ563" s="31" t="n">
        <v>44.1</v>
      </c>
      <c r="AK563" s="31" t="n">
        <v>3</v>
      </c>
      <c r="AL563" s="30" t="inlineStr">
        <is>
          <t>T-0712</t>
        </is>
      </c>
      <c r="AM563" s="30" t="inlineStr">
        <is>
          <t>J-04-01</t>
        </is>
      </c>
      <c r="AN563" s="30" t="inlineStr">
        <is>
          <t>T-0591</t>
        </is>
      </c>
      <c r="AO563" s="30" t="inlineStr">
        <is>
          <t>J-03-01</t>
        </is>
      </c>
    </row>
    <row r="564">
      <c r="A564" s="30" t="inlineStr">
        <is>
          <t>O0563</t>
        </is>
      </c>
      <c r="B564" s="30" t="inlineStr">
        <is>
          <t>F</t>
        </is>
      </c>
      <c r="C564" s="31" t="n">
        <v>8216</v>
      </c>
      <c r="D564" s="31" t="n">
        <v>27451.7</v>
      </c>
      <c r="E564" s="31" t="n">
        <v>27451.7</v>
      </c>
      <c r="F564" s="31" t="n">
        <v>27465</v>
      </c>
      <c r="G564" s="31" t="n">
        <v>27493.1</v>
      </c>
      <c r="H564" s="31" t="n">
        <v>27514</v>
      </c>
      <c r="I564" s="31" t="n">
        <v>27547.7</v>
      </c>
      <c r="J564" s="31" t="n">
        <v>27581.9</v>
      </c>
      <c r="K564" s="31" t="n">
        <v>19365.9</v>
      </c>
      <c r="L564" s="31" t="n">
        <v>19235.7</v>
      </c>
      <c r="M564" s="30" t="inlineStr">
        <is>
          <t>AMR3</t>
        </is>
      </c>
      <c r="N564" s="30" t="inlineStr">
        <is>
          <t>AMR3</t>
        </is>
      </c>
      <c r="O564" s="32" t="n">
        <v>0</v>
      </c>
      <c r="P564" s="32" t="n">
        <v>0</v>
      </c>
      <c r="Q564" s="32" t="n">
        <v>23</v>
      </c>
      <c r="R564" s="31" t="n">
        <v>41.3</v>
      </c>
      <c r="S564" s="31" t="n">
        <v>41.3</v>
      </c>
      <c r="T564" s="30" t="inlineStr">
        <is>
          <t>AMR3</t>
        </is>
      </c>
      <c r="U564" s="31" t="n">
        <v>64.59999999999999</v>
      </c>
      <c r="V564" s="31" t="n">
        <v>64.59999999999999</v>
      </c>
      <c r="W564" s="30" t="inlineStr">
        <is>
          <t>AMR3</t>
        </is>
      </c>
      <c r="X564" s="32" t="n">
        <v>0</v>
      </c>
      <c r="Y564" s="32" t="n">
        <v>0</v>
      </c>
      <c r="Z564" s="31" t="n">
        <v>0</v>
      </c>
      <c r="AA564" s="32" t="n">
        <v>0</v>
      </c>
      <c r="AB564" s="32" t="n">
        <v>1</v>
      </c>
      <c r="AC564" s="32" t="n">
        <v>0</v>
      </c>
      <c r="AD564" s="32" t="n">
        <v>0</v>
      </c>
      <c r="AE564" s="31" t="n">
        <v>0</v>
      </c>
      <c r="AF564" s="32" t="n">
        <v>0</v>
      </c>
      <c r="AG564" s="31" t="n">
        <v>0</v>
      </c>
      <c r="AH564" s="32" t="n">
        <v>68</v>
      </c>
      <c r="AI564" s="31" t="n">
        <v>68.59999999999999</v>
      </c>
      <c r="AJ564" s="31" t="n">
        <v>40.7</v>
      </c>
      <c r="AK564" s="31" t="n">
        <v>0</v>
      </c>
      <c r="AL564" s="30" t="inlineStr">
        <is>
          <t>T-0713</t>
        </is>
      </c>
      <c r="AM564" s="30" t="inlineStr">
        <is>
          <t>F-06-01</t>
        </is>
      </c>
      <c r="AN564" s="30" t="inlineStr">
        <is>
          <t>T-0609</t>
        </is>
      </c>
      <c r="AO564" s="30" t="inlineStr">
        <is>
          <t>F-02-02</t>
        </is>
      </c>
    </row>
    <row r="565">
      <c r="A565" s="30" t="inlineStr">
        <is>
          <t>O0564</t>
        </is>
      </c>
      <c r="B565" s="30" t="inlineStr">
        <is>
          <t>F</t>
        </is>
      </c>
      <c r="C565" s="31" t="n">
        <v>8240.9</v>
      </c>
      <c r="D565" s="31" t="n">
        <v>27465.1</v>
      </c>
      <c r="E565" s="31" t="n">
        <v>27465.1</v>
      </c>
      <c r="F565" s="31" t="n">
        <v>27478.6</v>
      </c>
      <c r="G565" s="31" t="n">
        <v>27512.9</v>
      </c>
      <c r="H565" s="31" t="n">
        <v>27535.1</v>
      </c>
      <c r="I565" s="31" t="n">
        <v>27571.3</v>
      </c>
      <c r="J565" s="31" t="n">
        <v>27614.2</v>
      </c>
      <c r="K565" s="31" t="n">
        <v>19373.3</v>
      </c>
      <c r="L565" s="31" t="n">
        <v>19224.2</v>
      </c>
      <c r="M565" s="30" t="inlineStr">
        <is>
          <t>AMR1</t>
        </is>
      </c>
      <c r="N565" s="30" t="inlineStr">
        <is>
          <t>AMR1</t>
        </is>
      </c>
      <c r="O565" s="32" t="n">
        <v>0</v>
      </c>
      <c r="P565" s="32" t="n">
        <v>0</v>
      </c>
      <c r="Q565" s="32" t="n">
        <v>23</v>
      </c>
      <c r="R565" s="31" t="n">
        <v>44.8</v>
      </c>
      <c r="S565" s="31" t="n">
        <v>44.8</v>
      </c>
      <c r="T565" s="30" t="inlineStr">
        <is>
          <t>AMR1</t>
        </is>
      </c>
      <c r="U565" s="31" t="n">
        <v>69.40000000000001</v>
      </c>
      <c r="V565" s="31" t="n">
        <v>69.40000000000001</v>
      </c>
      <c r="W565" s="30" t="inlineStr">
        <is>
          <t>AMR1</t>
        </is>
      </c>
      <c r="X565" s="32" t="n">
        <v>0</v>
      </c>
      <c r="Y565" s="32" t="n">
        <v>0</v>
      </c>
      <c r="Z565" s="31" t="n">
        <v>0</v>
      </c>
      <c r="AA565" s="32" t="n">
        <v>0</v>
      </c>
      <c r="AB565" s="32" t="n">
        <v>1</v>
      </c>
      <c r="AC565" s="32" t="n">
        <v>1</v>
      </c>
      <c r="AD565" s="32" t="n">
        <v>0</v>
      </c>
      <c r="AE565" s="31" t="n">
        <v>0</v>
      </c>
      <c r="AF565" s="32" t="n">
        <v>1</v>
      </c>
      <c r="AG565" s="31" t="n">
        <v>0.4</v>
      </c>
      <c r="AH565" s="32" t="n">
        <v>67</v>
      </c>
      <c r="AI565" s="31" t="n">
        <v>67.90000000000001</v>
      </c>
      <c r="AJ565" s="31" t="n">
        <v>49</v>
      </c>
      <c r="AK565" s="31" t="n">
        <v>10</v>
      </c>
      <c r="AL565" s="30" t="inlineStr">
        <is>
          <t>T-0714</t>
        </is>
      </c>
      <c r="AM565" s="30" t="inlineStr">
        <is>
          <t>F-05-03</t>
        </is>
      </c>
      <c r="AN565" s="30" t="inlineStr">
        <is>
          <t>T-0613</t>
        </is>
      </c>
      <c r="AO565" s="30" t="inlineStr">
        <is>
          <t>F-03-02</t>
        </is>
      </c>
    </row>
    <row r="566">
      <c r="A566" s="30" t="inlineStr">
        <is>
          <t>O0565</t>
        </is>
      </c>
      <c r="B566" s="30" t="inlineStr">
        <is>
          <t>F</t>
        </is>
      </c>
      <c r="C566" s="31" t="n">
        <v>8257.200000000001</v>
      </c>
      <c r="D566" s="31" t="n">
        <v>27538.5</v>
      </c>
      <c r="E566" s="31" t="n">
        <v>27538.5</v>
      </c>
      <c r="F566" s="31" t="n">
        <v>27550.8</v>
      </c>
      <c r="G566" s="31" t="n">
        <v>27589</v>
      </c>
      <c r="H566" s="31" t="n">
        <v>27605.6</v>
      </c>
      <c r="I566" s="31" t="n">
        <v>27637.9</v>
      </c>
      <c r="J566" s="31" t="n">
        <v>27679.3</v>
      </c>
      <c r="K566" s="31" t="n">
        <v>19422.1</v>
      </c>
      <c r="L566" s="31" t="n">
        <v>19281.3</v>
      </c>
      <c r="M566" s="30" t="inlineStr">
        <is>
          <t>AMR2</t>
        </is>
      </c>
      <c r="N566" s="30" t="inlineStr">
        <is>
          <t>AMR3</t>
        </is>
      </c>
      <c r="O566" s="32" t="n">
        <v>0</v>
      </c>
      <c r="P566" s="32" t="n">
        <v>0</v>
      </c>
      <c r="Q566" s="32" t="n">
        <v>23</v>
      </c>
      <c r="R566" s="31" t="n">
        <v>40.7</v>
      </c>
      <c r="S566" s="31" t="n">
        <v>40.7</v>
      </c>
      <c r="T566" s="30" t="inlineStr">
        <is>
          <t>AMR2</t>
        </is>
      </c>
      <c r="U566" s="31" t="n">
        <v>68.5</v>
      </c>
      <c r="V566" s="31" t="n">
        <v>68.5</v>
      </c>
      <c r="W566" s="30" t="inlineStr">
        <is>
          <t>AMR3</t>
        </is>
      </c>
      <c r="X566" s="32" t="n">
        <v>0</v>
      </c>
      <c r="Y566" s="32" t="n">
        <v>0</v>
      </c>
      <c r="Z566" s="31" t="n">
        <v>0</v>
      </c>
      <c r="AA566" s="32" t="n">
        <v>0</v>
      </c>
      <c r="AB566" s="32" t="n">
        <v>1</v>
      </c>
      <c r="AC566" s="32" t="n">
        <v>2</v>
      </c>
      <c r="AD566" s="32" t="n">
        <v>0</v>
      </c>
      <c r="AE566" s="31" t="n">
        <v>0</v>
      </c>
      <c r="AF566" s="32" t="n">
        <v>0</v>
      </c>
      <c r="AG566" s="31" t="n">
        <v>0</v>
      </c>
      <c r="AH566" s="32" t="n">
        <v>71</v>
      </c>
      <c r="AI566" s="31" t="n">
        <v>74.2</v>
      </c>
      <c r="AJ566" s="31" t="n">
        <v>44</v>
      </c>
      <c r="AK566" s="31" t="n">
        <v>6</v>
      </c>
      <c r="AL566" s="30" t="inlineStr">
        <is>
          <t>T-0715</t>
        </is>
      </c>
      <c r="AM566" s="30" t="inlineStr">
        <is>
          <t>F-02-02</t>
        </is>
      </c>
      <c r="AN566" s="30" t="inlineStr">
        <is>
          <t>T-0632</t>
        </is>
      </c>
      <c r="AO566" s="30" t="inlineStr">
        <is>
          <t>F-05-02</t>
        </is>
      </c>
    </row>
    <row r="567">
      <c r="A567" s="30" t="inlineStr">
        <is>
          <t>O0566</t>
        </is>
      </c>
      <c r="B567" s="30" t="inlineStr">
        <is>
          <t>F</t>
        </is>
      </c>
      <c r="C567" s="31" t="n">
        <v>8277.799999999999</v>
      </c>
      <c r="D567" s="31" t="n">
        <v>27612.6</v>
      </c>
      <c r="E567" s="31" t="n">
        <v>27612.6</v>
      </c>
      <c r="F567" s="31" t="n">
        <v>27623</v>
      </c>
      <c r="G567" s="31" t="n">
        <v>27659.9</v>
      </c>
      <c r="H567" s="31" t="n">
        <v>27682.8</v>
      </c>
      <c r="I567" s="31" t="n">
        <v>27718</v>
      </c>
      <c r="J567" s="31" t="n">
        <v>27755.3</v>
      </c>
      <c r="K567" s="31" t="n">
        <v>19477.5</v>
      </c>
      <c r="L567" s="31" t="n">
        <v>19334.8</v>
      </c>
      <c r="M567" s="30" t="inlineStr">
        <is>
          <t>AMR2</t>
        </is>
      </c>
      <c r="N567" s="30" t="inlineStr">
        <is>
          <t>AMR2</t>
        </is>
      </c>
      <c r="O567" s="32" t="n">
        <v>0</v>
      </c>
      <c r="P567" s="32" t="n">
        <v>0</v>
      </c>
      <c r="Q567" s="32" t="n">
        <v>23</v>
      </c>
      <c r="R567" s="31" t="n">
        <v>41</v>
      </c>
      <c r="S567" s="31" t="n">
        <v>41</v>
      </c>
      <c r="T567" s="30" t="inlineStr">
        <is>
          <t>AMR2</t>
        </is>
      </c>
      <c r="U567" s="31" t="n">
        <v>69.2</v>
      </c>
      <c r="V567" s="31" t="n">
        <v>69.2</v>
      </c>
      <c r="W567" s="30" t="inlineStr">
        <is>
          <t>AMR2</t>
        </is>
      </c>
      <c r="X567" s="32" t="n">
        <v>0</v>
      </c>
      <c r="Y567" s="32" t="n">
        <v>0</v>
      </c>
      <c r="Z567" s="31" t="n">
        <v>0</v>
      </c>
      <c r="AA567" s="32" t="n">
        <v>0</v>
      </c>
      <c r="AB567" s="32" t="n">
        <v>1</v>
      </c>
      <c r="AC567" s="32" t="n">
        <v>1</v>
      </c>
      <c r="AD567" s="32" t="n">
        <v>0</v>
      </c>
      <c r="AE567" s="31" t="n">
        <v>0</v>
      </c>
      <c r="AF567" s="32" t="n">
        <v>0</v>
      </c>
      <c r="AG567" s="31" t="n">
        <v>0</v>
      </c>
      <c r="AH567" s="32" t="n">
        <v>70</v>
      </c>
      <c r="AI567" s="31" t="n">
        <v>70.2</v>
      </c>
      <c r="AJ567" s="31" t="n">
        <v>45</v>
      </c>
      <c r="AK567" s="31" t="n">
        <v>4.6</v>
      </c>
      <c r="AL567" s="30" t="inlineStr">
        <is>
          <t>T-0716</t>
        </is>
      </c>
      <c r="AM567" s="30" t="inlineStr">
        <is>
          <t>F-03-02</t>
        </is>
      </c>
      <c r="AN567" s="30" t="inlineStr">
        <is>
          <t>T-0634</t>
        </is>
      </c>
      <c r="AO567" s="30" t="inlineStr">
        <is>
          <t>F-02-03</t>
        </is>
      </c>
    </row>
    <row r="568">
      <c r="A568" s="30" t="inlineStr">
        <is>
          <t>O0567</t>
        </is>
      </c>
      <c r="B568" s="30" t="inlineStr">
        <is>
          <t>E</t>
        </is>
      </c>
      <c r="C568" s="31" t="n">
        <v>8297.5</v>
      </c>
      <c r="D568" s="31" t="n">
        <v>27637.9</v>
      </c>
      <c r="E568" s="31" t="n">
        <v>27637.9</v>
      </c>
      <c r="F568" s="31" t="n">
        <v>27651</v>
      </c>
      <c r="G568" s="31" t="n">
        <v>27680.2</v>
      </c>
      <c r="H568" s="31" t="n">
        <v>27699.7</v>
      </c>
      <c r="I568" s="31" t="n">
        <v>27737.1</v>
      </c>
      <c r="J568" s="31" t="n">
        <v>27773.9</v>
      </c>
      <c r="K568" s="31" t="n">
        <v>19476.4</v>
      </c>
      <c r="L568" s="31" t="n">
        <v>19340.4</v>
      </c>
      <c r="M568" s="30" t="inlineStr">
        <is>
          <t>AMR1</t>
        </is>
      </c>
      <c r="N568" s="30" t="inlineStr">
        <is>
          <t>AMR1</t>
        </is>
      </c>
      <c r="O568" s="32" t="n">
        <v>0</v>
      </c>
      <c r="P568" s="32" t="n">
        <v>0</v>
      </c>
      <c r="Q568" s="32" t="n">
        <v>19</v>
      </c>
      <c r="R568" s="31" t="n">
        <v>40.6</v>
      </c>
      <c r="S568" s="31" t="n">
        <v>40.6</v>
      </c>
      <c r="T568" s="30" t="inlineStr">
        <is>
          <t>AMR1</t>
        </is>
      </c>
      <c r="U568" s="31" t="n">
        <v>66.2</v>
      </c>
      <c r="V568" s="31" t="n">
        <v>66.2</v>
      </c>
      <c r="W568" s="30" t="inlineStr">
        <is>
          <t>AMR1</t>
        </is>
      </c>
      <c r="X568" s="32" t="n">
        <v>0</v>
      </c>
      <c r="Y568" s="32" t="n">
        <v>0</v>
      </c>
      <c r="Z568" s="31" t="n">
        <v>0</v>
      </c>
      <c r="AA568" s="32" t="n">
        <v>0</v>
      </c>
      <c r="AB568" s="32" t="n">
        <v>0</v>
      </c>
      <c r="AC568" s="32" t="n">
        <v>1</v>
      </c>
      <c r="AD568" s="32" t="n">
        <v>0</v>
      </c>
      <c r="AE568" s="31" t="n">
        <v>0</v>
      </c>
      <c r="AF568" s="32" t="n">
        <v>0</v>
      </c>
      <c r="AG568" s="31" t="n">
        <v>0</v>
      </c>
      <c r="AH568" s="32" t="n">
        <v>60</v>
      </c>
      <c r="AI568" s="31" t="n">
        <v>64.2</v>
      </c>
      <c r="AJ568" s="31" t="n">
        <v>49.3</v>
      </c>
      <c r="AK568" s="31" t="n">
        <v>3</v>
      </c>
      <c r="AL568" s="30" t="inlineStr">
        <is>
          <t>T-0717</t>
        </is>
      </c>
      <c r="AM568" s="30" t="inlineStr">
        <is>
          <t>E-03-02</t>
        </is>
      </c>
      <c r="AN568" s="30" t="inlineStr">
        <is>
          <t>T-0572</t>
        </is>
      </c>
      <c r="AO568" s="30" t="inlineStr">
        <is>
          <t>E-03-03</t>
        </is>
      </c>
    </row>
    <row r="569">
      <c r="A569" s="30" t="inlineStr">
        <is>
          <t>O0568</t>
        </is>
      </c>
      <c r="B569" s="30" t="inlineStr">
        <is>
          <t>B</t>
        </is>
      </c>
      <c r="C569" s="31" t="n">
        <v>8315</v>
      </c>
      <c r="D569" s="31" t="n">
        <v>27708.5</v>
      </c>
      <c r="E569" s="31" t="n">
        <v>27708.5</v>
      </c>
      <c r="F569" s="31" t="n">
        <v>27722.1</v>
      </c>
      <c r="G569" s="31" t="n">
        <v>27746.8</v>
      </c>
      <c r="H569" s="31" t="n">
        <v>27761.6</v>
      </c>
      <c r="I569" s="31" t="n">
        <v>27783.7</v>
      </c>
      <c r="J569" s="31" t="n">
        <v>27811.9</v>
      </c>
      <c r="K569" s="31" t="n">
        <v>19496.9</v>
      </c>
      <c r="L569" s="31" t="n">
        <v>19393.5</v>
      </c>
      <c r="M569" s="30" t="inlineStr">
        <is>
          <t>AMR3</t>
        </is>
      </c>
      <c r="N569" s="30" t="inlineStr">
        <is>
          <t>AMR3</t>
        </is>
      </c>
      <c r="O569" s="32" t="n">
        <v>0</v>
      </c>
      <c r="P569" s="32" t="n">
        <v>0</v>
      </c>
      <c r="Q569" s="32" t="n">
        <v>15</v>
      </c>
      <c r="R569" s="31" t="n">
        <v>37.4</v>
      </c>
      <c r="S569" s="31" t="n">
        <v>37.4</v>
      </c>
      <c r="T569" s="30" t="inlineStr">
        <is>
          <t>AMR3</t>
        </is>
      </c>
      <c r="U569" s="31" t="n">
        <v>52</v>
      </c>
      <c r="V569" s="31" t="n">
        <v>52</v>
      </c>
      <c r="W569" s="30" t="inlineStr">
        <is>
          <t>AMR3</t>
        </is>
      </c>
      <c r="X569" s="32" t="n">
        <v>0</v>
      </c>
      <c r="Y569" s="32" t="n">
        <v>0</v>
      </c>
      <c r="Z569" s="31" t="n">
        <v>0</v>
      </c>
      <c r="AA569" s="32" t="n">
        <v>0</v>
      </c>
      <c r="AB569" s="32" t="n">
        <v>0</v>
      </c>
      <c r="AC569" s="32" t="n">
        <v>0</v>
      </c>
      <c r="AD569" s="32" t="n">
        <v>0</v>
      </c>
      <c r="AE569" s="31" t="n">
        <v>0</v>
      </c>
      <c r="AF569" s="32" t="n">
        <v>0</v>
      </c>
      <c r="AG569" s="31" t="n">
        <v>0</v>
      </c>
      <c r="AH569" s="32" t="n">
        <v>43</v>
      </c>
      <c r="AI569" s="31" t="n">
        <v>46.5</v>
      </c>
      <c r="AJ569" s="31" t="n">
        <v>42.1</v>
      </c>
      <c r="AK569" s="31" t="n">
        <v>0</v>
      </c>
      <c r="AL569" s="30" t="inlineStr">
        <is>
          <t>T-0718</t>
        </is>
      </c>
      <c r="AM569" s="30" t="inlineStr">
        <is>
          <t>B-05-01</t>
        </is>
      </c>
      <c r="AN569" s="30" t="inlineStr">
        <is>
          <t>T-0551</t>
        </is>
      </c>
      <c r="AO569" s="30" t="inlineStr">
        <is>
          <t>B-06-01</t>
        </is>
      </c>
    </row>
    <row r="570">
      <c r="A570" s="30" t="inlineStr">
        <is>
          <t>O0569</t>
        </is>
      </c>
      <c r="B570" s="30" t="inlineStr">
        <is>
          <t>G</t>
        </is>
      </c>
      <c r="C570" s="31" t="n">
        <v>8332.9</v>
      </c>
      <c r="D570" s="31" t="n">
        <v>27779</v>
      </c>
      <c r="E570" s="31" t="n">
        <v>27779</v>
      </c>
      <c r="F570" s="31" t="n">
        <v>27793.9</v>
      </c>
      <c r="G570" s="31" t="n">
        <v>27817.3</v>
      </c>
      <c r="H570" s="31" t="n">
        <v>27832.8</v>
      </c>
      <c r="I570" s="31" t="n">
        <v>27859.2</v>
      </c>
      <c r="J570" s="31" t="n">
        <v>27889.3</v>
      </c>
      <c r="K570" s="31" t="n">
        <v>19556.4</v>
      </c>
      <c r="L570" s="31" t="n">
        <v>19446.1</v>
      </c>
      <c r="M570" s="30" t="inlineStr">
        <is>
          <t>AMR2</t>
        </is>
      </c>
      <c r="N570" s="30" t="inlineStr">
        <is>
          <t>AMR2</t>
        </is>
      </c>
      <c r="O570" s="32" t="n">
        <v>0</v>
      </c>
      <c r="P570" s="32" t="n">
        <v>0</v>
      </c>
      <c r="Q570" s="32" t="n">
        <v>17</v>
      </c>
      <c r="R570" s="31" t="n">
        <v>38.2</v>
      </c>
      <c r="S570" s="31" t="n">
        <v>38.2</v>
      </c>
      <c r="T570" s="30" t="inlineStr">
        <is>
          <t>AMR2</t>
        </is>
      </c>
      <c r="U570" s="31" t="n">
        <v>53.2</v>
      </c>
      <c r="V570" s="31" t="n">
        <v>53.2</v>
      </c>
      <c r="W570" s="30" t="inlineStr">
        <is>
          <t>AMR2</t>
        </is>
      </c>
      <c r="X570" s="32" t="n">
        <v>0</v>
      </c>
      <c r="Y570" s="32" t="n">
        <v>0</v>
      </c>
      <c r="Z570" s="31" t="n">
        <v>0</v>
      </c>
      <c r="AA570" s="32" t="n">
        <v>0</v>
      </c>
      <c r="AB570" s="32" t="n">
        <v>1</v>
      </c>
      <c r="AC570" s="32" t="n">
        <v>0</v>
      </c>
      <c r="AD570" s="32" t="n">
        <v>0</v>
      </c>
      <c r="AE570" s="31" t="n">
        <v>0</v>
      </c>
      <c r="AF570" s="32" t="n">
        <v>0</v>
      </c>
      <c r="AG570" s="31" t="n">
        <v>0</v>
      </c>
      <c r="AH570" s="32" t="n">
        <v>50</v>
      </c>
      <c r="AI570" s="31" t="n">
        <v>53.8</v>
      </c>
      <c r="AJ570" s="31" t="n">
        <v>41</v>
      </c>
      <c r="AK570" s="31" t="n">
        <v>0</v>
      </c>
      <c r="AL570" s="30" t="inlineStr">
        <is>
          <t>T-0719</t>
        </is>
      </c>
      <c r="AM570" s="30" t="inlineStr">
        <is>
          <t>G-06-02</t>
        </is>
      </c>
      <c r="AN570" s="30" t="inlineStr">
        <is>
          <t>T-0522</t>
        </is>
      </c>
      <c r="AO570" s="30" t="inlineStr">
        <is>
          <t>G-01-03</t>
        </is>
      </c>
    </row>
    <row r="571">
      <c r="A571" s="30" t="inlineStr">
        <is>
          <t>O0570</t>
        </is>
      </c>
      <c r="B571" s="30" t="inlineStr">
        <is>
          <t>C</t>
        </is>
      </c>
      <c r="C571" s="31" t="n">
        <v>8352.1</v>
      </c>
      <c r="D571" s="31" t="n">
        <v>27797.6</v>
      </c>
      <c r="E571" s="31" t="n">
        <v>27797.6</v>
      </c>
      <c r="F571" s="31" t="n">
        <v>27810.2</v>
      </c>
      <c r="G571" s="31" t="n">
        <v>27833</v>
      </c>
      <c r="H571" s="31" t="n">
        <v>27835.6</v>
      </c>
      <c r="I571" s="31" t="n">
        <v>27861.3</v>
      </c>
      <c r="J571" s="31" t="n">
        <v>27901.2</v>
      </c>
      <c r="K571" s="31" t="n">
        <v>19549.1</v>
      </c>
      <c r="L571" s="31" t="n">
        <v>19445.5</v>
      </c>
      <c r="M571" s="30" t="inlineStr">
        <is>
          <t>AMR1</t>
        </is>
      </c>
      <c r="N571" s="30" t="inlineStr">
        <is>
          <t>AMR3</t>
        </is>
      </c>
      <c r="O571" s="32" t="n">
        <v>0</v>
      </c>
      <c r="P571" s="32" t="n">
        <v>0</v>
      </c>
      <c r="Q571" s="32" t="n">
        <v>13</v>
      </c>
      <c r="R571" s="31" t="n">
        <v>34.5</v>
      </c>
      <c r="S571" s="31" t="n">
        <v>34.5</v>
      </c>
      <c r="T571" s="30" t="inlineStr">
        <is>
          <t>AMR1</t>
        </is>
      </c>
      <c r="U571" s="31" t="n">
        <v>46.6</v>
      </c>
      <c r="V571" s="31" t="n">
        <v>46.6</v>
      </c>
      <c r="W571" s="30" t="inlineStr">
        <is>
          <t>AMR3</t>
        </is>
      </c>
      <c r="X571" s="32" t="n">
        <v>0</v>
      </c>
      <c r="Y571" s="32" t="n">
        <v>0</v>
      </c>
      <c r="Z571" s="31" t="n">
        <v>0</v>
      </c>
      <c r="AA571" s="32" t="n">
        <v>0</v>
      </c>
      <c r="AB571" s="32" t="n">
        <v>2</v>
      </c>
      <c r="AC571" s="32" t="n">
        <v>1</v>
      </c>
      <c r="AD571" s="32" t="n">
        <v>2</v>
      </c>
      <c r="AE571" s="31" t="n">
        <v>11.8</v>
      </c>
      <c r="AF571" s="32" t="n">
        <v>2</v>
      </c>
      <c r="AG571" s="31" t="n">
        <v>6</v>
      </c>
      <c r="AH571" s="32" t="n">
        <v>39</v>
      </c>
      <c r="AI571" s="31" t="n">
        <v>41.9</v>
      </c>
      <c r="AJ571" s="31" t="n">
        <v>38.9</v>
      </c>
      <c r="AK571" s="31" t="n">
        <v>20.2</v>
      </c>
      <c r="AL571" s="30" t="inlineStr">
        <is>
          <t>T-0720</t>
        </is>
      </c>
      <c r="AM571" s="30" t="inlineStr">
        <is>
          <t>C-02-01</t>
        </is>
      </c>
      <c r="AN571" s="30" t="inlineStr">
        <is>
          <t>T-0568</t>
        </is>
      </c>
      <c r="AO571" s="30" t="inlineStr">
        <is>
          <t>C-01-03</t>
        </is>
      </c>
    </row>
    <row r="572">
      <c r="A572" s="30" t="inlineStr">
        <is>
          <t>O0571</t>
        </is>
      </c>
      <c r="B572" s="30" t="inlineStr">
        <is>
          <t>F</t>
        </is>
      </c>
      <c r="C572" s="31" t="n">
        <v>8376.4</v>
      </c>
      <c r="D572" s="31" t="n">
        <v>27849.2</v>
      </c>
      <c r="E572" s="31" t="n">
        <v>27849.2</v>
      </c>
      <c r="F572" s="31" t="n">
        <v>27864.2</v>
      </c>
      <c r="G572" s="31" t="n">
        <v>27893.9</v>
      </c>
      <c r="H572" s="31" t="n">
        <v>27913</v>
      </c>
      <c r="I572" s="31" t="n">
        <v>27948.6</v>
      </c>
      <c r="J572" s="31" t="n">
        <v>27983.4</v>
      </c>
      <c r="K572" s="31" t="n">
        <v>19607</v>
      </c>
      <c r="L572" s="31" t="n">
        <v>19472.8</v>
      </c>
      <c r="M572" s="30" t="inlineStr">
        <is>
          <t>AMR1</t>
        </is>
      </c>
      <c r="N572" s="30" t="inlineStr">
        <is>
          <t>AMR2</t>
        </is>
      </c>
      <c r="O572" s="32" t="n">
        <v>0</v>
      </c>
      <c r="P572" s="32" t="n">
        <v>0</v>
      </c>
      <c r="Q572" s="32" t="n">
        <v>23</v>
      </c>
      <c r="R572" s="31" t="n">
        <v>43.8</v>
      </c>
      <c r="S572" s="31" t="n">
        <v>43.8</v>
      </c>
      <c r="T572" s="30" t="inlineStr">
        <is>
          <t>AMR1</t>
        </is>
      </c>
      <c r="U572" s="31" t="n">
        <v>64.3</v>
      </c>
      <c r="V572" s="31" t="n">
        <v>64.3</v>
      </c>
      <c r="W572" s="30" t="inlineStr">
        <is>
          <t>AMR2</t>
        </is>
      </c>
      <c r="X572" s="32" t="n">
        <v>0</v>
      </c>
      <c r="Y572" s="32" t="n">
        <v>0</v>
      </c>
      <c r="Z572" s="31" t="n">
        <v>0</v>
      </c>
      <c r="AA572" s="32" t="n">
        <v>0</v>
      </c>
      <c r="AB572" s="32" t="n">
        <v>1</v>
      </c>
      <c r="AC572" s="32" t="n">
        <v>1</v>
      </c>
      <c r="AD572" s="32" t="n">
        <v>0</v>
      </c>
      <c r="AE572" s="31" t="n">
        <v>0</v>
      </c>
      <c r="AF572" s="32" t="n">
        <v>0</v>
      </c>
      <c r="AG572" s="31" t="n">
        <v>0</v>
      </c>
      <c r="AH572" s="32" t="n">
        <v>65</v>
      </c>
      <c r="AI572" s="31" t="n">
        <v>69.2</v>
      </c>
      <c r="AJ572" s="31" t="n">
        <v>42.9</v>
      </c>
      <c r="AK572" s="31" t="n">
        <v>3</v>
      </c>
      <c r="AL572" s="30" t="inlineStr">
        <is>
          <t>T-0721</t>
        </is>
      </c>
      <c r="AM572" s="30" t="inlineStr">
        <is>
          <t>F-05-02</t>
        </is>
      </c>
      <c r="AN572" s="30" t="inlineStr">
        <is>
          <t>T-0635</t>
        </is>
      </c>
      <c r="AO572" s="30" t="inlineStr">
        <is>
          <t>F-04-02</t>
        </is>
      </c>
    </row>
    <row r="573">
      <c r="A573" s="30" t="inlineStr">
        <is>
          <t>O0572</t>
        </is>
      </c>
      <c r="B573" s="30" t="inlineStr">
        <is>
          <t>H</t>
        </is>
      </c>
      <c r="C573" s="31" t="n">
        <v>8399</v>
      </c>
      <c r="D573" s="31" t="n">
        <v>27920.9</v>
      </c>
      <c r="E573" s="31" t="n">
        <v>27920.9</v>
      </c>
      <c r="F573" s="31" t="n">
        <v>27933.1</v>
      </c>
      <c r="G573" s="31" t="n">
        <v>27960.8</v>
      </c>
      <c r="H573" s="31" t="n">
        <v>27975</v>
      </c>
      <c r="I573" s="31" t="n">
        <v>28002.8</v>
      </c>
      <c r="J573" s="31" t="n">
        <v>28027.9</v>
      </c>
      <c r="K573" s="31" t="n">
        <v>19628.9</v>
      </c>
      <c r="L573" s="31" t="n">
        <v>19521.9</v>
      </c>
      <c r="M573" s="30" t="inlineStr">
        <is>
          <t>AMR1</t>
        </is>
      </c>
      <c r="N573" s="30" t="inlineStr">
        <is>
          <t>AMR1</t>
        </is>
      </c>
      <c r="O573" s="32" t="n">
        <v>0</v>
      </c>
      <c r="P573" s="32" t="n">
        <v>0</v>
      </c>
      <c r="Q573" s="32" t="n">
        <v>15</v>
      </c>
      <c r="R573" s="31" t="n">
        <v>39</v>
      </c>
      <c r="S573" s="31" t="n">
        <v>39</v>
      </c>
      <c r="T573" s="30" t="inlineStr">
        <is>
          <t>AMR1</t>
        </is>
      </c>
      <c r="U573" s="31" t="n">
        <v>53.1</v>
      </c>
      <c r="V573" s="31" t="n">
        <v>53.1</v>
      </c>
      <c r="W573" s="30" t="inlineStr">
        <is>
          <t>AMR1</t>
        </is>
      </c>
      <c r="X573" s="32" t="n">
        <v>0</v>
      </c>
      <c r="Y573" s="32" t="n">
        <v>0</v>
      </c>
      <c r="Z573" s="31" t="n">
        <v>0</v>
      </c>
      <c r="AA573" s="32" t="n">
        <v>0</v>
      </c>
      <c r="AB573" s="32" t="n">
        <v>0</v>
      </c>
      <c r="AC573" s="32" t="n">
        <v>0</v>
      </c>
      <c r="AD573" s="32" t="n">
        <v>0</v>
      </c>
      <c r="AE573" s="31" t="n">
        <v>0</v>
      </c>
      <c r="AF573" s="32" t="n">
        <v>0</v>
      </c>
      <c r="AG573" s="31" t="n">
        <v>0</v>
      </c>
      <c r="AH573" s="32" t="n">
        <v>41</v>
      </c>
      <c r="AI573" s="31" t="n">
        <v>46</v>
      </c>
      <c r="AJ573" s="31" t="n">
        <v>46.8</v>
      </c>
      <c r="AK573" s="31" t="n">
        <v>0</v>
      </c>
      <c r="AL573" s="30" t="inlineStr">
        <is>
          <t>T-0722</t>
        </is>
      </c>
      <c r="AM573" s="30" t="inlineStr">
        <is>
          <t>H-01-02</t>
        </is>
      </c>
      <c r="AN573" s="30" t="inlineStr">
        <is>
          <t>T-0560</t>
        </is>
      </c>
      <c r="AO573" s="30" t="inlineStr">
        <is>
          <t>H-02-03</t>
        </is>
      </c>
    </row>
    <row r="574">
      <c r="A574" s="30" t="inlineStr">
        <is>
          <t>O0573</t>
        </is>
      </c>
      <c r="B574" s="30" t="inlineStr">
        <is>
          <t>E</t>
        </is>
      </c>
      <c r="C574" s="31" t="n">
        <v>8418.700000000001</v>
      </c>
      <c r="D574" s="31" t="n">
        <v>27933.1</v>
      </c>
      <c r="E574" s="31" t="n">
        <v>27933.1</v>
      </c>
      <c r="F574" s="31" t="n">
        <v>27947.3</v>
      </c>
      <c r="G574" s="31" t="n">
        <v>27976.6</v>
      </c>
      <c r="H574" s="31" t="n">
        <v>27994.8</v>
      </c>
      <c r="I574" s="31" t="n">
        <v>28024.3</v>
      </c>
      <c r="J574" s="31" t="n">
        <v>28055.7</v>
      </c>
      <c r="K574" s="31" t="n">
        <v>19637</v>
      </c>
      <c r="L574" s="31" t="n">
        <v>19514.4</v>
      </c>
      <c r="M574" s="30" t="inlineStr">
        <is>
          <t>AMR3</t>
        </is>
      </c>
      <c r="N574" s="30" t="inlineStr">
        <is>
          <t>AMR3</t>
        </is>
      </c>
      <c r="O574" s="32" t="n">
        <v>0</v>
      </c>
      <c r="P574" s="32" t="n">
        <v>0</v>
      </c>
      <c r="Q574" s="32" t="n">
        <v>19</v>
      </c>
      <c r="R574" s="31" t="n">
        <v>42.6</v>
      </c>
      <c r="S574" s="31" t="n">
        <v>42.6</v>
      </c>
      <c r="T574" s="30" t="inlineStr">
        <is>
          <t>AMR3</t>
        </is>
      </c>
      <c r="U574" s="31" t="n">
        <v>61.1</v>
      </c>
      <c r="V574" s="31" t="n">
        <v>61.1</v>
      </c>
      <c r="W574" s="30" t="inlineStr">
        <is>
          <t>AMR3</t>
        </is>
      </c>
      <c r="X574" s="32" t="n">
        <v>0</v>
      </c>
      <c r="Y574" s="32" t="n">
        <v>0</v>
      </c>
      <c r="Z574" s="31" t="n">
        <v>0</v>
      </c>
      <c r="AA574" s="32" t="n">
        <v>0</v>
      </c>
      <c r="AB574" s="32" t="n">
        <v>0</v>
      </c>
      <c r="AC574" s="32" t="n">
        <v>0</v>
      </c>
      <c r="AD574" s="32" t="n">
        <v>0</v>
      </c>
      <c r="AE574" s="31" t="n">
        <v>0</v>
      </c>
      <c r="AF574" s="32" t="n">
        <v>0</v>
      </c>
      <c r="AG574" s="31" t="n">
        <v>0</v>
      </c>
      <c r="AH574" s="32" t="n">
        <v>57</v>
      </c>
      <c r="AI574" s="31" t="n">
        <v>58.2</v>
      </c>
      <c r="AJ574" s="31" t="n">
        <v>46.2</v>
      </c>
      <c r="AK574" s="31" t="n">
        <v>0</v>
      </c>
      <c r="AL574" s="30" t="inlineStr">
        <is>
          <t>T-0723</t>
        </is>
      </c>
      <c r="AM574" s="30" t="inlineStr">
        <is>
          <t>E-02-03</t>
        </is>
      </c>
      <c r="AN574" s="30" t="inlineStr">
        <is>
          <t>T-0576</t>
        </is>
      </c>
      <c r="AO574" s="30" t="inlineStr">
        <is>
          <t>E-01-01</t>
        </is>
      </c>
    </row>
    <row r="575">
      <c r="A575" s="30" t="inlineStr">
        <is>
          <t>O0574</t>
        </is>
      </c>
      <c r="B575" s="30" t="inlineStr">
        <is>
          <t>G</t>
        </is>
      </c>
      <c r="C575" s="31" t="n">
        <v>8433.9</v>
      </c>
      <c r="D575" s="31" t="n">
        <v>28007.1</v>
      </c>
      <c r="E575" s="31" t="n">
        <v>28007.1</v>
      </c>
      <c r="F575" s="31" t="n">
        <v>28021.2</v>
      </c>
      <c r="G575" s="31" t="n">
        <v>28050.1</v>
      </c>
      <c r="H575" s="31" t="n">
        <v>28051.6</v>
      </c>
      <c r="I575" s="31" t="n">
        <v>28079.5</v>
      </c>
      <c r="J575" s="31" t="n">
        <v>28110.1</v>
      </c>
      <c r="K575" s="31" t="n">
        <v>19676.2</v>
      </c>
      <c r="L575" s="31" t="n">
        <v>19573.2</v>
      </c>
      <c r="M575" s="30" t="inlineStr">
        <is>
          <t>AMR2</t>
        </is>
      </c>
      <c r="N575" s="30" t="inlineStr">
        <is>
          <t>AMR1</t>
        </is>
      </c>
      <c r="O575" s="32" t="n">
        <v>0</v>
      </c>
      <c r="P575" s="32" t="n">
        <v>0</v>
      </c>
      <c r="Q575" s="32" t="n">
        <v>17</v>
      </c>
      <c r="R575" s="31" t="n">
        <v>40.5</v>
      </c>
      <c r="S575" s="31" t="n">
        <v>40.5</v>
      </c>
      <c r="T575" s="30" t="inlineStr">
        <is>
          <t>AMR2</t>
        </is>
      </c>
      <c r="U575" s="31" t="n">
        <v>56.2</v>
      </c>
      <c r="V575" s="31" t="n">
        <v>56.2</v>
      </c>
      <c r="W575" s="30" t="inlineStr">
        <is>
          <t>AMR1</t>
        </is>
      </c>
      <c r="X575" s="32" t="n">
        <v>0</v>
      </c>
      <c r="Y575" s="32" t="n">
        <v>0</v>
      </c>
      <c r="Z575" s="31" t="n">
        <v>0</v>
      </c>
      <c r="AA575" s="32" t="n">
        <v>0</v>
      </c>
      <c r="AB575" s="32" t="n">
        <v>0</v>
      </c>
      <c r="AC575" s="32" t="n">
        <v>0</v>
      </c>
      <c r="AD575" s="32" t="n">
        <v>0</v>
      </c>
      <c r="AE575" s="31" t="n">
        <v>0</v>
      </c>
      <c r="AF575" s="32" t="n">
        <v>0</v>
      </c>
      <c r="AG575" s="31" t="n">
        <v>0</v>
      </c>
      <c r="AH575" s="32" t="n">
        <v>53</v>
      </c>
      <c r="AI575" s="31" t="n">
        <v>55.2</v>
      </c>
      <c r="AJ575" s="31" t="n">
        <v>46.3</v>
      </c>
      <c r="AK575" s="31" t="n">
        <v>0</v>
      </c>
      <c r="AL575" s="30" t="inlineStr">
        <is>
          <t>T-0724</t>
        </is>
      </c>
      <c r="AM575" s="30" t="inlineStr">
        <is>
          <t>G-01-03</t>
        </is>
      </c>
      <c r="AN575" s="30" t="inlineStr">
        <is>
          <t>T-0523</t>
        </is>
      </c>
      <c r="AO575" s="30" t="inlineStr">
        <is>
          <t>G-02-03</t>
        </is>
      </c>
    </row>
    <row r="576">
      <c r="A576" s="30" t="inlineStr">
        <is>
          <t>O0575</t>
        </is>
      </c>
      <c r="B576" s="30" t="inlineStr">
        <is>
          <t>D</t>
        </is>
      </c>
      <c r="C576" s="31" t="n">
        <v>8453.5</v>
      </c>
      <c r="D576" s="31" t="n">
        <v>28068.3</v>
      </c>
      <c r="E576" s="31" t="n">
        <v>28068.3</v>
      </c>
      <c r="F576" s="31" t="n">
        <v>28080.2</v>
      </c>
      <c r="G576" s="31" t="n">
        <v>28102</v>
      </c>
      <c r="H576" s="31" t="n">
        <v>28116.8</v>
      </c>
      <c r="I576" s="31" t="n">
        <v>28146.9</v>
      </c>
      <c r="J576" s="31" t="n">
        <v>28177.9</v>
      </c>
      <c r="K576" s="31" t="n">
        <v>19724.4</v>
      </c>
      <c r="L576" s="31" t="n">
        <v>19614.8</v>
      </c>
      <c r="M576" s="30" t="inlineStr">
        <is>
          <t>AMR2</t>
        </is>
      </c>
      <c r="N576" s="30" t="inlineStr">
        <is>
          <t>AMR2</t>
        </is>
      </c>
      <c r="O576" s="32" t="n">
        <v>0</v>
      </c>
      <c r="P576" s="32" t="n">
        <v>0</v>
      </c>
      <c r="Q576" s="32" t="n">
        <v>13</v>
      </c>
      <c r="R576" s="31" t="n">
        <v>31.2</v>
      </c>
      <c r="S576" s="31" t="n">
        <v>31.2</v>
      </c>
      <c r="T576" s="30" t="inlineStr">
        <is>
          <t>AMR2</t>
        </is>
      </c>
      <c r="U576" s="31" t="n">
        <v>51.3</v>
      </c>
      <c r="V576" s="31" t="n">
        <v>51.3</v>
      </c>
      <c r="W576" s="30" t="inlineStr">
        <is>
          <t>AMR2</t>
        </is>
      </c>
      <c r="X576" s="32" t="n">
        <v>0</v>
      </c>
      <c r="Y576" s="32" t="n">
        <v>0</v>
      </c>
      <c r="Z576" s="31" t="n">
        <v>0</v>
      </c>
      <c r="AA576" s="32" t="n">
        <v>0</v>
      </c>
      <c r="AB576" s="32" t="n">
        <v>1</v>
      </c>
      <c r="AC576" s="32" t="n">
        <v>1</v>
      </c>
      <c r="AD576" s="32" t="n">
        <v>0</v>
      </c>
      <c r="AE576" s="31" t="n">
        <v>0</v>
      </c>
      <c r="AF576" s="32" t="n">
        <v>0</v>
      </c>
      <c r="AG576" s="31" t="n">
        <v>0</v>
      </c>
      <c r="AH576" s="32" t="n">
        <v>47</v>
      </c>
      <c r="AI576" s="31" t="n">
        <v>50</v>
      </c>
      <c r="AJ576" s="31" t="n">
        <v>39.8</v>
      </c>
      <c r="AK576" s="31" t="n">
        <v>5</v>
      </c>
      <c r="AL576" s="30" t="inlineStr">
        <is>
          <t>T-0725</t>
        </is>
      </c>
      <c r="AM576" s="30" t="inlineStr">
        <is>
          <t>D-04-02</t>
        </is>
      </c>
      <c r="AN576" s="30" t="inlineStr">
        <is>
          <t>T-0486</t>
        </is>
      </c>
      <c r="AO576" s="30" t="inlineStr">
        <is>
          <t>D-06-02</t>
        </is>
      </c>
    </row>
    <row r="577">
      <c r="A577" s="30" t="inlineStr">
        <is>
          <t>O0576</t>
        </is>
      </c>
      <c r="B577" s="30" t="inlineStr">
        <is>
          <t>A</t>
        </is>
      </c>
      <c r="C577" s="31" t="n">
        <v>8474.299999999999</v>
      </c>
      <c r="D577" s="31" t="n">
        <v>28079.4</v>
      </c>
      <c r="E577" s="31" t="n">
        <v>28079.4</v>
      </c>
      <c r="F577" s="31" t="n">
        <v>28094.2</v>
      </c>
      <c r="G577" s="31" t="n">
        <v>28124.7</v>
      </c>
      <c r="H577" s="31" t="n">
        <v>28138.8</v>
      </c>
      <c r="I577" s="31" t="n">
        <v>28165.8</v>
      </c>
      <c r="J577" s="31" t="n">
        <v>28204.7</v>
      </c>
      <c r="K577" s="31" t="n">
        <v>19730.4</v>
      </c>
      <c r="L577" s="31" t="n">
        <v>19605.1</v>
      </c>
      <c r="M577" s="30" t="inlineStr">
        <is>
          <t>AMR3</t>
        </is>
      </c>
      <c r="N577" s="30" t="inlineStr">
        <is>
          <t>AMR1</t>
        </is>
      </c>
      <c r="O577" s="32" t="n">
        <v>0</v>
      </c>
      <c r="P577" s="32" t="n">
        <v>0</v>
      </c>
      <c r="Q577" s="32" t="n">
        <v>21</v>
      </c>
      <c r="R577" s="31" t="n">
        <v>42.8</v>
      </c>
      <c r="S577" s="31" t="n">
        <v>42.8</v>
      </c>
      <c r="T577" s="30" t="inlineStr">
        <is>
          <t>AMR3</t>
        </is>
      </c>
      <c r="U577" s="31" t="n">
        <v>63.6</v>
      </c>
      <c r="V577" s="31" t="n">
        <v>63.6</v>
      </c>
      <c r="W577" s="30" t="inlineStr">
        <is>
          <t>AMR1</t>
        </is>
      </c>
      <c r="X577" s="32" t="n">
        <v>0</v>
      </c>
      <c r="Y577" s="32" t="n">
        <v>0</v>
      </c>
      <c r="Z577" s="31" t="n">
        <v>0</v>
      </c>
      <c r="AA577" s="32" t="n">
        <v>0</v>
      </c>
      <c r="AB577" s="32" t="n">
        <v>0</v>
      </c>
      <c r="AC577" s="32" t="n">
        <v>0</v>
      </c>
      <c r="AD577" s="32" t="n">
        <v>0</v>
      </c>
      <c r="AE577" s="31" t="n">
        <v>0</v>
      </c>
      <c r="AF577" s="32" t="n">
        <v>0</v>
      </c>
      <c r="AG577" s="31" t="n">
        <v>0</v>
      </c>
      <c r="AH577" s="32" t="n">
        <v>69</v>
      </c>
      <c r="AI577" s="31" t="n">
        <v>66.90000000000001</v>
      </c>
      <c r="AJ577" s="31" t="n">
        <v>44.3</v>
      </c>
      <c r="AK577" s="31" t="n">
        <v>0</v>
      </c>
      <c r="AL577" s="30" t="inlineStr">
        <is>
          <t>T-0726</t>
        </is>
      </c>
      <c r="AM577" s="30" t="inlineStr">
        <is>
          <t>A-02-02</t>
        </is>
      </c>
      <c r="AN577" s="30" t="inlineStr">
        <is>
          <t>T-0567</t>
        </is>
      </c>
      <c r="AO577" s="30" t="inlineStr">
        <is>
          <t>A-01-01</t>
        </is>
      </c>
    </row>
    <row r="578">
      <c r="A578" s="30" t="inlineStr">
        <is>
          <t>O0577</t>
        </is>
      </c>
      <c r="B578" s="30" t="inlineStr">
        <is>
          <t>J</t>
        </is>
      </c>
      <c r="C578" s="31" t="n">
        <v>8492.1</v>
      </c>
      <c r="D578" s="31" t="n">
        <v>28146.3</v>
      </c>
      <c r="E578" s="31" t="n">
        <v>28146.3</v>
      </c>
      <c r="F578" s="31" t="n">
        <v>28159.4</v>
      </c>
      <c r="G578" s="31" t="n">
        <v>28190.9</v>
      </c>
      <c r="H578" s="31" t="n">
        <v>28201.6</v>
      </c>
      <c r="I578" s="31" t="n">
        <v>28230</v>
      </c>
      <c r="J578" s="31" t="n">
        <v>28264.6</v>
      </c>
      <c r="K578" s="31" t="n">
        <v>19772.5</v>
      </c>
      <c r="L578" s="31" t="n">
        <v>19654.2</v>
      </c>
      <c r="M578" s="30" t="inlineStr">
        <is>
          <t>AMR3</t>
        </is>
      </c>
      <c r="N578" s="30" t="inlineStr">
        <is>
          <t>AMR2</t>
        </is>
      </c>
      <c r="O578" s="32" t="n">
        <v>0</v>
      </c>
      <c r="P578" s="32" t="n">
        <v>0</v>
      </c>
      <c r="Q578" s="32" t="n">
        <v>21</v>
      </c>
      <c r="R578" s="31" t="n">
        <v>42.9</v>
      </c>
      <c r="S578" s="31" t="n">
        <v>42.9</v>
      </c>
      <c r="T578" s="30" t="inlineStr">
        <is>
          <t>AMR3</t>
        </is>
      </c>
      <c r="U578" s="31" t="n">
        <v>63.2</v>
      </c>
      <c r="V578" s="31" t="n">
        <v>63.2</v>
      </c>
      <c r="W578" s="30" t="inlineStr">
        <is>
          <t>AMR2</t>
        </is>
      </c>
      <c r="X578" s="32" t="n">
        <v>0</v>
      </c>
      <c r="Y578" s="32" t="n">
        <v>0</v>
      </c>
      <c r="Z578" s="31" t="n">
        <v>0</v>
      </c>
      <c r="AA578" s="32" t="n">
        <v>0</v>
      </c>
      <c r="AB578" s="32" t="n">
        <v>0</v>
      </c>
      <c r="AC578" s="32" t="n">
        <v>0</v>
      </c>
      <c r="AD578" s="32" t="n">
        <v>0</v>
      </c>
      <c r="AE578" s="31" t="n">
        <v>0</v>
      </c>
      <c r="AF578" s="32" t="n">
        <v>0</v>
      </c>
      <c r="AG578" s="31" t="n">
        <v>0</v>
      </c>
      <c r="AH578" s="32" t="n">
        <v>60</v>
      </c>
      <c r="AI578" s="31" t="n">
        <v>62.1</v>
      </c>
      <c r="AJ578" s="31" t="n">
        <v>45.5</v>
      </c>
      <c r="AK578" s="31" t="n">
        <v>0</v>
      </c>
      <c r="AL578" s="30" t="inlineStr">
        <is>
          <t>T-0727</t>
        </is>
      </c>
      <c r="AM578" s="30" t="inlineStr">
        <is>
          <t>J-03-01</t>
        </is>
      </c>
      <c r="AN578" s="30" t="inlineStr">
        <is>
          <t>T-0593</t>
        </is>
      </c>
      <c r="AO578" s="30" t="inlineStr">
        <is>
          <t>J-01-02</t>
        </is>
      </c>
    </row>
    <row r="579">
      <c r="A579" s="30" t="inlineStr">
        <is>
          <t>O0578</t>
        </is>
      </c>
      <c r="B579" s="30" t="inlineStr">
        <is>
          <t>E</t>
        </is>
      </c>
      <c r="C579" s="31" t="n">
        <v>8513.9</v>
      </c>
      <c r="D579" s="31" t="n">
        <v>28212.4</v>
      </c>
      <c r="E579" s="31" t="n">
        <v>28212.4</v>
      </c>
      <c r="F579" s="31" t="n">
        <v>28225.2</v>
      </c>
      <c r="G579" s="31" t="n">
        <v>28253.1</v>
      </c>
      <c r="H579" s="31" t="n">
        <v>28271.3</v>
      </c>
      <c r="I579" s="31" t="n">
        <v>28298.3</v>
      </c>
      <c r="J579" s="31" t="n">
        <v>28334.3</v>
      </c>
      <c r="K579" s="31" t="n">
        <v>19820.4</v>
      </c>
      <c r="L579" s="31" t="n">
        <v>19698.5</v>
      </c>
      <c r="M579" s="30" t="inlineStr">
        <is>
          <t>AMR3</t>
        </is>
      </c>
      <c r="N579" s="30" t="inlineStr">
        <is>
          <t>AMR3</t>
        </is>
      </c>
      <c r="O579" s="32" t="n">
        <v>0</v>
      </c>
      <c r="P579" s="32" t="n">
        <v>0</v>
      </c>
      <c r="Q579" s="32" t="n">
        <v>19</v>
      </c>
      <c r="R579" s="31" t="n">
        <v>39.8</v>
      </c>
      <c r="S579" s="31" t="n">
        <v>39.8</v>
      </c>
      <c r="T579" s="30" t="inlineStr">
        <is>
          <t>AMR3</t>
        </is>
      </c>
      <c r="U579" s="31" t="n">
        <v>58.2</v>
      </c>
      <c r="V579" s="31" t="n">
        <v>58.2</v>
      </c>
      <c r="W579" s="30" t="inlineStr">
        <is>
          <t>AMR3</t>
        </is>
      </c>
      <c r="X579" s="32" t="n">
        <v>0</v>
      </c>
      <c r="Y579" s="32" t="n">
        <v>0</v>
      </c>
      <c r="Z579" s="31" t="n">
        <v>0</v>
      </c>
      <c r="AA579" s="32" t="n">
        <v>0</v>
      </c>
      <c r="AB579" s="32" t="n">
        <v>0</v>
      </c>
      <c r="AC579" s="32" t="n">
        <v>0</v>
      </c>
      <c r="AD579" s="32" t="n">
        <v>0</v>
      </c>
      <c r="AE579" s="31" t="n">
        <v>0</v>
      </c>
      <c r="AF579" s="32" t="n">
        <v>0</v>
      </c>
      <c r="AG579" s="31" t="n">
        <v>0</v>
      </c>
      <c r="AH579" s="32" t="n">
        <v>63</v>
      </c>
      <c r="AI579" s="31" t="n">
        <v>63.2</v>
      </c>
      <c r="AJ579" s="31" t="n">
        <v>40.5</v>
      </c>
      <c r="AK579" s="31" t="n">
        <v>0</v>
      </c>
      <c r="AL579" s="30" t="inlineStr">
        <is>
          <t>T-0728</t>
        </is>
      </c>
      <c r="AM579" s="30" t="inlineStr">
        <is>
          <t>E-01-01</t>
        </is>
      </c>
      <c r="AN579" s="30" t="inlineStr">
        <is>
          <t>T-0597</t>
        </is>
      </c>
      <c r="AO579" s="30" t="inlineStr">
        <is>
          <t>E-06-01</t>
        </is>
      </c>
    </row>
    <row r="580">
      <c r="A580" s="30" t="inlineStr">
        <is>
          <t>O0579</t>
        </is>
      </c>
      <c r="B580" s="30" t="inlineStr">
        <is>
          <t>B</t>
        </is>
      </c>
      <c r="C580" s="31" t="n">
        <v>8529</v>
      </c>
      <c r="D580" s="31" t="n">
        <v>28228.4</v>
      </c>
      <c r="E580" s="31" t="n">
        <v>28228.4</v>
      </c>
      <c r="F580" s="31" t="n">
        <v>28242.5</v>
      </c>
      <c r="G580" s="31" t="n">
        <v>28263.1</v>
      </c>
      <c r="H580" s="31" t="n">
        <v>28276.6</v>
      </c>
      <c r="I580" s="31" t="n">
        <v>28304.6</v>
      </c>
      <c r="J580" s="31" t="n">
        <v>28349.9</v>
      </c>
      <c r="K580" s="31" t="n">
        <v>19820.9</v>
      </c>
      <c r="L580" s="31" t="n">
        <v>19699.4</v>
      </c>
      <c r="M580" s="30" t="inlineStr">
        <is>
          <t>AMR1</t>
        </is>
      </c>
      <c r="N580" s="30" t="inlineStr">
        <is>
          <t>AMR1</t>
        </is>
      </c>
      <c r="O580" s="32" t="n">
        <v>0</v>
      </c>
      <c r="P580" s="32" t="n">
        <v>0</v>
      </c>
      <c r="Q580" s="32" t="n">
        <v>15</v>
      </c>
      <c r="R580" s="31" t="n">
        <v>34.6</v>
      </c>
      <c r="S580" s="31" t="n">
        <v>34.6</v>
      </c>
      <c r="T580" s="30" t="inlineStr">
        <is>
          <t>AMR1</t>
        </is>
      </c>
      <c r="U580" s="31" t="n">
        <v>57.6</v>
      </c>
      <c r="V580" s="31" t="n">
        <v>57.6</v>
      </c>
      <c r="W580" s="30" t="inlineStr">
        <is>
          <t>AMR1</t>
        </is>
      </c>
      <c r="X580" s="32" t="n">
        <v>0</v>
      </c>
      <c r="Y580" s="32" t="n">
        <v>0</v>
      </c>
      <c r="Z580" s="31" t="n">
        <v>0</v>
      </c>
      <c r="AA580" s="32" t="n">
        <v>0</v>
      </c>
      <c r="AB580" s="32" t="n">
        <v>0</v>
      </c>
      <c r="AC580" s="32" t="n">
        <v>0</v>
      </c>
      <c r="AD580" s="32" t="n">
        <v>1</v>
      </c>
      <c r="AE580" s="31" t="n">
        <v>10.2</v>
      </c>
      <c r="AF580" s="32" t="n">
        <v>1</v>
      </c>
      <c r="AG580" s="31" t="n">
        <v>5.2</v>
      </c>
      <c r="AH580" s="32" t="n">
        <v>48</v>
      </c>
      <c r="AI580" s="31" t="n">
        <v>50.7</v>
      </c>
      <c r="AJ580" s="31" t="n">
        <v>44.9</v>
      </c>
      <c r="AK580" s="31" t="n">
        <v>12.4</v>
      </c>
      <c r="AL580" s="30" t="inlineStr">
        <is>
          <t>T-0729</t>
        </is>
      </c>
      <c r="AM580" s="30" t="inlineStr">
        <is>
          <t>B-06-01</t>
        </is>
      </c>
      <c r="AN580" s="30" t="inlineStr">
        <is>
          <t>T-0562</t>
        </is>
      </c>
      <c r="AO580" s="30" t="inlineStr">
        <is>
          <t>B-01-02</t>
        </is>
      </c>
    </row>
    <row r="581">
      <c r="A581" s="30" t="inlineStr">
        <is>
          <t>O0580</t>
        </is>
      </c>
      <c r="B581" s="30" t="inlineStr">
        <is>
          <t>E</t>
        </is>
      </c>
      <c r="C581" s="31" t="n">
        <v>8545.299999999999</v>
      </c>
      <c r="D581" s="31" t="n">
        <v>28288.3</v>
      </c>
      <c r="E581" s="31" t="n">
        <v>28288.3</v>
      </c>
      <c r="F581" s="31" t="n">
        <v>28304</v>
      </c>
      <c r="G581" s="31" t="n">
        <v>28335</v>
      </c>
      <c r="H581" s="31" t="n">
        <v>28355.9</v>
      </c>
      <c r="I581" s="31" t="n">
        <v>28390.8</v>
      </c>
      <c r="J581" s="31" t="n">
        <v>28427.2</v>
      </c>
      <c r="K581" s="31" t="n">
        <v>19881.9</v>
      </c>
      <c r="L581" s="31" t="n">
        <v>19743</v>
      </c>
      <c r="M581" s="30" t="inlineStr">
        <is>
          <t>AMR2</t>
        </is>
      </c>
      <c r="N581" s="30" t="inlineStr">
        <is>
          <t>AMR2</t>
        </is>
      </c>
      <c r="O581" s="32" t="n">
        <v>0</v>
      </c>
      <c r="P581" s="32" t="n">
        <v>0</v>
      </c>
      <c r="Q581" s="32" t="n">
        <v>19</v>
      </c>
      <c r="R581" s="31" t="n">
        <v>43.4</v>
      </c>
      <c r="S581" s="31" t="n">
        <v>43.4</v>
      </c>
      <c r="T581" s="30" t="inlineStr">
        <is>
          <t>AMR2</t>
        </is>
      </c>
      <c r="U581" s="31" t="n">
        <v>63.3</v>
      </c>
      <c r="V581" s="31" t="n">
        <v>63.3</v>
      </c>
      <c r="W581" s="30" t="inlineStr">
        <is>
          <t>AMR2</t>
        </is>
      </c>
      <c r="X581" s="32" t="n">
        <v>0</v>
      </c>
      <c r="Y581" s="32" t="n">
        <v>0</v>
      </c>
      <c r="Z581" s="31" t="n">
        <v>0</v>
      </c>
      <c r="AA581" s="32" t="n">
        <v>0</v>
      </c>
      <c r="AB581" s="32" t="n">
        <v>0</v>
      </c>
      <c r="AC581" s="32" t="n">
        <v>1</v>
      </c>
      <c r="AD581" s="32" t="n">
        <v>0</v>
      </c>
      <c r="AE581" s="31" t="n">
        <v>0</v>
      </c>
      <c r="AF581" s="32" t="n">
        <v>0</v>
      </c>
      <c r="AG581" s="31" t="n">
        <v>0</v>
      </c>
      <c r="AH581" s="32" t="n">
        <v>62</v>
      </c>
      <c r="AI581" s="31" t="n">
        <v>65.8</v>
      </c>
      <c r="AJ581" s="31" t="n">
        <v>49.2</v>
      </c>
      <c r="AK581" s="31" t="n">
        <v>3</v>
      </c>
      <c r="AL581" s="30" t="inlineStr">
        <is>
          <t>T-0730</t>
        </is>
      </c>
      <c r="AM581" s="30" t="inlineStr">
        <is>
          <t>E-06-01</t>
        </is>
      </c>
      <c r="AN581" s="30" t="inlineStr">
        <is>
          <t>T-0600</t>
        </is>
      </c>
      <c r="AO581" s="30" t="inlineStr">
        <is>
          <t>E-03-01</t>
        </is>
      </c>
    </row>
    <row r="582">
      <c r="A582" s="30" t="inlineStr">
        <is>
          <t>O0581</t>
        </is>
      </c>
      <c r="B582" s="30" t="inlineStr">
        <is>
          <t>G</t>
        </is>
      </c>
      <c r="C582" s="31" t="n">
        <v>8564</v>
      </c>
      <c r="D582" s="31" t="n">
        <v>28364.7</v>
      </c>
      <c r="E582" s="31" t="n">
        <v>28364.7</v>
      </c>
      <c r="F582" s="31" t="n">
        <v>28377.7</v>
      </c>
      <c r="G582" s="31" t="n">
        <v>28402.9</v>
      </c>
      <c r="H582" s="31" t="n">
        <v>28421.1</v>
      </c>
      <c r="I582" s="31" t="n">
        <v>28449.5</v>
      </c>
      <c r="J582" s="31" t="n">
        <v>28478.4</v>
      </c>
      <c r="K582" s="31" t="n">
        <v>19914.4</v>
      </c>
      <c r="L582" s="31" t="n">
        <v>19800.7</v>
      </c>
      <c r="M582" s="30" t="inlineStr">
        <is>
          <t>AMR3</t>
        </is>
      </c>
      <c r="N582" s="30" t="inlineStr">
        <is>
          <t>AMR3</t>
        </is>
      </c>
      <c r="O582" s="32" t="n">
        <v>0</v>
      </c>
      <c r="P582" s="32" t="n">
        <v>0</v>
      </c>
      <c r="Q582" s="32" t="n">
        <v>17</v>
      </c>
      <c r="R582" s="31" t="n">
        <v>35.7</v>
      </c>
      <c r="S582" s="31" t="n">
        <v>35.7</v>
      </c>
      <c r="T582" s="30" t="inlineStr">
        <is>
          <t>AMR3</t>
        </is>
      </c>
      <c r="U582" s="31" t="n">
        <v>55.5</v>
      </c>
      <c r="V582" s="31" t="n">
        <v>55.5</v>
      </c>
      <c r="W582" s="30" t="inlineStr">
        <is>
          <t>AMR3</t>
        </is>
      </c>
      <c r="X582" s="32" t="n">
        <v>0</v>
      </c>
      <c r="Y582" s="32" t="n">
        <v>0</v>
      </c>
      <c r="Z582" s="31" t="n">
        <v>0</v>
      </c>
      <c r="AA582" s="32" t="n">
        <v>0</v>
      </c>
      <c r="AB582" s="32" t="n">
        <v>0</v>
      </c>
      <c r="AC582" s="32" t="n">
        <v>0</v>
      </c>
      <c r="AD582" s="32" t="n">
        <v>0</v>
      </c>
      <c r="AE582" s="31" t="n">
        <v>0</v>
      </c>
      <c r="AF582" s="32" t="n">
        <v>0</v>
      </c>
      <c r="AG582" s="31" t="n">
        <v>0</v>
      </c>
      <c r="AH582" s="32" t="n">
        <v>51</v>
      </c>
      <c r="AI582" s="31" t="n">
        <v>54.7</v>
      </c>
      <c r="AJ582" s="31" t="n">
        <v>40.8</v>
      </c>
      <c r="AK582" s="31" t="n">
        <v>0</v>
      </c>
      <c r="AL582" s="30" t="inlineStr">
        <is>
          <t>T-0731</t>
        </is>
      </c>
      <c r="AM582" s="30" t="inlineStr">
        <is>
          <t>G-02-03</t>
        </is>
      </c>
      <c r="AN582" s="30" t="inlineStr">
        <is>
          <t>T-0563</t>
        </is>
      </c>
      <c r="AO582" s="30" t="inlineStr">
        <is>
          <t>G-03-03</t>
        </is>
      </c>
    </row>
    <row r="583">
      <c r="A583" s="30" t="inlineStr">
        <is>
          <t>O0582</t>
        </is>
      </c>
      <c r="B583" s="30" t="inlineStr">
        <is>
          <t>A</t>
        </is>
      </c>
      <c r="C583" s="31" t="n">
        <v>8579.4</v>
      </c>
      <c r="D583" s="31" t="n">
        <v>28377.8</v>
      </c>
      <c r="E583" s="31" t="n">
        <v>28377.8</v>
      </c>
      <c r="F583" s="31" t="n">
        <v>28392.7</v>
      </c>
      <c r="G583" s="31" t="n">
        <v>28425.8</v>
      </c>
      <c r="H583" s="31" t="n">
        <v>28447.4</v>
      </c>
      <c r="I583" s="31" t="n">
        <v>28474</v>
      </c>
      <c r="J583" s="31" t="n">
        <v>28507.8</v>
      </c>
      <c r="K583" s="31" t="n">
        <v>19928.4</v>
      </c>
      <c r="L583" s="31" t="n">
        <v>19798.4</v>
      </c>
      <c r="M583" s="30" t="inlineStr">
        <is>
          <t>AMR1</t>
        </is>
      </c>
      <c r="N583" s="30" t="inlineStr">
        <is>
          <t>AMR1</t>
        </is>
      </c>
      <c r="O583" s="32" t="n">
        <v>0</v>
      </c>
      <c r="P583" s="32" t="n">
        <v>0</v>
      </c>
      <c r="Q583" s="32" t="n">
        <v>21</v>
      </c>
      <c r="R583" s="31" t="n">
        <v>45.5</v>
      </c>
      <c r="S583" s="31" t="n">
        <v>45.5</v>
      </c>
      <c r="T583" s="30" t="inlineStr">
        <is>
          <t>AMR1</t>
        </is>
      </c>
      <c r="U583" s="31" t="n">
        <v>60.1</v>
      </c>
      <c r="V583" s="31" t="n">
        <v>60.1</v>
      </c>
      <c r="W583" s="30" t="inlineStr">
        <is>
          <t>AMR1</t>
        </is>
      </c>
      <c r="X583" s="32" t="n">
        <v>0</v>
      </c>
      <c r="Y583" s="32" t="n">
        <v>0</v>
      </c>
      <c r="Z583" s="31" t="n">
        <v>0</v>
      </c>
      <c r="AA583" s="32" t="n">
        <v>0</v>
      </c>
      <c r="AB583" s="32" t="n">
        <v>0</v>
      </c>
      <c r="AC583" s="32" t="n">
        <v>0</v>
      </c>
      <c r="AD583" s="32" t="n">
        <v>0</v>
      </c>
      <c r="AE583" s="31" t="n">
        <v>0</v>
      </c>
      <c r="AF583" s="32" t="n">
        <v>0</v>
      </c>
      <c r="AG583" s="31" t="n">
        <v>0</v>
      </c>
      <c r="AH583" s="32" t="n">
        <v>65</v>
      </c>
      <c r="AI583" s="31" t="n">
        <v>64.90000000000001</v>
      </c>
      <c r="AJ583" s="31" t="n">
        <v>43.5</v>
      </c>
      <c r="AK583" s="31" t="n">
        <v>0</v>
      </c>
      <c r="AL583" s="30" t="inlineStr">
        <is>
          <t>T-0732</t>
        </is>
      </c>
      <c r="AM583" s="30" t="inlineStr">
        <is>
          <t>A-01-01</t>
        </is>
      </c>
      <c r="AN583" s="30" t="inlineStr">
        <is>
          <t>T-0594</t>
        </is>
      </c>
      <c r="AO583" s="30" t="inlineStr">
        <is>
          <t>A-04-02</t>
        </is>
      </c>
    </row>
    <row r="584">
      <c r="A584" s="30" t="inlineStr">
        <is>
          <t>O0583</t>
        </is>
      </c>
      <c r="B584" s="30" t="inlineStr">
        <is>
          <t>E</t>
        </is>
      </c>
      <c r="C584" s="31" t="n">
        <v>8598</v>
      </c>
      <c r="D584" s="31" t="n">
        <v>28450.9</v>
      </c>
      <c r="E584" s="31" t="n">
        <v>28450.9</v>
      </c>
      <c r="F584" s="31" t="n">
        <v>28464</v>
      </c>
      <c r="G584" s="31" t="n">
        <v>28489.6</v>
      </c>
      <c r="H584" s="31" t="n">
        <v>28502.1</v>
      </c>
      <c r="I584" s="31" t="n">
        <v>28529.6</v>
      </c>
      <c r="J584" s="31" t="n">
        <v>28563.5</v>
      </c>
      <c r="K584" s="31" t="n">
        <v>19965.5</v>
      </c>
      <c r="L584" s="31" t="n">
        <v>19852.9</v>
      </c>
      <c r="M584" s="30" t="inlineStr">
        <is>
          <t>AMR2</t>
        </is>
      </c>
      <c r="N584" s="30" t="inlineStr">
        <is>
          <t>AMR3</t>
        </is>
      </c>
      <c r="O584" s="32" t="n">
        <v>0</v>
      </c>
      <c r="P584" s="32" t="n">
        <v>0</v>
      </c>
      <c r="Q584" s="32" t="n">
        <v>19</v>
      </c>
      <c r="R584" s="31" t="n">
        <v>37</v>
      </c>
      <c r="S584" s="31" t="n">
        <v>37</v>
      </c>
      <c r="T584" s="30" t="inlineStr">
        <is>
          <t>AMR2</t>
        </is>
      </c>
      <c r="U584" s="31" t="n">
        <v>58.1</v>
      </c>
      <c r="V584" s="31" t="n">
        <v>58.1</v>
      </c>
      <c r="W584" s="30" t="inlineStr">
        <is>
          <t>AMR3</t>
        </is>
      </c>
      <c r="X584" s="32" t="n">
        <v>0</v>
      </c>
      <c r="Y584" s="32" t="n">
        <v>0</v>
      </c>
      <c r="Z584" s="31" t="n">
        <v>0</v>
      </c>
      <c r="AA584" s="32" t="n">
        <v>0</v>
      </c>
      <c r="AB584" s="32" t="n">
        <v>0</v>
      </c>
      <c r="AC584" s="32" t="n">
        <v>0</v>
      </c>
      <c r="AD584" s="32" t="n">
        <v>0</v>
      </c>
      <c r="AE584" s="31" t="n">
        <v>0</v>
      </c>
      <c r="AF584" s="32" t="n">
        <v>0</v>
      </c>
      <c r="AG584" s="31" t="n">
        <v>0</v>
      </c>
      <c r="AH584" s="32" t="n">
        <v>62</v>
      </c>
      <c r="AI584" s="31" t="n">
        <v>62.5</v>
      </c>
      <c r="AJ584" s="31" t="n">
        <v>37.6</v>
      </c>
      <c r="AK584" s="31" t="n">
        <v>0</v>
      </c>
      <c r="AL584" s="30" t="inlineStr">
        <is>
          <t>T-0733</t>
        </is>
      </c>
      <c r="AM584" s="30" t="inlineStr">
        <is>
          <t>E-03-01</t>
        </is>
      </c>
      <c r="AN584" s="30" t="inlineStr">
        <is>
          <t>T-0614</t>
        </is>
      </c>
      <c r="AO584" s="30" t="inlineStr">
        <is>
          <t>E-04-01</t>
        </is>
      </c>
    </row>
    <row r="585">
      <c r="A585" s="30" t="inlineStr">
        <is>
          <t>O0584</t>
        </is>
      </c>
      <c r="B585" s="30" t="inlineStr">
        <is>
          <t>H</t>
        </is>
      </c>
      <c r="C585" s="31" t="n">
        <v>8616.9</v>
      </c>
      <c r="D585" s="31" t="n">
        <v>28509.1</v>
      </c>
      <c r="E585" s="31" t="n">
        <v>28509.1</v>
      </c>
      <c r="F585" s="31" t="n">
        <v>28525.3</v>
      </c>
      <c r="G585" s="31" t="n">
        <v>28549.4</v>
      </c>
      <c r="H585" s="31" t="n">
        <v>28563.6</v>
      </c>
      <c r="I585" s="31" t="n">
        <v>28591.3</v>
      </c>
      <c r="J585" s="31" t="n">
        <v>28614.4</v>
      </c>
      <c r="K585" s="31" t="n">
        <v>19997.5</v>
      </c>
      <c r="L585" s="31" t="n">
        <v>19892.2</v>
      </c>
      <c r="M585" s="30" t="inlineStr">
        <is>
          <t>AMR2</t>
        </is>
      </c>
      <c r="N585" s="30" t="inlineStr">
        <is>
          <t>AMR2</t>
        </is>
      </c>
      <c r="O585" s="32" t="n">
        <v>0</v>
      </c>
      <c r="P585" s="32" t="n">
        <v>0</v>
      </c>
      <c r="Q585" s="32" t="n">
        <v>15</v>
      </c>
      <c r="R585" s="31" t="n">
        <v>39.4</v>
      </c>
      <c r="S585" s="31" t="n">
        <v>39.4</v>
      </c>
      <c r="T585" s="30" t="inlineStr">
        <is>
          <t>AMR2</t>
        </is>
      </c>
      <c r="U585" s="31" t="n">
        <v>51</v>
      </c>
      <c r="V585" s="31" t="n">
        <v>51</v>
      </c>
      <c r="W585" s="30" t="inlineStr">
        <is>
          <t>AMR2</t>
        </is>
      </c>
      <c r="X585" s="32" t="n">
        <v>0</v>
      </c>
      <c r="Y585" s="32" t="n">
        <v>0</v>
      </c>
      <c r="Z585" s="31" t="n">
        <v>0</v>
      </c>
      <c r="AA585" s="32" t="n">
        <v>0</v>
      </c>
      <c r="AB585" s="32" t="n">
        <v>0</v>
      </c>
      <c r="AC585" s="32" t="n">
        <v>0</v>
      </c>
      <c r="AD585" s="32" t="n">
        <v>0</v>
      </c>
      <c r="AE585" s="31" t="n">
        <v>0</v>
      </c>
      <c r="AF585" s="32" t="n">
        <v>0</v>
      </c>
      <c r="AG585" s="31" t="n">
        <v>0</v>
      </c>
      <c r="AH585" s="32" t="n">
        <v>41</v>
      </c>
      <c r="AI585" s="31" t="n">
        <v>46</v>
      </c>
      <c r="AJ585" s="31" t="n">
        <v>45.1</v>
      </c>
      <c r="AK585" s="31" t="n">
        <v>0</v>
      </c>
      <c r="AL585" s="30" t="inlineStr">
        <is>
          <t>T-0734</t>
        </is>
      </c>
      <c r="AM585" s="30" t="inlineStr">
        <is>
          <t>H-02-03</t>
        </is>
      </c>
      <c r="AN585" s="30" t="inlineStr">
        <is>
          <t>T-0570</t>
        </is>
      </c>
      <c r="AO585" s="30" t="inlineStr">
        <is>
          <t>H-02-01</t>
        </is>
      </c>
    </row>
    <row r="586">
      <c r="A586" s="30" t="inlineStr">
        <is>
          <t>O0585</t>
        </is>
      </c>
      <c r="B586" s="30" t="inlineStr">
        <is>
          <t>J</t>
        </is>
      </c>
      <c r="C586" s="31" t="n">
        <v>8634.700000000001</v>
      </c>
      <c r="D586" s="31" t="n">
        <v>28531.5</v>
      </c>
      <c r="E586" s="31" t="n">
        <v>28531.5</v>
      </c>
      <c r="F586" s="31" t="n">
        <v>28544.6</v>
      </c>
      <c r="G586" s="31" t="n">
        <v>28578.8</v>
      </c>
      <c r="H586" s="31" t="n">
        <v>28587.2</v>
      </c>
      <c r="I586" s="31" t="n">
        <v>28616.2</v>
      </c>
      <c r="J586" s="31" t="n">
        <v>28647.9</v>
      </c>
      <c r="K586" s="31" t="n">
        <v>20013.2</v>
      </c>
      <c r="L586" s="31" t="n">
        <v>19896.8</v>
      </c>
      <c r="M586" s="30" t="inlineStr">
        <is>
          <t>AMR1</t>
        </is>
      </c>
      <c r="N586" s="30" t="inlineStr">
        <is>
          <t>AMR3</t>
        </is>
      </c>
      <c r="O586" s="32" t="n">
        <v>0</v>
      </c>
      <c r="P586" s="32" t="n">
        <v>0</v>
      </c>
      <c r="Q586" s="32" t="n">
        <v>21</v>
      </c>
      <c r="R586" s="31" t="n">
        <v>44</v>
      </c>
      <c r="S586" s="31" t="n">
        <v>44</v>
      </c>
      <c r="T586" s="30" t="inlineStr">
        <is>
          <t>AMR1</t>
        </is>
      </c>
      <c r="U586" s="31" t="n">
        <v>60.9</v>
      </c>
      <c r="V586" s="31" t="n">
        <v>60.9</v>
      </c>
      <c r="W586" s="30" t="inlineStr">
        <is>
          <t>AMR3</t>
        </is>
      </c>
      <c r="X586" s="32" t="n">
        <v>0</v>
      </c>
      <c r="Y586" s="32" t="n">
        <v>0</v>
      </c>
      <c r="Z586" s="31" t="n">
        <v>0</v>
      </c>
      <c r="AA586" s="32" t="n">
        <v>0</v>
      </c>
      <c r="AB586" s="32" t="n">
        <v>0</v>
      </c>
      <c r="AC586" s="32" t="n">
        <v>0</v>
      </c>
      <c r="AD586" s="32" t="n">
        <v>0</v>
      </c>
      <c r="AE586" s="31" t="n">
        <v>0</v>
      </c>
      <c r="AF586" s="32" t="n">
        <v>0</v>
      </c>
      <c r="AG586" s="31" t="n">
        <v>0</v>
      </c>
      <c r="AH586" s="32" t="n">
        <v>62</v>
      </c>
      <c r="AI586" s="31" t="n">
        <v>63.7</v>
      </c>
      <c r="AJ586" s="31" t="n">
        <v>44.3</v>
      </c>
      <c r="AK586" s="31" t="n">
        <v>0</v>
      </c>
      <c r="AL586" s="30" t="inlineStr">
        <is>
          <t>T-0735</t>
        </is>
      </c>
      <c r="AM586" s="30" t="inlineStr">
        <is>
          <t>J-06-01</t>
        </is>
      </c>
      <c r="AN586" s="30" t="inlineStr">
        <is>
          <t>T-0599</t>
        </is>
      </c>
      <c r="AO586" s="30" t="inlineStr">
        <is>
          <t>J-02-02</t>
        </is>
      </c>
    </row>
    <row r="587">
      <c r="A587" s="30" t="inlineStr">
        <is>
          <t>O0586</t>
        </is>
      </c>
      <c r="B587" s="30" t="inlineStr">
        <is>
          <t>C</t>
        </is>
      </c>
      <c r="C587" s="31" t="n">
        <v>8655.799999999999</v>
      </c>
      <c r="D587" s="31" t="n">
        <v>28601.7</v>
      </c>
      <c r="E587" s="31" t="n">
        <v>28601.7</v>
      </c>
      <c r="F587" s="31" t="n">
        <v>28617.8</v>
      </c>
      <c r="G587" s="31" t="n">
        <v>28640.8</v>
      </c>
      <c r="H587" s="31" t="n">
        <v>28652.3</v>
      </c>
      <c r="I587" s="31" t="n">
        <v>28677.3</v>
      </c>
      <c r="J587" s="31" t="n">
        <v>28705.3</v>
      </c>
      <c r="K587" s="31" t="n">
        <v>20049.5</v>
      </c>
      <c r="L587" s="31" t="n">
        <v>19945.9</v>
      </c>
      <c r="M587" s="30" t="inlineStr">
        <is>
          <t>AMR1</t>
        </is>
      </c>
      <c r="N587" s="30" t="inlineStr">
        <is>
          <t>AMR1</t>
        </is>
      </c>
      <c r="O587" s="32" t="n">
        <v>0</v>
      </c>
      <c r="P587" s="32" t="n">
        <v>0</v>
      </c>
      <c r="Q587" s="32" t="n">
        <v>13</v>
      </c>
      <c r="R587" s="31" t="n">
        <v>39</v>
      </c>
      <c r="S587" s="31" t="n">
        <v>39</v>
      </c>
      <c r="T587" s="30" t="inlineStr">
        <is>
          <t>AMR1</t>
        </is>
      </c>
      <c r="U587" s="31" t="n">
        <v>54.2</v>
      </c>
      <c r="V587" s="31" t="n">
        <v>54.2</v>
      </c>
      <c r="W587" s="30" t="inlineStr">
        <is>
          <t>AMR1</t>
        </is>
      </c>
      <c r="X587" s="32" t="n">
        <v>0</v>
      </c>
      <c r="Y587" s="32" t="n">
        <v>0</v>
      </c>
      <c r="Z587" s="31" t="n">
        <v>0</v>
      </c>
      <c r="AA587" s="32" t="n">
        <v>0</v>
      </c>
      <c r="AB587" s="32" t="n">
        <v>0</v>
      </c>
      <c r="AC587" s="32" t="n">
        <v>0</v>
      </c>
      <c r="AD587" s="32" t="n">
        <v>0</v>
      </c>
      <c r="AE587" s="31" t="n">
        <v>0</v>
      </c>
      <c r="AF587" s="32" t="n">
        <v>0</v>
      </c>
      <c r="AG587" s="31" t="n">
        <v>0</v>
      </c>
      <c r="AH587" s="32" t="n">
        <v>38</v>
      </c>
      <c r="AI587" s="31" t="n">
        <v>41.1</v>
      </c>
      <c r="AJ587" s="31" t="n">
        <v>51</v>
      </c>
      <c r="AK587" s="31" t="n">
        <v>0</v>
      </c>
      <c r="AL587" s="30" t="inlineStr">
        <is>
          <t>T-0736</t>
        </is>
      </c>
      <c r="AM587" s="30" t="inlineStr">
        <is>
          <t>C-06-02</t>
        </is>
      </c>
      <c r="AN587" s="30" t="inlineStr">
        <is>
          <t>T-0588</t>
        </is>
      </c>
      <c r="AO587" s="30" t="inlineStr">
        <is>
          <t>C-02-03</t>
        </is>
      </c>
    </row>
    <row r="588">
      <c r="A588" s="30" t="inlineStr">
        <is>
          <t>O0587</t>
        </is>
      </c>
      <c r="B588" s="30" t="inlineStr">
        <is>
          <t>F</t>
        </is>
      </c>
      <c r="C588" s="31" t="n">
        <v>8674.799999999999</v>
      </c>
      <c r="D588" s="31" t="n">
        <v>28639.4</v>
      </c>
      <c r="E588" s="31" t="n">
        <v>28639.4</v>
      </c>
      <c r="F588" s="31" t="n">
        <v>28650.3</v>
      </c>
      <c r="G588" s="31" t="n">
        <v>28682.1</v>
      </c>
      <c r="H588" s="31" t="n">
        <v>28704.3</v>
      </c>
      <c r="I588" s="31" t="n">
        <v>28737.8</v>
      </c>
      <c r="J588" s="31" t="n">
        <v>28781.5</v>
      </c>
      <c r="K588" s="31" t="n">
        <v>20106.7</v>
      </c>
      <c r="L588" s="31" t="n">
        <v>19964.6</v>
      </c>
      <c r="M588" s="30" t="inlineStr">
        <is>
          <t>AMR2</t>
        </is>
      </c>
      <c r="N588" s="30" t="inlineStr">
        <is>
          <t>AMR2</t>
        </is>
      </c>
      <c r="O588" s="32" t="n">
        <v>0</v>
      </c>
      <c r="P588" s="32" t="n">
        <v>0</v>
      </c>
      <c r="Q588" s="32" t="n">
        <v>23</v>
      </c>
      <c r="R588" s="31" t="n">
        <v>41.8</v>
      </c>
      <c r="S588" s="31" t="n">
        <v>41.8</v>
      </c>
      <c r="T588" s="30" t="inlineStr">
        <is>
          <t>AMR2</t>
        </is>
      </c>
      <c r="U588" s="31" t="n">
        <v>66</v>
      </c>
      <c r="V588" s="31" t="n">
        <v>66</v>
      </c>
      <c r="W588" s="30" t="inlineStr">
        <is>
          <t>AMR2</t>
        </is>
      </c>
      <c r="X588" s="32" t="n">
        <v>0</v>
      </c>
      <c r="Y588" s="32" t="n">
        <v>0</v>
      </c>
      <c r="Z588" s="31" t="n">
        <v>0</v>
      </c>
      <c r="AA588" s="32" t="n">
        <v>0</v>
      </c>
      <c r="AB588" s="32" t="n">
        <v>0</v>
      </c>
      <c r="AC588" s="32" t="n">
        <v>0</v>
      </c>
      <c r="AD588" s="32" t="n">
        <v>2</v>
      </c>
      <c r="AE588" s="31" t="n">
        <v>12.9</v>
      </c>
      <c r="AF588" s="32" t="n">
        <v>1</v>
      </c>
      <c r="AG588" s="31" t="n">
        <v>6.5</v>
      </c>
      <c r="AH588" s="32" t="n">
        <v>63</v>
      </c>
      <c r="AI588" s="31" t="n">
        <v>64.40000000000001</v>
      </c>
      <c r="AJ588" s="31" t="n">
        <v>42.6</v>
      </c>
      <c r="AK588" s="31" t="n">
        <v>12.9</v>
      </c>
      <c r="AL588" s="30" t="inlineStr">
        <is>
          <t>T-0737</t>
        </is>
      </c>
      <c r="AM588" s="30" t="inlineStr">
        <is>
          <t>F-04-02</t>
        </is>
      </c>
      <c r="AN588" s="30" t="inlineStr">
        <is>
          <t>T-0642</t>
        </is>
      </c>
      <c r="AO588" s="30" t="inlineStr">
        <is>
          <t>F-06-02</t>
        </is>
      </c>
    </row>
    <row r="589">
      <c r="A589" s="30" t="inlineStr">
        <is>
          <t>O0588</t>
        </is>
      </c>
      <c r="B589" s="30" t="inlineStr">
        <is>
          <t>C</t>
        </is>
      </c>
      <c r="C589" s="31" t="n">
        <v>8699.1</v>
      </c>
      <c r="D589" s="31" t="n">
        <v>28671.6</v>
      </c>
      <c r="E589" s="31" t="n">
        <v>28671.6</v>
      </c>
      <c r="F589" s="31" t="n">
        <v>28682.2</v>
      </c>
      <c r="G589" s="31" t="n">
        <v>28703.5</v>
      </c>
      <c r="H589" s="31" t="n">
        <v>28715.7</v>
      </c>
      <c r="I589" s="31" t="n">
        <v>28739.5</v>
      </c>
      <c r="J589" s="31" t="n">
        <v>28768.8</v>
      </c>
      <c r="K589" s="31" t="n">
        <v>20069.7</v>
      </c>
      <c r="L589" s="31" t="n">
        <v>19972.5</v>
      </c>
      <c r="M589" s="30" t="inlineStr">
        <is>
          <t>AMR3</t>
        </is>
      </c>
      <c r="N589" s="30" t="inlineStr">
        <is>
          <t>AMR3</t>
        </is>
      </c>
      <c r="O589" s="32" t="n">
        <v>0</v>
      </c>
      <c r="P589" s="32" t="n">
        <v>0</v>
      </c>
      <c r="Q589" s="32" t="n">
        <v>13</v>
      </c>
      <c r="R589" s="31" t="n">
        <v>31</v>
      </c>
      <c r="S589" s="31" t="n">
        <v>31</v>
      </c>
      <c r="T589" s="30" t="inlineStr">
        <is>
          <t>AMR3</t>
        </is>
      </c>
      <c r="U589" s="31" t="n">
        <v>52.2</v>
      </c>
      <c r="V589" s="31" t="n">
        <v>52.2</v>
      </c>
      <c r="W589" s="30" t="inlineStr">
        <is>
          <t>AMR3</t>
        </is>
      </c>
      <c r="X589" s="32" t="n">
        <v>0</v>
      </c>
      <c r="Y589" s="32" t="n">
        <v>0</v>
      </c>
      <c r="Z589" s="31" t="n">
        <v>0</v>
      </c>
      <c r="AA589" s="32" t="n">
        <v>0</v>
      </c>
      <c r="AB589" s="32" t="n">
        <v>0</v>
      </c>
      <c r="AC589" s="32" t="n">
        <v>0</v>
      </c>
      <c r="AD589" s="32" t="n">
        <v>0</v>
      </c>
      <c r="AE589" s="31" t="n">
        <v>0</v>
      </c>
      <c r="AF589" s="32" t="n">
        <v>0</v>
      </c>
      <c r="AG589" s="31" t="n">
        <v>0</v>
      </c>
      <c r="AH589" s="32" t="n">
        <v>41</v>
      </c>
      <c r="AI589" s="31" t="n">
        <v>44</v>
      </c>
      <c r="AJ589" s="31" t="n">
        <v>41</v>
      </c>
      <c r="AK589" s="31" t="n">
        <v>0</v>
      </c>
      <c r="AL589" s="30" t="inlineStr">
        <is>
          <t>T-0738</t>
        </is>
      </c>
      <c r="AM589" s="30" t="inlineStr">
        <is>
          <t>C-01-03</t>
        </is>
      </c>
      <c r="AN589" s="30" t="inlineStr">
        <is>
          <t>T-0592</t>
        </is>
      </c>
      <c r="AO589" s="30" t="inlineStr">
        <is>
          <t>C-03-03</t>
        </is>
      </c>
    </row>
    <row r="590">
      <c r="A590" s="30" t="inlineStr">
        <is>
          <t>O0589</t>
        </is>
      </c>
      <c r="B590" s="30" t="inlineStr">
        <is>
          <t>G</t>
        </is>
      </c>
      <c r="C590" s="31" t="n">
        <v>8720.200000000001</v>
      </c>
      <c r="D590" s="31" t="n">
        <v>28729</v>
      </c>
      <c r="E590" s="31" t="n">
        <v>28729</v>
      </c>
      <c r="F590" s="31" t="n">
        <v>28739.9</v>
      </c>
      <c r="G590" s="31" t="n">
        <v>28764.5</v>
      </c>
      <c r="H590" s="31" t="n">
        <v>28782</v>
      </c>
      <c r="I590" s="31" t="n">
        <v>28807</v>
      </c>
      <c r="J590" s="31" t="n">
        <v>28834.4</v>
      </c>
      <c r="K590" s="31" t="n">
        <v>20114.2</v>
      </c>
      <c r="L590" s="31" t="n">
        <v>20008.8</v>
      </c>
      <c r="M590" s="30" t="inlineStr">
        <is>
          <t>AMR1</t>
        </is>
      </c>
      <c r="N590" s="30" t="inlineStr">
        <is>
          <t>AMR1</t>
        </is>
      </c>
      <c r="O590" s="32" t="n">
        <v>0</v>
      </c>
      <c r="P590" s="32" t="n">
        <v>0</v>
      </c>
      <c r="Q590" s="32" t="n">
        <v>17</v>
      </c>
      <c r="R590" s="31" t="n">
        <v>33.8</v>
      </c>
      <c r="S590" s="31" t="n">
        <v>33.8</v>
      </c>
      <c r="T590" s="30" t="inlineStr">
        <is>
          <t>AMR1</t>
        </is>
      </c>
      <c r="U590" s="31" t="n">
        <v>52.1</v>
      </c>
      <c r="V590" s="31" t="n">
        <v>52.1</v>
      </c>
      <c r="W590" s="30" t="inlineStr">
        <is>
          <t>AMR1</t>
        </is>
      </c>
      <c r="X590" s="32" t="n">
        <v>0</v>
      </c>
      <c r="Y590" s="32" t="n">
        <v>0</v>
      </c>
      <c r="Z590" s="31" t="n">
        <v>0</v>
      </c>
      <c r="AA590" s="32" t="n">
        <v>0</v>
      </c>
      <c r="AB590" s="32" t="n">
        <v>0</v>
      </c>
      <c r="AC590" s="32" t="n">
        <v>0</v>
      </c>
      <c r="AD590" s="32" t="n">
        <v>0</v>
      </c>
      <c r="AE590" s="31" t="n">
        <v>0</v>
      </c>
      <c r="AF590" s="32" t="n">
        <v>0</v>
      </c>
      <c r="AG590" s="31" t="n">
        <v>0</v>
      </c>
      <c r="AH590" s="32" t="n">
        <v>48</v>
      </c>
      <c r="AI590" s="31" t="n">
        <v>52.4</v>
      </c>
      <c r="AJ590" s="31" t="n">
        <v>35.5</v>
      </c>
      <c r="AK590" s="31" t="n">
        <v>0</v>
      </c>
      <c r="AL590" s="30" t="inlineStr">
        <is>
          <t>T-0739</t>
        </is>
      </c>
      <c r="AM590" s="30" t="inlineStr">
        <is>
          <t>G-03-03</t>
        </is>
      </c>
      <c r="AN590" s="30" t="inlineStr">
        <is>
          <t>T-0580</t>
        </is>
      </c>
      <c r="AO590" s="30" t="inlineStr">
        <is>
          <t>G-04-03</t>
        </is>
      </c>
    </row>
    <row r="591">
      <c r="A591" s="30" t="inlineStr">
        <is>
          <t>O0590</t>
        </is>
      </c>
      <c r="B591" s="30" t="inlineStr">
        <is>
          <t>A</t>
        </is>
      </c>
      <c r="C591" s="31" t="n">
        <v>8735.6</v>
      </c>
      <c r="D591" s="31" t="n">
        <v>28792.5</v>
      </c>
      <c r="E591" s="31" t="n">
        <v>28792.5</v>
      </c>
      <c r="F591" s="31" t="n">
        <v>28807.9</v>
      </c>
      <c r="G591" s="31" t="n">
        <v>28837.2</v>
      </c>
      <c r="H591" s="31" t="n">
        <v>28857.4</v>
      </c>
      <c r="I591" s="31" t="n">
        <v>28890.4</v>
      </c>
      <c r="J591" s="31" t="n">
        <v>28931</v>
      </c>
      <c r="K591" s="31" t="n">
        <v>20195.4</v>
      </c>
      <c r="L591" s="31" t="n">
        <v>20056.9</v>
      </c>
      <c r="M591" s="30" t="inlineStr">
        <is>
          <t>AMR3</t>
        </is>
      </c>
      <c r="N591" s="30" t="inlineStr">
        <is>
          <t>AMR3</t>
        </is>
      </c>
      <c r="O591" s="32" t="n">
        <v>0</v>
      </c>
      <c r="P591" s="32" t="n">
        <v>0</v>
      </c>
      <c r="Q591" s="32" t="n">
        <v>21</v>
      </c>
      <c r="R591" s="31" t="n">
        <v>43.8</v>
      </c>
      <c r="S591" s="31" t="n">
        <v>43.8</v>
      </c>
      <c r="T591" s="30" t="inlineStr">
        <is>
          <t>AMR3</t>
        </is>
      </c>
      <c r="U591" s="31" t="n">
        <v>62.7</v>
      </c>
      <c r="V591" s="31" t="n">
        <v>62.7</v>
      </c>
      <c r="W591" s="30" t="inlineStr">
        <is>
          <t>AMR3</t>
        </is>
      </c>
      <c r="X591" s="32" t="n">
        <v>0</v>
      </c>
      <c r="Y591" s="32" t="n">
        <v>0</v>
      </c>
      <c r="Z591" s="31" t="n">
        <v>0</v>
      </c>
      <c r="AA591" s="32" t="n">
        <v>0</v>
      </c>
      <c r="AB591" s="32" t="n">
        <v>1</v>
      </c>
      <c r="AC591" s="32" t="n">
        <v>1</v>
      </c>
      <c r="AD591" s="32" t="n">
        <v>1</v>
      </c>
      <c r="AE591" s="31" t="n">
        <v>7.6</v>
      </c>
      <c r="AF591" s="32" t="n">
        <v>1</v>
      </c>
      <c r="AG591" s="31" t="n">
        <v>2.6</v>
      </c>
      <c r="AH591" s="32" t="n">
        <v>61</v>
      </c>
      <c r="AI591" s="31" t="n">
        <v>61.3</v>
      </c>
      <c r="AJ591" s="31" t="n">
        <v>44.4</v>
      </c>
      <c r="AK591" s="31" t="n">
        <v>12.6</v>
      </c>
      <c r="AL591" s="30" t="inlineStr">
        <is>
          <t>T-0740</t>
        </is>
      </c>
      <c r="AM591" s="30" t="inlineStr">
        <is>
          <t>A-04-02</t>
        </is>
      </c>
      <c r="AN591" s="30" t="inlineStr">
        <is>
          <t>T-0603</t>
        </is>
      </c>
      <c r="AO591" s="30" t="inlineStr">
        <is>
          <t>A-06-02</t>
        </is>
      </c>
    </row>
    <row r="592">
      <c r="A592" s="30" t="inlineStr">
        <is>
          <t>O0591</t>
        </is>
      </c>
      <c r="B592" s="30" t="inlineStr">
        <is>
          <t>H</t>
        </is>
      </c>
      <c r="C592" s="31" t="n">
        <v>8757.700000000001</v>
      </c>
      <c r="D592" s="31" t="n">
        <v>28808</v>
      </c>
      <c r="E592" s="31" t="n">
        <v>28808</v>
      </c>
      <c r="F592" s="31" t="n">
        <v>28822.3</v>
      </c>
      <c r="G592" s="31" t="n">
        <v>28848.2</v>
      </c>
      <c r="H592" s="31" t="n">
        <v>28860.9</v>
      </c>
      <c r="I592" s="31" t="n">
        <v>28889.3</v>
      </c>
      <c r="J592" s="31" t="n">
        <v>28918.3</v>
      </c>
      <c r="K592" s="31" t="n">
        <v>20160.6</v>
      </c>
      <c r="L592" s="31" t="n">
        <v>20050.3</v>
      </c>
      <c r="M592" s="30" t="inlineStr">
        <is>
          <t>AMR2</t>
        </is>
      </c>
      <c r="N592" s="30" t="inlineStr">
        <is>
          <t>AMR1</t>
        </is>
      </c>
      <c r="O592" s="32" t="n">
        <v>0</v>
      </c>
      <c r="P592" s="32" t="n">
        <v>0</v>
      </c>
      <c r="Q592" s="32" t="n">
        <v>15</v>
      </c>
      <c r="R592" s="31" t="n">
        <v>39.3</v>
      </c>
      <c r="S592" s="31" t="n">
        <v>39.3</v>
      </c>
      <c r="T592" s="30" t="inlineStr">
        <is>
          <t>AMR2</t>
        </is>
      </c>
      <c r="U592" s="31" t="n">
        <v>57.1</v>
      </c>
      <c r="V592" s="31" t="n">
        <v>57.1</v>
      </c>
      <c r="W592" s="30" t="inlineStr">
        <is>
          <t>AMR1</t>
        </is>
      </c>
      <c r="X592" s="32" t="n">
        <v>0</v>
      </c>
      <c r="Y592" s="32" t="n">
        <v>0</v>
      </c>
      <c r="Z592" s="31" t="n">
        <v>0</v>
      </c>
      <c r="AA592" s="32" t="n">
        <v>0</v>
      </c>
      <c r="AB592" s="32" t="n">
        <v>0</v>
      </c>
      <c r="AC592" s="32" t="n">
        <v>0</v>
      </c>
      <c r="AD592" s="32" t="n">
        <v>0</v>
      </c>
      <c r="AE592" s="31" t="n">
        <v>0</v>
      </c>
      <c r="AF592" s="32" t="n">
        <v>0</v>
      </c>
      <c r="AG592" s="31" t="n">
        <v>0</v>
      </c>
      <c r="AH592" s="32" t="n">
        <v>41</v>
      </c>
      <c r="AI592" s="31" t="n">
        <v>46.5</v>
      </c>
      <c r="AJ592" s="31" t="n">
        <v>51.1</v>
      </c>
      <c r="AK592" s="31" t="n">
        <v>0</v>
      </c>
      <c r="AL592" s="30" t="inlineStr">
        <is>
          <t>T-0741</t>
        </is>
      </c>
      <c r="AM592" s="30" t="inlineStr">
        <is>
          <t>H-02-01</t>
        </is>
      </c>
      <c r="AN592" s="30" t="inlineStr">
        <is>
          <t>T-0587</t>
        </is>
      </c>
      <c r="AO592" s="30" t="inlineStr">
        <is>
          <t>H-04-01</t>
        </is>
      </c>
    </row>
    <row r="593">
      <c r="A593" s="30" t="inlineStr">
        <is>
          <t>O0592</t>
        </is>
      </c>
      <c r="B593" s="30" t="inlineStr">
        <is>
          <t>J</t>
        </is>
      </c>
      <c r="C593" s="31" t="n">
        <v>8777.299999999999</v>
      </c>
      <c r="D593" s="31" t="n">
        <v>28868.8</v>
      </c>
      <c r="E593" s="31" t="n">
        <v>28868.8</v>
      </c>
      <c r="F593" s="31" t="n">
        <v>28881.7</v>
      </c>
      <c r="G593" s="31" t="n">
        <v>28911.9</v>
      </c>
      <c r="H593" s="31" t="n">
        <v>28932.1</v>
      </c>
      <c r="I593" s="31" t="n">
        <v>28964.6</v>
      </c>
      <c r="J593" s="31" t="n">
        <v>28995</v>
      </c>
      <c r="K593" s="31" t="n">
        <v>20217.7</v>
      </c>
      <c r="L593" s="31" t="n">
        <v>20091.5</v>
      </c>
      <c r="M593" s="30" t="inlineStr">
        <is>
          <t>AMR2</t>
        </is>
      </c>
      <c r="N593" s="30" t="inlineStr">
        <is>
          <t>AMR2</t>
        </is>
      </c>
      <c r="O593" s="32" t="n">
        <v>0</v>
      </c>
      <c r="P593" s="32" t="n">
        <v>0</v>
      </c>
      <c r="Q593" s="32" t="n">
        <v>21</v>
      </c>
      <c r="R593" s="31" t="n">
        <v>42.2</v>
      </c>
      <c r="S593" s="31" t="n">
        <v>42.2</v>
      </c>
      <c r="T593" s="30" t="inlineStr">
        <is>
          <t>AMR2</t>
        </is>
      </c>
      <c r="U593" s="31" t="n">
        <v>61.1</v>
      </c>
      <c r="V593" s="31" t="n">
        <v>61.1</v>
      </c>
      <c r="W593" s="30" t="inlineStr">
        <is>
          <t>AMR2</t>
        </is>
      </c>
      <c r="X593" s="32" t="n">
        <v>0</v>
      </c>
      <c r="Y593" s="32" t="n">
        <v>0</v>
      </c>
      <c r="Z593" s="31" t="n">
        <v>0</v>
      </c>
      <c r="AA593" s="32" t="n">
        <v>0</v>
      </c>
      <c r="AB593" s="32" t="n">
        <v>0</v>
      </c>
      <c r="AC593" s="32" t="n">
        <v>0</v>
      </c>
      <c r="AD593" s="32" t="n">
        <v>0</v>
      </c>
      <c r="AE593" s="31" t="n">
        <v>0</v>
      </c>
      <c r="AF593" s="32" t="n">
        <v>0</v>
      </c>
      <c r="AG593" s="31" t="n">
        <v>0</v>
      </c>
      <c r="AH593" s="32" t="n">
        <v>61</v>
      </c>
      <c r="AI593" s="31" t="n">
        <v>63.3</v>
      </c>
      <c r="AJ593" s="31" t="n">
        <v>42.7</v>
      </c>
      <c r="AK593" s="31" t="n">
        <v>0</v>
      </c>
      <c r="AL593" s="30" t="inlineStr">
        <is>
          <t>T-0742</t>
        </is>
      </c>
      <c r="AM593" s="30" t="inlineStr">
        <is>
          <t>J-01-02</t>
        </is>
      </c>
      <c r="AN593" s="30" t="inlineStr">
        <is>
          <t>T-0602</t>
        </is>
      </c>
      <c r="AO593" s="30" t="inlineStr">
        <is>
          <t>J-03-02</t>
        </is>
      </c>
    </row>
    <row r="594">
      <c r="A594" s="30" t="inlineStr">
        <is>
          <t>O0593</t>
        </is>
      </c>
      <c r="B594" s="30" t="inlineStr">
        <is>
          <t>J</t>
        </is>
      </c>
      <c r="C594" s="31" t="n">
        <v>8793.700000000001</v>
      </c>
      <c r="D594" s="31" t="n">
        <v>28942</v>
      </c>
      <c r="E594" s="31" t="n">
        <v>28942</v>
      </c>
      <c r="F594" s="31" t="n">
        <v>28956.6</v>
      </c>
      <c r="G594" s="31" t="n">
        <v>28988.5</v>
      </c>
      <c r="H594" s="31" t="n">
        <v>29013</v>
      </c>
      <c r="I594" s="31" t="n">
        <v>29052</v>
      </c>
      <c r="J594" s="31" t="n">
        <v>29096.3</v>
      </c>
      <c r="K594" s="31" t="n">
        <v>20302.6</v>
      </c>
      <c r="L594" s="31" t="n">
        <v>20148.3</v>
      </c>
      <c r="M594" s="30" t="inlineStr">
        <is>
          <t>AMR1</t>
        </is>
      </c>
      <c r="N594" s="30" t="inlineStr">
        <is>
          <t>AMR1</t>
        </is>
      </c>
      <c r="O594" s="32" t="n">
        <v>0</v>
      </c>
      <c r="P594" s="32" t="n">
        <v>0</v>
      </c>
      <c r="Q594" s="32" t="n">
        <v>21</v>
      </c>
      <c r="R594" s="31" t="n">
        <v>45.6</v>
      </c>
      <c r="S594" s="31" t="n">
        <v>45.6</v>
      </c>
      <c r="T594" s="30" t="inlineStr">
        <is>
          <t>AMR1</t>
        </is>
      </c>
      <c r="U594" s="31" t="n">
        <v>65.09999999999999</v>
      </c>
      <c r="V594" s="31" t="n">
        <v>65.09999999999999</v>
      </c>
      <c r="W594" s="30" t="inlineStr">
        <is>
          <t>AMR1</t>
        </is>
      </c>
      <c r="X594" s="32" t="n">
        <v>0</v>
      </c>
      <c r="Y594" s="32" t="n">
        <v>0</v>
      </c>
      <c r="Z594" s="31" t="n">
        <v>0</v>
      </c>
      <c r="AA594" s="32" t="n">
        <v>0</v>
      </c>
      <c r="AB594" s="32" t="n">
        <v>1</v>
      </c>
      <c r="AC594" s="32" t="n">
        <v>3</v>
      </c>
      <c r="AD594" s="32" t="n">
        <v>0</v>
      </c>
      <c r="AE594" s="31" t="n">
        <v>0</v>
      </c>
      <c r="AF594" s="32" t="n">
        <v>0</v>
      </c>
      <c r="AG594" s="31" t="n">
        <v>0</v>
      </c>
      <c r="AH594" s="32" t="n">
        <v>65</v>
      </c>
      <c r="AI594" s="31" t="n">
        <v>68.7</v>
      </c>
      <c r="AJ594" s="31" t="n">
        <v>50.1</v>
      </c>
      <c r="AK594" s="31" t="n">
        <v>11</v>
      </c>
      <c r="AL594" s="30" t="inlineStr">
        <is>
          <t>T-0743</t>
        </is>
      </c>
      <c r="AM594" s="30" t="inlineStr">
        <is>
          <t>J-02-02</t>
        </is>
      </c>
      <c r="AN594" s="30" t="inlineStr">
        <is>
          <t>T-0616</t>
        </is>
      </c>
      <c r="AO594" s="30" t="inlineStr">
        <is>
          <t>J-05-01</t>
        </is>
      </c>
    </row>
    <row r="595">
      <c r="A595" s="30" t="inlineStr">
        <is>
          <t>O0594</t>
        </is>
      </c>
      <c r="B595" s="30" t="inlineStr">
        <is>
          <t>J</t>
        </is>
      </c>
      <c r="C595" s="31" t="n">
        <v>8810.299999999999</v>
      </c>
      <c r="D595" s="31" t="n">
        <v>28956.6</v>
      </c>
      <c r="E595" s="31" t="n">
        <v>28956.6</v>
      </c>
      <c r="F595" s="31" t="n">
        <v>28970.2</v>
      </c>
      <c r="G595" s="31" t="n">
        <v>29004.2</v>
      </c>
      <c r="H595" s="31" t="n">
        <v>29024.2</v>
      </c>
      <c r="I595" s="31" t="n">
        <v>29066.5</v>
      </c>
      <c r="J595" s="31" t="n">
        <v>29109.8</v>
      </c>
      <c r="K595" s="31" t="n">
        <v>20299.5</v>
      </c>
      <c r="L595" s="31" t="n">
        <v>20146.3</v>
      </c>
      <c r="M595" s="30" t="inlineStr">
        <is>
          <t>AMR3</t>
        </is>
      </c>
      <c r="N595" s="30" t="inlineStr">
        <is>
          <t>AMR2</t>
        </is>
      </c>
      <c r="O595" s="32" t="n">
        <v>0</v>
      </c>
      <c r="P595" s="32" t="n">
        <v>0</v>
      </c>
      <c r="Q595" s="32" t="n">
        <v>21</v>
      </c>
      <c r="R595" s="31" t="n">
        <v>39.5</v>
      </c>
      <c r="S595" s="31" t="n">
        <v>39.5</v>
      </c>
      <c r="T595" s="30" t="inlineStr">
        <is>
          <t>AMR3</t>
        </is>
      </c>
      <c r="U595" s="31" t="n">
        <v>58.6</v>
      </c>
      <c r="V595" s="31" t="n">
        <v>58.6</v>
      </c>
      <c r="W595" s="30" t="inlineStr">
        <is>
          <t>AMR2</t>
        </is>
      </c>
      <c r="X595" s="32" t="n">
        <v>0</v>
      </c>
      <c r="Y595" s="32" t="n">
        <v>0</v>
      </c>
      <c r="Z595" s="31" t="n">
        <v>0</v>
      </c>
      <c r="AA595" s="32" t="n">
        <v>0</v>
      </c>
      <c r="AB595" s="32" t="n">
        <v>0</v>
      </c>
      <c r="AC595" s="32" t="n">
        <v>2</v>
      </c>
      <c r="AD595" s="32" t="n">
        <v>1</v>
      </c>
      <c r="AE595" s="31" t="n">
        <v>8.4</v>
      </c>
      <c r="AF595" s="32" t="n">
        <v>2</v>
      </c>
      <c r="AG595" s="31" t="n">
        <v>11.8</v>
      </c>
      <c r="AH595" s="32" t="n">
        <v>66</v>
      </c>
      <c r="AI595" s="31" t="n">
        <v>69</v>
      </c>
      <c r="AJ595" s="31" t="n">
        <v>37.5</v>
      </c>
      <c r="AK595" s="31" t="n">
        <v>26.7</v>
      </c>
      <c r="AL595" s="30" t="inlineStr">
        <is>
          <t>T-0744</t>
        </is>
      </c>
      <c r="AM595" s="30" t="inlineStr">
        <is>
          <t>J-03-02</t>
        </is>
      </c>
      <c r="AN595" s="30" t="inlineStr">
        <is>
          <t>T-0619</t>
        </is>
      </c>
      <c r="AO595" s="30" t="inlineStr">
        <is>
          <t>J-04-02</t>
        </is>
      </c>
    </row>
    <row r="596">
      <c r="A596" s="30" t="inlineStr">
        <is>
          <t>O0595</t>
        </is>
      </c>
      <c r="B596" s="30" t="inlineStr">
        <is>
          <t>J</t>
        </is>
      </c>
      <c r="C596" s="31" t="n">
        <v>8833.700000000001</v>
      </c>
      <c r="D596" s="31" t="n">
        <v>29031</v>
      </c>
      <c r="E596" s="31" t="n">
        <v>29031</v>
      </c>
      <c r="F596" s="31" t="n">
        <v>29043.3</v>
      </c>
      <c r="G596" s="31" t="n">
        <v>29083.6</v>
      </c>
      <c r="H596" s="31" t="n">
        <v>29106.5</v>
      </c>
      <c r="I596" s="31" t="n">
        <v>29135.6</v>
      </c>
      <c r="J596" s="31" t="n">
        <v>29172.6</v>
      </c>
      <c r="K596" s="31" t="n">
        <v>20338.9</v>
      </c>
      <c r="L596" s="31" t="n">
        <v>20197.3</v>
      </c>
      <c r="M596" s="30" t="inlineStr">
        <is>
          <t>AMR3</t>
        </is>
      </c>
      <c r="N596" s="30" t="inlineStr">
        <is>
          <t>AMR3</t>
        </is>
      </c>
      <c r="O596" s="32" t="n">
        <v>0</v>
      </c>
      <c r="P596" s="32" t="n">
        <v>0</v>
      </c>
      <c r="Q596" s="32" t="n">
        <v>21</v>
      </c>
      <c r="R596" s="31" t="n">
        <v>42</v>
      </c>
      <c r="S596" s="31" t="n">
        <v>42</v>
      </c>
      <c r="T596" s="30" t="inlineStr">
        <is>
          <t>AMR3</t>
        </is>
      </c>
      <c r="U596" s="31" t="n">
        <v>56.9</v>
      </c>
      <c r="V596" s="31" t="n">
        <v>56.9</v>
      </c>
      <c r="W596" s="30" t="inlineStr">
        <is>
          <t>AMR3</t>
        </is>
      </c>
      <c r="X596" s="32" t="n">
        <v>0</v>
      </c>
      <c r="Y596" s="32" t="n">
        <v>0</v>
      </c>
      <c r="Z596" s="31" t="n">
        <v>0</v>
      </c>
      <c r="AA596" s="32" t="n">
        <v>0</v>
      </c>
      <c r="AB596" s="32" t="n">
        <v>1</v>
      </c>
      <c r="AC596" s="32" t="n">
        <v>1</v>
      </c>
      <c r="AD596" s="32" t="n">
        <v>1</v>
      </c>
      <c r="AE596" s="31" t="n">
        <v>2</v>
      </c>
      <c r="AF596" s="32" t="n">
        <v>0</v>
      </c>
      <c r="AG596" s="31" t="n">
        <v>0</v>
      </c>
      <c r="AH596" s="32" t="n">
        <v>70</v>
      </c>
      <c r="AI596" s="31" t="n">
        <v>74.40000000000001</v>
      </c>
      <c r="AJ596" s="31" t="n">
        <v>38.3</v>
      </c>
      <c r="AK596" s="31" t="n">
        <v>6</v>
      </c>
      <c r="AL596" s="30" t="inlineStr">
        <is>
          <t>T-0745</t>
        </is>
      </c>
      <c r="AM596" s="30" t="inlineStr">
        <is>
          <t>J-06-03</t>
        </is>
      </c>
      <c r="AN596" s="30" t="inlineStr">
        <is>
          <t>T-0622</t>
        </is>
      </c>
      <c r="AO596" s="30" t="inlineStr">
        <is>
          <t>J-05-02</t>
        </is>
      </c>
    </row>
    <row r="597">
      <c r="A597" s="30" t="inlineStr">
        <is>
          <t>O0596</t>
        </is>
      </c>
      <c r="B597" s="30" t="inlineStr">
        <is>
          <t>I</t>
        </is>
      </c>
      <c r="C597" s="31" t="n">
        <v>8853.799999999999</v>
      </c>
      <c r="D597" s="31" t="n">
        <v>29120</v>
      </c>
      <c r="E597" s="31" t="n">
        <v>29120</v>
      </c>
      <c r="F597" s="31" t="n">
        <v>29133.1</v>
      </c>
      <c r="G597" s="31" t="n">
        <v>29165</v>
      </c>
      <c r="H597" s="31" t="n">
        <v>29179.8</v>
      </c>
      <c r="I597" s="31" t="n">
        <v>29215.1</v>
      </c>
      <c r="J597" s="31" t="n">
        <v>29240.2</v>
      </c>
      <c r="K597" s="31" t="n">
        <v>20386.4</v>
      </c>
      <c r="L597" s="31" t="n">
        <v>20266.2</v>
      </c>
      <c r="M597" s="30" t="inlineStr">
        <is>
          <t>AMR1</t>
        </is>
      </c>
      <c r="N597" s="30" t="inlineStr">
        <is>
          <t>AMR1</t>
        </is>
      </c>
      <c r="O597" s="32" t="n">
        <v>0</v>
      </c>
      <c r="P597" s="32" t="n">
        <v>0</v>
      </c>
      <c r="Q597" s="32" t="n">
        <v>15</v>
      </c>
      <c r="R597" s="31" t="n">
        <v>39.7</v>
      </c>
      <c r="S597" s="31" t="n">
        <v>39.7</v>
      </c>
      <c r="T597" s="30" t="inlineStr">
        <is>
          <t>AMR1</t>
        </is>
      </c>
      <c r="U597" s="31" t="n">
        <v>48.7</v>
      </c>
      <c r="V597" s="31" t="n">
        <v>48.7</v>
      </c>
      <c r="W597" s="30" t="inlineStr">
        <is>
          <t>AMR1</t>
        </is>
      </c>
      <c r="X597" s="32" t="n">
        <v>0</v>
      </c>
      <c r="Y597" s="32" t="n">
        <v>0</v>
      </c>
      <c r="Z597" s="31" t="n">
        <v>0</v>
      </c>
      <c r="AA597" s="32" t="n">
        <v>0</v>
      </c>
      <c r="AB597" s="32" t="n">
        <v>3</v>
      </c>
      <c r="AC597" s="32" t="n">
        <v>3</v>
      </c>
      <c r="AD597" s="32" t="n">
        <v>0</v>
      </c>
      <c r="AE597" s="31" t="n">
        <v>0</v>
      </c>
      <c r="AF597" s="32" t="n">
        <v>1</v>
      </c>
      <c r="AG597" s="31" t="n">
        <v>0.1</v>
      </c>
      <c r="AH597" s="32" t="n">
        <v>43</v>
      </c>
      <c r="AI597" s="31" t="n">
        <v>50.3</v>
      </c>
      <c r="AJ597" s="31" t="n">
        <v>42.6</v>
      </c>
      <c r="AK597" s="31" t="n">
        <v>12.5</v>
      </c>
      <c r="AL597" s="30" t="inlineStr">
        <is>
          <t>T-0746</t>
        </is>
      </c>
      <c r="AM597" s="30" t="inlineStr">
        <is>
          <t>I-01-01</t>
        </is>
      </c>
      <c r="AN597" s="30" t="inlineStr">
        <is>
          <t>T-0583</t>
        </is>
      </c>
      <c r="AO597" s="30" t="inlineStr">
        <is>
          <t>I-02-01</t>
        </is>
      </c>
    </row>
    <row r="598">
      <c r="A598" s="30" t="inlineStr">
        <is>
          <t>O0597</t>
        </is>
      </c>
      <c r="B598" s="30" t="inlineStr">
        <is>
          <t>J</t>
        </is>
      </c>
      <c r="C598" s="31" t="n">
        <v>8873.700000000001</v>
      </c>
      <c r="D598" s="31" t="n">
        <v>29133.5</v>
      </c>
      <c r="E598" s="31" t="n">
        <v>29133.5</v>
      </c>
      <c r="F598" s="31" t="n">
        <v>29147.1</v>
      </c>
      <c r="G598" s="31" t="n">
        <v>29179.6</v>
      </c>
      <c r="H598" s="31" t="n">
        <v>29201.6</v>
      </c>
      <c r="I598" s="31" t="n">
        <v>29232.8</v>
      </c>
      <c r="J598" s="31" t="n">
        <v>29265.6</v>
      </c>
      <c r="K598" s="31" t="n">
        <v>20391.9</v>
      </c>
      <c r="L598" s="31" t="n">
        <v>20259.8</v>
      </c>
      <c r="M598" s="30" t="inlineStr">
        <is>
          <t>AMR2</t>
        </is>
      </c>
      <c r="N598" s="30" t="inlineStr">
        <is>
          <t>AMR3</t>
        </is>
      </c>
      <c r="O598" s="32" t="n">
        <v>0</v>
      </c>
      <c r="P598" s="32" t="n">
        <v>0</v>
      </c>
      <c r="Q598" s="32" t="n">
        <v>21</v>
      </c>
      <c r="R598" s="31" t="n">
        <v>43.6</v>
      </c>
      <c r="S598" s="31" t="n">
        <v>43.6</v>
      </c>
      <c r="T598" s="30" t="inlineStr">
        <is>
          <t>AMR2</t>
        </is>
      </c>
      <c r="U598" s="31" t="n">
        <v>64.2</v>
      </c>
      <c r="V598" s="31" t="n">
        <v>64.2</v>
      </c>
      <c r="W598" s="30" t="inlineStr">
        <is>
          <t>AMR3</t>
        </is>
      </c>
      <c r="X598" s="32" t="n">
        <v>0</v>
      </c>
      <c r="Y598" s="32" t="n">
        <v>0</v>
      </c>
      <c r="Z598" s="31" t="n">
        <v>0</v>
      </c>
      <c r="AA598" s="32" t="n">
        <v>0</v>
      </c>
      <c r="AB598" s="32" t="n">
        <v>0</v>
      </c>
      <c r="AC598" s="32" t="n">
        <v>0</v>
      </c>
      <c r="AD598" s="32" t="n">
        <v>0</v>
      </c>
      <c r="AE598" s="31" t="n">
        <v>0</v>
      </c>
      <c r="AF598" s="32" t="n">
        <v>0</v>
      </c>
      <c r="AG598" s="31" t="n">
        <v>0</v>
      </c>
      <c r="AH598" s="32" t="n">
        <v>61</v>
      </c>
      <c r="AI598" s="31" t="n">
        <v>62.9</v>
      </c>
      <c r="AJ598" s="31" t="n">
        <v>47.2</v>
      </c>
      <c r="AK598" s="31" t="n">
        <v>0</v>
      </c>
      <c r="AL598" s="30" t="inlineStr">
        <is>
          <t>T-0747</t>
        </is>
      </c>
      <c r="AM598" s="30" t="inlineStr">
        <is>
          <t>J-05-01</t>
        </is>
      </c>
      <c r="AN598" s="30" t="inlineStr">
        <is>
          <t>T-0626</t>
        </is>
      </c>
      <c r="AO598" s="30" t="inlineStr">
        <is>
          <t>J-02-03</t>
        </is>
      </c>
    </row>
    <row r="599">
      <c r="A599" s="30" t="inlineStr">
        <is>
          <t>O0598</t>
        </is>
      </c>
      <c r="B599" s="30" t="inlineStr">
        <is>
          <t>A</t>
        </is>
      </c>
      <c r="C599" s="31" t="n">
        <v>8893.4</v>
      </c>
      <c r="D599" s="31" t="n">
        <v>29210.2</v>
      </c>
      <c r="E599" s="31" t="n">
        <v>29210.2</v>
      </c>
      <c r="F599" s="31" t="n">
        <v>29223.6</v>
      </c>
      <c r="G599" s="31" t="n">
        <v>29251.2</v>
      </c>
      <c r="H599" s="31" t="n">
        <v>29263.9</v>
      </c>
      <c r="I599" s="31" t="n">
        <v>29291</v>
      </c>
      <c r="J599" s="31" t="n">
        <v>29333.3</v>
      </c>
      <c r="K599" s="31" t="n">
        <v>20439.9</v>
      </c>
      <c r="L599" s="31" t="n">
        <v>20316.8</v>
      </c>
      <c r="M599" s="30" t="inlineStr">
        <is>
          <t>AMR2</t>
        </is>
      </c>
      <c r="N599" s="30" t="inlineStr">
        <is>
          <t>AMR1</t>
        </is>
      </c>
      <c r="O599" s="32" t="n">
        <v>0</v>
      </c>
      <c r="P599" s="32" t="n">
        <v>0</v>
      </c>
      <c r="Q599" s="32" t="n">
        <v>21</v>
      </c>
      <c r="R599" s="31" t="n">
        <v>40.9</v>
      </c>
      <c r="S599" s="31" t="n">
        <v>40.9</v>
      </c>
      <c r="T599" s="30" t="inlineStr">
        <is>
          <t>AMR2</t>
        </is>
      </c>
      <c r="U599" s="31" t="n">
        <v>62.8</v>
      </c>
      <c r="V599" s="31" t="n">
        <v>62.8</v>
      </c>
      <c r="W599" s="30" t="inlineStr">
        <is>
          <t>AMR1</t>
        </is>
      </c>
      <c r="X599" s="32" t="n">
        <v>0</v>
      </c>
      <c r="Y599" s="32" t="n">
        <v>0</v>
      </c>
      <c r="Z599" s="31" t="n">
        <v>0</v>
      </c>
      <c r="AA599" s="32" t="n">
        <v>0</v>
      </c>
      <c r="AB599" s="32" t="n">
        <v>0</v>
      </c>
      <c r="AC599" s="32" t="n">
        <v>1</v>
      </c>
      <c r="AD599" s="32" t="n">
        <v>0</v>
      </c>
      <c r="AE599" s="31" t="n">
        <v>0</v>
      </c>
      <c r="AF599" s="32" t="n">
        <v>0</v>
      </c>
      <c r="AG599" s="31" t="n">
        <v>0</v>
      </c>
      <c r="AH599" s="32" t="n">
        <v>66</v>
      </c>
      <c r="AI599" s="31" t="n">
        <v>65.8</v>
      </c>
      <c r="AJ599" s="31" t="n">
        <v>41.6</v>
      </c>
      <c r="AK599" s="31" t="n">
        <v>3</v>
      </c>
      <c r="AL599" s="30" t="inlineStr">
        <is>
          <t>T-0748</t>
        </is>
      </c>
      <c r="AM599" s="30" t="inlineStr">
        <is>
          <t>A-06-02</t>
        </is>
      </c>
      <c r="AN599" s="30" t="inlineStr">
        <is>
          <t>T-0612</t>
        </is>
      </c>
      <c r="AO599" s="30" t="inlineStr">
        <is>
          <t>A-01-03</t>
        </is>
      </c>
    </row>
    <row r="600">
      <c r="A600" s="30" t="inlineStr">
        <is>
          <t>O0599</t>
        </is>
      </c>
      <c r="B600" s="30" t="inlineStr">
        <is>
          <t>B</t>
        </is>
      </c>
      <c r="C600" s="31" t="n">
        <v>8911.799999999999</v>
      </c>
      <c r="D600" s="31" t="n">
        <v>29271.5</v>
      </c>
      <c r="E600" s="31" t="n">
        <v>29271.5</v>
      </c>
      <c r="F600" s="31" t="n">
        <v>29284</v>
      </c>
      <c r="G600" s="31" t="n">
        <v>29317.5</v>
      </c>
      <c r="H600" s="31" t="n">
        <v>29333.7</v>
      </c>
      <c r="I600" s="31" t="n">
        <v>29362.5</v>
      </c>
      <c r="J600" s="31" t="n">
        <v>29392.6</v>
      </c>
      <c r="K600" s="31" t="n">
        <v>20480.8</v>
      </c>
      <c r="L600" s="31" t="n">
        <v>20359.7</v>
      </c>
      <c r="M600" s="30" t="inlineStr">
        <is>
          <t>AMR2</t>
        </is>
      </c>
      <c r="N600" s="30" t="inlineStr">
        <is>
          <t>AMR2</t>
        </is>
      </c>
      <c r="O600" s="32" t="n">
        <v>0</v>
      </c>
      <c r="P600" s="32" t="n">
        <v>0</v>
      </c>
      <c r="Q600" s="32" t="n">
        <v>15</v>
      </c>
      <c r="R600" s="31" t="n">
        <v>37.8</v>
      </c>
      <c r="S600" s="31" t="n">
        <v>37.8</v>
      </c>
      <c r="T600" s="30" t="inlineStr">
        <is>
          <t>AMR2</t>
        </is>
      </c>
      <c r="U600" s="31" t="n">
        <v>55.6</v>
      </c>
      <c r="V600" s="31" t="n">
        <v>55.6</v>
      </c>
      <c r="W600" s="30" t="inlineStr">
        <is>
          <t>AMR2</t>
        </is>
      </c>
      <c r="X600" s="32" t="n">
        <v>0</v>
      </c>
      <c r="Y600" s="32" t="n">
        <v>0</v>
      </c>
      <c r="Z600" s="31" t="n">
        <v>0</v>
      </c>
      <c r="AA600" s="32" t="n">
        <v>0</v>
      </c>
      <c r="AB600" s="32" t="n">
        <v>0</v>
      </c>
      <c r="AC600" s="32" t="n">
        <v>1</v>
      </c>
      <c r="AD600" s="32" t="n">
        <v>0</v>
      </c>
      <c r="AE600" s="31" t="n">
        <v>0</v>
      </c>
      <c r="AF600" s="32" t="n">
        <v>1</v>
      </c>
      <c r="AG600" s="31" t="n">
        <v>0.7</v>
      </c>
      <c r="AH600" s="32" t="n">
        <v>51</v>
      </c>
      <c r="AI600" s="31" t="n">
        <v>53.1</v>
      </c>
      <c r="AJ600" s="31" t="n">
        <v>46.1</v>
      </c>
      <c r="AK600" s="31" t="n">
        <v>5.7</v>
      </c>
      <c r="AL600" s="30" t="inlineStr">
        <is>
          <t>T-0749</t>
        </is>
      </c>
      <c r="AM600" s="30" t="inlineStr">
        <is>
          <t>B-01-02</t>
        </is>
      </c>
      <c r="AN600" s="30" t="inlineStr">
        <is>
          <t>T-0581</t>
        </is>
      </c>
      <c r="AO600" s="30" t="inlineStr">
        <is>
          <t>B-02-02</t>
        </is>
      </c>
    </row>
    <row r="601">
      <c r="A601" s="30" t="inlineStr">
        <is>
          <t>O0600</t>
        </is>
      </c>
      <c r="B601" s="30" t="inlineStr">
        <is>
          <t>A</t>
        </is>
      </c>
      <c r="C601" s="31" t="n">
        <v>8932.6</v>
      </c>
      <c r="D601" s="31" t="n">
        <v>29289.3</v>
      </c>
      <c r="E601" s="31" t="n">
        <v>29289.3</v>
      </c>
      <c r="F601" s="31" t="n">
        <v>29304</v>
      </c>
      <c r="G601" s="31" t="n">
        <v>29331.7</v>
      </c>
      <c r="H601" s="31" t="n">
        <v>29353.3</v>
      </c>
      <c r="I601" s="31" t="n">
        <v>29381.6</v>
      </c>
      <c r="J601" s="31" t="n">
        <v>29417.7</v>
      </c>
      <c r="K601" s="31" t="n">
        <v>20485.1</v>
      </c>
      <c r="L601" s="31" t="n">
        <v>20356.7</v>
      </c>
      <c r="M601" s="30" t="inlineStr">
        <is>
          <t>AMR3</t>
        </is>
      </c>
      <c r="N601" s="30" t="inlineStr">
        <is>
          <t>AMR3</t>
        </is>
      </c>
      <c r="O601" s="32" t="n">
        <v>0</v>
      </c>
      <c r="P601" s="32" t="n">
        <v>0</v>
      </c>
      <c r="Q601" s="32" t="n">
        <v>21</v>
      </c>
      <c r="R601" s="31" t="n">
        <v>39.9</v>
      </c>
      <c r="S601" s="31" t="n">
        <v>39.9</v>
      </c>
      <c r="T601" s="30" t="inlineStr">
        <is>
          <t>AMR3</t>
        </is>
      </c>
      <c r="U601" s="31" t="n">
        <v>61.1</v>
      </c>
      <c r="V601" s="31" t="n">
        <v>61.1</v>
      </c>
      <c r="W601" s="30" t="inlineStr">
        <is>
          <t>AMR3</t>
        </is>
      </c>
      <c r="X601" s="32" t="n">
        <v>0</v>
      </c>
      <c r="Y601" s="32" t="n">
        <v>0</v>
      </c>
      <c r="Z601" s="31" t="n">
        <v>0</v>
      </c>
      <c r="AA601" s="32" t="n">
        <v>0</v>
      </c>
      <c r="AB601" s="32" t="n">
        <v>0</v>
      </c>
      <c r="AC601" s="32" t="n">
        <v>0</v>
      </c>
      <c r="AD601" s="32" t="n">
        <v>0</v>
      </c>
      <c r="AE601" s="31" t="n">
        <v>0</v>
      </c>
      <c r="AF601" s="32" t="n">
        <v>0</v>
      </c>
      <c r="AG601" s="31" t="n">
        <v>0</v>
      </c>
      <c r="AH601" s="32" t="n">
        <v>69</v>
      </c>
      <c r="AI601" s="31" t="n">
        <v>67.90000000000001</v>
      </c>
      <c r="AJ601" s="31" t="n">
        <v>38.9</v>
      </c>
      <c r="AK601" s="31" t="n">
        <v>0</v>
      </c>
      <c r="AL601" s="30" t="inlineStr">
        <is>
          <t>T-0750</t>
        </is>
      </c>
      <c r="AM601" s="30" t="inlineStr">
        <is>
          <t>A-01-03</t>
        </is>
      </c>
      <c r="AN601" s="30" t="inlineStr">
        <is>
          <t>T-0617</t>
        </is>
      </c>
      <c r="AO601" s="30" t="inlineStr">
        <is>
          <t>A-02-03</t>
        </is>
      </c>
    </row>
    <row r="602">
      <c r="A602" s="30" t="inlineStr">
        <is>
          <t>O0601</t>
        </is>
      </c>
      <c r="B602" s="30" t="inlineStr">
        <is>
          <t>G</t>
        </is>
      </c>
      <c r="C602" s="31" t="n">
        <v>8936.6</v>
      </c>
      <c r="D602" s="31" t="n">
        <v>29357</v>
      </c>
      <c r="E602" s="31" t="n">
        <v>29357</v>
      </c>
      <c r="F602" s="31" t="n">
        <v>29369.7</v>
      </c>
      <c r="G602" s="31" t="n">
        <v>29394.2</v>
      </c>
      <c r="H602" s="31" t="n">
        <v>29411</v>
      </c>
      <c r="I602" s="31" t="n">
        <v>29441.1</v>
      </c>
      <c r="J602" s="31" t="n">
        <v>29466.5</v>
      </c>
      <c r="K602" s="31" t="n">
        <v>20529.9</v>
      </c>
      <c r="L602" s="31" t="n">
        <v>20420.4</v>
      </c>
      <c r="M602" s="30" t="inlineStr">
        <is>
          <t>AMR1</t>
        </is>
      </c>
      <c r="N602" s="30" t="inlineStr">
        <is>
          <t>AMR1</t>
        </is>
      </c>
      <c r="O602" s="32" t="n">
        <v>0</v>
      </c>
      <c r="P602" s="32" t="n">
        <v>0</v>
      </c>
      <c r="Q602" s="32" t="n">
        <v>17</v>
      </c>
      <c r="R602" s="31" t="n">
        <v>36.3</v>
      </c>
      <c r="S602" s="31" t="n">
        <v>36.3</v>
      </c>
      <c r="T602" s="30" t="inlineStr">
        <is>
          <t>AMR1</t>
        </is>
      </c>
      <c r="U602" s="31" t="n">
        <v>55.2</v>
      </c>
      <c r="V602" s="31" t="n">
        <v>55.2</v>
      </c>
      <c r="W602" s="30" t="inlineStr">
        <is>
          <t>AMR1</t>
        </is>
      </c>
      <c r="X602" s="32" t="n">
        <v>0</v>
      </c>
      <c r="Y602" s="32" t="n">
        <v>0</v>
      </c>
      <c r="Z602" s="31" t="n">
        <v>0</v>
      </c>
      <c r="AA602" s="32" t="n">
        <v>0</v>
      </c>
      <c r="AB602" s="32" t="n">
        <v>0</v>
      </c>
      <c r="AC602" s="32" t="n">
        <v>0</v>
      </c>
      <c r="AD602" s="32" t="n">
        <v>0</v>
      </c>
      <c r="AE602" s="31" t="n">
        <v>0</v>
      </c>
      <c r="AF602" s="32" t="n">
        <v>0</v>
      </c>
      <c r="AG602" s="31" t="n">
        <v>0</v>
      </c>
      <c r="AH602" s="32" t="n">
        <v>47</v>
      </c>
      <c r="AI602" s="31" t="n">
        <v>51.6</v>
      </c>
      <c r="AJ602" s="31" t="n">
        <v>41.1</v>
      </c>
      <c r="AK602" s="31" t="n">
        <v>0</v>
      </c>
      <c r="AL602" s="30" t="inlineStr">
        <is>
          <t>T-0751</t>
        </is>
      </c>
      <c r="AM602" s="30" t="inlineStr">
        <is>
          <t>G-04-03</t>
        </is>
      </c>
      <c r="AN602" s="30" t="inlineStr">
        <is>
          <t>T-0584</t>
        </is>
      </c>
      <c r="AO602" s="30" t="inlineStr">
        <is>
          <t>G-05-01</t>
        </is>
      </c>
    </row>
    <row r="603">
      <c r="A603" s="30" t="inlineStr">
        <is>
          <t>O0602</t>
        </is>
      </c>
      <c r="B603" s="30" t="inlineStr">
        <is>
          <t>I</t>
        </is>
      </c>
      <c r="C603" s="31" t="n">
        <v>8940.6</v>
      </c>
      <c r="D603" s="31" t="n">
        <v>29416.3</v>
      </c>
      <c r="E603" s="31" t="n">
        <v>29416.3</v>
      </c>
      <c r="F603" s="31" t="n">
        <v>29431.2</v>
      </c>
      <c r="G603" s="31" t="n">
        <v>29463</v>
      </c>
      <c r="H603" s="31" t="n">
        <v>29477.8</v>
      </c>
      <c r="I603" s="31" t="n">
        <v>29507.1</v>
      </c>
      <c r="J603" s="31" t="n">
        <v>29534</v>
      </c>
      <c r="K603" s="31" t="n">
        <v>20593.4</v>
      </c>
      <c r="L603" s="31" t="n">
        <v>20475.7</v>
      </c>
      <c r="M603" s="30" t="inlineStr">
        <is>
          <t>AMR2</t>
        </is>
      </c>
      <c r="N603" s="30" t="inlineStr">
        <is>
          <t>AMR2</t>
        </is>
      </c>
      <c r="O603" s="32" t="n">
        <v>0</v>
      </c>
      <c r="P603" s="32" t="n">
        <v>0</v>
      </c>
      <c r="Q603" s="32" t="n">
        <v>15</v>
      </c>
      <c r="R603" s="31" t="n">
        <v>41.6</v>
      </c>
      <c r="S603" s="31" t="n">
        <v>41.6</v>
      </c>
      <c r="T603" s="30" t="inlineStr">
        <is>
          <t>AMR2</t>
        </is>
      </c>
      <c r="U603" s="31" t="n">
        <v>49.8</v>
      </c>
      <c r="V603" s="31" t="n">
        <v>49.8</v>
      </c>
      <c r="W603" s="30" t="inlineStr">
        <is>
          <t>AMR2</t>
        </is>
      </c>
      <c r="X603" s="32" t="n">
        <v>0</v>
      </c>
      <c r="Y603" s="32" t="n">
        <v>0</v>
      </c>
      <c r="Z603" s="31" t="n">
        <v>0</v>
      </c>
      <c r="AA603" s="32" t="n">
        <v>0</v>
      </c>
      <c r="AB603" s="32" t="n">
        <v>2</v>
      </c>
      <c r="AC603" s="32" t="n">
        <v>2</v>
      </c>
      <c r="AD603" s="32" t="n">
        <v>0</v>
      </c>
      <c r="AE603" s="31" t="n">
        <v>0</v>
      </c>
      <c r="AF603" s="32" t="n">
        <v>0</v>
      </c>
      <c r="AG603" s="31" t="n">
        <v>0</v>
      </c>
      <c r="AH603" s="32" t="n">
        <v>43</v>
      </c>
      <c r="AI603" s="31" t="n">
        <v>48.5</v>
      </c>
      <c r="AJ603" s="31" t="n">
        <v>45.6</v>
      </c>
      <c r="AK603" s="31" t="n">
        <v>8.800000000000001</v>
      </c>
      <c r="AL603" s="30" t="inlineStr">
        <is>
          <t>T-0752</t>
        </is>
      </c>
      <c r="AM603" s="30" t="inlineStr">
        <is>
          <t>I-02-01</t>
        </is>
      </c>
      <c r="AN603" s="30" t="inlineStr">
        <is>
          <t>T-0590</t>
        </is>
      </c>
      <c r="AO603" s="30" t="inlineStr">
        <is>
          <t>I-03-03</t>
        </is>
      </c>
    </row>
    <row r="604">
      <c r="A604" s="30" t="inlineStr">
        <is>
          <t>O0603</t>
        </is>
      </c>
      <c r="B604" s="30" t="inlineStr">
        <is>
          <t>F</t>
        </is>
      </c>
      <c r="C604" s="31" t="n">
        <v>8945.700000000001</v>
      </c>
      <c r="D604" s="31" t="n">
        <v>29445.8</v>
      </c>
      <c r="E604" s="31" t="n">
        <v>29445.8</v>
      </c>
      <c r="F604" s="31" t="n">
        <v>29459.9</v>
      </c>
      <c r="G604" s="31" t="n">
        <v>29489</v>
      </c>
      <c r="H604" s="31" t="n">
        <v>29494.6</v>
      </c>
      <c r="I604" s="31" t="n">
        <v>29528.4</v>
      </c>
      <c r="J604" s="31" t="n">
        <v>29562</v>
      </c>
      <c r="K604" s="31" t="n">
        <v>20616.3</v>
      </c>
      <c r="L604" s="31" t="n">
        <v>20500.1</v>
      </c>
      <c r="M604" s="30" t="inlineStr">
        <is>
          <t>AMR3</t>
        </is>
      </c>
      <c r="N604" s="30" t="inlineStr">
        <is>
          <t>AMR1</t>
        </is>
      </c>
      <c r="O604" s="32" t="n">
        <v>0</v>
      </c>
      <c r="P604" s="32" t="n">
        <v>0</v>
      </c>
      <c r="Q604" s="32" t="n">
        <v>23</v>
      </c>
      <c r="R604" s="31" t="n">
        <v>43.1</v>
      </c>
      <c r="S604" s="31" t="n">
        <v>43.1</v>
      </c>
      <c r="T604" s="30" t="inlineStr">
        <is>
          <t>AMR3</t>
        </is>
      </c>
      <c r="U604" s="31" t="n">
        <v>65.09999999999999</v>
      </c>
      <c r="V604" s="31" t="n">
        <v>65.09999999999999</v>
      </c>
      <c r="W604" s="30" t="inlineStr">
        <is>
          <t>AMR1</t>
        </is>
      </c>
      <c r="X604" s="32" t="n">
        <v>0</v>
      </c>
      <c r="Y604" s="32" t="n">
        <v>0</v>
      </c>
      <c r="Z604" s="31" t="n">
        <v>0</v>
      </c>
      <c r="AA604" s="32" t="n">
        <v>0</v>
      </c>
      <c r="AB604" s="32" t="n">
        <v>0</v>
      </c>
      <c r="AC604" s="32" t="n">
        <v>0</v>
      </c>
      <c r="AD604" s="32" t="n">
        <v>0</v>
      </c>
      <c r="AE604" s="31" t="n">
        <v>0</v>
      </c>
      <c r="AF604" s="32" t="n">
        <v>0</v>
      </c>
      <c r="AG604" s="31" t="n">
        <v>0</v>
      </c>
      <c r="AH604" s="32" t="n">
        <v>68</v>
      </c>
      <c r="AI604" s="31" t="n">
        <v>67.59999999999999</v>
      </c>
      <c r="AJ604" s="31" t="n">
        <v>43</v>
      </c>
      <c r="AK604" s="31" t="n">
        <v>0</v>
      </c>
      <c r="AL604" s="30" t="inlineStr">
        <is>
          <t>T-0753</t>
        </is>
      </c>
      <c r="AM604" s="30" t="inlineStr">
        <is>
          <t>F-06-02</t>
        </is>
      </c>
      <c r="AN604" s="30" t="inlineStr">
        <is>
          <t>T-0646</t>
        </is>
      </c>
      <c r="AO604" s="30" t="inlineStr">
        <is>
          <t>F-01-02</t>
        </is>
      </c>
    </row>
    <row r="605">
      <c r="A605" s="30" t="inlineStr">
        <is>
          <t>O0604</t>
        </is>
      </c>
      <c r="B605" s="30" t="inlineStr">
        <is>
          <t>C</t>
        </is>
      </c>
      <c r="C605" s="31" t="n">
        <v>8951.9</v>
      </c>
      <c r="D605" s="31" t="n">
        <v>29509.9</v>
      </c>
      <c r="E605" s="31" t="n">
        <v>29509.9</v>
      </c>
      <c r="F605" s="31" t="n">
        <v>29520.5</v>
      </c>
      <c r="G605" s="31" t="n">
        <v>29541</v>
      </c>
      <c r="H605" s="31" t="n">
        <v>29553.2</v>
      </c>
      <c r="I605" s="31" t="n">
        <v>29578.4</v>
      </c>
      <c r="J605" s="31" t="n">
        <v>29606.1</v>
      </c>
      <c r="K605" s="31" t="n">
        <v>20654.2</v>
      </c>
      <c r="L605" s="31" t="n">
        <v>20558</v>
      </c>
      <c r="M605" s="30" t="inlineStr">
        <is>
          <t>AMR3</t>
        </is>
      </c>
      <c r="N605" s="30" t="inlineStr">
        <is>
          <t>AMR3</t>
        </is>
      </c>
      <c r="O605" s="32" t="n">
        <v>0</v>
      </c>
      <c r="P605" s="32" t="n">
        <v>0</v>
      </c>
      <c r="Q605" s="32" t="n">
        <v>13</v>
      </c>
      <c r="R605" s="31" t="n">
        <v>30.2</v>
      </c>
      <c r="S605" s="31" t="n">
        <v>30.2</v>
      </c>
      <c r="T605" s="30" t="inlineStr">
        <is>
          <t>AMR3</t>
        </is>
      </c>
      <c r="U605" s="31" t="n">
        <v>53.1</v>
      </c>
      <c r="V605" s="31" t="n">
        <v>53.1</v>
      </c>
      <c r="W605" s="30" t="inlineStr">
        <is>
          <t>AMR3</t>
        </is>
      </c>
      <c r="X605" s="32" t="n">
        <v>0</v>
      </c>
      <c r="Y605" s="32" t="n">
        <v>0</v>
      </c>
      <c r="Z605" s="31" t="n">
        <v>0</v>
      </c>
      <c r="AA605" s="32" t="n">
        <v>0</v>
      </c>
      <c r="AB605" s="32" t="n">
        <v>0</v>
      </c>
      <c r="AC605" s="32" t="n">
        <v>0</v>
      </c>
      <c r="AD605" s="32" t="n">
        <v>0</v>
      </c>
      <c r="AE605" s="31" t="n">
        <v>0</v>
      </c>
      <c r="AF605" s="32" t="n">
        <v>0</v>
      </c>
      <c r="AG605" s="31" t="n">
        <v>0</v>
      </c>
      <c r="AH605" s="32" t="n">
        <v>39</v>
      </c>
      <c r="AI605" s="31" t="n">
        <v>42.9</v>
      </c>
      <c r="AJ605" s="31" t="n">
        <v>41.1</v>
      </c>
      <c r="AK605" s="31" t="n">
        <v>0</v>
      </c>
      <c r="AL605" s="30" t="inlineStr">
        <is>
          <t>T-0754</t>
        </is>
      </c>
      <c r="AM605" s="30" t="inlineStr">
        <is>
          <t>C-02-03</t>
        </is>
      </c>
      <c r="AN605" s="30" t="inlineStr">
        <is>
          <t>T-0606</t>
        </is>
      </c>
      <c r="AO605" s="30" t="inlineStr">
        <is>
          <t>C-01-01</t>
        </is>
      </c>
    </row>
    <row r="606">
      <c r="A606" s="30" t="inlineStr">
        <is>
          <t>O0605</t>
        </is>
      </c>
      <c r="B606" s="30" t="inlineStr">
        <is>
          <t>D</t>
        </is>
      </c>
      <c r="C606" s="31" t="n">
        <v>8955</v>
      </c>
      <c r="D606" s="31" t="n">
        <v>29557.7</v>
      </c>
      <c r="E606" s="31" t="n">
        <v>29557.7</v>
      </c>
      <c r="F606" s="31" t="n">
        <v>29569.5</v>
      </c>
      <c r="G606" s="31" t="n">
        <v>29597.5</v>
      </c>
      <c r="H606" s="31" t="n">
        <v>29612.3</v>
      </c>
      <c r="I606" s="31" t="n">
        <v>29639</v>
      </c>
      <c r="J606" s="31" t="n">
        <v>29667.5</v>
      </c>
      <c r="K606" s="31" t="n">
        <v>20712.5</v>
      </c>
      <c r="L606" s="31" t="n">
        <v>20602.7</v>
      </c>
      <c r="M606" s="30" t="inlineStr">
        <is>
          <t>AMR2</t>
        </is>
      </c>
      <c r="N606" s="30" t="inlineStr">
        <is>
          <t>AMR2</t>
        </is>
      </c>
      <c r="O606" s="32" t="n">
        <v>0</v>
      </c>
      <c r="P606" s="32" t="n">
        <v>0</v>
      </c>
      <c r="Q606" s="32" t="n">
        <v>13</v>
      </c>
      <c r="R606" s="31" t="n">
        <v>31.7</v>
      </c>
      <c r="S606" s="31" t="n">
        <v>31.7</v>
      </c>
      <c r="T606" s="30" t="inlineStr">
        <is>
          <t>AMR2</t>
        </is>
      </c>
      <c r="U606" s="31" t="n">
        <v>49.8</v>
      </c>
      <c r="V606" s="31" t="n">
        <v>49.8</v>
      </c>
      <c r="W606" s="30" t="inlineStr">
        <is>
          <t>AMR2</t>
        </is>
      </c>
      <c r="X606" s="32" t="n">
        <v>0</v>
      </c>
      <c r="Y606" s="32" t="n">
        <v>0</v>
      </c>
      <c r="Z606" s="31" t="n">
        <v>0</v>
      </c>
      <c r="AA606" s="32" t="n">
        <v>0</v>
      </c>
      <c r="AB606" s="32" t="n">
        <v>0</v>
      </c>
      <c r="AC606" s="32" t="n">
        <v>2</v>
      </c>
      <c r="AD606" s="32" t="n">
        <v>0</v>
      </c>
      <c r="AE606" s="31" t="n">
        <v>0</v>
      </c>
      <c r="AF606" s="32" t="n">
        <v>2</v>
      </c>
      <c r="AG606" s="31" t="n">
        <v>1.2</v>
      </c>
      <c r="AH606" s="32" t="n">
        <v>41</v>
      </c>
      <c r="AI606" s="31" t="n">
        <v>45</v>
      </c>
      <c r="AJ606" s="31" t="n">
        <v>38.8</v>
      </c>
      <c r="AK606" s="31" t="n">
        <v>11.2</v>
      </c>
      <c r="AL606" s="30" t="inlineStr">
        <is>
          <t>T-0755</t>
        </is>
      </c>
      <c r="AM606" s="30" t="inlineStr">
        <is>
          <t>D-05-02</t>
        </is>
      </c>
      <c r="AN606" s="30" t="inlineStr">
        <is>
          <t>T-0493</t>
        </is>
      </c>
      <c r="AO606" s="30" t="inlineStr">
        <is>
          <t>D-01-03</t>
        </is>
      </c>
    </row>
    <row r="607">
      <c r="A607" s="30" t="inlineStr">
        <is>
          <t>O0606</t>
        </is>
      </c>
      <c r="B607" s="30" t="inlineStr">
        <is>
          <t>I</t>
        </is>
      </c>
      <c r="C607" s="31" t="n">
        <v>8960.799999999999</v>
      </c>
      <c r="D607" s="31" t="n">
        <v>29590.7</v>
      </c>
      <c r="E607" s="31" t="n">
        <v>29590.7</v>
      </c>
      <c r="F607" s="31" t="n">
        <v>29601.6</v>
      </c>
      <c r="G607" s="31" t="n">
        <v>29627.8</v>
      </c>
      <c r="H607" s="31" t="n">
        <v>29634.8</v>
      </c>
      <c r="I607" s="31" t="n">
        <v>29664.4</v>
      </c>
      <c r="J607" s="31" t="n">
        <v>29693.8</v>
      </c>
      <c r="K607" s="31" t="n">
        <v>20733</v>
      </c>
      <c r="L607" s="31" t="n">
        <v>20629.9</v>
      </c>
      <c r="M607" s="30" t="inlineStr">
        <is>
          <t>AMR1</t>
        </is>
      </c>
      <c r="N607" s="30" t="inlineStr">
        <is>
          <t>AMR3</t>
        </is>
      </c>
      <c r="O607" s="32" t="n">
        <v>0</v>
      </c>
      <c r="P607" s="32" t="n">
        <v>0</v>
      </c>
      <c r="Q607" s="32" t="n">
        <v>15</v>
      </c>
      <c r="R607" s="31" t="n">
        <v>35.4</v>
      </c>
      <c r="S607" s="31" t="n">
        <v>35.4</v>
      </c>
      <c r="T607" s="30" t="inlineStr">
        <is>
          <t>AMR1</t>
        </is>
      </c>
      <c r="U607" s="31" t="n">
        <v>57.2</v>
      </c>
      <c r="V607" s="31" t="n">
        <v>57.2</v>
      </c>
      <c r="W607" s="30" t="inlineStr">
        <is>
          <t>AMR3</t>
        </is>
      </c>
      <c r="X607" s="32" t="n">
        <v>0</v>
      </c>
      <c r="Y607" s="32" t="n">
        <v>0</v>
      </c>
      <c r="Z607" s="31" t="n">
        <v>0</v>
      </c>
      <c r="AA607" s="32" t="n">
        <v>0</v>
      </c>
      <c r="AB607" s="32" t="n">
        <v>0</v>
      </c>
      <c r="AC607" s="32" t="n">
        <v>0</v>
      </c>
      <c r="AD607" s="32" t="n">
        <v>0</v>
      </c>
      <c r="AE607" s="31" t="n">
        <v>0</v>
      </c>
      <c r="AF607" s="32" t="n">
        <v>0</v>
      </c>
      <c r="AG607" s="31" t="n">
        <v>0</v>
      </c>
      <c r="AH607" s="32" t="n">
        <v>44</v>
      </c>
      <c r="AI607" s="31" t="n">
        <v>49.3</v>
      </c>
      <c r="AJ607" s="31" t="n">
        <v>46.8</v>
      </c>
      <c r="AK607" s="31" t="n">
        <v>0</v>
      </c>
      <c r="AL607" s="30" t="inlineStr">
        <is>
          <t>T-0756</t>
        </is>
      </c>
      <c r="AM607" s="30" t="inlineStr">
        <is>
          <t>I-03-03</t>
        </is>
      </c>
      <c r="AN607" s="30" t="inlineStr">
        <is>
          <t>T-0604</t>
        </is>
      </c>
      <c r="AO607" s="30" t="inlineStr">
        <is>
          <t>I-03-01</t>
        </is>
      </c>
    </row>
    <row r="608">
      <c r="A608" s="30" t="inlineStr">
        <is>
          <t>O0607</t>
        </is>
      </c>
      <c r="B608" s="30" t="inlineStr">
        <is>
          <t>G</t>
        </is>
      </c>
      <c r="C608" s="31" t="n">
        <v>8966.700000000001</v>
      </c>
      <c r="D608" s="31" t="n">
        <v>29643.9</v>
      </c>
      <c r="E608" s="31" t="n">
        <v>29643.9</v>
      </c>
      <c r="F608" s="31" t="n">
        <v>29659.7</v>
      </c>
      <c r="G608" s="31" t="n">
        <v>29688.2</v>
      </c>
      <c r="H608" s="31" t="n">
        <v>29691.2</v>
      </c>
      <c r="I608" s="31" t="n">
        <v>29717.3</v>
      </c>
      <c r="J608" s="31" t="n">
        <v>29744</v>
      </c>
      <c r="K608" s="31" t="n">
        <v>20777.3</v>
      </c>
      <c r="L608" s="31" t="n">
        <v>20677.2</v>
      </c>
      <c r="M608" s="30" t="inlineStr">
        <is>
          <t>AMR1</t>
        </is>
      </c>
      <c r="N608" s="30" t="inlineStr">
        <is>
          <t>AMR2</t>
        </is>
      </c>
      <c r="O608" s="32" t="n">
        <v>0</v>
      </c>
      <c r="P608" s="32" t="n">
        <v>0</v>
      </c>
      <c r="Q608" s="32" t="n">
        <v>17</v>
      </c>
      <c r="R608" s="31" t="n">
        <v>43.4</v>
      </c>
      <c r="S608" s="31" t="n">
        <v>43.4</v>
      </c>
      <c r="T608" s="30" t="inlineStr">
        <is>
          <t>AMR1</t>
        </is>
      </c>
      <c r="U608" s="31" t="n">
        <v>50.5</v>
      </c>
      <c r="V608" s="31" t="n">
        <v>50.5</v>
      </c>
      <c r="W608" s="30" t="inlineStr">
        <is>
          <t>AMR2</t>
        </is>
      </c>
      <c r="X608" s="32" t="n">
        <v>0</v>
      </c>
      <c r="Y608" s="32" t="n">
        <v>0</v>
      </c>
      <c r="Z608" s="31" t="n">
        <v>0</v>
      </c>
      <c r="AA608" s="32" t="n">
        <v>0</v>
      </c>
      <c r="AB608" s="32" t="n">
        <v>0</v>
      </c>
      <c r="AC608" s="32" t="n">
        <v>0</v>
      </c>
      <c r="AD608" s="32" t="n">
        <v>0</v>
      </c>
      <c r="AE608" s="31" t="n">
        <v>0</v>
      </c>
      <c r="AF608" s="32" t="n">
        <v>0</v>
      </c>
      <c r="AG608" s="31" t="n">
        <v>0</v>
      </c>
      <c r="AH608" s="32" t="n">
        <v>51</v>
      </c>
      <c r="AI608" s="31" t="n">
        <v>53.6</v>
      </c>
      <c r="AJ608" s="31" t="n">
        <v>43.5</v>
      </c>
      <c r="AK608" s="31" t="n">
        <v>0</v>
      </c>
      <c r="AL608" s="30" t="inlineStr">
        <is>
          <t>T-0757</t>
        </is>
      </c>
      <c r="AM608" s="30" t="inlineStr">
        <is>
          <t>G-05-01</t>
        </is>
      </c>
      <c r="AN608" s="30" t="inlineStr">
        <is>
          <t>T-0601</t>
        </is>
      </c>
      <c r="AO608" s="30" t="inlineStr">
        <is>
          <t>G-01-01</t>
        </is>
      </c>
    </row>
    <row r="609">
      <c r="A609" s="30" t="inlineStr">
        <is>
          <t>O0608</t>
        </is>
      </c>
      <c r="B609" s="30" t="inlineStr">
        <is>
          <t>F</t>
        </is>
      </c>
      <c r="C609" s="31" t="n">
        <v>8971.9</v>
      </c>
      <c r="D609" s="31" t="n">
        <v>29705</v>
      </c>
      <c r="E609" s="31" t="n">
        <v>29705</v>
      </c>
      <c r="F609" s="31" t="n">
        <v>29718.5</v>
      </c>
      <c r="G609" s="31" t="n">
        <v>29752</v>
      </c>
      <c r="H609" s="31" t="n">
        <v>29767.7</v>
      </c>
      <c r="I609" s="31" t="n">
        <v>29800.9</v>
      </c>
      <c r="J609" s="31" t="n">
        <v>29843.2</v>
      </c>
      <c r="K609" s="31" t="n">
        <v>20871.3</v>
      </c>
      <c r="L609" s="31" t="n">
        <v>20733.1</v>
      </c>
      <c r="M609" s="30" t="inlineStr">
        <is>
          <t>AMR1</t>
        </is>
      </c>
      <c r="N609" s="30" t="inlineStr">
        <is>
          <t>AMR2</t>
        </is>
      </c>
      <c r="O609" s="32" t="n">
        <v>0</v>
      </c>
      <c r="P609" s="32" t="n">
        <v>0</v>
      </c>
      <c r="Q609" s="32" t="n">
        <v>23</v>
      </c>
      <c r="R609" s="31" t="n">
        <v>44.5</v>
      </c>
      <c r="S609" s="31" t="n">
        <v>44.5</v>
      </c>
      <c r="T609" s="30" t="inlineStr">
        <is>
          <t>AMR1</t>
        </is>
      </c>
      <c r="U609" s="31" t="n">
        <v>66.8</v>
      </c>
      <c r="V609" s="31" t="n">
        <v>66.8</v>
      </c>
      <c r="W609" s="30" t="inlineStr">
        <is>
          <t>AMR2</t>
        </is>
      </c>
      <c r="X609" s="32" t="n">
        <v>0</v>
      </c>
      <c r="Y609" s="32" t="n">
        <v>0</v>
      </c>
      <c r="Z609" s="31" t="n">
        <v>0</v>
      </c>
      <c r="AA609" s="32" t="n">
        <v>0</v>
      </c>
      <c r="AB609" s="32" t="n">
        <v>1</v>
      </c>
      <c r="AC609" s="32" t="n">
        <v>0</v>
      </c>
      <c r="AD609" s="32" t="n">
        <v>0</v>
      </c>
      <c r="AE609" s="31" t="n">
        <v>0</v>
      </c>
      <c r="AF609" s="32" t="n">
        <v>0</v>
      </c>
      <c r="AG609" s="31" t="n">
        <v>0</v>
      </c>
      <c r="AH609" s="32" t="n">
        <v>73</v>
      </c>
      <c r="AI609" s="31" t="n">
        <v>73.40000000000001</v>
      </c>
      <c r="AJ609" s="31" t="n">
        <v>46.1</v>
      </c>
      <c r="AK609" s="31" t="n">
        <v>3</v>
      </c>
      <c r="AL609" s="30" t="inlineStr">
        <is>
          <t>T-0758</t>
        </is>
      </c>
      <c r="AM609" s="30" t="inlineStr">
        <is>
          <t>F-01-02</t>
        </is>
      </c>
      <c r="AN609" s="30" t="inlineStr">
        <is>
          <t>T-0649</t>
        </is>
      </c>
      <c r="AO609" s="30" t="inlineStr">
        <is>
          <t>F-01-03</t>
        </is>
      </c>
    </row>
    <row r="610">
      <c r="A610" s="30" t="inlineStr">
        <is>
          <t>O0609</t>
        </is>
      </c>
      <c r="B610" s="30" t="inlineStr">
        <is>
          <t>F</t>
        </is>
      </c>
      <c r="C610" s="31" t="n">
        <v>8976.4</v>
      </c>
      <c r="D610" s="31" t="n">
        <v>29717.5</v>
      </c>
      <c r="E610" s="31" t="n">
        <v>29717.5</v>
      </c>
      <c r="F610" s="31" t="n">
        <v>29730.5</v>
      </c>
      <c r="G610" s="31" t="n">
        <v>29768</v>
      </c>
      <c r="H610" s="31" t="n">
        <v>29779</v>
      </c>
      <c r="I610" s="31" t="n">
        <v>29810.5</v>
      </c>
      <c r="J610" s="31" t="n">
        <v>29858.6</v>
      </c>
      <c r="K610" s="31" t="n">
        <v>20882.2</v>
      </c>
      <c r="L610" s="31" t="n">
        <v>20741.1</v>
      </c>
      <c r="M610" s="30" t="inlineStr">
        <is>
          <t>AMR3</t>
        </is>
      </c>
      <c r="N610" s="30" t="inlineStr">
        <is>
          <t>AMR1</t>
        </is>
      </c>
      <c r="O610" s="32" t="n">
        <v>0</v>
      </c>
      <c r="P610" s="32" t="n">
        <v>0</v>
      </c>
      <c r="Q610" s="32" t="n">
        <v>23</v>
      </c>
      <c r="R610" s="31" t="n">
        <v>41.9</v>
      </c>
      <c r="S610" s="31" t="n">
        <v>41.9</v>
      </c>
      <c r="T610" s="30" t="inlineStr">
        <is>
          <t>AMR3</t>
        </is>
      </c>
      <c r="U610" s="31" t="n">
        <v>66</v>
      </c>
      <c r="V610" s="31" t="n">
        <v>66</v>
      </c>
      <c r="W610" s="30" t="inlineStr">
        <is>
          <t>AMR1</t>
        </is>
      </c>
      <c r="X610" s="32" t="n">
        <v>0</v>
      </c>
      <c r="Y610" s="32" t="n">
        <v>0</v>
      </c>
      <c r="Z610" s="31" t="n">
        <v>0</v>
      </c>
      <c r="AA610" s="32" t="n">
        <v>0</v>
      </c>
      <c r="AB610" s="32" t="n">
        <v>1</v>
      </c>
      <c r="AC610" s="32" t="n">
        <v>1</v>
      </c>
      <c r="AD610" s="32" t="n">
        <v>1</v>
      </c>
      <c r="AE610" s="31" t="n">
        <v>10.9</v>
      </c>
      <c r="AF610" s="32" t="n">
        <v>2</v>
      </c>
      <c r="AG610" s="31" t="n">
        <v>7</v>
      </c>
      <c r="AH610" s="32" t="n">
        <v>67</v>
      </c>
      <c r="AI610" s="31" t="n">
        <v>68</v>
      </c>
      <c r="AJ610" s="31" t="n">
        <v>42.7</v>
      </c>
      <c r="AK610" s="31" t="n">
        <v>19.4</v>
      </c>
      <c r="AL610" s="30" t="inlineStr">
        <is>
          <t>T-0759</t>
        </is>
      </c>
      <c r="AM610" s="30" t="inlineStr">
        <is>
          <t>F-02-03</t>
        </is>
      </c>
      <c r="AN610" s="30" t="inlineStr">
        <is>
          <t>T-0656</t>
        </is>
      </c>
      <c r="AO610" s="30" t="inlineStr">
        <is>
          <t>F-04-01</t>
        </is>
      </c>
    </row>
    <row r="611">
      <c r="A611" s="30" t="inlineStr">
        <is>
          <t>O0610</t>
        </is>
      </c>
      <c r="B611" s="30" t="inlineStr">
        <is>
          <t>H</t>
        </is>
      </c>
      <c r="C611" s="31" t="n">
        <v>8980.799999999999</v>
      </c>
      <c r="D611" s="31" t="n">
        <v>29791.6</v>
      </c>
      <c r="E611" s="31" t="n">
        <v>29791.6</v>
      </c>
      <c r="F611" s="31" t="n">
        <v>29804.9</v>
      </c>
      <c r="G611" s="31" t="n">
        <v>29830.2</v>
      </c>
      <c r="H611" s="31" t="n">
        <v>29845</v>
      </c>
      <c r="I611" s="31" t="n">
        <v>29872.6</v>
      </c>
      <c r="J611" s="31" t="n">
        <v>29899.4</v>
      </c>
      <c r="K611" s="31" t="n">
        <v>20918.6</v>
      </c>
      <c r="L611" s="31" t="n">
        <v>20810.8</v>
      </c>
      <c r="M611" s="30" t="inlineStr">
        <is>
          <t>AMR3</t>
        </is>
      </c>
      <c r="N611" s="30" t="inlineStr">
        <is>
          <t>AMR3</t>
        </is>
      </c>
      <c r="O611" s="32" t="n">
        <v>0</v>
      </c>
      <c r="P611" s="32" t="n">
        <v>0</v>
      </c>
      <c r="Q611" s="32" t="n">
        <v>15</v>
      </c>
      <c r="R611" s="31" t="n">
        <v>37.7</v>
      </c>
      <c r="S611" s="31" t="n">
        <v>37.7</v>
      </c>
      <c r="T611" s="30" t="inlineStr">
        <is>
          <t>AMR3</t>
        </is>
      </c>
      <c r="U611" s="31" t="n">
        <v>54.5</v>
      </c>
      <c r="V611" s="31" t="n">
        <v>54.5</v>
      </c>
      <c r="W611" s="30" t="inlineStr">
        <is>
          <t>AMR3</t>
        </is>
      </c>
      <c r="X611" s="32" t="n">
        <v>0</v>
      </c>
      <c r="Y611" s="32" t="n">
        <v>0</v>
      </c>
      <c r="Z611" s="31" t="n">
        <v>0</v>
      </c>
      <c r="AA611" s="32" t="n">
        <v>0</v>
      </c>
      <c r="AB611" s="32" t="n">
        <v>0</v>
      </c>
      <c r="AC611" s="32" t="n">
        <v>0</v>
      </c>
      <c r="AD611" s="32" t="n">
        <v>0</v>
      </c>
      <c r="AE611" s="31" t="n">
        <v>0</v>
      </c>
      <c r="AF611" s="32" t="n">
        <v>0</v>
      </c>
      <c r="AG611" s="31" t="n">
        <v>0</v>
      </c>
      <c r="AH611" s="32" t="n">
        <v>43</v>
      </c>
      <c r="AI611" s="31" t="n">
        <v>46.1</v>
      </c>
      <c r="AJ611" s="31" t="n">
        <v>46.9</v>
      </c>
      <c r="AK611" s="31" t="n">
        <v>0</v>
      </c>
      <c r="AL611" s="30" t="inlineStr">
        <is>
          <t>T-0760</t>
        </is>
      </c>
      <c r="AM611" s="30" t="inlineStr">
        <is>
          <t>H-04-01</t>
        </is>
      </c>
      <c r="AN611" s="30" t="inlineStr">
        <is>
          <t>T-0596</t>
        </is>
      </c>
      <c r="AO611" s="30" t="inlineStr">
        <is>
          <t>H-03-03</t>
        </is>
      </c>
    </row>
    <row r="612">
      <c r="A612" s="30" t="inlineStr">
        <is>
          <t>O0611</t>
        </is>
      </c>
      <c r="B612" s="30" t="inlineStr">
        <is>
          <t>E</t>
        </is>
      </c>
      <c r="C612" s="31" t="n">
        <v>8985.799999999999</v>
      </c>
      <c r="D612" s="31" t="n">
        <v>29866.9</v>
      </c>
      <c r="E612" s="31" t="n">
        <v>29866.9</v>
      </c>
      <c r="F612" s="31" t="n">
        <v>29879.2</v>
      </c>
      <c r="G612" s="31" t="n">
        <v>29905.8</v>
      </c>
      <c r="H612" s="31" t="n">
        <v>29923.1</v>
      </c>
      <c r="I612" s="31" t="n">
        <v>29952.4</v>
      </c>
      <c r="J612" s="31" t="n">
        <v>29988.2</v>
      </c>
      <c r="K612" s="31" t="n">
        <v>21002.4</v>
      </c>
      <c r="L612" s="31" t="n">
        <v>20881.1</v>
      </c>
      <c r="M612" s="30" t="inlineStr">
        <is>
          <t>AMR2</t>
        </is>
      </c>
      <c r="N612" s="30" t="inlineStr">
        <is>
          <t>AMR3</t>
        </is>
      </c>
      <c r="O612" s="32" t="n">
        <v>0</v>
      </c>
      <c r="P612" s="32" t="n">
        <v>0</v>
      </c>
      <c r="Q612" s="32" t="n">
        <v>19</v>
      </c>
      <c r="R612" s="31" t="n">
        <v>36.4</v>
      </c>
      <c r="S612" s="31" t="n">
        <v>36.4</v>
      </c>
      <c r="T612" s="30" t="inlineStr">
        <is>
          <t>AMR2</t>
        </is>
      </c>
      <c r="U612" s="31" t="n">
        <v>65.3</v>
      </c>
      <c r="V612" s="31" t="n">
        <v>65.3</v>
      </c>
      <c r="W612" s="30" t="inlineStr">
        <is>
          <t>AMR3</t>
        </is>
      </c>
      <c r="X612" s="32" t="n">
        <v>0</v>
      </c>
      <c r="Y612" s="32" t="n">
        <v>0</v>
      </c>
      <c r="Z612" s="31" t="n">
        <v>0</v>
      </c>
      <c r="AA612" s="32" t="n">
        <v>0</v>
      </c>
      <c r="AB612" s="32" t="n">
        <v>0</v>
      </c>
      <c r="AC612" s="32" t="n">
        <v>0</v>
      </c>
      <c r="AD612" s="32" t="n">
        <v>0</v>
      </c>
      <c r="AE612" s="31" t="n">
        <v>0</v>
      </c>
      <c r="AF612" s="32" t="n">
        <v>0</v>
      </c>
      <c r="AG612" s="31" t="n">
        <v>0</v>
      </c>
      <c r="AH612" s="32" t="n">
        <v>59</v>
      </c>
      <c r="AI612" s="31" t="n">
        <v>59.8</v>
      </c>
      <c r="AJ612" s="31" t="n">
        <v>44.2</v>
      </c>
      <c r="AK612" s="31" t="n">
        <v>0</v>
      </c>
      <c r="AL612" s="30" t="inlineStr">
        <is>
          <t>T-0761</t>
        </is>
      </c>
      <c r="AM612" s="30" t="inlineStr">
        <is>
          <t>E-04-01</t>
        </is>
      </c>
      <c r="AN612" s="30" t="inlineStr">
        <is>
          <t>T-0620</t>
        </is>
      </c>
      <c r="AO612" s="30" t="inlineStr">
        <is>
          <t>E-01-02</t>
        </is>
      </c>
    </row>
    <row r="613">
      <c r="A613" s="30" t="inlineStr">
        <is>
          <t>O0612</t>
        </is>
      </c>
      <c r="B613" s="30" t="inlineStr">
        <is>
          <t>E</t>
        </is>
      </c>
      <c r="C613" s="31" t="n">
        <v>8989.9</v>
      </c>
      <c r="D613" s="31" t="n">
        <v>29882.3</v>
      </c>
      <c r="E613" s="31" t="n">
        <v>29882.3</v>
      </c>
      <c r="F613" s="31" t="n">
        <v>29893</v>
      </c>
      <c r="G613" s="31" t="n">
        <v>29924.1</v>
      </c>
      <c r="H613" s="31" t="n">
        <v>29932.4</v>
      </c>
      <c r="I613" s="31" t="n">
        <v>29967.9</v>
      </c>
      <c r="J613" s="31" t="n">
        <v>30001</v>
      </c>
      <c r="K613" s="31" t="n">
        <v>21011.1</v>
      </c>
      <c r="L613" s="31" t="n">
        <v>20892.4</v>
      </c>
      <c r="M613" s="30" t="inlineStr">
        <is>
          <t>AMR1</t>
        </is>
      </c>
      <c r="N613" s="30" t="inlineStr">
        <is>
          <t>AMR2</t>
        </is>
      </c>
      <c r="O613" s="32" t="n">
        <v>0</v>
      </c>
      <c r="P613" s="32" t="n">
        <v>0</v>
      </c>
      <c r="Q613" s="32" t="n">
        <v>19</v>
      </c>
      <c r="R613" s="31" t="n">
        <v>35.9</v>
      </c>
      <c r="S613" s="31" t="n">
        <v>35.9</v>
      </c>
      <c r="T613" s="30" t="inlineStr">
        <is>
          <t>AMR1</t>
        </is>
      </c>
      <c r="U613" s="31" t="n">
        <v>59.3</v>
      </c>
      <c r="V613" s="31" t="n">
        <v>59.3</v>
      </c>
      <c r="W613" s="30" t="inlineStr">
        <is>
          <t>AMR2</t>
        </is>
      </c>
      <c r="X613" s="32" t="n">
        <v>0</v>
      </c>
      <c r="Y613" s="32" t="n">
        <v>0</v>
      </c>
      <c r="Z613" s="31" t="n">
        <v>0</v>
      </c>
      <c r="AA613" s="32" t="n">
        <v>0</v>
      </c>
      <c r="AB613" s="32" t="n">
        <v>1</v>
      </c>
      <c r="AC613" s="32" t="n">
        <v>1</v>
      </c>
      <c r="AD613" s="32" t="n">
        <v>0</v>
      </c>
      <c r="AE613" s="31" t="n">
        <v>0</v>
      </c>
      <c r="AF613" s="32" t="n">
        <v>0</v>
      </c>
      <c r="AG613" s="31" t="n">
        <v>0</v>
      </c>
      <c r="AH613" s="32" t="n">
        <v>64</v>
      </c>
      <c r="AI613" s="31" t="n">
        <v>65.5</v>
      </c>
      <c r="AJ613" s="31" t="n">
        <v>37.7</v>
      </c>
      <c r="AK613" s="31" t="n">
        <v>7.2</v>
      </c>
      <c r="AL613" s="30" t="inlineStr">
        <is>
          <t>T-0762</t>
        </is>
      </c>
      <c r="AM613" s="30" t="inlineStr">
        <is>
          <t>E-03-03</t>
        </is>
      </c>
      <c r="AN613" s="30" t="inlineStr">
        <is>
          <t>T-0654</t>
        </is>
      </c>
      <c r="AO613" s="30" t="inlineStr">
        <is>
          <t>E-04-03</t>
        </is>
      </c>
    </row>
    <row r="614">
      <c r="A614" s="30" t="inlineStr">
        <is>
          <t>O0613</t>
        </is>
      </c>
      <c r="B614" s="30" t="inlineStr">
        <is>
          <t>F</t>
        </is>
      </c>
      <c r="C614" s="31" t="n">
        <v>8995.799999999999</v>
      </c>
      <c r="D614" s="31" t="n">
        <v>29943.6</v>
      </c>
      <c r="E614" s="31" t="n">
        <v>29943.6</v>
      </c>
      <c r="F614" s="31" t="n">
        <v>29958.7</v>
      </c>
      <c r="G614" s="31" t="n">
        <v>29989.3</v>
      </c>
      <c r="H614" s="31" t="n">
        <v>30011.5</v>
      </c>
      <c r="I614" s="31" t="n">
        <v>30042</v>
      </c>
      <c r="J614" s="31" t="n">
        <v>30076.8</v>
      </c>
      <c r="K614" s="31" t="n">
        <v>21081</v>
      </c>
      <c r="L614" s="31" t="n">
        <v>20947.8</v>
      </c>
      <c r="M614" s="30" t="inlineStr">
        <is>
          <t>AMR1</t>
        </is>
      </c>
      <c r="N614" s="30" t="inlineStr">
        <is>
          <t>AMR1</t>
        </is>
      </c>
      <c r="O614" s="32" t="n">
        <v>0</v>
      </c>
      <c r="P614" s="32" t="n">
        <v>0</v>
      </c>
      <c r="Q614" s="32" t="n">
        <v>23</v>
      </c>
      <c r="R614" s="31" t="n">
        <v>44.8</v>
      </c>
      <c r="S614" s="31" t="n">
        <v>44.8</v>
      </c>
      <c r="T614" s="30" t="inlineStr">
        <is>
          <t>AMR1</t>
        </is>
      </c>
      <c r="U614" s="31" t="n">
        <v>63.5</v>
      </c>
      <c r="V614" s="31" t="n">
        <v>63.5</v>
      </c>
      <c r="W614" s="30" t="inlineStr">
        <is>
          <t>AMR1</t>
        </is>
      </c>
      <c r="X614" s="32" t="n">
        <v>0</v>
      </c>
      <c r="Y614" s="32" t="n">
        <v>0</v>
      </c>
      <c r="Z614" s="31" t="n">
        <v>0</v>
      </c>
      <c r="AA614" s="32" t="n">
        <v>0</v>
      </c>
      <c r="AB614" s="32" t="n">
        <v>0</v>
      </c>
      <c r="AC614" s="32" t="n">
        <v>0</v>
      </c>
      <c r="AD614" s="32" t="n">
        <v>0</v>
      </c>
      <c r="AE614" s="31" t="n">
        <v>0</v>
      </c>
      <c r="AF614" s="32" t="n">
        <v>0</v>
      </c>
      <c r="AG614" s="31" t="n">
        <v>0</v>
      </c>
      <c r="AH614" s="32" t="n">
        <v>67</v>
      </c>
      <c r="AI614" s="31" t="n">
        <v>67.90000000000001</v>
      </c>
      <c r="AJ614" s="31" t="n">
        <v>43.1</v>
      </c>
      <c r="AK614" s="31" t="n">
        <v>0</v>
      </c>
      <c r="AL614" s="30" t="inlineStr">
        <is>
          <t>T-0763</t>
        </is>
      </c>
      <c r="AM614" s="30" t="inlineStr">
        <is>
          <t>F-04-01</t>
        </is>
      </c>
      <c r="AN614" s="30" t="inlineStr">
        <is>
          <t>T-0657</t>
        </is>
      </c>
      <c r="AO614" s="30" t="inlineStr">
        <is>
          <t>F-03-03</t>
        </is>
      </c>
    </row>
    <row r="615">
      <c r="A615" s="30" t="inlineStr">
        <is>
          <t>O0614</t>
        </is>
      </c>
      <c r="B615" s="30" t="inlineStr">
        <is>
          <t>H</t>
        </is>
      </c>
      <c r="C615" s="31" t="n">
        <v>9000.700000000001</v>
      </c>
      <c r="D615" s="31" t="n">
        <v>30014.9</v>
      </c>
      <c r="E615" s="31" t="n">
        <v>30014.9</v>
      </c>
      <c r="F615" s="31" t="n">
        <v>30027.7</v>
      </c>
      <c r="G615" s="31" t="n">
        <v>30054</v>
      </c>
      <c r="H615" s="31" t="n">
        <v>30068.5</v>
      </c>
      <c r="I615" s="31" t="n">
        <v>30097.5</v>
      </c>
      <c r="J615" s="31" t="n">
        <v>30120.9</v>
      </c>
      <c r="K615" s="31" t="n">
        <v>21120.2</v>
      </c>
      <c r="L615" s="31" t="n">
        <v>21014.2</v>
      </c>
      <c r="M615" s="30" t="inlineStr">
        <is>
          <t>AMR3</t>
        </is>
      </c>
      <c r="N615" s="30" t="inlineStr">
        <is>
          <t>AMR3</t>
        </is>
      </c>
      <c r="O615" s="32" t="n">
        <v>0</v>
      </c>
      <c r="P615" s="32" t="n">
        <v>0</v>
      </c>
      <c r="Q615" s="32" t="n">
        <v>15</v>
      </c>
      <c r="R615" s="31" t="n">
        <v>37.4</v>
      </c>
      <c r="S615" s="31" t="n">
        <v>37.4</v>
      </c>
      <c r="T615" s="30" t="inlineStr">
        <is>
          <t>AMR3</t>
        </is>
      </c>
      <c r="U615" s="31" t="n">
        <v>52.1</v>
      </c>
      <c r="V615" s="31" t="n">
        <v>52.1</v>
      </c>
      <c r="W615" s="30" t="inlineStr">
        <is>
          <t>AMR3</t>
        </is>
      </c>
      <c r="X615" s="32" t="n">
        <v>0</v>
      </c>
      <c r="Y615" s="32" t="n">
        <v>0</v>
      </c>
      <c r="Z615" s="31" t="n">
        <v>0</v>
      </c>
      <c r="AA615" s="32" t="n">
        <v>0</v>
      </c>
      <c r="AB615" s="32" t="n">
        <v>0</v>
      </c>
      <c r="AC615" s="32" t="n">
        <v>0</v>
      </c>
      <c r="AD615" s="32" t="n">
        <v>0</v>
      </c>
      <c r="AE615" s="31" t="n">
        <v>0</v>
      </c>
      <c r="AF615" s="32" t="n">
        <v>0</v>
      </c>
      <c r="AG615" s="31" t="n">
        <v>0</v>
      </c>
      <c r="AH615" s="32" t="n">
        <v>42</v>
      </c>
      <c r="AI615" s="31" t="n">
        <v>47.3</v>
      </c>
      <c r="AJ615" s="31" t="n">
        <v>44.2</v>
      </c>
      <c r="AK615" s="31" t="n">
        <v>0</v>
      </c>
      <c r="AL615" s="30" t="inlineStr">
        <is>
          <t>T-0764</t>
        </is>
      </c>
      <c r="AM615" s="30" t="inlineStr">
        <is>
          <t>H-03-03</t>
        </is>
      </c>
      <c r="AN615" s="30" t="inlineStr">
        <is>
          <t>T-0623</t>
        </is>
      </c>
      <c r="AO615" s="30" t="inlineStr">
        <is>
          <t>H-05-01</t>
        </is>
      </c>
    </row>
    <row r="616">
      <c r="A616" s="30" t="inlineStr">
        <is>
          <t>O0615</t>
        </is>
      </c>
      <c r="B616" s="30" t="inlineStr">
        <is>
          <t>F</t>
        </is>
      </c>
      <c r="C616" s="31" t="n">
        <v>9004.200000000001</v>
      </c>
      <c r="D616" s="31" t="n">
        <v>30027.8</v>
      </c>
      <c r="E616" s="31" t="n">
        <v>30027.8</v>
      </c>
      <c r="F616" s="31" t="n">
        <v>30042.8</v>
      </c>
      <c r="G616" s="31" t="n">
        <v>30078.3</v>
      </c>
      <c r="H616" s="31" t="n">
        <v>30100.5</v>
      </c>
      <c r="I616" s="31" t="n">
        <v>30141.4</v>
      </c>
      <c r="J616" s="31" t="n">
        <v>30174.2</v>
      </c>
      <c r="K616" s="31" t="n">
        <v>21170</v>
      </c>
      <c r="L616" s="31" t="n">
        <v>21023.6</v>
      </c>
      <c r="M616" s="30" t="inlineStr">
        <is>
          <t>AMR2</t>
        </is>
      </c>
      <c r="N616" s="30" t="inlineStr">
        <is>
          <t>AMR1</t>
        </is>
      </c>
      <c r="O616" s="32" t="n">
        <v>0</v>
      </c>
      <c r="P616" s="32" t="n">
        <v>0</v>
      </c>
      <c r="Q616" s="32" t="n">
        <v>23</v>
      </c>
      <c r="R616" s="31" t="n">
        <v>48</v>
      </c>
      <c r="S616" s="31" t="n">
        <v>48</v>
      </c>
      <c r="T616" s="30" t="inlineStr">
        <is>
          <t>AMR2</t>
        </is>
      </c>
      <c r="U616" s="31" t="n">
        <v>64.59999999999999</v>
      </c>
      <c r="V616" s="31" t="n">
        <v>64.59999999999999</v>
      </c>
      <c r="W616" s="30" t="inlineStr">
        <is>
          <t>AMR1</t>
        </is>
      </c>
      <c r="X616" s="32" t="n">
        <v>0</v>
      </c>
      <c r="Y616" s="32" t="n">
        <v>0</v>
      </c>
      <c r="Z616" s="31" t="n">
        <v>0</v>
      </c>
      <c r="AA616" s="32" t="n">
        <v>0</v>
      </c>
      <c r="AB616" s="32" t="n">
        <v>1</v>
      </c>
      <c r="AC616" s="32" t="n">
        <v>1</v>
      </c>
      <c r="AD616" s="32" t="n">
        <v>0</v>
      </c>
      <c r="AE616" s="31" t="n">
        <v>0</v>
      </c>
      <c r="AF616" s="32" t="n">
        <v>0</v>
      </c>
      <c r="AG616" s="31" t="n">
        <v>0</v>
      </c>
      <c r="AH616" s="32" t="n">
        <v>71</v>
      </c>
      <c r="AI616" s="31" t="n">
        <v>73.8</v>
      </c>
      <c r="AJ616" s="31" t="n">
        <v>47.4</v>
      </c>
      <c r="AK616" s="31" t="n">
        <v>3</v>
      </c>
      <c r="AL616" s="30" t="inlineStr">
        <is>
          <t>T-0765</t>
        </is>
      </c>
      <c r="AM616" s="30" t="inlineStr">
        <is>
          <t>F-01-03</t>
        </is>
      </c>
      <c r="AN616" s="30" t="inlineStr">
        <is>
          <t>T-0664</t>
        </is>
      </c>
      <c r="AO616" s="30" t="inlineStr">
        <is>
          <t>F-02-01</t>
        </is>
      </c>
    </row>
    <row r="617">
      <c r="A617" s="30" t="inlineStr">
        <is>
          <t>O0616</t>
        </is>
      </c>
      <c r="B617" s="30" t="inlineStr">
        <is>
          <t>B</t>
        </is>
      </c>
      <c r="C617" s="31" t="n">
        <v>9010.4</v>
      </c>
      <c r="D617" s="31" t="n">
        <v>30106.9</v>
      </c>
      <c r="E617" s="31" t="n">
        <v>30106.9</v>
      </c>
      <c r="F617" s="31" t="n">
        <v>30118.3</v>
      </c>
      <c r="G617" s="31" t="n">
        <v>30142.6</v>
      </c>
      <c r="H617" s="31" t="n">
        <v>30144.6</v>
      </c>
      <c r="I617" s="31" t="n">
        <v>30170.3</v>
      </c>
      <c r="J617" s="31" t="n">
        <v>30200.4</v>
      </c>
      <c r="K617" s="31" t="n">
        <v>21190</v>
      </c>
      <c r="L617" s="31" t="n">
        <v>21096.5</v>
      </c>
      <c r="M617" s="30" t="inlineStr">
        <is>
          <t>AMR2</t>
        </is>
      </c>
      <c r="N617" s="30" t="inlineStr">
        <is>
          <t>AMR3</t>
        </is>
      </c>
      <c r="O617" s="32" t="n">
        <v>0</v>
      </c>
      <c r="P617" s="32" t="n">
        <v>0</v>
      </c>
      <c r="Q617" s="32" t="n">
        <v>15</v>
      </c>
      <c r="R617" s="31" t="n">
        <v>33.2</v>
      </c>
      <c r="S617" s="31" t="n">
        <v>33.2</v>
      </c>
      <c r="T617" s="30" t="inlineStr">
        <is>
          <t>AMR2</t>
        </is>
      </c>
      <c r="U617" s="31" t="n">
        <v>55</v>
      </c>
      <c r="V617" s="31" t="n">
        <v>55</v>
      </c>
      <c r="W617" s="30" t="inlineStr">
        <is>
          <t>AMR3</t>
        </is>
      </c>
      <c r="X617" s="32" t="n">
        <v>0</v>
      </c>
      <c r="Y617" s="32" t="n">
        <v>0</v>
      </c>
      <c r="Z617" s="31" t="n">
        <v>0</v>
      </c>
      <c r="AA617" s="32" t="n">
        <v>0</v>
      </c>
      <c r="AB617" s="32" t="n">
        <v>0</v>
      </c>
      <c r="AC617" s="32" t="n">
        <v>0</v>
      </c>
      <c r="AD617" s="32" t="n">
        <v>0</v>
      </c>
      <c r="AE617" s="31" t="n">
        <v>0</v>
      </c>
      <c r="AF617" s="32" t="n">
        <v>0</v>
      </c>
      <c r="AG617" s="31" t="n">
        <v>0</v>
      </c>
      <c r="AH617" s="32" t="n">
        <v>49</v>
      </c>
      <c r="AI617" s="31" t="n">
        <v>50.6</v>
      </c>
      <c r="AJ617" s="31" t="n">
        <v>40.9</v>
      </c>
      <c r="AK617" s="31" t="n">
        <v>0</v>
      </c>
      <c r="AL617" s="30" t="inlineStr">
        <is>
          <t>T-0766</t>
        </is>
      </c>
      <c r="AM617" s="30" t="inlineStr">
        <is>
          <t>B-02-02</t>
        </is>
      </c>
      <c r="AN617" s="30" t="inlineStr">
        <is>
          <t>T-0589</t>
        </is>
      </c>
      <c r="AO617" s="30" t="inlineStr">
        <is>
          <t>B-03-02</t>
        </is>
      </c>
    </row>
    <row r="618">
      <c r="A618" s="30" t="inlineStr">
        <is>
          <t>O0617</t>
        </is>
      </c>
      <c r="B618" s="30" t="inlineStr">
        <is>
          <t>A</t>
        </is>
      </c>
      <c r="C618" s="31" t="n">
        <v>9013.6</v>
      </c>
      <c r="D618" s="31" t="n">
        <v>30158.8</v>
      </c>
      <c r="E618" s="31" t="n">
        <v>30158.8</v>
      </c>
      <c r="F618" s="31" t="n">
        <v>30173.5</v>
      </c>
      <c r="G618" s="31" t="n">
        <v>30201.9</v>
      </c>
      <c r="H618" s="31" t="n">
        <v>30223.5</v>
      </c>
      <c r="I618" s="31" t="n">
        <v>30252.2</v>
      </c>
      <c r="J618" s="31" t="n">
        <v>30291.7</v>
      </c>
      <c r="K618" s="31" t="n">
        <v>21278.1</v>
      </c>
      <c r="L618" s="31" t="n">
        <v>21145.2</v>
      </c>
      <c r="M618" s="30" t="inlineStr">
        <is>
          <t>AMR2</t>
        </is>
      </c>
      <c r="N618" s="30" t="inlineStr">
        <is>
          <t>AMR2</t>
        </is>
      </c>
      <c r="O618" s="32" t="n">
        <v>0</v>
      </c>
      <c r="P618" s="32" t="n">
        <v>0</v>
      </c>
      <c r="Q618" s="32" t="n">
        <v>21</v>
      </c>
      <c r="R618" s="31" t="n">
        <v>40.6</v>
      </c>
      <c r="S618" s="31" t="n">
        <v>40.6</v>
      </c>
      <c r="T618" s="30" t="inlineStr">
        <is>
          <t>AMR2</t>
        </is>
      </c>
      <c r="U618" s="31" t="n">
        <v>66.40000000000001</v>
      </c>
      <c r="V618" s="31" t="n">
        <v>66.40000000000001</v>
      </c>
      <c r="W618" s="30" t="inlineStr">
        <is>
          <t>AMR2</t>
        </is>
      </c>
      <c r="X618" s="32" t="n">
        <v>0</v>
      </c>
      <c r="Y618" s="32" t="n">
        <v>0</v>
      </c>
      <c r="Z618" s="31" t="n">
        <v>0</v>
      </c>
      <c r="AA618" s="32" t="n">
        <v>0</v>
      </c>
      <c r="AB618" s="32" t="n">
        <v>0</v>
      </c>
      <c r="AC618" s="32" t="n">
        <v>0</v>
      </c>
      <c r="AD618" s="32" t="n">
        <v>0</v>
      </c>
      <c r="AE618" s="31" t="n">
        <v>0</v>
      </c>
      <c r="AF618" s="32" t="n">
        <v>0</v>
      </c>
      <c r="AG618" s="31" t="n">
        <v>0</v>
      </c>
      <c r="AH618" s="32" t="n">
        <v>67</v>
      </c>
      <c r="AI618" s="31" t="n">
        <v>66.40000000000001</v>
      </c>
      <c r="AJ618" s="31" t="n">
        <v>44.9</v>
      </c>
      <c r="AK618" s="31" t="n">
        <v>0</v>
      </c>
      <c r="AL618" s="30" t="inlineStr">
        <is>
          <t>T-0767</t>
        </is>
      </c>
      <c r="AM618" s="30" t="inlineStr">
        <is>
          <t>A-02-03</t>
        </is>
      </c>
      <c r="AN618" s="30" t="inlineStr">
        <is>
          <t>T-0621</t>
        </is>
      </c>
      <c r="AO618" s="30" t="inlineStr">
        <is>
          <t>A-03-03</t>
        </is>
      </c>
    </row>
    <row r="619">
      <c r="A619" s="30" t="inlineStr">
        <is>
          <t>O0618</t>
        </is>
      </c>
      <c r="B619" s="30" t="inlineStr">
        <is>
          <t>J</t>
        </is>
      </c>
      <c r="C619" s="31" t="n">
        <v>9020.299999999999</v>
      </c>
      <c r="D619" s="31" t="n">
        <v>30197.9</v>
      </c>
      <c r="E619" s="31" t="n">
        <v>30197.9</v>
      </c>
      <c r="F619" s="31" t="n">
        <v>30208.7</v>
      </c>
      <c r="G619" s="31" t="n">
        <v>30237.4</v>
      </c>
      <c r="H619" s="31" t="n">
        <v>30259.6</v>
      </c>
      <c r="I619" s="31" t="n">
        <v>30289.7</v>
      </c>
      <c r="J619" s="31" t="n">
        <v>30321.5</v>
      </c>
      <c r="K619" s="31" t="n">
        <v>21301.2</v>
      </c>
      <c r="L619" s="31" t="n">
        <v>21177.6</v>
      </c>
      <c r="M619" s="30" t="inlineStr">
        <is>
          <t>AMR1</t>
        </is>
      </c>
      <c r="N619" s="30" t="inlineStr">
        <is>
          <t>AMR1</t>
        </is>
      </c>
      <c r="O619" s="32" t="n">
        <v>0</v>
      </c>
      <c r="P619" s="32" t="n">
        <v>0</v>
      </c>
      <c r="Q619" s="32" t="n">
        <v>21</v>
      </c>
      <c r="R619" s="31" t="n">
        <v>37</v>
      </c>
      <c r="S619" s="31" t="n">
        <v>37</v>
      </c>
      <c r="T619" s="30" t="inlineStr">
        <is>
          <t>AMR1</t>
        </is>
      </c>
      <c r="U619" s="31" t="n">
        <v>62.1</v>
      </c>
      <c r="V619" s="31" t="n">
        <v>62.1</v>
      </c>
      <c r="W619" s="30" t="inlineStr">
        <is>
          <t>AMR1</t>
        </is>
      </c>
      <c r="X619" s="32" t="n">
        <v>0</v>
      </c>
      <c r="Y619" s="32" t="n">
        <v>0</v>
      </c>
      <c r="Z619" s="31" t="n">
        <v>0</v>
      </c>
      <c r="AA619" s="32" t="n">
        <v>0</v>
      </c>
      <c r="AB619" s="32" t="n">
        <v>0</v>
      </c>
      <c r="AC619" s="32" t="n">
        <v>0</v>
      </c>
      <c r="AD619" s="32" t="n">
        <v>0</v>
      </c>
      <c r="AE619" s="31" t="n">
        <v>0</v>
      </c>
      <c r="AF619" s="32" t="n">
        <v>0</v>
      </c>
      <c r="AG619" s="31" t="n">
        <v>0</v>
      </c>
      <c r="AH619" s="32" t="n">
        <v>61</v>
      </c>
      <c r="AI619" s="31" t="n">
        <v>62.9</v>
      </c>
      <c r="AJ619" s="31" t="n">
        <v>38.5</v>
      </c>
      <c r="AK619" s="31" t="n">
        <v>0</v>
      </c>
      <c r="AL619" s="30" t="inlineStr">
        <is>
          <t>T-0768</t>
        </is>
      </c>
      <c r="AM619" s="30" t="inlineStr">
        <is>
          <t>J-04-02</t>
        </is>
      </c>
      <c r="AN619" s="30" t="inlineStr">
        <is>
          <t>T-0662</t>
        </is>
      </c>
      <c r="AO619" s="30" t="inlineStr">
        <is>
          <t>J-01-03</t>
        </is>
      </c>
    </row>
    <row r="620">
      <c r="A620" s="30" t="inlineStr">
        <is>
          <t>O0619</t>
        </is>
      </c>
      <c r="B620" s="30" t="inlineStr">
        <is>
          <t>E</t>
        </is>
      </c>
      <c r="C620" s="31" t="n">
        <v>9024.200000000001</v>
      </c>
      <c r="D620" s="31" t="n">
        <v>30226.9</v>
      </c>
      <c r="E620" s="31" t="n">
        <v>30226.9</v>
      </c>
      <c r="F620" s="31" t="n">
        <v>30240.3</v>
      </c>
      <c r="G620" s="31" t="n">
        <v>30265.1</v>
      </c>
      <c r="H620" s="31" t="n">
        <v>30283.3</v>
      </c>
      <c r="I620" s="31" t="n">
        <v>30309.6</v>
      </c>
      <c r="J620" s="31" t="n">
        <v>30346.1</v>
      </c>
      <c r="K620" s="31" t="n">
        <v>21321.9</v>
      </c>
      <c r="L620" s="31" t="n">
        <v>21202.7</v>
      </c>
      <c r="M620" s="30" t="inlineStr">
        <is>
          <t>AMR3</t>
        </is>
      </c>
      <c r="N620" s="30" t="inlineStr">
        <is>
          <t>AMR3</t>
        </is>
      </c>
      <c r="O620" s="32" t="n">
        <v>0</v>
      </c>
      <c r="P620" s="32" t="n">
        <v>0</v>
      </c>
      <c r="Q620" s="32" t="n">
        <v>19</v>
      </c>
      <c r="R620" s="31" t="n">
        <v>37.3</v>
      </c>
      <c r="S620" s="31" t="n">
        <v>37.3</v>
      </c>
      <c r="T620" s="30" t="inlineStr">
        <is>
          <t>AMR3</t>
        </is>
      </c>
      <c r="U620" s="31" t="n">
        <v>59.5</v>
      </c>
      <c r="V620" s="31" t="n">
        <v>59.5</v>
      </c>
      <c r="W620" s="30" t="inlineStr">
        <is>
          <t>AMR3</t>
        </is>
      </c>
      <c r="X620" s="32" t="n">
        <v>0</v>
      </c>
      <c r="Y620" s="32" t="n">
        <v>0</v>
      </c>
      <c r="Z620" s="31" t="n">
        <v>0</v>
      </c>
      <c r="AA620" s="32" t="n">
        <v>0</v>
      </c>
      <c r="AB620" s="32" t="n">
        <v>0</v>
      </c>
      <c r="AC620" s="32" t="n">
        <v>0</v>
      </c>
      <c r="AD620" s="32" t="n">
        <v>0</v>
      </c>
      <c r="AE620" s="31" t="n">
        <v>0</v>
      </c>
      <c r="AF620" s="32" t="n">
        <v>0</v>
      </c>
      <c r="AG620" s="31" t="n">
        <v>0</v>
      </c>
      <c r="AH620" s="32" t="n">
        <v>61</v>
      </c>
      <c r="AI620" s="31" t="n">
        <v>61.7</v>
      </c>
      <c r="AJ620" s="31" t="n">
        <v>39.3</v>
      </c>
      <c r="AK620" s="31" t="n">
        <v>0</v>
      </c>
      <c r="AL620" s="30" t="inlineStr">
        <is>
          <t>T-0769</t>
        </is>
      </c>
      <c r="AM620" s="30" t="inlineStr">
        <is>
          <t>E-01-02</t>
        </is>
      </c>
      <c r="AN620" s="30" t="inlineStr">
        <is>
          <t>T-0658</t>
        </is>
      </c>
      <c r="AO620" s="30" t="inlineStr">
        <is>
          <t>E-05-01</t>
        </is>
      </c>
    </row>
    <row r="621">
      <c r="A621" s="30" t="inlineStr">
        <is>
          <t>O0620</t>
        </is>
      </c>
      <c r="B621" s="30" t="inlineStr">
        <is>
          <t>D</t>
        </is>
      </c>
      <c r="C621" s="31" t="n">
        <v>9030</v>
      </c>
      <c r="D621" s="31" t="n">
        <v>30315.4</v>
      </c>
      <c r="E621" s="31" t="n">
        <v>30315.4</v>
      </c>
      <c r="F621" s="31" t="n">
        <v>30328.7</v>
      </c>
      <c r="G621" s="31" t="n">
        <v>30359.4</v>
      </c>
      <c r="H621" s="31" t="n">
        <v>30369.8</v>
      </c>
      <c r="I621" s="31" t="n">
        <v>30392.8</v>
      </c>
      <c r="J621" s="31" t="n">
        <v>30422.4</v>
      </c>
      <c r="K621" s="31" t="n">
        <v>21392.4</v>
      </c>
      <c r="L621" s="31" t="n">
        <v>21285.4</v>
      </c>
      <c r="M621" s="30" t="inlineStr">
        <is>
          <t>AMR2</t>
        </is>
      </c>
      <c r="N621" s="30" t="inlineStr">
        <is>
          <t>AMR3</t>
        </is>
      </c>
      <c r="O621" s="32" t="n">
        <v>0</v>
      </c>
      <c r="P621" s="32" t="n">
        <v>0</v>
      </c>
      <c r="Q621" s="32" t="n">
        <v>13</v>
      </c>
      <c r="R621" s="31" t="n">
        <v>34.3</v>
      </c>
      <c r="S621" s="31" t="n">
        <v>34.3</v>
      </c>
      <c r="T621" s="30" t="inlineStr">
        <is>
          <t>AMR2</t>
        </is>
      </c>
      <c r="U621" s="31" t="n">
        <v>52.8</v>
      </c>
      <c r="V621" s="31" t="n">
        <v>52.8</v>
      </c>
      <c r="W621" s="30" t="inlineStr">
        <is>
          <t>AMR3</t>
        </is>
      </c>
      <c r="X621" s="32" t="n">
        <v>0</v>
      </c>
      <c r="Y621" s="32" t="n">
        <v>0</v>
      </c>
      <c r="Z621" s="31" t="n">
        <v>0</v>
      </c>
      <c r="AA621" s="32" t="n">
        <v>0</v>
      </c>
      <c r="AB621" s="32" t="n">
        <v>2</v>
      </c>
      <c r="AC621" s="32" t="n">
        <v>1</v>
      </c>
      <c r="AD621" s="32" t="n">
        <v>0</v>
      </c>
      <c r="AE621" s="31" t="n">
        <v>0</v>
      </c>
      <c r="AF621" s="32" t="n">
        <v>0</v>
      </c>
      <c r="AG621" s="31" t="n">
        <v>0</v>
      </c>
      <c r="AH621" s="32" t="n">
        <v>44</v>
      </c>
      <c r="AI621" s="31" t="n">
        <v>49.2</v>
      </c>
      <c r="AJ621" s="31" t="n">
        <v>44.4</v>
      </c>
      <c r="AK621" s="31" t="n">
        <v>3</v>
      </c>
      <c r="AL621" s="30" t="inlineStr">
        <is>
          <t>T-0770</t>
        </is>
      </c>
      <c r="AM621" s="30" t="inlineStr">
        <is>
          <t>D-06-02</t>
        </is>
      </c>
      <c r="AN621" s="30" t="inlineStr">
        <is>
          <t>T-0520</t>
        </is>
      </c>
      <c r="AO621" s="30" t="inlineStr">
        <is>
          <t>D-02-03</t>
        </is>
      </c>
    </row>
    <row r="622">
      <c r="A622" s="30" t="inlineStr">
        <is>
          <t>O0621</t>
        </is>
      </c>
      <c r="B622" s="30" t="inlineStr">
        <is>
          <t>B</t>
        </is>
      </c>
      <c r="C622" s="31" t="n">
        <v>9033.1</v>
      </c>
      <c r="D622" s="31" t="n">
        <v>30350.6</v>
      </c>
      <c r="E622" s="31" t="n">
        <v>30350.6</v>
      </c>
      <c r="F622" s="31" t="n">
        <v>30362.9</v>
      </c>
      <c r="G622" s="31" t="n">
        <v>30387.5</v>
      </c>
      <c r="H622" s="31" t="n">
        <v>30403</v>
      </c>
      <c r="I622" s="31" t="n">
        <v>30426.3</v>
      </c>
      <c r="J622" s="31" t="n">
        <v>30455.4</v>
      </c>
      <c r="K622" s="31" t="n">
        <v>21422.3</v>
      </c>
      <c r="L622" s="31" t="n">
        <v>21317.5</v>
      </c>
      <c r="M622" s="30" t="inlineStr">
        <is>
          <t>AMR1</t>
        </is>
      </c>
      <c r="N622" s="30" t="inlineStr">
        <is>
          <t>AMR1</t>
        </is>
      </c>
      <c r="O622" s="32" t="n">
        <v>0</v>
      </c>
      <c r="P622" s="32" t="n">
        <v>0</v>
      </c>
      <c r="Q622" s="32" t="n">
        <v>15</v>
      </c>
      <c r="R622" s="31" t="n">
        <v>35.2</v>
      </c>
      <c r="S622" s="31" t="n">
        <v>35.2</v>
      </c>
      <c r="T622" s="30" t="inlineStr">
        <is>
          <t>AMR1</t>
        </is>
      </c>
      <c r="U622" s="31" t="n">
        <v>52.1</v>
      </c>
      <c r="V622" s="31" t="n">
        <v>52.1</v>
      </c>
      <c r="W622" s="30" t="inlineStr">
        <is>
          <t>AMR1</t>
        </is>
      </c>
      <c r="X622" s="32" t="n">
        <v>0</v>
      </c>
      <c r="Y622" s="32" t="n">
        <v>0</v>
      </c>
      <c r="Z622" s="31" t="n">
        <v>0</v>
      </c>
      <c r="AA622" s="32" t="n">
        <v>0</v>
      </c>
      <c r="AB622" s="32" t="n">
        <v>0</v>
      </c>
      <c r="AC622" s="32" t="n">
        <v>0</v>
      </c>
      <c r="AD622" s="32" t="n">
        <v>0</v>
      </c>
      <c r="AE622" s="31" t="n">
        <v>0</v>
      </c>
      <c r="AF622" s="32" t="n">
        <v>0</v>
      </c>
      <c r="AG622" s="31" t="n">
        <v>0</v>
      </c>
      <c r="AH622" s="32" t="n">
        <v>46</v>
      </c>
      <c r="AI622" s="31" t="n">
        <v>49.3</v>
      </c>
      <c r="AJ622" s="31" t="n">
        <v>40</v>
      </c>
      <c r="AK622" s="31" t="n">
        <v>0</v>
      </c>
      <c r="AL622" s="30" t="inlineStr">
        <is>
          <t>T-0771</t>
        </is>
      </c>
      <c r="AM622" s="30" t="inlineStr">
        <is>
          <t>B-03-02</t>
        </is>
      </c>
      <c r="AN622" s="30" t="inlineStr">
        <is>
          <t>T-0608</t>
        </is>
      </c>
      <c r="AO622" s="30" t="inlineStr">
        <is>
          <t>B-04-02</t>
        </is>
      </c>
    </row>
    <row r="623">
      <c r="A623" s="30" t="inlineStr">
        <is>
          <t>O0622</t>
        </is>
      </c>
      <c r="B623" s="30" t="inlineStr">
        <is>
          <t>H</t>
        </is>
      </c>
      <c r="C623" s="31" t="n">
        <v>9037.1</v>
      </c>
      <c r="D623" s="31" t="n">
        <v>30377.1</v>
      </c>
      <c r="E623" s="31" t="n">
        <v>30377.1</v>
      </c>
      <c r="F623" s="31" t="n">
        <v>30389.3</v>
      </c>
      <c r="G623" s="31" t="n">
        <v>30417</v>
      </c>
      <c r="H623" s="31" t="n">
        <v>30431.8</v>
      </c>
      <c r="I623" s="31" t="n">
        <v>30459.1</v>
      </c>
      <c r="J623" s="31" t="n">
        <v>30484.8</v>
      </c>
      <c r="K623" s="31" t="n">
        <v>21447.7</v>
      </c>
      <c r="L623" s="31" t="n">
        <v>21340</v>
      </c>
      <c r="M623" s="30" t="inlineStr">
        <is>
          <t>AMR2</t>
        </is>
      </c>
      <c r="N623" s="30" t="inlineStr">
        <is>
          <t>AMR2</t>
        </is>
      </c>
      <c r="O623" s="32" t="n">
        <v>0</v>
      </c>
      <c r="P623" s="32" t="n">
        <v>0</v>
      </c>
      <c r="Q623" s="32" t="n">
        <v>15</v>
      </c>
      <c r="R623" s="31" t="n">
        <v>37.2</v>
      </c>
      <c r="S623" s="31" t="n">
        <v>37.2</v>
      </c>
      <c r="T623" s="30" t="inlineStr">
        <is>
          <t>AMR2</t>
        </is>
      </c>
      <c r="U623" s="31" t="n">
        <v>52.7</v>
      </c>
      <c r="V623" s="31" t="n">
        <v>52.7</v>
      </c>
      <c r="W623" s="30" t="inlineStr">
        <is>
          <t>AMR2</t>
        </is>
      </c>
      <c r="X623" s="32" t="n">
        <v>0</v>
      </c>
      <c r="Y623" s="32" t="n">
        <v>0</v>
      </c>
      <c r="Z623" s="31" t="n">
        <v>0</v>
      </c>
      <c r="AA623" s="32" t="n">
        <v>0</v>
      </c>
      <c r="AB623" s="32" t="n">
        <v>0</v>
      </c>
      <c r="AC623" s="32" t="n">
        <v>0</v>
      </c>
      <c r="AD623" s="32" t="n">
        <v>1</v>
      </c>
      <c r="AE623" s="31" t="n">
        <v>1.8</v>
      </c>
      <c r="AF623" s="32" t="n">
        <v>0</v>
      </c>
      <c r="AG623" s="31" t="n">
        <v>0</v>
      </c>
      <c r="AH623" s="32" t="n">
        <v>41</v>
      </c>
      <c r="AI623" s="31" t="n">
        <v>46.5</v>
      </c>
      <c r="AJ623" s="31" t="n">
        <v>44.6</v>
      </c>
      <c r="AK623" s="31" t="n">
        <v>1.8</v>
      </c>
      <c r="AL623" s="30" t="inlineStr">
        <is>
          <t>T-0772</t>
        </is>
      </c>
      <c r="AM623" s="30" t="inlineStr">
        <is>
          <t>H-05-01</t>
        </is>
      </c>
      <c r="AN623" s="30" t="inlineStr">
        <is>
          <t>T-0631</t>
        </is>
      </c>
      <c r="AO623" s="30" t="inlineStr">
        <is>
          <t>H-04-03</t>
        </is>
      </c>
    </row>
    <row r="624">
      <c r="A624" s="30" t="inlineStr">
        <is>
          <t>O0623</t>
        </is>
      </c>
      <c r="B624" s="30" t="inlineStr">
        <is>
          <t>B</t>
        </is>
      </c>
      <c r="C624" s="31" t="n">
        <v>9042</v>
      </c>
      <c r="D624" s="31" t="n">
        <v>30446.1</v>
      </c>
      <c r="E624" s="31" t="n">
        <v>30446.1</v>
      </c>
      <c r="F624" s="31" t="n">
        <v>30458.6</v>
      </c>
      <c r="G624" s="31" t="n">
        <v>30482</v>
      </c>
      <c r="H624" s="31" t="n">
        <v>30496.8</v>
      </c>
      <c r="I624" s="31" t="n">
        <v>30528.5</v>
      </c>
      <c r="J624" s="31" t="n">
        <v>30562.9</v>
      </c>
      <c r="K624" s="31" t="n">
        <v>21520.9</v>
      </c>
      <c r="L624" s="31" t="n">
        <v>21404.1</v>
      </c>
      <c r="M624" s="30" t="inlineStr">
        <is>
          <t>AMR3</t>
        </is>
      </c>
      <c r="N624" s="30" t="inlineStr">
        <is>
          <t>AMR3</t>
        </is>
      </c>
      <c r="O624" s="32" t="n">
        <v>0</v>
      </c>
      <c r="P624" s="32" t="n">
        <v>0</v>
      </c>
      <c r="Q624" s="32" t="n">
        <v>15</v>
      </c>
      <c r="R624" s="31" t="n">
        <v>35</v>
      </c>
      <c r="S624" s="31" t="n">
        <v>35</v>
      </c>
      <c r="T624" s="30" t="inlineStr">
        <is>
          <t>AMR3</t>
        </is>
      </c>
      <c r="U624" s="31" t="n">
        <v>55.4</v>
      </c>
      <c r="V624" s="31" t="n">
        <v>55.4</v>
      </c>
      <c r="W624" s="30" t="inlineStr">
        <is>
          <t>AMR3</t>
        </is>
      </c>
      <c r="X624" s="32" t="n">
        <v>0</v>
      </c>
      <c r="Y624" s="32" t="n">
        <v>0</v>
      </c>
      <c r="Z624" s="31" t="n">
        <v>0</v>
      </c>
      <c r="AA624" s="32" t="n">
        <v>0</v>
      </c>
      <c r="AB624" s="32" t="n">
        <v>0</v>
      </c>
      <c r="AC624" s="32" t="n">
        <v>0</v>
      </c>
      <c r="AD624" s="32" t="n">
        <v>0</v>
      </c>
      <c r="AE624" s="31" t="n">
        <v>0</v>
      </c>
      <c r="AF624" s="32" t="n">
        <v>0</v>
      </c>
      <c r="AG624" s="31" t="n">
        <v>0</v>
      </c>
      <c r="AH624" s="32" t="n">
        <v>51</v>
      </c>
      <c r="AI624" s="31" t="n">
        <v>55.9</v>
      </c>
      <c r="AJ624" s="31" t="n">
        <v>43.1</v>
      </c>
      <c r="AK624" s="31" t="n">
        <v>3</v>
      </c>
      <c r="AL624" s="30" t="inlineStr">
        <is>
          <t>T-0773</t>
        </is>
      </c>
      <c r="AM624" s="30" t="inlineStr">
        <is>
          <t>B-04-02</t>
        </is>
      </c>
      <c r="AN624" s="30" t="inlineStr">
        <is>
          <t>T-0628</t>
        </is>
      </c>
      <c r="AO624" s="30" t="inlineStr">
        <is>
          <t>B-01-03</t>
        </is>
      </c>
    </row>
    <row r="625">
      <c r="A625" s="30" t="inlineStr">
        <is>
          <t>O0624</t>
        </is>
      </c>
      <c r="B625" s="30" t="inlineStr">
        <is>
          <t>B</t>
        </is>
      </c>
      <c r="C625" s="31" t="n">
        <v>9048.799999999999</v>
      </c>
      <c r="D625" s="31" t="n">
        <v>30479.1</v>
      </c>
      <c r="E625" s="31" t="n">
        <v>30479.1</v>
      </c>
      <c r="F625" s="31" t="n">
        <v>30492.2</v>
      </c>
      <c r="G625" s="31" t="n">
        <v>30518</v>
      </c>
      <c r="H625" s="31" t="n">
        <v>30532.8</v>
      </c>
      <c r="I625" s="31" t="n">
        <v>30555.1</v>
      </c>
      <c r="J625" s="31" t="n">
        <v>30585.6</v>
      </c>
      <c r="K625" s="31" t="n">
        <v>21536.8</v>
      </c>
      <c r="L625" s="31" t="n">
        <v>21430.3</v>
      </c>
      <c r="M625" s="30" t="inlineStr">
        <is>
          <t>AMR1</t>
        </is>
      </c>
      <c r="N625" s="30" t="inlineStr">
        <is>
          <t>AMR1</t>
        </is>
      </c>
      <c r="O625" s="32" t="n">
        <v>0</v>
      </c>
      <c r="P625" s="32" t="n">
        <v>0</v>
      </c>
      <c r="Q625" s="32" t="n">
        <v>15</v>
      </c>
      <c r="R625" s="31" t="n">
        <v>38</v>
      </c>
      <c r="S625" s="31" t="n">
        <v>38</v>
      </c>
      <c r="T625" s="30" t="inlineStr">
        <is>
          <t>AMR1</t>
        </is>
      </c>
      <c r="U625" s="31" t="n">
        <v>52.5</v>
      </c>
      <c r="V625" s="31" t="n">
        <v>52.5</v>
      </c>
      <c r="W625" s="30" t="inlineStr">
        <is>
          <t>AMR1</t>
        </is>
      </c>
      <c r="X625" s="32" t="n">
        <v>0</v>
      </c>
      <c r="Y625" s="32" t="n">
        <v>0</v>
      </c>
      <c r="Z625" s="31" t="n">
        <v>0</v>
      </c>
      <c r="AA625" s="32" t="n">
        <v>0</v>
      </c>
      <c r="AB625" s="32" t="n">
        <v>1</v>
      </c>
      <c r="AC625" s="32" t="n">
        <v>0</v>
      </c>
      <c r="AD625" s="32" t="n">
        <v>0</v>
      </c>
      <c r="AE625" s="31" t="n">
        <v>0</v>
      </c>
      <c r="AF625" s="32" t="n">
        <v>0</v>
      </c>
      <c r="AG625" s="31" t="n">
        <v>0</v>
      </c>
      <c r="AH625" s="32" t="n">
        <v>45</v>
      </c>
      <c r="AI625" s="31" t="n">
        <v>48.5</v>
      </c>
      <c r="AJ625" s="31" t="n">
        <v>43.2</v>
      </c>
      <c r="AK625" s="31" t="n">
        <v>0</v>
      </c>
      <c r="AL625" s="30" t="inlineStr">
        <is>
          <t>T-0774</t>
        </is>
      </c>
      <c r="AM625" s="30" t="inlineStr">
        <is>
          <t>B-05-03</t>
        </is>
      </c>
      <c r="AN625" s="30" t="inlineStr">
        <is>
          <t>T-0629</t>
        </is>
      </c>
      <c r="AO625" s="30" t="inlineStr">
        <is>
          <t>B-05-02</t>
        </is>
      </c>
    </row>
    <row r="626">
      <c r="A626" s="30" t="inlineStr">
        <is>
          <t>O0625</t>
        </is>
      </c>
      <c r="B626" s="30" t="inlineStr">
        <is>
          <t>F</t>
        </is>
      </c>
      <c r="C626" s="31" t="n">
        <v>9054.4</v>
      </c>
      <c r="D626" s="31" t="n">
        <v>30508.5</v>
      </c>
      <c r="E626" s="31" t="n">
        <v>30508.5</v>
      </c>
      <c r="F626" s="31" t="n">
        <v>30520</v>
      </c>
      <c r="G626" s="31" t="n">
        <v>30551.7</v>
      </c>
      <c r="H626" s="31" t="n">
        <v>30577.9</v>
      </c>
      <c r="I626" s="31" t="n">
        <v>30612.2</v>
      </c>
      <c r="J626" s="31" t="n">
        <v>30649.5</v>
      </c>
      <c r="K626" s="31" t="n">
        <v>21595.1</v>
      </c>
      <c r="L626" s="31" t="n">
        <v>21454.1</v>
      </c>
      <c r="M626" s="30" t="inlineStr">
        <is>
          <t>AMR2</t>
        </is>
      </c>
      <c r="N626" s="30" t="inlineStr">
        <is>
          <t>AMR2</t>
        </is>
      </c>
      <c r="O626" s="32" t="n">
        <v>0</v>
      </c>
      <c r="P626" s="32" t="n">
        <v>0</v>
      </c>
      <c r="Q626" s="32" t="n">
        <v>23</v>
      </c>
      <c r="R626" s="31" t="n">
        <v>40.7</v>
      </c>
      <c r="S626" s="31" t="n">
        <v>40.7</v>
      </c>
      <c r="T626" s="30" t="inlineStr">
        <is>
          <t>AMR2</t>
        </is>
      </c>
      <c r="U626" s="31" t="n">
        <v>69.8</v>
      </c>
      <c r="V626" s="31" t="n">
        <v>69.8</v>
      </c>
      <c r="W626" s="30" t="inlineStr">
        <is>
          <t>AMR2</t>
        </is>
      </c>
      <c r="X626" s="32" t="n">
        <v>0</v>
      </c>
      <c r="Y626" s="32" t="n">
        <v>0</v>
      </c>
      <c r="Z626" s="31" t="n">
        <v>0</v>
      </c>
      <c r="AA626" s="32" t="n">
        <v>0</v>
      </c>
      <c r="AB626" s="32" t="n">
        <v>0</v>
      </c>
      <c r="AC626" s="32" t="n">
        <v>0</v>
      </c>
      <c r="AD626" s="32" t="n">
        <v>0</v>
      </c>
      <c r="AE626" s="31" t="n">
        <v>0</v>
      </c>
      <c r="AF626" s="32" t="n">
        <v>0</v>
      </c>
      <c r="AG626" s="31" t="n">
        <v>0</v>
      </c>
      <c r="AH626" s="32" t="n">
        <v>69</v>
      </c>
      <c r="AI626" s="31" t="n">
        <v>69.5</v>
      </c>
      <c r="AJ626" s="31" t="n">
        <v>45.3</v>
      </c>
      <c r="AK626" s="31" t="n">
        <v>0</v>
      </c>
      <c r="AL626" s="30" t="inlineStr">
        <is>
          <t>T-0775</t>
        </is>
      </c>
      <c r="AM626" s="30" t="inlineStr">
        <is>
          <t>F-02-01</t>
        </is>
      </c>
      <c r="AN626" s="30" t="inlineStr">
        <is>
          <t>T-0668</t>
        </is>
      </c>
      <c r="AO626" s="30" t="inlineStr">
        <is>
          <t>F-03-01</t>
        </is>
      </c>
    </row>
    <row r="627">
      <c r="A627" s="30" t="inlineStr">
        <is>
          <t>O0626</t>
        </is>
      </c>
      <c r="B627" s="30" t="inlineStr">
        <is>
          <t>E</t>
        </is>
      </c>
      <c r="C627" s="31" t="n">
        <v>9060</v>
      </c>
      <c r="D627" s="31" t="n">
        <v>30586.6</v>
      </c>
      <c r="E627" s="31" t="n">
        <v>30586.6</v>
      </c>
      <c r="F627" s="31" t="n">
        <v>30598.8</v>
      </c>
      <c r="G627" s="31" t="n">
        <v>30629.2</v>
      </c>
      <c r="H627" s="31" t="n">
        <v>30649.4</v>
      </c>
      <c r="I627" s="31" t="n">
        <v>30675.6</v>
      </c>
      <c r="J627" s="31" t="n">
        <v>30723.1</v>
      </c>
      <c r="K627" s="31" t="n">
        <v>21663.1</v>
      </c>
      <c r="L627" s="31" t="n">
        <v>21526.6</v>
      </c>
      <c r="M627" s="30" t="inlineStr">
        <is>
          <t>AMR3</t>
        </is>
      </c>
      <c r="N627" s="30" t="inlineStr">
        <is>
          <t>AMR3</t>
        </is>
      </c>
      <c r="O627" s="32" t="n">
        <v>0</v>
      </c>
      <c r="P627" s="32" t="n">
        <v>0</v>
      </c>
      <c r="Q627" s="32" t="n">
        <v>19</v>
      </c>
      <c r="R627" s="31" t="n">
        <v>40.1</v>
      </c>
      <c r="S627" s="31" t="n">
        <v>40.1</v>
      </c>
      <c r="T627" s="30" t="inlineStr">
        <is>
          <t>AMR3</t>
        </is>
      </c>
      <c r="U627" s="31" t="n">
        <v>59.7</v>
      </c>
      <c r="V627" s="31" t="n">
        <v>59.7</v>
      </c>
      <c r="W627" s="30" t="inlineStr">
        <is>
          <t>AMR3</t>
        </is>
      </c>
      <c r="X627" s="32" t="n">
        <v>0</v>
      </c>
      <c r="Y627" s="32" t="n">
        <v>0</v>
      </c>
      <c r="Z627" s="31" t="n">
        <v>0</v>
      </c>
      <c r="AA627" s="32" t="n">
        <v>0</v>
      </c>
      <c r="AB627" s="32" t="n">
        <v>1</v>
      </c>
      <c r="AC627" s="32" t="n">
        <v>0</v>
      </c>
      <c r="AD627" s="32" t="n">
        <v>1</v>
      </c>
      <c r="AE627" s="31" t="n">
        <v>10.7</v>
      </c>
      <c r="AF627" s="32" t="n">
        <v>1</v>
      </c>
      <c r="AG627" s="31" t="n">
        <v>5.7</v>
      </c>
      <c r="AH627" s="32" t="n">
        <v>59</v>
      </c>
      <c r="AI627" s="31" t="n">
        <v>59.8</v>
      </c>
      <c r="AJ627" s="31" t="n">
        <v>42.3</v>
      </c>
      <c r="AK627" s="31" t="n">
        <v>14.2</v>
      </c>
      <c r="AL627" s="30" t="inlineStr">
        <is>
          <t>T-0776</t>
        </is>
      </c>
      <c r="AM627" s="30" t="inlineStr">
        <is>
          <t>E-05-01</t>
        </is>
      </c>
      <c r="AN627" s="30" t="inlineStr">
        <is>
          <t>T-0669</t>
        </is>
      </c>
      <c r="AO627" s="30" t="inlineStr">
        <is>
          <t>E-02-02</t>
        </is>
      </c>
    </row>
    <row r="628">
      <c r="A628" s="30" t="inlineStr">
        <is>
          <t>O0627</t>
        </is>
      </c>
      <c r="B628" s="30" t="inlineStr">
        <is>
          <t>C</t>
        </is>
      </c>
      <c r="C628" s="31" t="n">
        <v>9064.200000000001</v>
      </c>
      <c r="D628" s="31" t="n">
        <v>30609.3</v>
      </c>
      <c r="E628" s="31" t="n">
        <v>30609.3</v>
      </c>
      <c r="F628" s="31" t="n">
        <v>30620.4</v>
      </c>
      <c r="G628" s="31" t="n">
        <v>30643.5</v>
      </c>
      <c r="H628" s="31" t="n">
        <v>30655.7</v>
      </c>
      <c r="I628" s="31" t="n">
        <v>30681</v>
      </c>
      <c r="J628" s="31" t="n">
        <v>30709.3</v>
      </c>
      <c r="K628" s="31" t="n">
        <v>21645.1</v>
      </c>
      <c r="L628" s="31" t="n">
        <v>21545.1</v>
      </c>
      <c r="M628" s="30" t="inlineStr">
        <is>
          <t>AMR1</t>
        </is>
      </c>
      <c r="N628" s="30" t="inlineStr">
        <is>
          <t>AMR1</t>
        </is>
      </c>
      <c r="O628" s="32" t="n">
        <v>0</v>
      </c>
      <c r="P628" s="32" t="n">
        <v>0</v>
      </c>
      <c r="Q628" s="32" t="n">
        <v>13</v>
      </c>
      <c r="R628" s="31" t="n">
        <v>33.3</v>
      </c>
      <c r="S628" s="31" t="n">
        <v>33.3</v>
      </c>
      <c r="T628" s="30" t="inlineStr">
        <is>
          <t>AMR1</t>
        </is>
      </c>
      <c r="U628" s="31" t="n">
        <v>54.3</v>
      </c>
      <c r="V628" s="31" t="n">
        <v>54.3</v>
      </c>
      <c r="W628" s="30" t="inlineStr">
        <is>
          <t>AMR1</t>
        </is>
      </c>
      <c r="X628" s="32" t="n">
        <v>0</v>
      </c>
      <c r="Y628" s="32" t="n">
        <v>0</v>
      </c>
      <c r="Z628" s="31" t="n">
        <v>0</v>
      </c>
      <c r="AA628" s="32" t="n">
        <v>0</v>
      </c>
      <c r="AB628" s="32" t="n">
        <v>1</v>
      </c>
      <c r="AC628" s="32" t="n">
        <v>0</v>
      </c>
      <c r="AD628" s="32" t="n">
        <v>0</v>
      </c>
      <c r="AE628" s="31" t="n">
        <v>0</v>
      </c>
      <c r="AF628" s="32" t="n">
        <v>0</v>
      </c>
      <c r="AG628" s="31" t="n">
        <v>0</v>
      </c>
      <c r="AH628" s="32" t="n">
        <v>39</v>
      </c>
      <c r="AI628" s="31" t="n">
        <v>42.4</v>
      </c>
      <c r="AJ628" s="31" t="n">
        <v>45.4</v>
      </c>
      <c r="AK628" s="31" t="n">
        <v>0</v>
      </c>
      <c r="AL628" s="30" t="inlineStr">
        <is>
          <t>T-0777</t>
        </is>
      </c>
      <c r="AM628" s="30" t="inlineStr">
        <is>
          <t>C-01-01</t>
        </is>
      </c>
      <c r="AN628" s="30" t="inlineStr">
        <is>
          <t>T-0615</t>
        </is>
      </c>
      <c r="AO628" s="30" t="inlineStr">
        <is>
          <t>C-04-01</t>
        </is>
      </c>
    </row>
    <row r="629">
      <c r="A629" s="30" t="inlineStr">
        <is>
          <t>O0628</t>
        </is>
      </c>
      <c r="B629" s="30" t="inlineStr">
        <is>
          <t>C</t>
        </is>
      </c>
      <c r="C629" s="31" t="n">
        <v>9069.5</v>
      </c>
      <c r="D629" s="31" t="n">
        <v>30673.2</v>
      </c>
      <c r="E629" s="31" t="n">
        <v>30673.2</v>
      </c>
      <c r="F629" s="31" t="n">
        <v>30684.7</v>
      </c>
      <c r="G629" s="31" t="n">
        <v>30706.9</v>
      </c>
      <c r="H629" s="31" t="n">
        <v>30719.7</v>
      </c>
      <c r="I629" s="31" t="n">
        <v>30741.7</v>
      </c>
      <c r="J629" s="31" t="n">
        <v>30768.9</v>
      </c>
      <c r="K629" s="31" t="n">
        <v>21699.4</v>
      </c>
      <c r="L629" s="31" t="n">
        <v>21603.7</v>
      </c>
      <c r="M629" s="30" t="inlineStr">
        <is>
          <t>AMR2</t>
        </is>
      </c>
      <c r="N629" s="30" t="inlineStr">
        <is>
          <t>AMR2</t>
        </is>
      </c>
      <c r="O629" s="32" t="n">
        <v>0</v>
      </c>
      <c r="P629" s="32" t="n">
        <v>0</v>
      </c>
      <c r="Q629" s="32" t="n">
        <v>13</v>
      </c>
      <c r="R629" s="31" t="n">
        <v>32.8</v>
      </c>
      <c r="S629" s="31" t="n">
        <v>32.8</v>
      </c>
      <c r="T629" s="30" t="inlineStr">
        <is>
          <t>AMR2</t>
        </is>
      </c>
      <c r="U629" s="31" t="n">
        <v>48.9</v>
      </c>
      <c r="V629" s="31" t="n">
        <v>48.9</v>
      </c>
      <c r="W629" s="30" t="inlineStr">
        <is>
          <t>AMR2</t>
        </is>
      </c>
      <c r="X629" s="32" t="n">
        <v>0</v>
      </c>
      <c r="Y629" s="32" t="n">
        <v>0</v>
      </c>
      <c r="Z629" s="31" t="n">
        <v>0</v>
      </c>
      <c r="AA629" s="32" t="n">
        <v>0</v>
      </c>
      <c r="AB629" s="32" t="n">
        <v>0</v>
      </c>
      <c r="AC629" s="32" t="n">
        <v>0</v>
      </c>
      <c r="AD629" s="32" t="n">
        <v>0</v>
      </c>
      <c r="AE629" s="31" t="n">
        <v>0</v>
      </c>
      <c r="AF629" s="32" t="n">
        <v>0</v>
      </c>
      <c r="AG629" s="31" t="n">
        <v>0</v>
      </c>
      <c r="AH629" s="32" t="n">
        <v>39</v>
      </c>
      <c r="AI629" s="31" t="n">
        <v>43.4</v>
      </c>
      <c r="AJ629" s="31" t="n">
        <v>39.5</v>
      </c>
      <c r="AK629" s="31" t="n">
        <v>0</v>
      </c>
      <c r="AL629" s="30" t="inlineStr">
        <is>
          <t>T-0778</t>
        </is>
      </c>
      <c r="AM629" s="30" t="inlineStr">
        <is>
          <t>C-04-01</t>
        </is>
      </c>
      <c r="AN629" s="30" t="inlineStr">
        <is>
          <t>T-0618</t>
        </is>
      </c>
      <c r="AO629" s="30" t="inlineStr">
        <is>
          <t>C-05-01</t>
        </is>
      </c>
    </row>
    <row r="630">
      <c r="A630" s="30" t="inlineStr">
        <is>
          <t>O0629</t>
        </is>
      </c>
      <c r="B630" s="30" t="inlineStr">
        <is>
          <t>A</t>
        </is>
      </c>
      <c r="C630" s="31" t="n">
        <v>9074.1</v>
      </c>
      <c r="D630" s="31" t="n">
        <v>30733</v>
      </c>
      <c r="E630" s="31" t="n">
        <v>30733</v>
      </c>
      <c r="F630" s="31" t="n">
        <v>30748.4</v>
      </c>
      <c r="G630" s="31" t="n">
        <v>30775</v>
      </c>
      <c r="H630" s="31" t="n">
        <v>30792.6</v>
      </c>
      <c r="I630" s="31" t="n">
        <v>30827.4</v>
      </c>
      <c r="J630" s="31" t="n">
        <v>30871.5</v>
      </c>
      <c r="K630" s="31" t="n">
        <v>21797.4</v>
      </c>
      <c r="L630" s="31" t="n">
        <v>21658.9</v>
      </c>
      <c r="M630" s="30" t="inlineStr">
        <is>
          <t>AMR1</t>
        </is>
      </c>
      <c r="N630" s="30" t="inlineStr">
        <is>
          <t>AMR2</t>
        </is>
      </c>
      <c r="O630" s="32" t="n">
        <v>0</v>
      </c>
      <c r="P630" s="32" t="n">
        <v>0</v>
      </c>
      <c r="Q630" s="32" t="n">
        <v>21</v>
      </c>
      <c r="R630" s="31" t="n">
        <v>40.3</v>
      </c>
      <c r="S630" s="31" t="n">
        <v>40.3</v>
      </c>
      <c r="T630" s="30" t="inlineStr">
        <is>
          <t>AMR1</t>
        </is>
      </c>
      <c r="U630" s="31" t="n">
        <v>64.59999999999999</v>
      </c>
      <c r="V630" s="31" t="n">
        <v>64.59999999999999</v>
      </c>
      <c r="W630" s="30" t="inlineStr">
        <is>
          <t>AMR2</t>
        </is>
      </c>
      <c r="X630" s="32" t="n">
        <v>0</v>
      </c>
      <c r="Y630" s="32" t="n">
        <v>0</v>
      </c>
      <c r="Z630" s="31" t="n">
        <v>0</v>
      </c>
      <c r="AA630" s="32" t="n">
        <v>0</v>
      </c>
      <c r="AB630" s="32" t="n">
        <v>1</v>
      </c>
      <c r="AC630" s="32" t="n">
        <v>1</v>
      </c>
      <c r="AD630" s="32" t="n">
        <v>1</v>
      </c>
      <c r="AE630" s="31" t="n">
        <v>5.2</v>
      </c>
      <c r="AF630" s="32" t="n">
        <v>1</v>
      </c>
      <c r="AG630" s="31" t="n">
        <v>0.2</v>
      </c>
      <c r="AH630" s="32" t="n">
        <v>68</v>
      </c>
      <c r="AI630" s="31" t="n">
        <v>69.90000000000001</v>
      </c>
      <c r="AJ630" s="31" t="n">
        <v>42.8</v>
      </c>
      <c r="AK630" s="31" t="n">
        <v>8.199999999999999</v>
      </c>
      <c r="AL630" s="30" t="inlineStr">
        <is>
          <t>T-0779</t>
        </is>
      </c>
      <c r="AM630" s="30" t="inlineStr">
        <is>
          <t>A-03-03</t>
        </is>
      </c>
      <c r="AN630" s="30" t="inlineStr">
        <is>
          <t>T-0641</t>
        </is>
      </c>
      <c r="AO630" s="30" t="inlineStr">
        <is>
          <t>A-02-01</t>
        </is>
      </c>
    </row>
    <row r="631">
      <c r="A631" s="30" t="inlineStr">
        <is>
          <t>O0630</t>
        </is>
      </c>
      <c r="B631" s="30" t="inlineStr">
        <is>
          <t>H</t>
        </is>
      </c>
      <c r="C631" s="31" t="n">
        <v>9080.299999999999</v>
      </c>
      <c r="D631" s="31" t="n">
        <v>30748.4</v>
      </c>
      <c r="E631" s="31" t="n">
        <v>30748.4</v>
      </c>
      <c r="F631" s="31" t="n">
        <v>30762.5</v>
      </c>
      <c r="G631" s="31" t="n">
        <v>30785.3</v>
      </c>
      <c r="H631" s="31" t="n">
        <v>30800.1</v>
      </c>
      <c r="I631" s="31" t="n">
        <v>30831.4</v>
      </c>
      <c r="J631" s="31" t="n">
        <v>30855.7</v>
      </c>
      <c r="K631" s="31" t="n">
        <v>21775.4</v>
      </c>
      <c r="L631" s="31" t="n">
        <v>21668.1</v>
      </c>
      <c r="M631" s="30" t="inlineStr">
        <is>
          <t>AMR3</t>
        </is>
      </c>
      <c r="N631" s="30" t="inlineStr">
        <is>
          <t>AMR3</t>
        </is>
      </c>
      <c r="O631" s="32" t="n">
        <v>0</v>
      </c>
      <c r="P631" s="32" t="n">
        <v>0</v>
      </c>
      <c r="Q631" s="32" t="n">
        <v>15</v>
      </c>
      <c r="R631" s="31" t="n">
        <v>36</v>
      </c>
      <c r="S631" s="31" t="n">
        <v>36</v>
      </c>
      <c r="T631" s="30" t="inlineStr">
        <is>
          <t>AMR3</t>
        </is>
      </c>
      <c r="U631" s="31" t="n">
        <v>51.8</v>
      </c>
      <c r="V631" s="31" t="n">
        <v>51.8</v>
      </c>
      <c r="W631" s="30" t="inlineStr">
        <is>
          <t>AMR3</t>
        </is>
      </c>
      <c r="X631" s="32" t="n">
        <v>0</v>
      </c>
      <c r="Y631" s="32" t="n">
        <v>0</v>
      </c>
      <c r="Z631" s="31" t="n">
        <v>0</v>
      </c>
      <c r="AA631" s="32" t="n">
        <v>0</v>
      </c>
      <c r="AB631" s="32" t="n">
        <v>0</v>
      </c>
      <c r="AC631" s="32" t="n">
        <v>1</v>
      </c>
      <c r="AD631" s="32" t="n">
        <v>0</v>
      </c>
      <c r="AE631" s="31" t="n">
        <v>0</v>
      </c>
      <c r="AF631" s="32" t="n">
        <v>0</v>
      </c>
      <c r="AG631" s="31" t="n">
        <v>0</v>
      </c>
      <c r="AH631" s="32" t="n">
        <v>43</v>
      </c>
      <c r="AI631" s="31" t="n">
        <v>47</v>
      </c>
      <c r="AJ631" s="31" t="n">
        <v>42.5</v>
      </c>
      <c r="AK631" s="31" t="n">
        <v>3</v>
      </c>
      <c r="AL631" s="30" t="inlineStr">
        <is>
          <t>T-0780</t>
        </is>
      </c>
      <c r="AM631" s="30" t="inlineStr">
        <is>
          <t>H-04-03</t>
        </is>
      </c>
      <c r="AN631" s="30" t="inlineStr">
        <is>
          <t>T-0638</t>
        </is>
      </c>
      <c r="AO631" s="30" t="inlineStr">
        <is>
          <t>H-02-02</t>
        </is>
      </c>
    </row>
    <row r="632">
      <c r="A632" s="30" t="inlineStr">
        <is>
          <t>O0631</t>
        </is>
      </c>
      <c r="B632" s="30" t="inlineStr">
        <is>
          <t>C</t>
        </is>
      </c>
      <c r="C632" s="31" t="n">
        <v>9083.299999999999</v>
      </c>
      <c r="D632" s="31" t="n">
        <v>30806.6</v>
      </c>
      <c r="E632" s="31" t="n">
        <v>30806.6</v>
      </c>
      <c r="F632" s="31" t="n">
        <v>30821.8</v>
      </c>
      <c r="G632" s="31" t="n">
        <v>30843.8</v>
      </c>
      <c r="H632" s="31" t="n">
        <v>30856.6</v>
      </c>
      <c r="I632" s="31" t="n">
        <v>30882.5</v>
      </c>
      <c r="J632" s="31" t="n">
        <v>30910.3</v>
      </c>
      <c r="K632" s="31" t="n">
        <v>21827</v>
      </c>
      <c r="L632" s="31" t="n">
        <v>21723.3</v>
      </c>
      <c r="M632" s="30" t="inlineStr">
        <is>
          <t>AMR1</t>
        </is>
      </c>
      <c r="N632" s="30" t="inlineStr">
        <is>
          <t>AMR1</t>
        </is>
      </c>
      <c r="O632" s="32" t="n">
        <v>0</v>
      </c>
      <c r="P632" s="32" t="n">
        <v>0</v>
      </c>
      <c r="Q632" s="32" t="n">
        <v>13</v>
      </c>
      <c r="R632" s="31" t="n">
        <v>36.3</v>
      </c>
      <c r="S632" s="31" t="n">
        <v>36.3</v>
      </c>
      <c r="T632" s="30" t="inlineStr">
        <is>
          <t>AMR1</t>
        </is>
      </c>
      <c r="U632" s="31" t="n">
        <v>53.4</v>
      </c>
      <c r="V632" s="31" t="n">
        <v>53.4</v>
      </c>
      <c r="W632" s="30" t="inlineStr">
        <is>
          <t>AMR1</t>
        </is>
      </c>
      <c r="X632" s="32" t="n">
        <v>0</v>
      </c>
      <c r="Y632" s="32" t="n">
        <v>0</v>
      </c>
      <c r="Z632" s="31" t="n">
        <v>0</v>
      </c>
      <c r="AA632" s="32" t="n">
        <v>0</v>
      </c>
      <c r="AB632" s="32" t="n">
        <v>0</v>
      </c>
      <c r="AC632" s="32" t="n">
        <v>0</v>
      </c>
      <c r="AD632" s="32" t="n">
        <v>0</v>
      </c>
      <c r="AE632" s="31" t="n">
        <v>0</v>
      </c>
      <c r="AF632" s="32" t="n">
        <v>0</v>
      </c>
      <c r="AG632" s="31" t="n">
        <v>0</v>
      </c>
      <c r="AH632" s="32" t="n">
        <v>39</v>
      </c>
      <c r="AI632" s="31" t="n">
        <v>43.4</v>
      </c>
      <c r="AJ632" s="31" t="n">
        <v>47.5</v>
      </c>
      <c r="AK632" s="31" t="n">
        <v>0</v>
      </c>
      <c r="AL632" s="30" t="inlineStr">
        <is>
          <t>T-0781</t>
        </is>
      </c>
      <c r="AM632" s="30" t="inlineStr">
        <is>
          <t>C-05-01</t>
        </is>
      </c>
      <c r="AN632" s="30" t="inlineStr">
        <is>
          <t>T-0625</t>
        </is>
      </c>
      <c r="AO632" s="30" t="inlineStr">
        <is>
          <t>C-04-03</t>
        </is>
      </c>
    </row>
    <row r="633">
      <c r="A633" s="30" t="inlineStr">
        <is>
          <t>O0632</t>
        </is>
      </c>
      <c r="B633" s="30" t="inlineStr">
        <is>
          <t>G</t>
        </is>
      </c>
      <c r="C633" s="31" t="n">
        <v>9087.5</v>
      </c>
      <c r="D633" s="31" t="n">
        <v>30879.4</v>
      </c>
      <c r="E633" s="31" t="n">
        <v>30879.4</v>
      </c>
      <c r="F633" s="31" t="n">
        <v>30892.6</v>
      </c>
      <c r="G633" s="31" t="n">
        <v>30921.4</v>
      </c>
      <c r="H633" s="31" t="n">
        <v>30934</v>
      </c>
      <c r="I633" s="31" t="n">
        <v>30963.3</v>
      </c>
      <c r="J633" s="31" t="n">
        <v>31010.6</v>
      </c>
      <c r="K633" s="31" t="n">
        <v>21923.1</v>
      </c>
      <c r="L633" s="31" t="n">
        <v>21791.9</v>
      </c>
      <c r="M633" s="30" t="inlineStr">
        <is>
          <t>AMR3</t>
        </is>
      </c>
      <c r="N633" s="30" t="inlineStr">
        <is>
          <t>AMR1</t>
        </is>
      </c>
      <c r="O633" s="32" t="n">
        <v>0</v>
      </c>
      <c r="P633" s="32" t="n">
        <v>0</v>
      </c>
      <c r="Q633" s="32" t="n">
        <v>17</v>
      </c>
      <c r="R633" s="31" t="n">
        <v>39.5</v>
      </c>
      <c r="S633" s="31" t="n">
        <v>39.5</v>
      </c>
      <c r="T633" s="30" t="inlineStr">
        <is>
          <t>AMR3</t>
        </is>
      </c>
      <c r="U633" s="31" t="n">
        <v>57.8</v>
      </c>
      <c r="V633" s="31" t="n">
        <v>57.8</v>
      </c>
      <c r="W633" s="30" t="inlineStr">
        <is>
          <t>AMR1</t>
        </is>
      </c>
      <c r="X633" s="32" t="n">
        <v>0</v>
      </c>
      <c r="Y633" s="32" t="n">
        <v>0</v>
      </c>
      <c r="Z633" s="31" t="n">
        <v>0</v>
      </c>
      <c r="AA633" s="32" t="n">
        <v>0</v>
      </c>
      <c r="AB633" s="32" t="n">
        <v>0</v>
      </c>
      <c r="AC633" s="32" t="n">
        <v>0</v>
      </c>
      <c r="AD633" s="32" t="n">
        <v>2</v>
      </c>
      <c r="AE633" s="31" t="n">
        <v>11.6</v>
      </c>
      <c r="AF633" s="32" t="n">
        <v>1</v>
      </c>
      <c r="AG633" s="31" t="n">
        <v>4.8</v>
      </c>
      <c r="AH633" s="32" t="n">
        <v>53</v>
      </c>
      <c r="AI633" s="31" t="n">
        <v>57.1</v>
      </c>
      <c r="AJ633" s="31" t="n">
        <v>46.9</v>
      </c>
      <c r="AK633" s="31" t="n">
        <v>14.6</v>
      </c>
      <c r="AL633" s="30" t="inlineStr">
        <is>
          <t>T-0782</t>
        </is>
      </c>
      <c r="AM633" s="30" t="inlineStr">
        <is>
          <t>G-01-01</t>
        </is>
      </c>
      <c r="AN633" s="30" t="inlineStr">
        <is>
          <t>T-0610</t>
        </is>
      </c>
      <c r="AO633" s="30" t="inlineStr">
        <is>
          <t>G-03-01</t>
        </is>
      </c>
    </row>
    <row r="634">
      <c r="A634" s="30" t="inlineStr">
        <is>
          <t>O0633</t>
        </is>
      </c>
      <c r="B634" s="30" t="inlineStr">
        <is>
          <t>G</t>
        </is>
      </c>
      <c r="C634" s="31" t="n">
        <v>9092.5</v>
      </c>
      <c r="D634" s="31" t="n">
        <v>30895.2</v>
      </c>
      <c r="E634" s="31" t="n">
        <v>30895.2</v>
      </c>
      <c r="F634" s="31" t="n">
        <v>30910.8</v>
      </c>
      <c r="G634" s="31" t="n">
        <v>30940</v>
      </c>
      <c r="H634" s="31" t="n">
        <v>30944</v>
      </c>
      <c r="I634" s="31" t="n">
        <v>30969.3</v>
      </c>
      <c r="J634" s="31" t="n">
        <v>30995.7</v>
      </c>
      <c r="K634" s="31" t="n">
        <v>21903.2</v>
      </c>
      <c r="L634" s="31" t="n">
        <v>21802.7</v>
      </c>
      <c r="M634" s="30" t="inlineStr">
        <is>
          <t>AMR2</t>
        </is>
      </c>
      <c r="N634" s="30" t="inlineStr">
        <is>
          <t>AMR3</t>
        </is>
      </c>
      <c r="O634" s="32" t="n">
        <v>0</v>
      </c>
      <c r="P634" s="32" t="n">
        <v>0</v>
      </c>
      <c r="Q634" s="32" t="n">
        <v>17</v>
      </c>
      <c r="R634" s="31" t="n">
        <v>39.8</v>
      </c>
      <c r="S634" s="31" t="n">
        <v>39.8</v>
      </c>
      <c r="T634" s="30" t="inlineStr">
        <is>
          <t>AMR2</t>
        </is>
      </c>
      <c r="U634" s="31" t="n">
        <v>53.4</v>
      </c>
      <c r="V634" s="31" t="n">
        <v>53.4</v>
      </c>
      <c r="W634" s="30" t="inlineStr">
        <is>
          <t>AMR3</t>
        </is>
      </c>
      <c r="X634" s="32" t="n">
        <v>0</v>
      </c>
      <c r="Y634" s="32" t="n">
        <v>0</v>
      </c>
      <c r="Z634" s="31" t="n">
        <v>0</v>
      </c>
      <c r="AA634" s="32" t="n">
        <v>0</v>
      </c>
      <c r="AB634" s="32" t="n">
        <v>1</v>
      </c>
      <c r="AC634" s="32" t="n">
        <v>1</v>
      </c>
      <c r="AD634" s="32" t="n">
        <v>0</v>
      </c>
      <c r="AE634" s="31" t="n">
        <v>0</v>
      </c>
      <c r="AF634" s="32" t="n">
        <v>0</v>
      </c>
      <c r="AG634" s="31" t="n">
        <v>0</v>
      </c>
      <c r="AH634" s="32" t="n">
        <v>45</v>
      </c>
      <c r="AI634" s="31" t="n">
        <v>49.6</v>
      </c>
      <c r="AJ634" s="31" t="n">
        <v>42.8</v>
      </c>
      <c r="AK634" s="31" t="n">
        <v>4.1</v>
      </c>
      <c r="AL634" s="30" t="inlineStr">
        <is>
          <t>T-0783</t>
        </is>
      </c>
      <c r="AM634" s="30" t="inlineStr">
        <is>
          <t>G-05-03</t>
        </is>
      </c>
      <c r="AN634" s="30" t="inlineStr">
        <is>
          <t>T-0611</t>
        </is>
      </c>
      <c r="AO634" s="30" t="inlineStr">
        <is>
          <t>G-06-01</t>
        </is>
      </c>
    </row>
    <row r="635">
      <c r="A635" s="30" t="inlineStr">
        <is>
          <t>O0634</t>
        </is>
      </c>
      <c r="B635" s="30" t="inlineStr">
        <is>
          <t>E</t>
        </is>
      </c>
      <c r="C635" s="31" t="n">
        <v>9096.5</v>
      </c>
      <c r="D635" s="31" t="n">
        <v>30956.8</v>
      </c>
      <c r="E635" s="31" t="n">
        <v>30956.8</v>
      </c>
      <c r="F635" s="31" t="n">
        <v>30970.7</v>
      </c>
      <c r="G635" s="31" t="n">
        <v>30994.9</v>
      </c>
      <c r="H635" s="31" t="n">
        <v>31013.1</v>
      </c>
      <c r="I635" s="31" t="n">
        <v>31044.1</v>
      </c>
      <c r="J635" s="31" t="n">
        <v>31078.6</v>
      </c>
      <c r="K635" s="31" t="n">
        <v>21982.1</v>
      </c>
      <c r="L635" s="31" t="n">
        <v>21860.3</v>
      </c>
      <c r="M635" s="30" t="inlineStr">
        <is>
          <t>AMR2</t>
        </is>
      </c>
      <c r="N635" s="30" t="inlineStr">
        <is>
          <t>AMR2</t>
        </is>
      </c>
      <c r="O635" s="32" t="n">
        <v>0</v>
      </c>
      <c r="P635" s="32" t="n">
        <v>0</v>
      </c>
      <c r="Q635" s="32" t="n">
        <v>19</v>
      </c>
      <c r="R635" s="31" t="n">
        <v>37.2</v>
      </c>
      <c r="S635" s="31" t="n">
        <v>37.2</v>
      </c>
      <c r="T635" s="30" t="inlineStr">
        <is>
          <t>AMR2</t>
        </is>
      </c>
      <c r="U635" s="31" t="n">
        <v>62.2</v>
      </c>
      <c r="V635" s="31" t="n">
        <v>62.2</v>
      </c>
      <c r="W635" s="30" t="inlineStr">
        <is>
          <t>AMR2</t>
        </is>
      </c>
      <c r="X635" s="32" t="n">
        <v>0</v>
      </c>
      <c r="Y635" s="32" t="n">
        <v>0</v>
      </c>
      <c r="Z635" s="31" t="n">
        <v>0</v>
      </c>
      <c r="AA635" s="32" t="n">
        <v>0</v>
      </c>
      <c r="AB635" s="32" t="n">
        <v>2</v>
      </c>
      <c r="AC635" s="32" t="n">
        <v>0</v>
      </c>
      <c r="AD635" s="32" t="n">
        <v>0</v>
      </c>
      <c r="AE635" s="31" t="n">
        <v>0</v>
      </c>
      <c r="AF635" s="32" t="n">
        <v>0</v>
      </c>
      <c r="AG635" s="31" t="n">
        <v>0</v>
      </c>
      <c r="AH635" s="32" t="n">
        <v>61</v>
      </c>
      <c r="AI635" s="31" t="n">
        <v>61.7</v>
      </c>
      <c r="AJ635" s="31" t="n">
        <v>41.9</v>
      </c>
      <c r="AK635" s="31" t="n">
        <v>0</v>
      </c>
      <c r="AL635" s="30" t="inlineStr">
        <is>
          <t>T-0784</t>
        </is>
      </c>
      <c r="AM635" s="30" t="inlineStr">
        <is>
          <t>E-02-02</t>
        </is>
      </c>
      <c r="AN635" s="30" t="inlineStr">
        <is>
          <t>T-0672</t>
        </is>
      </c>
      <c r="AO635" s="30" t="inlineStr">
        <is>
          <t>E-04-02</t>
        </is>
      </c>
    </row>
    <row r="636">
      <c r="A636" s="30" t="inlineStr">
        <is>
          <t>O0635</t>
        </is>
      </c>
      <c r="B636" s="30" t="inlineStr">
        <is>
          <t>J</t>
        </is>
      </c>
      <c r="C636" s="31" t="n">
        <v>9102.5</v>
      </c>
      <c r="D636" s="31" t="n">
        <v>31021.7</v>
      </c>
      <c r="E636" s="31" t="n">
        <v>31021.7</v>
      </c>
      <c r="F636" s="31" t="n">
        <v>31033.6</v>
      </c>
      <c r="G636" s="31" t="n">
        <v>31066.1</v>
      </c>
      <c r="H636" s="31" t="n">
        <v>31084.2</v>
      </c>
      <c r="I636" s="31" t="n">
        <v>31115</v>
      </c>
      <c r="J636" s="31" t="n">
        <v>31157.3</v>
      </c>
      <c r="K636" s="31" t="n">
        <v>22054.8</v>
      </c>
      <c r="L636" s="31" t="n">
        <v>21919.2</v>
      </c>
      <c r="M636" s="30" t="inlineStr">
        <is>
          <t>AMR3</t>
        </is>
      </c>
      <c r="N636" s="30" t="inlineStr">
        <is>
          <t>AMR1</t>
        </is>
      </c>
      <c r="O636" s="32" t="n">
        <v>0</v>
      </c>
      <c r="P636" s="32" t="n">
        <v>0</v>
      </c>
      <c r="Q636" s="32" t="n">
        <v>21</v>
      </c>
      <c r="R636" s="31" t="n">
        <v>38.4</v>
      </c>
      <c r="S636" s="31" t="n">
        <v>38.4</v>
      </c>
      <c r="T636" s="30" t="inlineStr">
        <is>
          <t>AMR3</t>
        </is>
      </c>
      <c r="U636" s="31" t="n">
        <v>60.6</v>
      </c>
      <c r="V636" s="31" t="n">
        <v>60.6</v>
      </c>
      <c r="W636" s="30" t="inlineStr">
        <is>
          <t>AMR1</t>
        </is>
      </c>
      <c r="X636" s="32" t="n">
        <v>0</v>
      </c>
      <c r="Y636" s="32" t="n">
        <v>0</v>
      </c>
      <c r="Z636" s="31" t="n">
        <v>0</v>
      </c>
      <c r="AA636" s="32" t="n">
        <v>0</v>
      </c>
      <c r="AB636" s="32" t="n">
        <v>2</v>
      </c>
      <c r="AC636" s="32" t="n">
        <v>0</v>
      </c>
      <c r="AD636" s="32" t="n">
        <v>1</v>
      </c>
      <c r="AE636" s="31" t="n">
        <v>11.7</v>
      </c>
      <c r="AF636" s="32" t="n">
        <v>1</v>
      </c>
      <c r="AG636" s="31" t="n">
        <v>6.7</v>
      </c>
      <c r="AH636" s="32" t="n">
        <v>63</v>
      </c>
      <c r="AI636" s="31" t="n">
        <v>63.9</v>
      </c>
      <c r="AJ636" s="31" t="n">
        <v>38.4</v>
      </c>
      <c r="AK636" s="31" t="n">
        <v>15.2</v>
      </c>
      <c r="AL636" s="30" t="inlineStr">
        <is>
          <t>T-0785</t>
        </is>
      </c>
      <c r="AM636" s="30" t="inlineStr">
        <is>
          <t>J-05-02</t>
        </is>
      </c>
      <c r="AN636" s="30" t="inlineStr">
        <is>
          <t>T-0665</t>
        </is>
      </c>
      <c r="AO636" s="30" t="inlineStr">
        <is>
          <t>J-03-03</t>
        </is>
      </c>
    </row>
    <row r="637">
      <c r="A637" s="30" t="inlineStr">
        <is>
          <t>O0636</t>
        </is>
      </c>
      <c r="B637" s="30" t="inlineStr">
        <is>
          <t>H</t>
        </is>
      </c>
      <c r="C637" s="31" t="n">
        <v>9105.5</v>
      </c>
      <c r="D637" s="31" t="n">
        <v>31034.3</v>
      </c>
      <c r="E637" s="31" t="n">
        <v>31034.3</v>
      </c>
      <c r="F637" s="31" t="n">
        <v>31045.4</v>
      </c>
      <c r="G637" s="31" t="n">
        <v>31070</v>
      </c>
      <c r="H637" s="31" t="n">
        <v>31090.4</v>
      </c>
      <c r="I637" s="31" t="n">
        <v>31116.8</v>
      </c>
      <c r="J637" s="31" t="n">
        <v>31145.3</v>
      </c>
      <c r="K637" s="31" t="n">
        <v>22039.8</v>
      </c>
      <c r="L637" s="31" t="n">
        <v>21928.8</v>
      </c>
      <c r="M637" s="30" t="inlineStr">
        <is>
          <t>AMR1</t>
        </is>
      </c>
      <c r="N637" s="30" t="inlineStr">
        <is>
          <t>AMR3</t>
        </is>
      </c>
      <c r="O637" s="32" t="n">
        <v>0</v>
      </c>
      <c r="P637" s="32" t="n">
        <v>0</v>
      </c>
      <c r="Q637" s="32" t="n">
        <v>15</v>
      </c>
      <c r="R637" s="31" t="n">
        <v>34.8</v>
      </c>
      <c r="S637" s="31" t="n">
        <v>34.8</v>
      </c>
      <c r="T637" s="30" t="inlineStr">
        <is>
          <t>AMR1</t>
        </is>
      </c>
      <c r="U637" s="31" t="n">
        <v>54.6</v>
      </c>
      <c r="V637" s="31" t="n">
        <v>54.6</v>
      </c>
      <c r="W637" s="30" t="inlineStr">
        <is>
          <t>AMR3</t>
        </is>
      </c>
      <c r="X637" s="32" t="n">
        <v>0</v>
      </c>
      <c r="Y637" s="32" t="n">
        <v>0</v>
      </c>
      <c r="Z637" s="31" t="n">
        <v>0</v>
      </c>
      <c r="AA637" s="32" t="n">
        <v>0</v>
      </c>
      <c r="AB637" s="32" t="n">
        <v>0</v>
      </c>
      <c r="AC637" s="32" t="n">
        <v>0</v>
      </c>
      <c r="AD637" s="32" t="n">
        <v>0</v>
      </c>
      <c r="AE637" s="31" t="n">
        <v>0</v>
      </c>
      <c r="AF637" s="32" t="n">
        <v>0</v>
      </c>
      <c r="AG637" s="31" t="n">
        <v>0</v>
      </c>
      <c r="AH637" s="32" t="n">
        <v>41</v>
      </c>
      <c r="AI637" s="31" t="n">
        <v>46.5</v>
      </c>
      <c r="AJ637" s="31" t="n">
        <v>44.1</v>
      </c>
      <c r="AK637" s="31" t="n">
        <v>0</v>
      </c>
      <c r="AL637" s="30" t="inlineStr">
        <is>
          <t>T-0786</t>
        </is>
      </c>
      <c r="AM637" s="30" t="inlineStr">
        <is>
          <t>H-02-02</t>
        </is>
      </c>
      <c r="AN637" s="30" t="inlineStr">
        <is>
          <t>T-0640</t>
        </is>
      </c>
      <c r="AO637" s="30" t="inlineStr">
        <is>
          <t>H-04-02</t>
        </is>
      </c>
    </row>
    <row r="638">
      <c r="A638" s="30" t="inlineStr">
        <is>
          <t>O0637</t>
        </is>
      </c>
      <c r="B638" s="30" t="inlineStr">
        <is>
          <t>I</t>
        </is>
      </c>
      <c r="C638" s="31" t="n">
        <v>9111.200000000001</v>
      </c>
      <c r="D638" s="31" t="n">
        <v>31102.3</v>
      </c>
      <c r="E638" s="31" t="n">
        <v>31102.3</v>
      </c>
      <c r="F638" s="31" t="n">
        <v>31117.6</v>
      </c>
      <c r="G638" s="31" t="n">
        <v>31143.1</v>
      </c>
      <c r="H638" s="31" t="n">
        <v>31159.2</v>
      </c>
      <c r="I638" s="31" t="n">
        <v>31191.6</v>
      </c>
      <c r="J638" s="31" t="n">
        <v>31221.1</v>
      </c>
      <c r="K638" s="31" t="n">
        <v>22109.9</v>
      </c>
      <c r="L638" s="31" t="n">
        <v>21991.1</v>
      </c>
      <c r="M638" s="30" t="inlineStr">
        <is>
          <t>AMR2</t>
        </is>
      </c>
      <c r="N638" s="30" t="inlineStr">
        <is>
          <t>AMR2</t>
        </is>
      </c>
      <c r="O638" s="32" t="n">
        <v>0</v>
      </c>
      <c r="P638" s="32" t="n">
        <v>0</v>
      </c>
      <c r="Q638" s="32" t="n">
        <v>15</v>
      </c>
      <c r="R638" s="31" t="n">
        <v>39.1</v>
      </c>
      <c r="S638" s="31" t="n">
        <v>39.1</v>
      </c>
      <c r="T638" s="30" t="inlineStr">
        <is>
          <t>AMR2</t>
        </is>
      </c>
      <c r="U638" s="31" t="n">
        <v>52.2</v>
      </c>
      <c r="V638" s="31" t="n">
        <v>52.2</v>
      </c>
      <c r="W638" s="30" t="inlineStr">
        <is>
          <t>AMR2</t>
        </is>
      </c>
      <c r="X638" s="32" t="n">
        <v>0</v>
      </c>
      <c r="Y638" s="32" t="n">
        <v>0</v>
      </c>
      <c r="Z638" s="31" t="n">
        <v>0</v>
      </c>
      <c r="AA638" s="32" t="n">
        <v>0</v>
      </c>
      <c r="AB638" s="32" t="n">
        <v>1</v>
      </c>
      <c r="AC638" s="32" t="n">
        <v>1</v>
      </c>
      <c r="AD638" s="32" t="n">
        <v>0</v>
      </c>
      <c r="AE638" s="31" t="n">
        <v>0</v>
      </c>
      <c r="AF638" s="32" t="n">
        <v>0</v>
      </c>
      <c r="AG638" s="31" t="n">
        <v>0</v>
      </c>
      <c r="AH638" s="32" t="n">
        <v>48</v>
      </c>
      <c r="AI638" s="31" t="n">
        <v>54.2</v>
      </c>
      <c r="AJ638" s="31" t="n">
        <v>45.5</v>
      </c>
      <c r="AK638" s="31" t="n">
        <v>3</v>
      </c>
      <c r="AL638" s="30" t="inlineStr">
        <is>
          <t>T-0787</t>
        </is>
      </c>
      <c r="AM638" s="30" t="inlineStr">
        <is>
          <t>I-03-01</t>
        </is>
      </c>
      <c r="AN638" s="30" t="inlineStr">
        <is>
          <t>T-0605</t>
        </is>
      </c>
      <c r="AO638" s="30" t="inlineStr">
        <is>
          <t>I-04-03</t>
        </is>
      </c>
    </row>
    <row r="639">
      <c r="A639" s="30" t="inlineStr">
        <is>
          <t>O0638</t>
        </is>
      </c>
      <c r="B639" s="30" t="inlineStr">
        <is>
          <t>C</t>
        </is>
      </c>
      <c r="C639" s="31" t="n">
        <v>9116.299999999999</v>
      </c>
      <c r="D639" s="31" t="n">
        <v>31174.2</v>
      </c>
      <c r="E639" s="31" t="n">
        <v>31174.2</v>
      </c>
      <c r="F639" s="31" t="n">
        <v>31188.6</v>
      </c>
      <c r="G639" s="31" t="n">
        <v>31211.2</v>
      </c>
      <c r="H639" s="31" t="n">
        <v>31223.7</v>
      </c>
      <c r="I639" s="31" t="n">
        <v>31248.6</v>
      </c>
      <c r="J639" s="31" t="n">
        <v>31275.8</v>
      </c>
      <c r="K639" s="31" t="n">
        <v>22159.5</v>
      </c>
      <c r="L639" s="31" t="n">
        <v>22057.9</v>
      </c>
      <c r="M639" s="30" t="inlineStr">
        <is>
          <t>AMR3</t>
        </is>
      </c>
      <c r="N639" s="30" t="inlineStr">
        <is>
          <t>AMR3</t>
        </is>
      </c>
      <c r="O639" s="32" t="n">
        <v>0</v>
      </c>
      <c r="P639" s="32" t="n">
        <v>0</v>
      </c>
      <c r="Q639" s="32" t="n">
        <v>13</v>
      </c>
      <c r="R639" s="31" t="n">
        <v>35.3</v>
      </c>
      <c r="S639" s="31" t="n">
        <v>35.3</v>
      </c>
      <c r="T639" s="30" t="inlineStr">
        <is>
          <t>AMR3</t>
        </is>
      </c>
      <c r="U639" s="31" t="n">
        <v>52.2</v>
      </c>
      <c r="V639" s="31" t="n">
        <v>52.2</v>
      </c>
      <c r="W639" s="30" t="inlineStr">
        <is>
          <t>AMR3</t>
        </is>
      </c>
      <c r="X639" s="32" t="n">
        <v>0</v>
      </c>
      <c r="Y639" s="32" t="n">
        <v>0</v>
      </c>
      <c r="Z639" s="31" t="n">
        <v>0</v>
      </c>
      <c r="AA639" s="32" t="n">
        <v>0</v>
      </c>
      <c r="AB639" s="32" t="n">
        <v>0</v>
      </c>
      <c r="AC639" s="32" t="n">
        <v>0</v>
      </c>
      <c r="AD639" s="32" t="n">
        <v>0</v>
      </c>
      <c r="AE639" s="31" t="n">
        <v>0</v>
      </c>
      <c r="AF639" s="32" t="n">
        <v>0</v>
      </c>
      <c r="AG639" s="31" t="n">
        <v>0</v>
      </c>
      <c r="AH639" s="32" t="n">
        <v>42</v>
      </c>
      <c r="AI639" s="31" t="n">
        <v>43.8</v>
      </c>
      <c r="AJ639" s="31" t="n">
        <v>45.3</v>
      </c>
      <c r="AK639" s="31" t="n">
        <v>0</v>
      </c>
      <c r="AL639" s="30" t="inlineStr">
        <is>
          <t>T-0788</t>
        </is>
      </c>
      <c r="AM639" s="30" t="inlineStr">
        <is>
          <t>C-03-03</t>
        </is>
      </c>
      <c r="AN639" s="30" t="inlineStr">
        <is>
          <t>T-0637</t>
        </is>
      </c>
      <c r="AO639" s="30" t="inlineStr">
        <is>
          <t>C-03-01</t>
        </is>
      </c>
    </row>
    <row r="640">
      <c r="A640" s="30" t="inlineStr">
        <is>
          <t>O0639</t>
        </is>
      </c>
      <c r="B640" s="30" t="inlineStr">
        <is>
          <t>D</t>
        </is>
      </c>
      <c r="C640" s="31" t="n">
        <v>9123.200000000001</v>
      </c>
      <c r="D640" s="31" t="n">
        <v>31188.7</v>
      </c>
      <c r="E640" s="31" t="n">
        <v>31188.7</v>
      </c>
      <c r="F640" s="31" t="n">
        <v>31204.8</v>
      </c>
      <c r="G640" s="31" t="n">
        <v>31225.1</v>
      </c>
      <c r="H640" s="31" t="n">
        <v>31237.9</v>
      </c>
      <c r="I640" s="31" t="n">
        <v>31266.6</v>
      </c>
      <c r="J640" s="31" t="n">
        <v>31298</v>
      </c>
      <c r="K640" s="31" t="n">
        <v>22174.8</v>
      </c>
      <c r="L640" s="31" t="n">
        <v>22065.5</v>
      </c>
      <c r="M640" s="30" t="inlineStr">
        <is>
          <t>AMR1</t>
        </is>
      </c>
      <c r="N640" s="30" t="inlineStr">
        <is>
          <t>AMR1</t>
        </is>
      </c>
      <c r="O640" s="32" t="n">
        <v>0</v>
      </c>
      <c r="P640" s="32" t="n">
        <v>0</v>
      </c>
      <c r="Q640" s="32" t="n">
        <v>13</v>
      </c>
      <c r="R640" s="31" t="n">
        <v>35.5</v>
      </c>
      <c r="S640" s="31" t="n">
        <v>35.5</v>
      </c>
      <c r="T640" s="30" t="inlineStr">
        <is>
          <t>AMR1</t>
        </is>
      </c>
      <c r="U640" s="31" t="n">
        <v>50.1</v>
      </c>
      <c r="V640" s="31" t="n">
        <v>50.1</v>
      </c>
      <c r="W640" s="30" t="inlineStr">
        <is>
          <t>AMR1</t>
        </is>
      </c>
      <c r="X640" s="32" t="n">
        <v>0</v>
      </c>
      <c r="Y640" s="32" t="n">
        <v>0</v>
      </c>
      <c r="Z640" s="31" t="n">
        <v>0</v>
      </c>
      <c r="AA640" s="32" t="n">
        <v>0</v>
      </c>
      <c r="AB640" s="32" t="n">
        <v>1</v>
      </c>
      <c r="AC640" s="32" t="n">
        <v>1</v>
      </c>
      <c r="AD640" s="32" t="n">
        <v>0</v>
      </c>
      <c r="AE640" s="31" t="n">
        <v>0</v>
      </c>
      <c r="AF640" s="32" t="n">
        <v>1</v>
      </c>
      <c r="AG640" s="31" t="n">
        <v>0.6</v>
      </c>
      <c r="AH640" s="32" t="n">
        <v>41</v>
      </c>
      <c r="AI640" s="31" t="n">
        <v>45.4</v>
      </c>
      <c r="AJ640" s="31" t="n">
        <v>42.9</v>
      </c>
      <c r="AK640" s="31" t="n">
        <v>8.199999999999999</v>
      </c>
      <c r="AL640" s="30" t="inlineStr">
        <is>
          <t>T-0789</t>
        </is>
      </c>
      <c r="AM640" s="30" t="inlineStr">
        <is>
          <t>D-01-03</t>
        </is>
      </c>
      <c r="AN640" s="30" t="inlineStr">
        <is>
          <t>T-0526</t>
        </is>
      </c>
      <c r="AO640" s="30" t="inlineStr">
        <is>
          <t>D-03-03</t>
        </is>
      </c>
    </row>
    <row r="641">
      <c r="A641" s="30" t="inlineStr">
        <is>
          <t>O0640</t>
        </is>
      </c>
      <c r="B641" s="30" t="inlineStr">
        <is>
          <t>H</t>
        </is>
      </c>
      <c r="C641" s="31" t="n">
        <v>9127.299999999999</v>
      </c>
      <c r="D641" s="31" t="n">
        <v>31248.8</v>
      </c>
      <c r="E641" s="31" t="n">
        <v>31248.8</v>
      </c>
      <c r="F641" s="31" t="n">
        <v>31261.2</v>
      </c>
      <c r="G641" s="31" t="n">
        <v>31286.2</v>
      </c>
      <c r="H641" s="31" t="n">
        <v>31299.5</v>
      </c>
      <c r="I641" s="31" t="n">
        <v>31323.7</v>
      </c>
      <c r="J641" s="31" t="n">
        <v>31349.6</v>
      </c>
      <c r="K641" s="31" t="n">
        <v>22222.3</v>
      </c>
      <c r="L641" s="31" t="n">
        <v>22121.5</v>
      </c>
      <c r="M641" s="30" t="inlineStr">
        <is>
          <t>AMR2</t>
        </is>
      </c>
      <c r="N641" s="30" t="inlineStr">
        <is>
          <t>AMR3</t>
        </is>
      </c>
      <c r="O641" s="32" t="n">
        <v>0</v>
      </c>
      <c r="P641" s="32" t="n">
        <v>0</v>
      </c>
      <c r="Q641" s="32" t="n">
        <v>15</v>
      </c>
      <c r="R641" s="31" t="n">
        <v>36.5</v>
      </c>
      <c r="S641" s="31" t="n">
        <v>36.5</v>
      </c>
      <c r="T641" s="30" t="inlineStr">
        <is>
          <t>AMR2</t>
        </is>
      </c>
      <c r="U641" s="31" t="n">
        <v>50.2</v>
      </c>
      <c r="V641" s="31" t="n">
        <v>50.2</v>
      </c>
      <c r="W641" s="30" t="inlineStr">
        <is>
          <t>AMR3</t>
        </is>
      </c>
      <c r="X641" s="32" t="n">
        <v>0</v>
      </c>
      <c r="Y641" s="32" t="n">
        <v>0</v>
      </c>
      <c r="Z641" s="31" t="n">
        <v>0</v>
      </c>
      <c r="AA641" s="32" t="n">
        <v>0</v>
      </c>
      <c r="AB641" s="32" t="n">
        <v>1</v>
      </c>
      <c r="AC641" s="32" t="n">
        <v>0</v>
      </c>
      <c r="AD641" s="32" t="n">
        <v>0</v>
      </c>
      <c r="AE641" s="31" t="n">
        <v>0</v>
      </c>
      <c r="AF641" s="32" t="n">
        <v>0</v>
      </c>
      <c r="AG641" s="31" t="n">
        <v>0</v>
      </c>
      <c r="AH641" s="32" t="n">
        <v>43</v>
      </c>
      <c r="AI641" s="31" t="n">
        <v>46.1</v>
      </c>
      <c r="AJ641" s="31" t="n">
        <v>41.4</v>
      </c>
      <c r="AK641" s="31" t="n">
        <v>0</v>
      </c>
      <c r="AL641" s="30" t="inlineStr">
        <is>
          <t>T-0790</t>
        </is>
      </c>
      <c r="AM641" s="30" t="inlineStr">
        <is>
          <t>H-04-02</t>
        </is>
      </c>
      <c r="AN641" s="30" t="inlineStr">
        <is>
          <t>T-0647</t>
        </is>
      </c>
      <c r="AO641" s="30" t="inlineStr">
        <is>
          <t>H-03-01</t>
        </is>
      </c>
    </row>
    <row r="642">
      <c r="A642" s="30" t="inlineStr">
        <is>
          <t>O0641</t>
        </is>
      </c>
      <c r="B642" s="30" t="inlineStr">
        <is>
          <t>A</t>
        </is>
      </c>
      <c r="C642" s="31" t="n">
        <v>9131.5</v>
      </c>
      <c r="D642" s="31" t="n">
        <v>31302.9</v>
      </c>
      <c r="E642" s="31" t="n">
        <v>31302.9</v>
      </c>
      <c r="F642" s="31" t="n">
        <v>31319</v>
      </c>
      <c r="G642" s="31" t="n">
        <v>31351.9</v>
      </c>
      <c r="H642" s="31" t="n">
        <v>31373.3</v>
      </c>
      <c r="I642" s="31" t="n">
        <v>31400</v>
      </c>
      <c r="J642" s="31" t="n">
        <v>31440.3</v>
      </c>
      <c r="K642" s="31" t="n">
        <v>22308.8</v>
      </c>
      <c r="L642" s="31" t="n">
        <v>22171.4</v>
      </c>
      <c r="M642" s="30" t="inlineStr">
        <is>
          <t>AMR2</t>
        </is>
      </c>
      <c r="N642" s="30" t="inlineStr">
        <is>
          <t>AMR3</t>
        </is>
      </c>
      <c r="O642" s="32" t="n">
        <v>0</v>
      </c>
      <c r="P642" s="32" t="n">
        <v>0</v>
      </c>
      <c r="Q642" s="32" t="n">
        <v>21</v>
      </c>
      <c r="R642" s="31" t="n">
        <v>46.5</v>
      </c>
      <c r="S642" s="31" t="n">
        <v>46.5</v>
      </c>
      <c r="T642" s="30" t="inlineStr">
        <is>
          <t>AMR2</t>
        </is>
      </c>
      <c r="U642" s="31" t="n">
        <v>62.4</v>
      </c>
      <c r="V642" s="31" t="n">
        <v>62.4</v>
      </c>
      <c r="W642" s="30" t="inlineStr">
        <is>
          <t>AMR3</t>
        </is>
      </c>
      <c r="X642" s="32" t="n">
        <v>0</v>
      </c>
      <c r="Y642" s="32" t="n">
        <v>0</v>
      </c>
      <c r="Z642" s="31" t="n">
        <v>0</v>
      </c>
      <c r="AA642" s="32" t="n">
        <v>0</v>
      </c>
      <c r="AB642" s="32" t="n">
        <v>1</v>
      </c>
      <c r="AC642" s="32" t="n">
        <v>1</v>
      </c>
      <c r="AD642" s="32" t="n">
        <v>0</v>
      </c>
      <c r="AE642" s="31" t="n">
        <v>0</v>
      </c>
      <c r="AF642" s="32" t="n">
        <v>0</v>
      </c>
      <c r="AG642" s="31" t="n">
        <v>0</v>
      </c>
      <c r="AH642" s="32" t="n">
        <v>67</v>
      </c>
      <c r="AI642" s="31" t="n">
        <v>66.2</v>
      </c>
      <c r="AJ642" s="31" t="n">
        <v>46.8</v>
      </c>
      <c r="AK642" s="31" t="n">
        <v>3</v>
      </c>
      <c r="AL642" s="30" t="inlineStr">
        <is>
          <t>T-0791</t>
        </is>
      </c>
      <c r="AM642" s="30" t="inlineStr">
        <is>
          <t>A-02-01</t>
        </is>
      </c>
      <c r="AN642" s="30" t="inlineStr">
        <is>
          <t>T-0645</t>
        </is>
      </c>
      <c r="AO642" s="30" t="inlineStr">
        <is>
          <t>A-03-01</t>
        </is>
      </c>
    </row>
    <row r="643">
      <c r="A643" s="30" t="inlineStr">
        <is>
          <t>O0642</t>
        </is>
      </c>
      <c r="B643" s="30" t="inlineStr">
        <is>
          <t>A</t>
        </is>
      </c>
      <c r="C643" s="31" t="n">
        <v>9137.1</v>
      </c>
      <c r="D643" s="31" t="n">
        <v>31321.7</v>
      </c>
      <c r="E643" s="31" t="n">
        <v>31321.7</v>
      </c>
      <c r="F643" s="31" t="n">
        <v>31335.6</v>
      </c>
      <c r="G643" s="31" t="n">
        <v>31364.9</v>
      </c>
      <c r="H643" s="31" t="n">
        <v>31381</v>
      </c>
      <c r="I643" s="31" t="n">
        <v>31422.8</v>
      </c>
      <c r="J643" s="31" t="n">
        <v>31457.1</v>
      </c>
      <c r="K643" s="31" t="n">
        <v>22320</v>
      </c>
      <c r="L643" s="31" t="n">
        <v>22184.6</v>
      </c>
      <c r="M643" s="30" t="inlineStr">
        <is>
          <t>AMR1</t>
        </is>
      </c>
      <c r="N643" s="30" t="inlineStr">
        <is>
          <t>AMR2</t>
        </is>
      </c>
      <c r="O643" s="32" t="n">
        <v>0</v>
      </c>
      <c r="P643" s="32" t="n">
        <v>0</v>
      </c>
      <c r="Q643" s="32" t="n">
        <v>21</v>
      </c>
      <c r="R643" s="31" t="n">
        <v>42.3</v>
      </c>
      <c r="S643" s="31" t="n">
        <v>42.3</v>
      </c>
      <c r="T643" s="30" t="inlineStr">
        <is>
          <t>AMR1</t>
        </is>
      </c>
      <c r="U643" s="31" t="n">
        <v>65.3</v>
      </c>
      <c r="V643" s="31" t="n">
        <v>65.3</v>
      </c>
      <c r="W643" s="30" t="inlineStr">
        <is>
          <t>AMR2</t>
        </is>
      </c>
      <c r="X643" s="32" t="n">
        <v>0</v>
      </c>
      <c r="Y643" s="32" t="n">
        <v>0</v>
      </c>
      <c r="Z643" s="31" t="n">
        <v>0</v>
      </c>
      <c r="AA643" s="32" t="n">
        <v>0</v>
      </c>
      <c r="AB643" s="32" t="n">
        <v>2</v>
      </c>
      <c r="AC643" s="32" t="n">
        <v>2</v>
      </c>
      <c r="AD643" s="32" t="n">
        <v>0</v>
      </c>
      <c r="AE643" s="31" t="n">
        <v>0</v>
      </c>
      <c r="AF643" s="32" t="n">
        <v>0</v>
      </c>
      <c r="AG643" s="31" t="n">
        <v>0</v>
      </c>
      <c r="AH643" s="32" t="n">
        <v>63</v>
      </c>
      <c r="AI643" s="31" t="n">
        <v>66.5</v>
      </c>
      <c r="AJ643" s="31" t="n">
        <v>45.5</v>
      </c>
      <c r="AK643" s="31" t="n">
        <v>7.3</v>
      </c>
      <c r="AL643" s="30" t="inlineStr">
        <is>
          <t>T-0792</t>
        </is>
      </c>
      <c r="AM643" s="30" t="inlineStr">
        <is>
          <t>A-05-03</t>
        </is>
      </c>
      <c r="AN643" s="30" t="inlineStr">
        <is>
          <t>T-0659</t>
        </is>
      </c>
      <c r="AO643" s="30" t="inlineStr">
        <is>
          <t>A-05-01</t>
        </is>
      </c>
    </row>
    <row r="644">
      <c r="A644" s="30" t="inlineStr">
        <is>
          <t>O0643</t>
        </is>
      </c>
      <c r="B644" s="30" t="inlineStr">
        <is>
          <t>H</t>
        </is>
      </c>
      <c r="C644" s="31" t="n">
        <v>9141.9</v>
      </c>
      <c r="D644" s="31" t="n">
        <v>31389.9</v>
      </c>
      <c r="E644" s="31" t="n">
        <v>31389.9</v>
      </c>
      <c r="F644" s="31" t="n">
        <v>31401.8</v>
      </c>
      <c r="G644" s="31" t="n">
        <v>31427.5</v>
      </c>
      <c r="H644" s="31" t="n">
        <v>31442</v>
      </c>
      <c r="I644" s="31" t="n">
        <v>31469.1</v>
      </c>
      <c r="J644" s="31" t="n">
        <v>31497.7</v>
      </c>
      <c r="K644" s="31" t="n">
        <v>22355.8</v>
      </c>
      <c r="L644" s="31" t="n">
        <v>22248</v>
      </c>
      <c r="M644" s="30" t="inlineStr">
        <is>
          <t>AMR1</t>
        </is>
      </c>
      <c r="N644" s="30" t="inlineStr">
        <is>
          <t>AMR1</t>
        </is>
      </c>
      <c r="O644" s="32" t="n">
        <v>0</v>
      </c>
      <c r="P644" s="32" t="n">
        <v>0</v>
      </c>
      <c r="Q644" s="32" t="n">
        <v>15</v>
      </c>
      <c r="R644" s="31" t="n">
        <v>35.9</v>
      </c>
      <c r="S644" s="31" t="n">
        <v>35.9</v>
      </c>
      <c r="T644" s="30" t="inlineStr">
        <is>
          <t>AMR1</t>
        </is>
      </c>
      <c r="U644" s="31" t="n">
        <v>55.8</v>
      </c>
      <c r="V644" s="31" t="n">
        <v>55.8</v>
      </c>
      <c r="W644" s="30" t="inlineStr">
        <is>
          <t>AMR1</t>
        </is>
      </c>
      <c r="X644" s="32" t="n">
        <v>0</v>
      </c>
      <c r="Y644" s="32" t="n">
        <v>0</v>
      </c>
      <c r="Z644" s="31" t="n">
        <v>0</v>
      </c>
      <c r="AA644" s="32" t="n">
        <v>0</v>
      </c>
      <c r="AB644" s="32" t="n">
        <v>0</v>
      </c>
      <c r="AC644" s="32" t="n">
        <v>0</v>
      </c>
      <c r="AD644" s="32" t="n">
        <v>0</v>
      </c>
      <c r="AE644" s="31" t="n">
        <v>0</v>
      </c>
      <c r="AF644" s="32" t="n">
        <v>0</v>
      </c>
      <c r="AG644" s="31" t="n">
        <v>0</v>
      </c>
      <c r="AH644" s="32" t="n">
        <v>44</v>
      </c>
      <c r="AI644" s="31" t="n">
        <v>46.9</v>
      </c>
      <c r="AJ644" s="31" t="n">
        <v>46.4</v>
      </c>
      <c r="AK644" s="31" t="n">
        <v>0</v>
      </c>
      <c r="AL644" s="30" t="inlineStr">
        <is>
          <t>T-0793</t>
        </is>
      </c>
      <c r="AM644" s="30" t="inlineStr">
        <is>
          <t>H-03-01</t>
        </is>
      </c>
      <c r="AN644" s="30" t="inlineStr">
        <is>
          <t>T-0666</t>
        </is>
      </c>
      <c r="AO644" s="30" t="inlineStr">
        <is>
          <t>H-03-02</t>
        </is>
      </c>
    </row>
    <row r="645">
      <c r="A645" s="30" t="inlineStr">
        <is>
          <t>O0644</t>
        </is>
      </c>
      <c r="B645" s="30" t="inlineStr">
        <is>
          <t>E</t>
        </is>
      </c>
      <c r="C645" s="31" t="n">
        <v>9145.4</v>
      </c>
      <c r="D645" s="31" t="n">
        <v>31464</v>
      </c>
      <c r="E645" s="31" t="n">
        <v>31464</v>
      </c>
      <c r="F645" s="31" t="n">
        <v>31477.5</v>
      </c>
      <c r="G645" s="31" t="n">
        <v>31509</v>
      </c>
      <c r="H645" s="31" t="n">
        <v>31521.4</v>
      </c>
      <c r="I645" s="31" t="n">
        <v>31548.4</v>
      </c>
      <c r="J645" s="31" t="n">
        <v>31602.3</v>
      </c>
      <c r="K645" s="31" t="n">
        <v>22456.9</v>
      </c>
      <c r="L645" s="31" t="n">
        <v>22318.6</v>
      </c>
      <c r="M645" s="30" t="inlineStr">
        <is>
          <t>AMR3</t>
        </is>
      </c>
      <c r="N645" s="30" t="inlineStr">
        <is>
          <t>AMR1</t>
        </is>
      </c>
      <c r="O645" s="32" t="n">
        <v>0</v>
      </c>
      <c r="P645" s="32" t="n">
        <v>0</v>
      </c>
      <c r="Q645" s="32" t="n">
        <v>19</v>
      </c>
      <c r="R645" s="31" t="n">
        <v>42.5</v>
      </c>
      <c r="S645" s="31" t="n">
        <v>42.5</v>
      </c>
      <c r="T645" s="30" t="inlineStr">
        <is>
          <t>AMR3</t>
        </is>
      </c>
      <c r="U645" s="31" t="n">
        <v>62.7</v>
      </c>
      <c r="V645" s="31" t="n">
        <v>62.7</v>
      </c>
      <c r="W645" s="30" t="inlineStr">
        <is>
          <t>AMR1</t>
        </is>
      </c>
      <c r="X645" s="32" t="n">
        <v>0</v>
      </c>
      <c r="Y645" s="32" t="n">
        <v>0</v>
      </c>
      <c r="Z645" s="31" t="n">
        <v>0</v>
      </c>
      <c r="AA645" s="32" t="n">
        <v>0</v>
      </c>
      <c r="AB645" s="32" t="n">
        <v>0</v>
      </c>
      <c r="AC645" s="32" t="n">
        <v>0</v>
      </c>
      <c r="AD645" s="32" t="n">
        <v>1</v>
      </c>
      <c r="AE645" s="31" t="n">
        <v>9.300000000000001</v>
      </c>
      <c r="AF645" s="32" t="n">
        <v>1</v>
      </c>
      <c r="AG645" s="31" t="n">
        <v>4.3</v>
      </c>
      <c r="AH645" s="32" t="n">
        <v>63</v>
      </c>
      <c r="AI645" s="31" t="n">
        <v>64.59999999999999</v>
      </c>
      <c r="AJ645" s="31" t="n">
        <v>47.7</v>
      </c>
      <c r="AK645" s="31" t="n">
        <v>13.6</v>
      </c>
      <c r="AL645" s="30" t="inlineStr">
        <is>
          <t>T-0794</t>
        </is>
      </c>
      <c r="AM645" s="30" t="inlineStr">
        <is>
          <t>E-04-02</t>
        </is>
      </c>
      <c r="AN645" s="30" t="inlineStr">
        <is>
          <t>T-0679</t>
        </is>
      </c>
      <c r="AO645" s="30" t="inlineStr">
        <is>
          <t>E-05-02</t>
        </is>
      </c>
    </row>
    <row r="646">
      <c r="A646" s="30" t="inlineStr">
        <is>
          <t>O0645</t>
        </is>
      </c>
      <c r="B646" s="30" t="inlineStr">
        <is>
          <t>D</t>
        </is>
      </c>
      <c r="C646" s="31" t="n">
        <v>9150.9</v>
      </c>
      <c r="D646" s="31" t="n">
        <v>31480.8</v>
      </c>
      <c r="E646" s="31" t="n">
        <v>31480.8</v>
      </c>
      <c r="F646" s="31" t="n">
        <v>31492.8</v>
      </c>
      <c r="G646" s="31" t="n">
        <v>31515.3</v>
      </c>
      <c r="H646" s="31" t="n">
        <v>31528.1</v>
      </c>
      <c r="I646" s="31" t="n">
        <v>31557.9</v>
      </c>
      <c r="J646" s="31" t="n">
        <v>31584.8</v>
      </c>
      <c r="K646" s="31" t="n">
        <v>22433.9</v>
      </c>
      <c r="L646" s="31" t="n">
        <v>22329.9</v>
      </c>
      <c r="M646" s="30" t="inlineStr">
        <is>
          <t>AMR2</t>
        </is>
      </c>
      <c r="N646" s="30" t="inlineStr">
        <is>
          <t>AMR2</t>
        </is>
      </c>
      <c r="O646" s="32" t="n">
        <v>0</v>
      </c>
      <c r="P646" s="32" t="n">
        <v>0</v>
      </c>
      <c r="Q646" s="32" t="n">
        <v>13</v>
      </c>
      <c r="R646" s="31" t="n">
        <v>33.6</v>
      </c>
      <c r="S646" s="31" t="n">
        <v>33.6</v>
      </c>
      <c r="T646" s="30" t="inlineStr">
        <is>
          <t>AMR2</t>
        </is>
      </c>
      <c r="U646" s="31" t="n">
        <v>52.5</v>
      </c>
      <c r="V646" s="31" t="n">
        <v>52.5</v>
      </c>
      <c r="W646" s="30" t="inlineStr">
        <is>
          <t>AMR2</t>
        </is>
      </c>
      <c r="X646" s="32" t="n">
        <v>0</v>
      </c>
      <c r="Y646" s="32" t="n">
        <v>0</v>
      </c>
      <c r="Z646" s="31" t="n">
        <v>0</v>
      </c>
      <c r="AA646" s="32" t="n">
        <v>0</v>
      </c>
      <c r="AB646" s="32" t="n">
        <v>1</v>
      </c>
      <c r="AC646" s="32" t="n">
        <v>1</v>
      </c>
      <c r="AD646" s="32" t="n">
        <v>0</v>
      </c>
      <c r="AE646" s="31" t="n">
        <v>0</v>
      </c>
      <c r="AF646" s="32" t="n">
        <v>0</v>
      </c>
      <c r="AG646" s="31" t="n">
        <v>0</v>
      </c>
      <c r="AH646" s="32" t="n">
        <v>39</v>
      </c>
      <c r="AI646" s="31" t="n">
        <v>43.4</v>
      </c>
      <c r="AJ646" s="31" t="n">
        <v>43.4</v>
      </c>
      <c r="AK646" s="31" t="n">
        <v>4.4</v>
      </c>
      <c r="AL646" s="30" t="inlineStr">
        <is>
          <t>T-0795</t>
        </is>
      </c>
      <c r="AM646" s="30" t="inlineStr">
        <is>
          <t>D-02-03</t>
        </is>
      </c>
      <c r="AN646" s="30" t="inlineStr">
        <is>
          <t>T-0536</t>
        </is>
      </c>
      <c r="AO646" s="30" t="inlineStr">
        <is>
          <t>D-01-01</t>
        </is>
      </c>
    </row>
    <row r="647">
      <c r="A647" s="30" t="inlineStr">
        <is>
          <t>O0646</t>
        </is>
      </c>
      <c r="B647" s="30" t="inlineStr">
        <is>
          <t>G</t>
        </is>
      </c>
      <c r="C647" s="31" t="n">
        <v>9154.5</v>
      </c>
      <c r="D647" s="31" t="n">
        <v>31537.4</v>
      </c>
      <c r="E647" s="31" t="n">
        <v>31537.4</v>
      </c>
      <c r="F647" s="31" t="n">
        <v>31551.8</v>
      </c>
      <c r="G647" s="31" t="n">
        <v>31581.2</v>
      </c>
      <c r="H647" s="31" t="n">
        <v>31598.7</v>
      </c>
      <c r="I647" s="31" t="n">
        <v>31623.7</v>
      </c>
      <c r="J647" s="31" t="n">
        <v>31650.5</v>
      </c>
      <c r="K647" s="31" t="n">
        <v>22496</v>
      </c>
      <c r="L647" s="31" t="n">
        <v>22382.9</v>
      </c>
      <c r="M647" s="30" t="inlineStr">
        <is>
          <t>AMR3</t>
        </is>
      </c>
      <c r="N647" s="30" t="inlineStr">
        <is>
          <t>AMR3</t>
        </is>
      </c>
      <c r="O647" s="32" t="n">
        <v>0</v>
      </c>
      <c r="P647" s="32" t="n">
        <v>0</v>
      </c>
      <c r="Q647" s="32" t="n">
        <v>17</v>
      </c>
      <c r="R647" s="31" t="n">
        <v>42.1</v>
      </c>
      <c r="S647" s="31" t="n">
        <v>42.1</v>
      </c>
      <c r="T647" s="30" t="inlineStr">
        <is>
          <t>AMR3</t>
        </is>
      </c>
      <c r="U647" s="31" t="n">
        <v>51.5</v>
      </c>
      <c r="V647" s="31" t="n">
        <v>51.5</v>
      </c>
      <c r="W647" s="30" t="inlineStr">
        <is>
          <t>AMR3</t>
        </is>
      </c>
      <c r="X647" s="32" t="n">
        <v>0</v>
      </c>
      <c r="Y647" s="32" t="n">
        <v>0</v>
      </c>
      <c r="Z647" s="31" t="n">
        <v>0</v>
      </c>
      <c r="AA647" s="32" t="n">
        <v>0</v>
      </c>
      <c r="AB647" s="32" t="n">
        <v>0</v>
      </c>
      <c r="AC647" s="32" t="n">
        <v>0</v>
      </c>
      <c r="AD647" s="32" t="n">
        <v>0</v>
      </c>
      <c r="AE647" s="31" t="n">
        <v>0</v>
      </c>
      <c r="AF647" s="32" t="n">
        <v>0</v>
      </c>
      <c r="AG647" s="31" t="n">
        <v>0</v>
      </c>
      <c r="AH647" s="32" t="n">
        <v>48</v>
      </c>
      <c r="AI647" s="31" t="n">
        <v>52.4</v>
      </c>
      <c r="AJ647" s="31" t="n">
        <v>43.2</v>
      </c>
      <c r="AK647" s="31" t="n">
        <v>0</v>
      </c>
      <c r="AL647" s="30" t="inlineStr">
        <is>
          <t>T-0796</t>
        </is>
      </c>
      <c r="AM647" s="30" t="inlineStr">
        <is>
          <t>G-03-01</t>
        </is>
      </c>
      <c r="AN647" s="30" t="inlineStr">
        <is>
          <t>T-0627</t>
        </is>
      </c>
      <c r="AO647" s="30" t="inlineStr">
        <is>
          <t>G-04-01</t>
        </is>
      </c>
    </row>
    <row r="648">
      <c r="A648" s="30" t="inlineStr">
        <is>
          <t>O0647</t>
        </is>
      </c>
      <c r="B648" s="30" t="inlineStr">
        <is>
          <t>I</t>
        </is>
      </c>
      <c r="C648" s="31" t="n">
        <v>9159.1</v>
      </c>
      <c r="D648" s="31" t="n">
        <v>31608.5</v>
      </c>
      <c r="E648" s="31" t="n">
        <v>31608.5</v>
      </c>
      <c r="F648" s="31" t="n">
        <v>31621</v>
      </c>
      <c r="G648" s="31" t="n">
        <v>31649.1</v>
      </c>
      <c r="H648" s="31" t="n">
        <v>31665.9</v>
      </c>
      <c r="I648" s="31" t="n">
        <v>31695.8</v>
      </c>
      <c r="J648" s="31" t="n">
        <v>31726.6</v>
      </c>
      <c r="K648" s="31" t="n">
        <v>22567.5</v>
      </c>
      <c r="L648" s="31" t="n">
        <v>22449.4</v>
      </c>
      <c r="M648" s="30" t="inlineStr">
        <is>
          <t>AMR2</t>
        </is>
      </c>
      <c r="N648" s="30" t="inlineStr">
        <is>
          <t>AMR2</t>
        </is>
      </c>
      <c r="O648" s="32" t="n">
        <v>0</v>
      </c>
      <c r="P648" s="32" t="n">
        <v>0</v>
      </c>
      <c r="Q648" s="32" t="n">
        <v>15</v>
      </c>
      <c r="R648" s="31" t="n">
        <v>38.1</v>
      </c>
      <c r="S648" s="31" t="n">
        <v>38.1</v>
      </c>
      <c r="T648" s="30" t="inlineStr">
        <is>
          <t>AMR2</t>
        </is>
      </c>
      <c r="U648" s="31" t="n">
        <v>52.8</v>
      </c>
      <c r="V648" s="31" t="n">
        <v>52.8</v>
      </c>
      <c r="W648" s="30" t="inlineStr">
        <is>
          <t>AMR2</t>
        </is>
      </c>
      <c r="X648" s="32" t="n">
        <v>0</v>
      </c>
      <c r="Y648" s="32" t="n">
        <v>0</v>
      </c>
      <c r="Z648" s="31" t="n">
        <v>0</v>
      </c>
      <c r="AA648" s="32" t="n">
        <v>0</v>
      </c>
      <c r="AB648" s="32" t="n">
        <v>1</v>
      </c>
      <c r="AC648" s="32" t="n">
        <v>1</v>
      </c>
      <c r="AD648" s="32" t="n">
        <v>0</v>
      </c>
      <c r="AE648" s="31" t="n">
        <v>0</v>
      </c>
      <c r="AF648" s="32" t="n">
        <v>0</v>
      </c>
      <c r="AG648" s="31" t="n">
        <v>0</v>
      </c>
      <c r="AH648" s="32" t="n">
        <v>47</v>
      </c>
      <c r="AI648" s="31" t="n">
        <v>51.6</v>
      </c>
      <c r="AJ648" s="31" t="n">
        <v>45.1</v>
      </c>
      <c r="AK648" s="31" t="n">
        <v>4.6</v>
      </c>
      <c r="AL648" s="30" t="inlineStr">
        <is>
          <t>T-0797</t>
        </is>
      </c>
      <c r="AM648" s="30" t="inlineStr">
        <is>
          <t>I-04-03</t>
        </is>
      </c>
      <c r="AN648" s="30" t="inlineStr">
        <is>
          <t>T-0607</t>
        </is>
      </c>
      <c r="AO648" s="30" t="inlineStr">
        <is>
          <t>I-04-01</t>
        </is>
      </c>
    </row>
    <row r="649">
      <c r="A649" s="30" t="inlineStr">
        <is>
          <t>O0648</t>
        </is>
      </c>
      <c r="B649" s="30" t="inlineStr">
        <is>
          <t>B</t>
        </is>
      </c>
      <c r="C649" s="31" t="n">
        <v>9165.4</v>
      </c>
      <c r="D649" s="31" t="n">
        <v>31626</v>
      </c>
      <c r="E649" s="31" t="n">
        <v>31626</v>
      </c>
      <c r="F649" s="31" t="n">
        <v>31638.6</v>
      </c>
      <c r="G649" s="31" t="n">
        <v>31661.2</v>
      </c>
      <c r="H649" s="31" t="n">
        <v>31676</v>
      </c>
      <c r="I649" s="31" t="n">
        <v>31698.5</v>
      </c>
      <c r="J649" s="31" t="n">
        <v>31740</v>
      </c>
      <c r="K649" s="31" t="n">
        <v>22574.6</v>
      </c>
      <c r="L649" s="31" t="n">
        <v>22460.6</v>
      </c>
      <c r="M649" s="30" t="inlineStr">
        <is>
          <t>AMR1</t>
        </is>
      </c>
      <c r="N649" s="30" t="inlineStr">
        <is>
          <t>AMR1</t>
        </is>
      </c>
      <c r="O649" s="32" t="n">
        <v>0</v>
      </c>
      <c r="P649" s="32" t="n">
        <v>0</v>
      </c>
      <c r="Q649" s="32" t="n">
        <v>15</v>
      </c>
      <c r="R649" s="31" t="n">
        <v>34.3</v>
      </c>
      <c r="S649" s="31" t="n">
        <v>34.3</v>
      </c>
      <c r="T649" s="30" t="inlineStr">
        <is>
          <t>AMR1</t>
        </is>
      </c>
      <c r="U649" s="31" t="n">
        <v>52</v>
      </c>
      <c r="V649" s="31" t="n">
        <v>52</v>
      </c>
      <c r="W649" s="30" t="inlineStr">
        <is>
          <t>AMR1</t>
        </is>
      </c>
      <c r="X649" s="32" t="n">
        <v>0</v>
      </c>
      <c r="Y649" s="32" t="n">
        <v>0</v>
      </c>
      <c r="Z649" s="31" t="n">
        <v>0</v>
      </c>
      <c r="AA649" s="32" t="n">
        <v>0</v>
      </c>
      <c r="AB649" s="32" t="n">
        <v>0</v>
      </c>
      <c r="AC649" s="32" t="n">
        <v>0</v>
      </c>
      <c r="AD649" s="32" t="n">
        <v>1</v>
      </c>
      <c r="AE649" s="31" t="n">
        <v>13.7</v>
      </c>
      <c r="AF649" s="32" t="n">
        <v>1</v>
      </c>
      <c r="AG649" s="31" t="n">
        <v>8.699999999999999</v>
      </c>
      <c r="AH649" s="32" t="n">
        <v>43</v>
      </c>
      <c r="AI649" s="31" t="n">
        <v>46.5</v>
      </c>
      <c r="AJ649" s="31" t="n">
        <v>39</v>
      </c>
      <c r="AK649" s="31" t="n">
        <v>13.7</v>
      </c>
      <c r="AL649" s="30" t="inlineStr">
        <is>
          <t>T-0798</t>
        </is>
      </c>
      <c r="AM649" s="30" t="inlineStr">
        <is>
          <t>B-05-02</t>
        </is>
      </c>
      <c r="AN649" s="30" t="inlineStr">
        <is>
          <t>T-0633</t>
        </is>
      </c>
      <c r="AO649" s="30" t="inlineStr">
        <is>
          <t>B-06-02</t>
        </is>
      </c>
    </row>
    <row r="650">
      <c r="A650" s="30" t="inlineStr">
        <is>
          <t>O0649</t>
        </is>
      </c>
      <c r="B650" s="30" t="inlineStr">
        <is>
          <t>A</t>
        </is>
      </c>
      <c r="C650" s="31" t="n">
        <v>9171.4</v>
      </c>
      <c r="D650" s="31" t="n">
        <v>31679.4</v>
      </c>
      <c r="E650" s="31" t="n">
        <v>31679.4</v>
      </c>
      <c r="F650" s="31" t="n">
        <v>31694.1</v>
      </c>
      <c r="G650" s="31" t="n">
        <v>31722.7</v>
      </c>
      <c r="H650" s="31" t="n">
        <v>31743.6</v>
      </c>
      <c r="I650" s="31" t="n">
        <v>31776.4</v>
      </c>
      <c r="J650" s="31" t="n">
        <v>31811</v>
      </c>
      <c r="K650" s="31" t="n">
        <v>22639.6</v>
      </c>
      <c r="L650" s="31" t="n">
        <v>22508</v>
      </c>
      <c r="M650" s="30" t="inlineStr">
        <is>
          <t>AMR3</t>
        </is>
      </c>
      <c r="N650" s="30" t="inlineStr">
        <is>
          <t>AMR3</t>
        </is>
      </c>
      <c r="O650" s="32" t="n">
        <v>0</v>
      </c>
      <c r="P650" s="32" t="n">
        <v>0</v>
      </c>
      <c r="Q650" s="32" t="n">
        <v>21</v>
      </c>
      <c r="R650" s="31" t="n">
        <v>41.6</v>
      </c>
      <c r="S650" s="31" t="n">
        <v>41.6</v>
      </c>
      <c r="T650" s="30" t="inlineStr">
        <is>
          <t>AMR3</t>
        </is>
      </c>
      <c r="U650" s="31" t="n">
        <v>64.09999999999999</v>
      </c>
      <c r="V650" s="31" t="n">
        <v>64.09999999999999</v>
      </c>
      <c r="W650" s="30" t="inlineStr">
        <is>
          <t>AMR3</t>
        </is>
      </c>
      <c r="X650" s="32" t="n">
        <v>0</v>
      </c>
      <c r="Y650" s="32" t="n">
        <v>0</v>
      </c>
      <c r="Z650" s="31" t="n">
        <v>0</v>
      </c>
      <c r="AA650" s="32" t="n">
        <v>0</v>
      </c>
      <c r="AB650" s="32" t="n">
        <v>1</v>
      </c>
      <c r="AC650" s="32" t="n">
        <v>0</v>
      </c>
      <c r="AD650" s="32" t="n">
        <v>0</v>
      </c>
      <c r="AE650" s="31" t="n">
        <v>0</v>
      </c>
      <c r="AF650" s="32" t="n">
        <v>0</v>
      </c>
      <c r="AG650" s="31" t="n">
        <v>0</v>
      </c>
      <c r="AH650" s="32" t="n">
        <v>68</v>
      </c>
      <c r="AI650" s="31" t="n">
        <v>67.09999999999999</v>
      </c>
      <c r="AJ650" s="31" t="n">
        <v>43.6</v>
      </c>
      <c r="AK650" s="31" t="n">
        <v>0</v>
      </c>
      <c r="AL650" s="30" t="inlineStr">
        <is>
          <t>T-0799</t>
        </is>
      </c>
      <c r="AM650" s="30" t="inlineStr">
        <is>
          <t>A-03-01</t>
        </is>
      </c>
      <c r="AN650" s="30" t="inlineStr">
        <is>
          <t>T-0663</t>
        </is>
      </c>
      <c r="AO650" s="30" t="inlineStr">
        <is>
          <t>A-01-02</t>
        </is>
      </c>
    </row>
    <row r="651">
      <c r="A651" s="30" t="inlineStr">
        <is>
          <t>O0650</t>
        </is>
      </c>
      <c r="B651" s="30" t="inlineStr">
        <is>
          <t>C</t>
        </is>
      </c>
      <c r="C651" s="31" t="n">
        <v>9176.5</v>
      </c>
      <c r="D651" s="31" t="n">
        <v>31750.3</v>
      </c>
      <c r="E651" s="31" t="n">
        <v>31750.3</v>
      </c>
      <c r="F651" s="31" t="n">
        <v>31763.9</v>
      </c>
      <c r="G651" s="31" t="n">
        <v>31785.5</v>
      </c>
      <c r="H651" s="31" t="n">
        <v>31798</v>
      </c>
      <c r="I651" s="31" t="n">
        <v>31818.3</v>
      </c>
      <c r="J651" s="31" t="n">
        <v>31844.3</v>
      </c>
      <c r="K651" s="31" t="n">
        <v>22667.8</v>
      </c>
      <c r="L651" s="31" t="n">
        <v>22573.8</v>
      </c>
      <c r="M651" s="30" t="inlineStr">
        <is>
          <t>AMR2</t>
        </is>
      </c>
      <c r="N651" s="30" t="inlineStr">
        <is>
          <t>AMR2</t>
        </is>
      </c>
      <c r="O651" s="32" t="n">
        <v>0</v>
      </c>
      <c r="P651" s="32" t="n">
        <v>0</v>
      </c>
      <c r="Q651" s="32" t="n">
        <v>13</v>
      </c>
      <c r="R651" s="31" t="n">
        <v>33.5</v>
      </c>
      <c r="S651" s="31" t="n">
        <v>33.5</v>
      </c>
      <c r="T651" s="30" t="inlineStr">
        <is>
          <t>AMR2</t>
        </is>
      </c>
      <c r="U651" s="31" t="n">
        <v>48</v>
      </c>
      <c r="V651" s="31" t="n">
        <v>48</v>
      </c>
      <c r="W651" s="30" t="inlineStr">
        <is>
          <t>AMR2</t>
        </is>
      </c>
      <c r="X651" s="32" t="n">
        <v>0</v>
      </c>
      <c r="Y651" s="32" t="n">
        <v>0</v>
      </c>
      <c r="Z651" s="31" t="n">
        <v>0</v>
      </c>
      <c r="AA651" s="32" t="n">
        <v>0</v>
      </c>
      <c r="AB651" s="32" t="n">
        <v>0</v>
      </c>
      <c r="AC651" s="32" t="n">
        <v>0</v>
      </c>
      <c r="AD651" s="32" t="n">
        <v>0</v>
      </c>
      <c r="AE651" s="31" t="n">
        <v>0</v>
      </c>
      <c r="AF651" s="32" t="n">
        <v>0</v>
      </c>
      <c r="AG651" s="31" t="n">
        <v>0</v>
      </c>
      <c r="AH651" s="32" t="n">
        <v>38</v>
      </c>
      <c r="AI651" s="31" t="n">
        <v>42.2</v>
      </c>
      <c r="AJ651" s="31" t="n">
        <v>39.3</v>
      </c>
      <c r="AK651" s="31" t="n">
        <v>0</v>
      </c>
      <c r="AL651" s="30" t="inlineStr">
        <is>
          <t>T-0800</t>
        </is>
      </c>
      <c r="AM651" s="30" t="inlineStr">
        <is>
          <t>C-03-01</t>
        </is>
      </c>
      <c r="AN651" s="30" t="inlineStr">
        <is>
          <t>T-0639</t>
        </is>
      </c>
      <c r="AO651" s="30" t="inlineStr">
        <is>
          <t>C-06-01</t>
        </is>
      </c>
    </row>
    <row r="652">
      <c r="A652" s="30" t="inlineStr">
        <is>
          <t>O0651</t>
        </is>
      </c>
      <c r="B652" s="30" t="inlineStr">
        <is>
          <t>B</t>
        </is>
      </c>
      <c r="C652" s="31" t="n">
        <v>9182.799999999999</v>
      </c>
      <c r="D652" s="31" t="n">
        <v>31763.7</v>
      </c>
      <c r="E652" s="31" t="n">
        <v>31763.7</v>
      </c>
      <c r="F652" s="31" t="n">
        <v>31776.8</v>
      </c>
      <c r="G652" s="31" t="n">
        <v>31801.9</v>
      </c>
      <c r="H652" s="31" t="n">
        <v>31815.4</v>
      </c>
      <c r="I652" s="31" t="n">
        <v>31841.6</v>
      </c>
      <c r="J652" s="31" t="n">
        <v>31869.9</v>
      </c>
      <c r="K652" s="31" t="n">
        <v>22687.1</v>
      </c>
      <c r="L652" s="31" t="n">
        <v>22580.9</v>
      </c>
      <c r="M652" s="30" t="inlineStr">
        <is>
          <t>AMR1</t>
        </is>
      </c>
      <c r="N652" s="30" t="inlineStr">
        <is>
          <t>AMR1</t>
        </is>
      </c>
      <c r="O652" s="32" t="n">
        <v>0</v>
      </c>
      <c r="P652" s="32" t="n">
        <v>0</v>
      </c>
      <c r="Q652" s="32" t="n">
        <v>15</v>
      </c>
      <c r="R652" s="31" t="n">
        <v>34.8</v>
      </c>
      <c r="S652" s="31" t="n">
        <v>34.8</v>
      </c>
      <c r="T652" s="30" t="inlineStr">
        <is>
          <t>AMR1</t>
        </is>
      </c>
      <c r="U652" s="31" t="n">
        <v>52.7</v>
      </c>
      <c r="V652" s="31" t="n">
        <v>52.7</v>
      </c>
      <c r="W652" s="30" t="inlineStr">
        <is>
          <t>AMR1</t>
        </is>
      </c>
      <c r="X652" s="32" t="n">
        <v>0</v>
      </c>
      <c r="Y652" s="32" t="n">
        <v>0</v>
      </c>
      <c r="Z652" s="31" t="n">
        <v>0</v>
      </c>
      <c r="AA652" s="32" t="n">
        <v>0</v>
      </c>
      <c r="AB652" s="32" t="n">
        <v>1</v>
      </c>
      <c r="AC652" s="32" t="n">
        <v>0</v>
      </c>
      <c r="AD652" s="32" t="n">
        <v>1</v>
      </c>
      <c r="AE652" s="31" t="n">
        <v>3.3</v>
      </c>
      <c r="AF652" s="32" t="n">
        <v>0</v>
      </c>
      <c r="AG652" s="31" t="n">
        <v>0</v>
      </c>
      <c r="AH652" s="32" t="n">
        <v>46</v>
      </c>
      <c r="AI652" s="31" t="n">
        <v>49.2</v>
      </c>
      <c r="AJ652" s="31" t="n">
        <v>40.2</v>
      </c>
      <c r="AK652" s="31" t="n">
        <v>3.3</v>
      </c>
      <c r="AL652" s="30" t="inlineStr">
        <is>
          <t>T-0801</t>
        </is>
      </c>
      <c r="AM652" s="30" t="inlineStr">
        <is>
          <t>B-06-02</t>
        </is>
      </c>
      <c r="AN652" s="30" t="inlineStr">
        <is>
          <t>T-0650</t>
        </is>
      </c>
      <c r="AO652" s="30" t="inlineStr">
        <is>
          <t>B-03-01</t>
        </is>
      </c>
    </row>
    <row r="653">
      <c r="A653" s="30" t="inlineStr">
        <is>
          <t>O0652</t>
        </is>
      </c>
      <c r="B653" s="30" t="inlineStr">
        <is>
          <t>I</t>
        </is>
      </c>
      <c r="C653" s="31" t="n">
        <v>9188</v>
      </c>
      <c r="D653" s="31" t="n">
        <v>31834.7</v>
      </c>
      <c r="E653" s="31" t="n">
        <v>31834.7</v>
      </c>
      <c r="F653" s="31" t="n">
        <v>31848</v>
      </c>
      <c r="G653" s="31" t="n">
        <v>31880.6</v>
      </c>
      <c r="H653" s="31" t="n">
        <v>31893.6</v>
      </c>
      <c r="I653" s="31" t="n">
        <v>31923.8</v>
      </c>
      <c r="J653" s="31" t="n">
        <v>31952.3</v>
      </c>
      <c r="K653" s="31" t="n">
        <v>22764.3</v>
      </c>
      <c r="L653" s="31" t="n">
        <v>22646.7</v>
      </c>
      <c r="M653" s="30" t="inlineStr">
        <is>
          <t>AMR3</t>
        </is>
      </c>
      <c r="N653" s="30" t="inlineStr">
        <is>
          <t>AMR1</t>
        </is>
      </c>
      <c r="O653" s="32" t="n">
        <v>0</v>
      </c>
      <c r="P653" s="32" t="n">
        <v>0</v>
      </c>
      <c r="Q653" s="32" t="n">
        <v>15</v>
      </c>
      <c r="R653" s="31" t="n">
        <v>38.1</v>
      </c>
      <c r="S653" s="31" t="n">
        <v>38.1</v>
      </c>
      <c r="T653" s="30" t="inlineStr">
        <is>
          <t>AMR3</t>
        </is>
      </c>
      <c r="U653" s="31" t="n">
        <v>50.1</v>
      </c>
      <c r="V653" s="31" t="n">
        <v>50.1</v>
      </c>
      <c r="W653" s="30" t="inlineStr">
        <is>
          <t>AMR1</t>
        </is>
      </c>
      <c r="X653" s="32" t="n">
        <v>0</v>
      </c>
      <c r="Y653" s="32" t="n">
        <v>0</v>
      </c>
      <c r="Z653" s="31" t="n">
        <v>0</v>
      </c>
      <c r="AA653" s="32" t="n">
        <v>0</v>
      </c>
      <c r="AB653" s="32" t="n">
        <v>2</v>
      </c>
      <c r="AC653" s="32" t="n">
        <v>2</v>
      </c>
      <c r="AD653" s="32" t="n">
        <v>0</v>
      </c>
      <c r="AE653" s="31" t="n">
        <v>0</v>
      </c>
      <c r="AF653" s="32" t="n">
        <v>2</v>
      </c>
      <c r="AG653" s="31" t="n">
        <v>0.6</v>
      </c>
      <c r="AH653" s="32" t="n">
        <v>47</v>
      </c>
      <c r="AI653" s="31" t="n">
        <v>51.6</v>
      </c>
      <c r="AJ653" s="31" t="n">
        <v>42.4</v>
      </c>
      <c r="AK653" s="31" t="n">
        <v>10.6</v>
      </c>
      <c r="AL653" s="30" t="inlineStr">
        <is>
          <t>T-0802</t>
        </is>
      </c>
      <c r="AM653" s="30" t="inlineStr">
        <is>
          <t>I-04-01</t>
        </is>
      </c>
      <c r="AN653" s="30" t="inlineStr">
        <is>
          <t>T-0624</t>
        </is>
      </c>
      <c r="AO653" s="30" t="inlineStr">
        <is>
          <t>I-05-01</t>
        </is>
      </c>
    </row>
    <row r="654">
      <c r="A654" s="30" t="inlineStr">
        <is>
          <t>O0653</t>
        </is>
      </c>
      <c r="B654" s="30" t="inlineStr">
        <is>
          <t>F</t>
        </is>
      </c>
      <c r="C654" s="31" t="n">
        <v>9193.700000000001</v>
      </c>
      <c r="D654" s="31" t="n">
        <v>31872.4</v>
      </c>
      <c r="E654" s="31" t="n">
        <v>31872.4</v>
      </c>
      <c r="F654" s="31" t="n">
        <v>31883.7</v>
      </c>
      <c r="G654" s="31" t="n">
        <v>31916.9</v>
      </c>
      <c r="H654" s="31" t="n">
        <v>31939.8</v>
      </c>
      <c r="I654" s="31" t="n">
        <v>31973.3</v>
      </c>
      <c r="J654" s="31" t="n">
        <v>32021.3</v>
      </c>
      <c r="K654" s="31" t="n">
        <v>22827.6</v>
      </c>
      <c r="L654" s="31" t="n">
        <v>22678.7</v>
      </c>
      <c r="M654" s="30" t="inlineStr">
        <is>
          <t>AMR2</t>
        </is>
      </c>
      <c r="N654" s="30" t="inlineStr">
        <is>
          <t>AMR2</t>
        </is>
      </c>
      <c r="O654" s="32" t="n">
        <v>0</v>
      </c>
      <c r="P654" s="32" t="n">
        <v>0</v>
      </c>
      <c r="Q654" s="32" t="n">
        <v>23</v>
      </c>
      <c r="R654" s="31" t="n">
        <v>42.8</v>
      </c>
      <c r="S654" s="31" t="n">
        <v>42.8</v>
      </c>
      <c r="T654" s="30" t="inlineStr">
        <is>
          <t>AMR2</t>
        </is>
      </c>
      <c r="U654" s="31" t="n">
        <v>68.5</v>
      </c>
      <c r="V654" s="31" t="n">
        <v>68.5</v>
      </c>
      <c r="W654" s="30" t="inlineStr">
        <is>
          <t>AMR2</t>
        </is>
      </c>
      <c r="X654" s="32" t="n">
        <v>0</v>
      </c>
      <c r="Y654" s="32" t="n">
        <v>0</v>
      </c>
      <c r="Z654" s="31" t="n">
        <v>0</v>
      </c>
      <c r="AA654" s="32" t="n">
        <v>0</v>
      </c>
      <c r="AB654" s="32" t="n">
        <v>1</v>
      </c>
      <c r="AC654" s="32" t="n">
        <v>0</v>
      </c>
      <c r="AD654" s="32" t="n">
        <v>1</v>
      </c>
      <c r="AE654" s="31" t="n">
        <v>10.2</v>
      </c>
      <c r="AF654" s="32" t="n">
        <v>1</v>
      </c>
      <c r="AG654" s="31" t="n">
        <v>5.2</v>
      </c>
      <c r="AH654" s="32" t="n">
        <v>66</v>
      </c>
      <c r="AI654" s="31" t="n">
        <v>67.2</v>
      </c>
      <c r="AJ654" s="31" t="n">
        <v>46.1</v>
      </c>
      <c r="AK654" s="31" t="n">
        <v>12.7</v>
      </c>
      <c r="AL654" s="30" t="inlineStr">
        <is>
          <t>T-0803</t>
        </is>
      </c>
      <c r="AM654" s="30" t="inlineStr">
        <is>
          <t>F-03-01</t>
        </is>
      </c>
      <c r="AN654" s="30" t="inlineStr">
        <is>
          <t>T-0677</t>
        </is>
      </c>
      <c r="AO654" s="30" t="inlineStr">
        <is>
          <t>F-04-03</t>
        </is>
      </c>
    </row>
    <row r="655">
      <c r="A655" s="30" t="inlineStr">
        <is>
          <t>O0654</t>
        </is>
      </c>
      <c r="B655" s="30" t="inlineStr">
        <is>
          <t>C</t>
        </is>
      </c>
      <c r="C655" s="31" t="n">
        <v>9200.299999999999</v>
      </c>
      <c r="D655" s="31" t="n">
        <v>31903.8</v>
      </c>
      <c r="E655" s="31" t="n">
        <v>31903.8</v>
      </c>
      <c r="F655" s="31" t="n">
        <v>31919.6</v>
      </c>
      <c r="G655" s="31" t="n">
        <v>31943.9</v>
      </c>
      <c r="H655" s="31" t="n">
        <v>31955.4</v>
      </c>
      <c r="I655" s="31" t="n">
        <v>31978.1</v>
      </c>
      <c r="J655" s="31" t="n">
        <v>32005.4</v>
      </c>
      <c r="K655" s="31" t="n">
        <v>22805.1</v>
      </c>
      <c r="L655" s="31" t="n">
        <v>22703.5</v>
      </c>
      <c r="M655" s="30" t="inlineStr">
        <is>
          <t>AMR3</t>
        </is>
      </c>
      <c r="N655" s="30" t="inlineStr">
        <is>
          <t>AMR3</t>
        </is>
      </c>
      <c r="O655" s="32" t="n">
        <v>0</v>
      </c>
      <c r="P655" s="32" t="n">
        <v>0</v>
      </c>
      <c r="Q655" s="32" t="n">
        <v>13</v>
      </c>
      <c r="R655" s="31" t="n">
        <v>40</v>
      </c>
      <c r="S655" s="31" t="n">
        <v>40</v>
      </c>
      <c r="T655" s="30" t="inlineStr">
        <is>
          <t>AMR3</t>
        </is>
      </c>
      <c r="U655" s="31" t="n">
        <v>51.2</v>
      </c>
      <c r="V655" s="31" t="n">
        <v>51.2</v>
      </c>
      <c r="W655" s="30" t="inlineStr">
        <is>
          <t>AMR3</t>
        </is>
      </c>
      <c r="X655" s="32" t="n">
        <v>0</v>
      </c>
      <c r="Y655" s="32" t="n">
        <v>0</v>
      </c>
      <c r="Z655" s="31" t="n">
        <v>0</v>
      </c>
      <c r="AA655" s="32" t="n">
        <v>0</v>
      </c>
      <c r="AB655" s="32" t="n">
        <v>1</v>
      </c>
      <c r="AC655" s="32" t="n">
        <v>0</v>
      </c>
      <c r="AD655" s="32" t="n">
        <v>0</v>
      </c>
      <c r="AE655" s="31" t="n">
        <v>0</v>
      </c>
      <c r="AF655" s="32" t="n">
        <v>0</v>
      </c>
      <c r="AG655" s="31" t="n">
        <v>0</v>
      </c>
      <c r="AH655" s="32" t="n">
        <v>38</v>
      </c>
      <c r="AI655" s="31" t="n">
        <v>41.1</v>
      </c>
      <c r="AJ655" s="31" t="n">
        <v>49</v>
      </c>
      <c r="AK655" s="31" t="n">
        <v>0</v>
      </c>
      <c r="AL655" s="30" t="inlineStr">
        <is>
          <t>T-0804</t>
        </is>
      </c>
      <c r="AM655" s="30" t="inlineStr">
        <is>
          <t>C-06-01</t>
        </is>
      </c>
      <c r="AN655" s="30" t="inlineStr">
        <is>
          <t>T-0648</t>
        </is>
      </c>
      <c r="AO655" s="30" t="inlineStr">
        <is>
          <t>C-01-02</t>
        </is>
      </c>
    </row>
    <row r="656">
      <c r="A656" s="30" t="inlineStr">
        <is>
          <t>O0655</t>
        </is>
      </c>
      <c r="B656" s="30" t="inlineStr">
        <is>
          <t>C</t>
        </is>
      </c>
      <c r="C656" s="31" t="n">
        <v>9203.799999999999</v>
      </c>
      <c r="D656" s="31" t="n">
        <v>31976</v>
      </c>
      <c r="E656" s="31" t="n">
        <v>31976</v>
      </c>
      <c r="F656" s="31" t="n">
        <v>31991.5</v>
      </c>
      <c r="G656" s="31" t="n">
        <v>32013.2</v>
      </c>
      <c r="H656" s="31" t="n">
        <v>32025.4</v>
      </c>
      <c r="I656" s="31" t="n">
        <v>32046.2</v>
      </c>
      <c r="J656" s="31" t="n">
        <v>32075.8</v>
      </c>
      <c r="K656" s="31" t="n">
        <v>22872</v>
      </c>
      <c r="L656" s="31" t="n">
        <v>22772.2</v>
      </c>
      <c r="M656" s="30" t="inlineStr">
        <is>
          <t>AMR1</t>
        </is>
      </c>
      <c r="N656" s="30" t="inlineStr">
        <is>
          <t>AMR1</t>
        </is>
      </c>
      <c r="O656" s="32" t="n">
        <v>0</v>
      </c>
      <c r="P656" s="32" t="n">
        <v>0</v>
      </c>
      <c r="Q656" s="32" t="n">
        <v>13</v>
      </c>
      <c r="R656" s="31" t="n">
        <v>36.3</v>
      </c>
      <c r="S656" s="31" t="n">
        <v>36.3</v>
      </c>
      <c r="T656" s="30" t="inlineStr">
        <is>
          <t>AMR1</t>
        </is>
      </c>
      <c r="U656" s="31" t="n">
        <v>50.6</v>
      </c>
      <c r="V656" s="31" t="n">
        <v>50.6</v>
      </c>
      <c r="W656" s="30" t="inlineStr">
        <is>
          <t>AMR1</t>
        </is>
      </c>
      <c r="X656" s="32" t="n">
        <v>0</v>
      </c>
      <c r="Y656" s="32" t="n">
        <v>0</v>
      </c>
      <c r="Z656" s="31" t="n">
        <v>0</v>
      </c>
      <c r="AA656" s="32" t="n">
        <v>0</v>
      </c>
      <c r="AB656" s="32" t="n">
        <v>0</v>
      </c>
      <c r="AC656" s="32" t="n">
        <v>0</v>
      </c>
      <c r="AD656" s="32" t="n">
        <v>0</v>
      </c>
      <c r="AE656" s="31" t="n">
        <v>0</v>
      </c>
      <c r="AF656" s="32" t="n">
        <v>0</v>
      </c>
      <c r="AG656" s="31" t="n">
        <v>0</v>
      </c>
      <c r="AH656" s="32" t="n">
        <v>39</v>
      </c>
      <c r="AI656" s="31" t="n">
        <v>42.9</v>
      </c>
      <c r="AJ656" s="31" t="n">
        <v>44.7</v>
      </c>
      <c r="AK656" s="31" t="n">
        <v>0</v>
      </c>
      <c r="AL656" s="30" t="inlineStr">
        <is>
          <t>T-0805</t>
        </is>
      </c>
      <c r="AM656" s="30" t="inlineStr">
        <is>
          <t>C-01-02</t>
        </is>
      </c>
      <c r="AN656" s="30" t="inlineStr">
        <is>
          <t>T-0652</t>
        </is>
      </c>
      <c r="AO656" s="30" t="inlineStr">
        <is>
          <t>C-02-02</t>
        </is>
      </c>
    </row>
    <row r="657">
      <c r="A657" s="30" t="inlineStr">
        <is>
          <t>O0656</t>
        </is>
      </c>
      <c r="B657" s="30" t="inlineStr">
        <is>
          <t>J</t>
        </is>
      </c>
      <c r="C657" s="31" t="n">
        <v>9208.6</v>
      </c>
      <c r="D657" s="31" t="n">
        <v>32029.1</v>
      </c>
      <c r="E657" s="31" t="n">
        <v>32029.1</v>
      </c>
      <c r="F657" s="31" t="n">
        <v>32042.6</v>
      </c>
      <c r="G657" s="31" t="n">
        <v>32073.2</v>
      </c>
      <c r="H657" s="31" t="n">
        <v>32093.4</v>
      </c>
      <c r="I657" s="31" t="n">
        <v>32136.7</v>
      </c>
      <c r="J657" s="31" t="n">
        <v>32180.9</v>
      </c>
      <c r="K657" s="31" t="n">
        <v>22972.3</v>
      </c>
      <c r="L657" s="31" t="n">
        <v>22820.5</v>
      </c>
      <c r="M657" s="30" t="inlineStr">
        <is>
          <t>AMR3</t>
        </is>
      </c>
      <c r="N657" s="30" t="inlineStr">
        <is>
          <t>AMR3</t>
        </is>
      </c>
      <c r="O657" s="32" t="n">
        <v>0</v>
      </c>
      <c r="P657" s="32" t="n">
        <v>0</v>
      </c>
      <c r="Q657" s="32" t="n">
        <v>21</v>
      </c>
      <c r="R657" s="31" t="n">
        <v>43.2</v>
      </c>
      <c r="S657" s="31" t="n">
        <v>43.2</v>
      </c>
      <c r="T657" s="30" t="inlineStr">
        <is>
          <t>AMR3</t>
        </is>
      </c>
      <c r="U657" s="31" t="n">
        <v>61.4</v>
      </c>
      <c r="V657" s="31" t="n">
        <v>61.4</v>
      </c>
      <c r="W657" s="30" t="inlineStr">
        <is>
          <t>AMR3</t>
        </is>
      </c>
      <c r="X657" s="32" t="n">
        <v>0</v>
      </c>
      <c r="Y657" s="32" t="n">
        <v>0</v>
      </c>
      <c r="Z657" s="31" t="n">
        <v>0</v>
      </c>
      <c r="AA657" s="32" t="n">
        <v>0</v>
      </c>
      <c r="AB657" s="32" t="n">
        <v>3</v>
      </c>
      <c r="AC657" s="32" t="n">
        <v>2</v>
      </c>
      <c r="AD657" s="32" t="n">
        <v>2</v>
      </c>
      <c r="AE657" s="31" t="n">
        <v>9.5</v>
      </c>
      <c r="AF657" s="32" t="n">
        <v>1</v>
      </c>
      <c r="AG657" s="31" t="n">
        <v>3.3</v>
      </c>
      <c r="AH657" s="32" t="n">
        <v>63</v>
      </c>
      <c r="AI657" s="31" t="n">
        <v>66.40000000000001</v>
      </c>
      <c r="AJ657" s="31" t="n">
        <v>44</v>
      </c>
      <c r="AK657" s="31" t="n">
        <v>21.2</v>
      </c>
      <c r="AL657" s="30" t="inlineStr">
        <is>
          <t>T-0806</t>
        </is>
      </c>
      <c r="AM657" s="30" t="inlineStr">
        <is>
          <t>J-01-03</t>
        </is>
      </c>
      <c r="AN657" s="30" t="inlineStr">
        <is>
          <t>T-0673</t>
        </is>
      </c>
      <c r="AO657" s="30" t="inlineStr">
        <is>
          <t>J-04-03</t>
        </is>
      </c>
    </row>
    <row r="658">
      <c r="A658" s="30" t="inlineStr">
        <is>
          <t>O0657</t>
        </is>
      </c>
      <c r="B658" s="30" t="inlineStr">
        <is>
          <t>J</t>
        </is>
      </c>
      <c r="C658" s="31" t="n">
        <v>9213.200000000001</v>
      </c>
      <c r="D658" s="31" t="n">
        <v>32045</v>
      </c>
      <c r="E658" s="31" t="n">
        <v>32045</v>
      </c>
      <c r="F658" s="31" t="n">
        <v>32060.9</v>
      </c>
      <c r="G658" s="31" t="n">
        <v>32090.4</v>
      </c>
      <c r="H658" s="31" t="n">
        <v>32104.7</v>
      </c>
      <c r="I658" s="31" t="n">
        <v>32139.5</v>
      </c>
      <c r="J658" s="31" t="n">
        <v>32169.4</v>
      </c>
      <c r="K658" s="31" t="n">
        <v>22956.2</v>
      </c>
      <c r="L658" s="31" t="n">
        <v>22831.8</v>
      </c>
      <c r="M658" s="30" t="inlineStr">
        <is>
          <t>AMR2</t>
        </is>
      </c>
      <c r="N658" s="30" t="inlineStr">
        <is>
          <t>AMR1</t>
        </is>
      </c>
      <c r="O658" s="32" t="n">
        <v>0</v>
      </c>
      <c r="P658" s="32" t="n">
        <v>0</v>
      </c>
      <c r="Q658" s="32" t="n">
        <v>21</v>
      </c>
      <c r="R658" s="31" t="n">
        <v>44.5</v>
      </c>
      <c r="S658" s="31" t="n">
        <v>44.5</v>
      </c>
      <c r="T658" s="30" t="inlineStr">
        <is>
          <t>AMR2</t>
        </is>
      </c>
      <c r="U658" s="31" t="n">
        <v>63</v>
      </c>
      <c r="V658" s="31" t="n">
        <v>63</v>
      </c>
      <c r="W658" s="30" t="inlineStr">
        <is>
          <t>AMR1</t>
        </is>
      </c>
      <c r="X658" s="32" t="n">
        <v>0</v>
      </c>
      <c r="Y658" s="32" t="n">
        <v>0</v>
      </c>
      <c r="Z658" s="31" t="n">
        <v>0</v>
      </c>
      <c r="AA658" s="32" t="n">
        <v>0</v>
      </c>
      <c r="AB658" s="32" t="n">
        <v>1</v>
      </c>
      <c r="AC658" s="32" t="n">
        <v>0</v>
      </c>
      <c r="AD658" s="32" t="n">
        <v>0</v>
      </c>
      <c r="AE658" s="31" t="n">
        <v>0</v>
      </c>
      <c r="AF658" s="32" t="n">
        <v>0</v>
      </c>
      <c r="AG658" s="31" t="n">
        <v>0</v>
      </c>
      <c r="AH658" s="32" t="n">
        <v>59</v>
      </c>
      <c r="AI658" s="31" t="n">
        <v>61.3</v>
      </c>
      <c r="AJ658" s="31" t="n">
        <v>46.9</v>
      </c>
      <c r="AK658" s="31" t="n">
        <v>1.9</v>
      </c>
      <c r="AL658" s="30" t="inlineStr">
        <is>
          <t>T-0807</t>
        </is>
      </c>
      <c r="AM658" s="30" t="inlineStr">
        <is>
          <t>J-02-03</t>
        </is>
      </c>
      <c r="AN658" s="30" t="inlineStr">
        <is>
          <t>T-0700</t>
        </is>
      </c>
      <c r="AO658" s="30" t="inlineStr">
        <is>
          <t>J-01-01</t>
        </is>
      </c>
    </row>
    <row r="659">
      <c r="A659" s="30" t="inlineStr">
        <is>
          <t>O0658</t>
        </is>
      </c>
      <c r="B659" s="30" t="inlineStr">
        <is>
          <t>H</t>
        </is>
      </c>
      <c r="C659" s="31" t="n">
        <v>9218.5</v>
      </c>
      <c r="D659" s="31" t="n">
        <v>32118</v>
      </c>
      <c r="E659" s="31" t="n">
        <v>32118</v>
      </c>
      <c r="F659" s="31" t="n">
        <v>32130.5</v>
      </c>
      <c r="G659" s="31" t="n">
        <v>32157.1</v>
      </c>
      <c r="H659" s="31" t="n">
        <v>32171.6</v>
      </c>
      <c r="I659" s="31" t="n">
        <v>32199.5</v>
      </c>
      <c r="J659" s="31" t="n">
        <v>32226.6</v>
      </c>
      <c r="K659" s="31" t="n">
        <v>23008.1</v>
      </c>
      <c r="L659" s="31" t="n">
        <v>22899.5</v>
      </c>
      <c r="M659" s="30" t="inlineStr">
        <is>
          <t>AMR2</t>
        </is>
      </c>
      <c r="N659" s="30" t="inlineStr">
        <is>
          <t>AMR2</t>
        </is>
      </c>
      <c r="O659" s="32" t="n">
        <v>0</v>
      </c>
      <c r="P659" s="32" t="n">
        <v>0</v>
      </c>
      <c r="Q659" s="32" t="n">
        <v>15</v>
      </c>
      <c r="R659" s="31" t="n">
        <v>37.4</v>
      </c>
      <c r="S659" s="31" t="n">
        <v>37.4</v>
      </c>
      <c r="T659" s="30" t="inlineStr">
        <is>
          <t>AMR2</t>
        </is>
      </c>
      <c r="U659" s="31" t="n">
        <v>56.2</v>
      </c>
      <c r="V659" s="31" t="n">
        <v>56.2</v>
      </c>
      <c r="W659" s="30" t="inlineStr">
        <is>
          <t>AMR2</t>
        </is>
      </c>
      <c r="X659" s="32" t="n">
        <v>0</v>
      </c>
      <c r="Y659" s="32" t="n">
        <v>0</v>
      </c>
      <c r="Z659" s="31" t="n">
        <v>0</v>
      </c>
      <c r="AA659" s="32" t="n">
        <v>0</v>
      </c>
      <c r="AB659" s="32" t="n">
        <v>0</v>
      </c>
      <c r="AC659" s="32" t="n">
        <v>0</v>
      </c>
      <c r="AD659" s="32" t="n">
        <v>0</v>
      </c>
      <c r="AE659" s="31" t="n">
        <v>0</v>
      </c>
      <c r="AF659" s="32" t="n">
        <v>0</v>
      </c>
      <c r="AG659" s="31" t="n">
        <v>0</v>
      </c>
      <c r="AH659" s="32" t="n">
        <v>42</v>
      </c>
      <c r="AI659" s="31" t="n">
        <v>45.8</v>
      </c>
      <c r="AJ659" s="31" t="n">
        <v>48.3</v>
      </c>
      <c r="AK659" s="31" t="n">
        <v>0</v>
      </c>
      <c r="AL659" s="30" t="inlineStr">
        <is>
          <t>T-0808</t>
        </is>
      </c>
      <c r="AM659" s="30" t="inlineStr">
        <is>
          <t>H-03-02</t>
        </is>
      </c>
      <c r="AN659" s="30" t="inlineStr">
        <is>
          <t>T-0674</t>
        </is>
      </c>
      <c r="AO659" s="30" t="inlineStr">
        <is>
          <t>H-01-01</t>
        </is>
      </c>
    </row>
    <row r="660">
      <c r="A660" s="30" t="inlineStr">
        <is>
          <t>O0659</t>
        </is>
      </c>
      <c r="B660" s="30" t="inlineStr">
        <is>
          <t>A</t>
        </is>
      </c>
      <c r="C660" s="31" t="n">
        <v>9221.799999999999</v>
      </c>
      <c r="D660" s="31" t="n">
        <v>32193.1</v>
      </c>
      <c r="E660" s="31" t="n">
        <v>32193.1</v>
      </c>
      <c r="F660" s="31" t="n">
        <v>32205.1</v>
      </c>
      <c r="G660" s="31" t="n">
        <v>32231.7</v>
      </c>
      <c r="H660" s="31" t="n">
        <v>32250.3</v>
      </c>
      <c r="I660" s="31" t="n">
        <v>32286.5</v>
      </c>
      <c r="J660" s="31" t="n">
        <v>32323.3</v>
      </c>
      <c r="K660" s="31" t="n">
        <v>23101.5</v>
      </c>
      <c r="L660" s="31" t="n">
        <v>22971.3</v>
      </c>
      <c r="M660" s="30" t="inlineStr">
        <is>
          <t>AMR1</t>
        </is>
      </c>
      <c r="N660" s="30" t="inlineStr">
        <is>
          <t>AMR2</t>
        </is>
      </c>
      <c r="O660" s="32" t="n">
        <v>0</v>
      </c>
      <c r="P660" s="32" t="n">
        <v>0</v>
      </c>
      <c r="Q660" s="32" t="n">
        <v>21</v>
      </c>
      <c r="R660" s="31" t="n">
        <v>37.7</v>
      </c>
      <c r="S660" s="31" t="n">
        <v>37.7</v>
      </c>
      <c r="T660" s="30" t="inlineStr">
        <is>
          <t>AMR1</t>
        </is>
      </c>
      <c r="U660" s="31" t="n">
        <v>64.90000000000001</v>
      </c>
      <c r="V660" s="31" t="n">
        <v>64.90000000000001</v>
      </c>
      <c r="W660" s="30" t="inlineStr">
        <is>
          <t>AMR2</t>
        </is>
      </c>
      <c r="X660" s="32" t="n">
        <v>0</v>
      </c>
      <c r="Y660" s="32" t="n">
        <v>0</v>
      </c>
      <c r="Z660" s="31" t="n">
        <v>0</v>
      </c>
      <c r="AA660" s="32" t="n">
        <v>0</v>
      </c>
      <c r="AB660" s="32" t="n">
        <v>1</v>
      </c>
      <c r="AC660" s="32" t="n">
        <v>1</v>
      </c>
      <c r="AD660" s="32" t="n">
        <v>1</v>
      </c>
      <c r="AE660" s="31" t="n">
        <v>2.3</v>
      </c>
      <c r="AF660" s="32" t="n">
        <v>0</v>
      </c>
      <c r="AG660" s="31" t="n">
        <v>0</v>
      </c>
      <c r="AH660" s="32" t="n">
        <v>65</v>
      </c>
      <c r="AI660" s="31" t="n">
        <v>63.8</v>
      </c>
      <c r="AJ660" s="31" t="n">
        <v>40.5</v>
      </c>
      <c r="AK660" s="31" t="n">
        <v>7.3</v>
      </c>
      <c r="AL660" s="30" t="inlineStr">
        <is>
          <t>T-0809</t>
        </is>
      </c>
      <c r="AM660" s="30" t="inlineStr">
        <is>
          <t>A-05-01</t>
        </is>
      </c>
      <c r="AN660" s="30" t="inlineStr">
        <is>
          <t>T-0670</t>
        </is>
      </c>
      <c r="AO660" s="30" t="inlineStr">
        <is>
          <t>A-03-02</t>
        </is>
      </c>
    </row>
    <row r="661">
      <c r="A661" s="30" t="inlineStr">
        <is>
          <t>O0660</t>
        </is>
      </c>
      <c r="B661" s="30" t="inlineStr">
        <is>
          <t>D</t>
        </is>
      </c>
      <c r="C661" s="31" t="n">
        <v>9224.9</v>
      </c>
      <c r="D661" s="31" t="n">
        <v>32204.6</v>
      </c>
      <c r="E661" s="31" t="n">
        <v>32204.6</v>
      </c>
      <c r="F661" s="31" t="n">
        <v>32216.1</v>
      </c>
      <c r="G661" s="31" t="n">
        <v>32241.1</v>
      </c>
      <c r="H661" s="31" t="n">
        <v>32255.2</v>
      </c>
      <c r="I661" s="31" t="n">
        <v>32280.9</v>
      </c>
      <c r="J661" s="31" t="n">
        <v>32311.1</v>
      </c>
      <c r="K661" s="31" t="n">
        <v>23086.2</v>
      </c>
      <c r="L661" s="31" t="n">
        <v>22979.7</v>
      </c>
      <c r="M661" s="30" t="inlineStr">
        <is>
          <t>AMR3</t>
        </is>
      </c>
      <c r="N661" s="30" t="inlineStr">
        <is>
          <t>AMR3</t>
        </is>
      </c>
      <c r="O661" s="32" t="n">
        <v>0</v>
      </c>
      <c r="P661" s="32" t="n">
        <v>0</v>
      </c>
      <c r="Q661" s="32" t="n">
        <v>13</v>
      </c>
      <c r="R661" s="31" t="n">
        <v>35.6</v>
      </c>
      <c r="S661" s="31" t="n">
        <v>35.6</v>
      </c>
      <c r="T661" s="30" t="inlineStr">
        <is>
          <t>AMR3</t>
        </is>
      </c>
      <c r="U661" s="31" t="n">
        <v>52.6</v>
      </c>
      <c r="V661" s="31" t="n">
        <v>52.6</v>
      </c>
      <c r="W661" s="30" t="inlineStr">
        <is>
          <t>AMR3</t>
        </is>
      </c>
      <c r="X661" s="32" t="n">
        <v>0</v>
      </c>
      <c r="Y661" s="32" t="n">
        <v>0</v>
      </c>
      <c r="Z661" s="31" t="n">
        <v>0</v>
      </c>
      <c r="AA661" s="32" t="n">
        <v>0</v>
      </c>
      <c r="AB661" s="32" t="n">
        <v>0</v>
      </c>
      <c r="AC661" s="32" t="n">
        <v>0</v>
      </c>
      <c r="AD661" s="32" t="n">
        <v>0</v>
      </c>
      <c r="AE661" s="31" t="n">
        <v>0</v>
      </c>
      <c r="AF661" s="32" t="n">
        <v>0</v>
      </c>
      <c r="AG661" s="31" t="n">
        <v>0</v>
      </c>
      <c r="AH661" s="32" t="n">
        <v>43</v>
      </c>
      <c r="AI661" s="31" t="n">
        <v>46.9</v>
      </c>
      <c r="AJ661" s="31" t="n">
        <v>45.5</v>
      </c>
      <c r="AK661" s="31" t="n">
        <v>0</v>
      </c>
      <c r="AL661" s="30" t="inlineStr">
        <is>
          <t>T-0810</t>
        </is>
      </c>
      <c r="AM661" s="30" t="inlineStr">
        <is>
          <t>D-01-01</t>
        </is>
      </c>
      <c r="AN661" s="30" t="inlineStr">
        <is>
          <t>T-0538</t>
        </is>
      </c>
      <c r="AO661" s="30" t="inlineStr">
        <is>
          <t>D-04-03</t>
        </is>
      </c>
    </row>
    <row r="662">
      <c r="A662" s="30" t="inlineStr">
        <is>
          <t>O0661</t>
        </is>
      </c>
      <c r="B662" s="30" t="inlineStr">
        <is>
          <t>F</t>
        </is>
      </c>
      <c r="C662" s="31" t="n">
        <v>9231.799999999999</v>
      </c>
      <c r="D662" s="31" t="n">
        <v>32259.3</v>
      </c>
      <c r="E662" s="31" t="n">
        <v>32259.3</v>
      </c>
      <c r="F662" s="31" t="n">
        <v>32272.1</v>
      </c>
      <c r="G662" s="31" t="n">
        <v>32305.8</v>
      </c>
      <c r="H662" s="31" t="n">
        <v>32328.7</v>
      </c>
      <c r="I662" s="31" t="n">
        <v>32363.6</v>
      </c>
      <c r="J662" s="31" t="n">
        <v>32401.1</v>
      </c>
      <c r="K662" s="31" t="n">
        <v>23169.3</v>
      </c>
      <c r="L662" s="31" t="n">
        <v>23027.5</v>
      </c>
      <c r="M662" s="30" t="inlineStr">
        <is>
          <t>AMR1</t>
        </is>
      </c>
      <c r="N662" s="30" t="inlineStr">
        <is>
          <t>AMR1</t>
        </is>
      </c>
      <c r="O662" s="32" t="n">
        <v>0</v>
      </c>
      <c r="P662" s="32" t="n">
        <v>0</v>
      </c>
      <c r="Q662" s="32" t="n">
        <v>23</v>
      </c>
      <c r="R662" s="31" t="n">
        <v>44.8</v>
      </c>
      <c r="S662" s="31" t="n">
        <v>44.8</v>
      </c>
      <c r="T662" s="30" t="inlineStr">
        <is>
          <t>AMR1</t>
        </is>
      </c>
      <c r="U662" s="31" t="n">
        <v>69.09999999999999</v>
      </c>
      <c r="V662" s="31" t="n">
        <v>69.09999999999999</v>
      </c>
      <c r="W662" s="30" t="inlineStr">
        <is>
          <t>AMR1</t>
        </is>
      </c>
      <c r="X662" s="32" t="n">
        <v>0</v>
      </c>
      <c r="Y662" s="32" t="n">
        <v>0</v>
      </c>
      <c r="Z662" s="31" t="n">
        <v>0</v>
      </c>
      <c r="AA662" s="32" t="n">
        <v>0</v>
      </c>
      <c r="AB662" s="32" t="n">
        <v>0</v>
      </c>
      <c r="AC662" s="32" t="n">
        <v>0</v>
      </c>
      <c r="AD662" s="32" t="n">
        <v>0</v>
      </c>
      <c r="AE662" s="31" t="n">
        <v>0</v>
      </c>
      <c r="AF662" s="32" t="n">
        <v>0</v>
      </c>
      <c r="AG662" s="31" t="n">
        <v>0</v>
      </c>
      <c r="AH662" s="32" t="n">
        <v>70</v>
      </c>
      <c r="AI662" s="31" t="n">
        <v>70.2</v>
      </c>
      <c r="AJ662" s="31" t="n">
        <v>48.7</v>
      </c>
      <c r="AK662" s="31" t="n">
        <v>0</v>
      </c>
      <c r="AL662" s="30" t="inlineStr">
        <is>
          <t>T-0811</t>
        </is>
      </c>
      <c r="AM662" s="30" t="inlineStr">
        <is>
          <t>F-03-03</t>
        </is>
      </c>
      <c r="AN662" s="30" t="inlineStr">
        <is>
          <t>T-0688</t>
        </is>
      </c>
      <c r="AO662" s="30" t="inlineStr">
        <is>
          <t>F-01-01</t>
        </is>
      </c>
    </row>
    <row r="663">
      <c r="A663" s="30" t="inlineStr">
        <is>
          <t>O0662</t>
        </is>
      </c>
      <c r="B663" s="30" t="inlineStr">
        <is>
          <t>I</t>
        </is>
      </c>
      <c r="C663" s="31" t="n">
        <v>9238.799999999999</v>
      </c>
      <c r="D663" s="31" t="n">
        <v>32334.8</v>
      </c>
      <c r="E663" s="31" t="n">
        <v>32334.8</v>
      </c>
      <c r="F663" s="31" t="n">
        <v>32349.9</v>
      </c>
      <c r="G663" s="31" t="n">
        <v>32373.6</v>
      </c>
      <c r="H663" s="31" t="n">
        <v>32390.4</v>
      </c>
      <c r="I663" s="31" t="n">
        <v>32420.1</v>
      </c>
      <c r="J663" s="31" t="n">
        <v>32447.3</v>
      </c>
      <c r="K663" s="31" t="n">
        <v>23208.5</v>
      </c>
      <c r="L663" s="31" t="n">
        <v>23096</v>
      </c>
      <c r="M663" s="30" t="inlineStr">
        <is>
          <t>AMR3</t>
        </is>
      </c>
      <c r="N663" s="30" t="inlineStr">
        <is>
          <t>AMR3</t>
        </is>
      </c>
      <c r="O663" s="32" t="n">
        <v>0</v>
      </c>
      <c r="P663" s="32" t="n">
        <v>0</v>
      </c>
      <c r="Q663" s="32" t="n">
        <v>15</v>
      </c>
      <c r="R663" s="31" t="n">
        <v>36.3</v>
      </c>
      <c r="S663" s="31" t="n">
        <v>36.3</v>
      </c>
      <c r="T663" s="30" t="inlineStr">
        <is>
          <t>AMR3</t>
        </is>
      </c>
      <c r="U663" s="31" t="n">
        <v>52.1</v>
      </c>
      <c r="V663" s="31" t="n">
        <v>52.1</v>
      </c>
      <c r="W663" s="30" t="inlineStr">
        <is>
          <t>AMR3</t>
        </is>
      </c>
      <c r="X663" s="32" t="n">
        <v>0</v>
      </c>
      <c r="Y663" s="32" t="n">
        <v>0</v>
      </c>
      <c r="Z663" s="31" t="n">
        <v>0</v>
      </c>
      <c r="AA663" s="32" t="n">
        <v>0</v>
      </c>
      <c r="AB663" s="32" t="n">
        <v>0</v>
      </c>
      <c r="AC663" s="32" t="n">
        <v>0</v>
      </c>
      <c r="AD663" s="32" t="n">
        <v>0</v>
      </c>
      <c r="AE663" s="31" t="n">
        <v>0</v>
      </c>
      <c r="AF663" s="32" t="n">
        <v>0</v>
      </c>
      <c r="AG663" s="31" t="n">
        <v>0</v>
      </c>
      <c r="AH663" s="32" t="n">
        <v>49</v>
      </c>
      <c r="AI663" s="31" t="n">
        <v>53.1</v>
      </c>
      <c r="AJ663" s="31" t="n">
        <v>42.6</v>
      </c>
      <c r="AK663" s="31" t="n">
        <v>0</v>
      </c>
      <c r="AL663" s="30" t="inlineStr">
        <is>
          <t>T-0812</t>
        </is>
      </c>
      <c r="AM663" s="30" t="inlineStr">
        <is>
          <t>I-05-01</t>
        </is>
      </c>
      <c r="AN663" s="30" t="inlineStr">
        <is>
          <t>T-0630</t>
        </is>
      </c>
      <c r="AO663" s="30" t="inlineStr">
        <is>
          <t>I-06-01</t>
        </is>
      </c>
    </row>
    <row r="664">
      <c r="A664" s="30" t="inlineStr">
        <is>
          <t>O0663</t>
        </is>
      </c>
      <c r="B664" s="30" t="inlineStr">
        <is>
          <t>G</t>
        </is>
      </c>
      <c r="C664" s="31" t="n">
        <v>9242.1</v>
      </c>
      <c r="D664" s="31" t="n">
        <v>32350</v>
      </c>
      <c r="E664" s="31" t="n">
        <v>32350</v>
      </c>
      <c r="F664" s="31" t="n">
        <v>32363.7</v>
      </c>
      <c r="G664" s="31" t="n">
        <v>32391.3</v>
      </c>
      <c r="H664" s="31" t="n">
        <v>32408.1</v>
      </c>
      <c r="I664" s="31" t="n">
        <v>32440</v>
      </c>
      <c r="J664" s="31" t="n">
        <v>32467.5</v>
      </c>
      <c r="K664" s="31" t="n">
        <v>23225.4</v>
      </c>
      <c r="L664" s="31" t="n">
        <v>23107.9</v>
      </c>
      <c r="M664" s="30" t="inlineStr">
        <is>
          <t>AMR2</t>
        </is>
      </c>
      <c r="N664" s="30" t="inlineStr">
        <is>
          <t>AMR2</t>
        </is>
      </c>
      <c r="O664" s="32" t="n">
        <v>0</v>
      </c>
      <c r="P664" s="32" t="n">
        <v>0</v>
      </c>
      <c r="Q664" s="32" t="n">
        <v>17</v>
      </c>
      <c r="R664" s="31" t="n">
        <v>40.4</v>
      </c>
      <c r="S664" s="31" t="n">
        <v>40.4</v>
      </c>
      <c r="T664" s="30" t="inlineStr">
        <is>
          <t>AMR2</t>
        </is>
      </c>
      <c r="U664" s="31" t="n">
        <v>56.1</v>
      </c>
      <c r="V664" s="31" t="n">
        <v>56.1</v>
      </c>
      <c r="W664" s="30" t="inlineStr">
        <is>
          <t>AMR2</t>
        </is>
      </c>
      <c r="X664" s="32" t="n">
        <v>0</v>
      </c>
      <c r="Y664" s="32" t="n">
        <v>0</v>
      </c>
      <c r="Z664" s="31" t="n">
        <v>0</v>
      </c>
      <c r="AA664" s="32" t="n">
        <v>0</v>
      </c>
      <c r="AB664" s="32" t="n">
        <v>0</v>
      </c>
      <c r="AC664" s="32" t="n">
        <v>0</v>
      </c>
      <c r="AD664" s="32" t="n">
        <v>0</v>
      </c>
      <c r="AE664" s="31" t="n">
        <v>0</v>
      </c>
      <c r="AF664" s="32" t="n">
        <v>0</v>
      </c>
      <c r="AG664" s="31" t="n">
        <v>0</v>
      </c>
      <c r="AH664" s="32" t="n">
        <v>51</v>
      </c>
      <c r="AI664" s="31" t="n">
        <v>54.6</v>
      </c>
      <c r="AJ664" s="31" t="n">
        <v>46.1</v>
      </c>
      <c r="AK664" s="31" t="n">
        <v>0</v>
      </c>
      <c r="AL664" s="30" t="inlineStr">
        <is>
          <t>T-0813</t>
        </is>
      </c>
      <c r="AM664" s="30" t="inlineStr">
        <is>
          <t>G-04-01</t>
        </is>
      </c>
      <c r="AN664" s="30" t="inlineStr">
        <is>
          <t>T-0651</t>
        </is>
      </c>
      <c r="AO664" s="30" t="inlineStr">
        <is>
          <t>G-01-02</t>
        </is>
      </c>
    </row>
    <row r="665">
      <c r="A665" s="30" t="inlineStr">
        <is>
          <t>O0664</t>
        </is>
      </c>
      <c r="B665" s="30" t="inlineStr">
        <is>
          <t>D</t>
        </is>
      </c>
      <c r="C665" s="31" t="n">
        <v>9247.700000000001</v>
      </c>
      <c r="D665" s="31" t="n">
        <v>32424.8</v>
      </c>
      <c r="E665" s="31" t="n">
        <v>32424.8</v>
      </c>
      <c r="F665" s="31" t="n">
        <v>32437.1</v>
      </c>
      <c r="G665" s="31" t="n">
        <v>32457.4</v>
      </c>
      <c r="H665" s="31" t="n">
        <v>32471.5</v>
      </c>
      <c r="I665" s="31" t="n">
        <v>32508.6</v>
      </c>
      <c r="J665" s="31" t="n">
        <v>32539.6</v>
      </c>
      <c r="K665" s="31" t="n">
        <v>23291.9</v>
      </c>
      <c r="L665" s="31" t="n">
        <v>23177.1</v>
      </c>
      <c r="M665" s="30" t="inlineStr">
        <is>
          <t>AMR1</t>
        </is>
      </c>
      <c r="N665" s="30" t="inlineStr">
        <is>
          <t>AMR1</t>
        </is>
      </c>
      <c r="O665" s="32" t="n">
        <v>0</v>
      </c>
      <c r="P665" s="32" t="n">
        <v>0</v>
      </c>
      <c r="Q665" s="32" t="n">
        <v>13</v>
      </c>
      <c r="R665" s="31" t="n">
        <v>30.9</v>
      </c>
      <c r="S665" s="31" t="n">
        <v>30.9</v>
      </c>
      <c r="T665" s="30" t="inlineStr">
        <is>
          <t>AMR1</t>
        </is>
      </c>
      <c r="U665" s="31" t="n">
        <v>53.9</v>
      </c>
      <c r="V665" s="31" t="n">
        <v>53.9</v>
      </c>
      <c r="W665" s="30" t="inlineStr">
        <is>
          <t>AMR1</t>
        </is>
      </c>
      <c r="X665" s="32" t="n">
        <v>0</v>
      </c>
      <c r="Y665" s="32" t="n">
        <v>0</v>
      </c>
      <c r="Z665" s="31" t="n">
        <v>0</v>
      </c>
      <c r="AA665" s="32" t="n">
        <v>0</v>
      </c>
      <c r="AB665" s="32" t="n">
        <v>0</v>
      </c>
      <c r="AC665" s="32" t="n">
        <v>2</v>
      </c>
      <c r="AD665" s="32" t="n">
        <v>0</v>
      </c>
      <c r="AE665" s="31" t="n">
        <v>0</v>
      </c>
      <c r="AF665" s="32" t="n">
        <v>1</v>
      </c>
      <c r="AG665" s="31" t="n">
        <v>0.6</v>
      </c>
      <c r="AH665" s="32" t="n">
        <v>42</v>
      </c>
      <c r="AI665" s="31" t="n">
        <v>48.2</v>
      </c>
      <c r="AJ665" s="31" t="n">
        <v>42.1</v>
      </c>
      <c r="AK665" s="31" t="n">
        <v>10.4</v>
      </c>
      <c r="AL665" s="30" t="inlineStr">
        <is>
          <t>T-0814</t>
        </is>
      </c>
      <c r="AM665" s="30" t="inlineStr">
        <is>
          <t>D-03-03</t>
        </is>
      </c>
      <c r="AN665" s="30" t="inlineStr">
        <is>
          <t>T-0547</t>
        </is>
      </c>
      <c r="AO665" s="30" t="inlineStr">
        <is>
          <t>D-03-01</t>
        </is>
      </c>
    </row>
    <row r="666">
      <c r="A666" s="30" t="inlineStr">
        <is>
          <t>O0665</t>
        </is>
      </c>
      <c r="B666" s="30" t="inlineStr">
        <is>
          <t>D</t>
        </is>
      </c>
      <c r="C666" s="31" t="n">
        <v>9252.299999999999</v>
      </c>
      <c r="D666" s="31" t="n">
        <v>32480.3</v>
      </c>
      <c r="E666" s="31" t="n">
        <v>32480.3</v>
      </c>
      <c r="F666" s="31" t="n">
        <v>32493.5</v>
      </c>
      <c r="G666" s="31" t="n">
        <v>32524</v>
      </c>
      <c r="H666" s="31" t="n">
        <v>32538.8</v>
      </c>
      <c r="I666" s="31" t="n">
        <v>32562.4</v>
      </c>
      <c r="J666" s="31" t="n">
        <v>32591.5</v>
      </c>
      <c r="K666" s="31" t="n">
        <v>23339.2</v>
      </c>
      <c r="L666" s="31" t="n">
        <v>23228</v>
      </c>
      <c r="M666" s="30" t="inlineStr">
        <is>
          <t>AMR3</t>
        </is>
      </c>
      <c r="N666" s="30" t="inlineStr">
        <is>
          <t>AMR3</t>
        </is>
      </c>
      <c r="O666" s="32" t="n">
        <v>0</v>
      </c>
      <c r="P666" s="32" t="n">
        <v>0</v>
      </c>
      <c r="Q666" s="32" t="n">
        <v>13</v>
      </c>
      <c r="R666" s="31" t="n">
        <v>33.9</v>
      </c>
      <c r="S666" s="31" t="n">
        <v>33.9</v>
      </c>
      <c r="T666" s="30" t="inlineStr">
        <is>
          <t>AMR3</t>
        </is>
      </c>
      <c r="U666" s="31" t="n">
        <v>49.4</v>
      </c>
      <c r="V666" s="31" t="n">
        <v>49.4</v>
      </c>
      <c r="W666" s="30" t="inlineStr">
        <is>
          <t>AMR3</t>
        </is>
      </c>
      <c r="X666" s="32" t="n">
        <v>0</v>
      </c>
      <c r="Y666" s="32" t="n">
        <v>0</v>
      </c>
      <c r="Z666" s="31" t="n">
        <v>0</v>
      </c>
      <c r="AA666" s="32" t="n">
        <v>0</v>
      </c>
      <c r="AB666" s="32" t="n">
        <v>0</v>
      </c>
      <c r="AC666" s="32" t="n">
        <v>0</v>
      </c>
      <c r="AD666" s="32" t="n">
        <v>0</v>
      </c>
      <c r="AE666" s="31" t="n">
        <v>0</v>
      </c>
      <c r="AF666" s="32" t="n">
        <v>0</v>
      </c>
      <c r="AG666" s="31" t="n">
        <v>0</v>
      </c>
      <c r="AH666" s="32" t="n">
        <v>47</v>
      </c>
      <c r="AI666" s="31" t="n">
        <v>52.8</v>
      </c>
      <c r="AJ666" s="31" t="n">
        <v>40.6</v>
      </c>
      <c r="AK666" s="31" t="n">
        <v>3</v>
      </c>
      <c r="AL666" s="30" t="inlineStr">
        <is>
          <t>T-0815</t>
        </is>
      </c>
      <c r="AM666" s="30" t="inlineStr">
        <is>
          <t>D-04-03</t>
        </is>
      </c>
      <c r="AN666" s="30" t="inlineStr">
        <is>
          <t>T-0548</t>
        </is>
      </c>
      <c r="AO666" s="30" t="inlineStr">
        <is>
          <t>D-05-03</t>
        </is>
      </c>
    </row>
    <row r="667">
      <c r="A667" s="30" t="inlineStr">
        <is>
          <t>O0666</t>
        </is>
      </c>
      <c r="B667" s="30" t="inlineStr">
        <is>
          <t>F</t>
        </is>
      </c>
      <c r="C667" s="31" t="n">
        <v>9258.299999999999</v>
      </c>
      <c r="D667" s="31" t="n">
        <v>32496.2</v>
      </c>
      <c r="E667" s="31" t="n">
        <v>32496.2</v>
      </c>
      <c r="F667" s="31" t="n">
        <v>32508.5</v>
      </c>
      <c r="G667" s="31" t="n">
        <v>32542.4</v>
      </c>
      <c r="H667" s="31" t="n">
        <v>32563.3</v>
      </c>
      <c r="I667" s="31" t="n">
        <v>32602.5</v>
      </c>
      <c r="J667" s="31" t="n">
        <v>32639</v>
      </c>
      <c r="K667" s="31" t="n">
        <v>23380.7</v>
      </c>
      <c r="L667" s="31" t="n">
        <v>23237.9</v>
      </c>
      <c r="M667" s="30" t="inlineStr">
        <is>
          <t>AMR2</t>
        </is>
      </c>
      <c r="N667" s="30" t="inlineStr">
        <is>
          <t>AMR1</t>
        </is>
      </c>
      <c r="O667" s="32" t="n">
        <v>0</v>
      </c>
      <c r="P667" s="32" t="n">
        <v>0</v>
      </c>
      <c r="Q667" s="32" t="n">
        <v>23</v>
      </c>
      <c r="R667" s="31" t="n">
        <v>43.7</v>
      </c>
      <c r="S667" s="31" t="n">
        <v>43.7</v>
      </c>
      <c r="T667" s="30" t="inlineStr">
        <is>
          <t>AMR2</t>
        </is>
      </c>
      <c r="U667" s="31" t="n">
        <v>69.59999999999999</v>
      </c>
      <c r="V667" s="31" t="n">
        <v>69.59999999999999</v>
      </c>
      <c r="W667" s="30" t="inlineStr">
        <is>
          <t>AMR1</t>
        </is>
      </c>
      <c r="X667" s="32" t="n">
        <v>0</v>
      </c>
      <c r="Y667" s="32" t="n">
        <v>0</v>
      </c>
      <c r="Z667" s="31" t="n">
        <v>0</v>
      </c>
      <c r="AA667" s="32" t="n">
        <v>0</v>
      </c>
      <c r="AB667" s="32" t="n">
        <v>1</v>
      </c>
      <c r="AC667" s="32" t="n">
        <v>1</v>
      </c>
      <c r="AD667" s="32" t="n">
        <v>0</v>
      </c>
      <c r="AE667" s="31" t="n">
        <v>0</v>
      </c>
      <c r="AF667" s="32" t="n">
        <v>0</v>
      </c>
      <c r="AG667" s="31" t="n">
        <v>0</v>
      </c>
      <c r="AH667" s="32" t="n">
        <v>67</v>
      </c>
      <c r="AI667" s="31" t="n">
        <v>70.8</v>
      </c>
      <c r="AJ667" s="31" t="n">
        <v>48.1</v>
      </c>
      <c r="AK667" s="31" t="n">
        <v>3</v>
      </c>
      <c r="AL667" s="30" t="inlineStr">
        <is>
          <t>T-0816</t>
        </is>
      </c>
      <c r="AM667" s="30" t="inlineStr">
        <is>
          <t>F-01-01</t>
        </is>
      </c>
      <c r="AN667" s="30" t="inlineStr">
        <is>
          <t>T-0702</t>
        </is>
      </c>
      <c r="AO667" s="30" t="inlineStr">
        <is>
          <t>F-05-01</t>
        </is>
      </c>
    </row>
    <row r="668">
      <c r="A668" s="30" t="inlineStr">
        <is>
          <t>O0667</t>
        </is>
      </c>
      <c r="B668" s="30" t="inlineStr">
        <is>
          <t>I</t>
        </is>
      </c>
      <c r="C668" s="31" t="n">
        <v>9264.200000000001</v>
      </c>
      <c r="D668" s="31" t="n">
        <v>32571.1</v>
      </c>
      <c r="E668" s="31" t="n">
        <v>32571.1</v>
      </c>
      <c r="F668" s="31" t="n">
        <v>32582.2</v>
      </c>
      <c r="G668" s="31" t="n">
        <v>32609.4</v>
      </c>
      <c r="H668" s="31" t="n">
        <v>32615.2</v>
      </c>
      <c r="I668" s="31" t="n">
        <v>32642.2</v>
      </c>
      <c r="J668" s="31" t="n">
        <v>32669</v>
      </c>
      <c r="K668" s="31" t="n">
        <v>23404.8</v>
      </c>
      <c r="L668" s="31" t="n">
        <v>23306.9</v>
      </c>
      <c r="M668" s="30" t="inlineStr">
        <is>
          <t>AMR2</t>
        </is>
      </c>
      <c r="N668" s="30" t="inlineStr">
        <is>
          <t>AMR3</t>
        </is>
      </c>
      <c r="O668" s="32" t="n">
        <v>0</v>
      </c>
      <c r="P668" s="32" t="n">
        <v>0</v>
      </c>
      <c r="Q668" s="32" t="n">
        <v>15</v>
      </c>
      <c r="R668" s="31" t="n">
        <v>35</v>
      </c>
      <c r="S668" s="31" t="n">
        <v>35</v>
      </c>
      <c r="T668" s="30" t="inlineStr">
        <is>
          <t>AMR2</t>
        </is>
      </c>
      <c r="U668" s="31" t="n">
        <v>54</v>
      </c>
      <c r="V668" s="31" t="n">
        <v>54</v>
      </c>
      <c r="W668" s="30" t="inlineStr">
        <is>
          <t>AMR3</t>
        </is>
      </c>
      <c r="X668" s="32" t="n">
        <v>0</v>
      </c>
      <c r="Y668" s="32" t="n">
        <v>0</v>
      </c>
      <c r="Z668" s="31" t="n">
        <v>0</v>
      </c>
      <c r="AA668" s="32" t="n">
        <v>0</v>
      </c>
      <c r="AB668" s="32" t="n">
        <v>0</v>
      </c>
      <c r="AC668" s="32" t="n">
        <v>0</v>
      </c>
      <c r="AD668" s="32" t="n">
        <v>0</v>
      </c>
      <c r="AE668" s="31" t="n">
        <v>0</v>
      </c>
      <c r="AF668" s="32" t="n">
        <v>0</v>
      </c>
      <c r="AG668" s="31" t="n">
        <v>0</v>
      </c>
      <c r="AH668" s="32" t="n">
        <v>44</v>
      </c>
      <c r="AI668" s="31" t="n">
        <v>48.9</v>
      </c>
      <c r="AJ668" s="31" t="n">
        <v>43.2</v>
      </c>
      <c r="AK668" s="31" t="n">
        <v>0</v>
      </c>
      <c r="AL668" s="30" t="inlineStr">
        <is>
          <t>T-0817</t>
        </is>
      </c>
      <c r="AM668" s="30" t="inlineStr">
        <is>
          <t>I-06-01</t>
        </is>
      </c>
      <c r="AN668" s="30" t="inlineStr">
        <is>
          <t>T-0636</t>
        </is>
      </c>
      <c r="AO668" s="30" t="inlineStr">
        <is>
          <t>I-01-02</t>
        </is>
      </c>
    </row>
    <row r="669">
      <c r="A669" s="30" t="inlineStr">
        <is>
          <t>O0668</t>
        </is>
      </c>
      <c r="B669" s="30" t="inlineStr">
        <is>
          <t>H</t>
        </is>
      </c>
      <c r="C669" s="31" t="n">
        <v>9268.200000000001</v>
      </c>
      <c r="D669" s="31" t="n">
        <v>32626.9</v>
      </c>
      <c r="E669" s="31" t="n">
        <v>32626.9</v>
      </c>
      <c r="F669" s="31" t="n">
        <v>32639.7</v>
      </c>
      <c r="G669" s="31" t="n">
        <v>32664.1</v>
      </c>
      <c r="H669" s="31" t="n">
        <v>32678.3</v>
      </c>
      <c r="I669" s="31" t="n">
        <v>32705.9</v>
      </c>
      <c r="J669" s="31" t="n">
        <v>32733.2</v>
      </c>
      <c r="K669" s="31" t="n">
        <v>23465</v>
      </c>
      <c r="L669" s="31" t="n">
        <v>23358.7</v>
      </c>
      <c r="M669" s="30" t="inlineStr">
        <is>
          <t>AMR2</t>
        </is>
      </c>
      <c r="N669" s="30" t="inlineStr">
        <is>
          <t>AMR2</t>
        </is>
      </c>
      <c r="O669" s="32" t="n">
        <v>0</v>
      </c>
      <c r="P669" s="32" t="n">
        <v>0</v>
      </c>
      <c r="Q669" s="32" t="n">
        <v>15</v>
      </c>
      <c r="R669" s="31" t="n">
        <v>36.3</v>
      </c>
      <c r="S669" s="31" t="n">
        <v>36.3</v>
      </c>
      <c r="T669" s="30" t="inlineStr">
        <is>
          <t>AMR2</t>
        </is>
      </c>
      <c r="U669" s="31" t="n">
        <v>55.6</v>
      </c>
      <c r="V669" s="31" t="n">
        <v>55.6</v>
      </c>
      <c r="W669" s="30" t="inlineStr">
        <is>
          <t>AMR2</t>
        </is>
      </c>
      <c r="X669" s="32" t="n">
        <v>0</v>
      </c>
      <c r="Y669" s="32" t="n">
        <v>0</v>
      </c>
      <c r="Z669" s="31" t="n">
        <v>0</v>
      </c>
      <c r="AA669" s="32" t="n">
        <v>0</v>
      </c>
      <c r="AB669" s="32" t="n">
        <v>0</v>
      </c>
      <c r="AC669" s="32" t="n">
        <v>0</v>
      </c>
      <c r="AD669" s="32" t="n">
        <v>0</v>
      </c>
      <c r="AE669" s="31" t="n">
        <v>0</v>
      </c>
      <c r="AF669" s="32" t="n">
        <v>0</v>
      </c>
      <c r="AG669" s="31" t="n">
        <v>0</v>
      </c>
      <c r="AH669" s="32" t="n">
        <v>41</v>
      </c>
      <c r="AI669" s="31" t="n">
        <v>45.5</v>
      </c>
      <c r="AJ669" s="31" t="n">
        <v>46.6</v>
      </c>
      <c r="AK669" s="31" t="n">
        <v>0</v>
      </c>
      <c r="AL669" s="30" t="inlineStr">
        <is>
          <t>T-0818</t>
        </is>
      </c>
      <c r="AM669" s="30" t="inlineStr">
        <is>
          <t>H-01-01</t>
        </is>
      </c>
      <c r="AN669" s="30" t="inlineStr">
        <is>
          <t>T-0676</t>
        </is>
      </c>
      <c r="AO669" s="30" t="inlineStr">
        <is>
          <t>H-05-02</t>
        </is>
      </c>
    </row>
    <row r="670">
      <c r="A670" s="30" t="inlineStr">
        <is>
          <t>O0669</t>
        </is>
      </c>
      <c r="B670" s="30" t="inlineStr">
        <is>
          <t>A</t>
        </is>
      </c>
      <c r="C670" s="31" t="n">
        <v>9275</v>
      </c>
      <c r="D670" s="31" t="n">
        <v>32662.7</v>
      </c>
      <c r="E670" s="31" t="n">
        <v>32662.7</v>
      </c>
      <c r="F670" s="31" t="n">
        <v>32674.5</v>
      </c>
      <c r="G670" s="31" t="n">
        <v>32705.2</v>
      </c>
      <c r="H670" s="31" t="n">
        <v>32732.3</v>
      </c>
      <c r="I670" s="31" t="n">
        <v>32758.9</v>
      </c>
      <c r="J670" s="31" t="n">
        <v>32795.2</v>
      </c>
      <c r="K670" s="31" t="n">
        <v>23520.2</v>
      </c>
      <c r="L670" s="31" t="n">
        <v>23387.7</v>
      </c>
      <c r="M670" s="30" t="inlineStr">
        <is>
          <t>AMR1</t>
        </is>
      </c>
      <c r="N670" s="30" t="inlineStr">
        <is>
          <t>AMR1</t>
        </is>
      </c>
      <c r="O670" s="32" t="n">
        <v>0</v>
      </c>
      <c r="P670" s="32" t="n">
        <v>0</v>
      </c>
      <c r="Q670" s="32" t="n">
        <v>21</v>
      </c>
      <c r="R670" s="31" t="n">
        <v>40</v>
      </c>
      <c r="S670" s="31" t="n">
        <v>40</v>
      </c>
      <c r="T670" s="30" t="inlineStr">
        <is>
          <t>AMR1</t>
        </is>
      </c>
      <c r="U670" s="31" t="n">
        <v>62.6</v>
      </c>
      <c r="V670" s="31" t="n">
        <v>62.6</v>
      </c>
      <c r="W670" s="30" t="inlineStr">
        <is>
          <t>AMR1</t>
        </is>
      </c>
      <c r="X670" s="32" t="n">
        <v>0</v>
      </c>
      <c r="Y670" s="32" t="n">
        <v>0</v>
      </c>
      <c r="Z670" s="31" t="n">
        <v>0</v>
      </c>
      <c r="AA670" s="32" t="n">
        <v>0</v>
      </c>
      <c r="AB670" s="32" t="n">
        <v>0</v>
      </c>
      <c r="AC670" s="32" t="n">
        <v>0</v>
      </c>
      <c r="AD670" s="32" t="n">
        <v>0</v>
      </c>
      <c r="AE670" s="31" t="n">
        <v>0</v>
      </c>
      <c r="AF670" s="32" t="n">
        <v>0</v>
      </c>
      <c r="AG670" s="31" t="n">
        <v>0</v>
      </c>
      <c r="AH670" s="32" t="n">
        <v>65</v>
      </c>
      <c r="AI670" s="31" t="n">
        <v>64.90000000000001</v>
      </c>
      <c r="AJ670" s="31" t="n">
        <v>40.5</v>
      </c>
      <c r="AK670" s="31" t="n">
        <v>0</v>
      </c>
      <c r="AL670" s="30" t="inlineStr">
        <is>
          <t>T-0819</t>
        </is>
      </c>
      <c r="AM670" s="30" t="inlineStr">
        <is>
          <t>A-01-02</t>
        </is>
      </c>
      <c r="AN670" s="30" t="inlineStr">
        <is>
          <t>T-0692</t>
        </is>
      </c>
      <c r="AO670" s="30" t="inlineStr">
        <is>
          <t>A-04-01</t>
        </is>
      </c>
    </row>
    <row r="671">
      <c r="A671" s="30" t="inlineStr">
        <is>
          <t>O0670</t>
        </is>
      </c>
      <c r="B671" s="30" t="inlineStr">
        <is>
          <t>C</t>
        </is>
      </c>
      <c r="C671" s="31" t="n">
        <v>9281.200000000001</v>
      </c>
      <c r="D671" s="31" t="n">
        <v>32692.7</v>
      </c>
      <c r="E671" s="31" t="n">
        <v>32692.7</v>
      </c>
      <c r="F671" s="31" t="n">
        <v>32707.9</v>
      </c>
      <c r="G671" s="31" t="n">
        <v>32736.5</v>
      </c>
      <c r="H671" s="31" t="n">
        <v>32748.7</v>
      </c>
      <c r="I671" s="31" t="n">
        <v>32775.1</v>
      </c>
      <c r="J671" s="31" t="n">
        <v>32809.1</v>
      </c>
      <c r="K671" s="31" t="n">
        <v>23527.9</v>
      </c>
      <c r="L671" s="31" t="n">
        <v>23411.5</v>
      </c>
      <c r="M671" s="30" t="inlineStr">
        <is>
          <t>AMR3</t>
        </is>
      </c>
      <c r="N671" s="30" t="inlineStr">
        <is>
          <t>AMR3</t>
        </is>
      </c>
      <c r="O671" s="32" t="n">
        <v>0</v>
      </c>
      <c r="P671" s="32" t="n">
        <v>0</v>
      </c>
      <c r="Q671" s="32" t="n">
        <v>13</v>
      </c>
      <c r="R671" s="31" t="n">
        <v>34</v>
      </c>
      <c r="S671" s="31" t="n">
        <v>34</v>
      </c>
      <c r="T671" s="30" t="inlineStr">
        <is>
          <t>AMR3</t>
        </is>
      </c>
      <c r="U671" s="31" t="n">
        <v>53</v>
      </c>
      <c r="V671" s="31" t="n">
        <v>53</v>
      </c>
      <c r="W671" s="30" t="inlineStr">
        <is>
          <t>AMR3</t>
        </is>
      </c>
      <c r="X671" s="32" t="n">
        <v>0</v>
      </c>
      <c r="Y671" s="32" t="n">
        <v>0</v>
      </c>
      <c r="Z671" s="31" t="n">
        <v>0</v>
      </c>
      <c r="AA671" s="32" t="n">
        <v>0</v>
      </c>
      <c r="AB671" s="32" t="n">
        <v>1</v>
      </c>
      <c r="AC671" s="32" t="n">
        <v>1</v>
      </c>
      <c r="AD671" s="32" t="n">
        <v>2</v>
      </c>
      <c r="AE671" s="31" t="n">
        <v>8.5</v>
      </c>
      <c r="AF671" s="32" t="n">
        <v>1</v>
      </c>
      <c r="AG671" s="31" t="n">
        <v>1.5</v>
      </c>
      <c r="AH671" s="32" t="n">
        <v>45</v>
      </c>
      <c r="AI671" s="31" t="n">
        <v>49.9</v>
      </c>
      <c r="AJ671" s="31" t="n">
        <v>44.8</v>
      </c>
      <c r="AK671" s="31" t="n">
        <v>9.5</v>
      </c>
      <c r="AL671" s="30" t="inlineStr">
        <is>
          <t>T-0820</t>
        </is>
      </c>
      <c r="AM671" s="30" t="inlineStr">
        <is>
          <t>C-02-02</t>
        </is>
      </c>
      <c r="AN671" s="30" t="inlineStr">
        <is>
          <t>T-0661</t>
        </is>
      </c>
      <c r="AO671" s="30" t="inlineStr">
        <is>
          <t>C-03-02</t>
        </is>
      </c>
    </row>
    <row r="672">
      <c r="A672" s="30" t="inlineStr">
        <is>
          <t>O0671</t>
        </is>
      </c>
      <c r="B672" s="30" t="inlineStr">
        <is>
          <t>C</t>
        </is>
      </c>
      <c r="C672" s="31" t="n">
        <v>9285</v>
      </c>
      <c r="D672" s="31" t="n">
        <v>32756.9</v>
      </c>
      <c r="E672" s="31" t="n">
        <v>32756.9</v>
      </c>
      <c r="F672" s="31" t="n">
        <v>32771.6</v>
      </c>
      <c r="G672" s="31" t="n">
        <v>32794.6</v>
      </c>
      <c r="H672" s="31" t="n">
        <v>32807.4</v>
      </c>
      <c r="I672" s="31" t="n">
        <v>32828.4</v>
      </c>
      <c r="J672" s="31" t="n">
        <v>32858.9</v>
      </c>
      <c r="K672" s="31" t="n">
        <v>23573.9</v>
      </c>
      <c r="L672" s="31" t="n">
        <v>23471.9</v>
      </c>
      <c r="M672" s="30" t="inlineStr">
        <is>
          <t>AMR2</t>
        </is>
      </c>
      <c r="N672" s="30" t="inlineStr">
        <is>
          <t>AMR2</t>
        </is>
      </c>
      <c r="O672" s="32" t="n">
        <v>0</v>
      </c>
      <c r="P672" s="32" t="n">
        <v>0</v>
      </c>
      <c r="Q672" s="32" t="n">
        <v>13</v>
      </c>
      <c r="R672" s="31" t="n">
        <v>35.1</v>
      </c>
      <c r="S672" s="31" t="n">
        <v>35.1</v>
      </c>
      <c r="T672" s="30" t="inlineStr">
        <is>
          <t>AMR2</t>
        </is>
      </c>
      <c r="U672" s="31" t="n">
        <v>51.2</v>
      </c>
      <c r="V672" s="31" t="n">
        <v>51.2</v>
      </c>
      <c r="W672" s="30" t="inlineStr">
        <is>
          <t>AMR2</t>
        </is>
      </c>
      <c r="X672" s="32" t="n">
        <v>0</v>
      </c>
      <c r="Y672" s="32" t="n">
        <v>0</v>
      </c>
      <c r="Z672" s="31" t="n">
        <v>0</v>
      </c>
      <c r="AA672" s="32" t="n">
        <v>0</v>
      </c>
      <c r="AB672" s="32" t="n">
        <v>0</v>
      </c>
      <c r="AC672" s="32" t="n">
        <v>0</v>
      </c>
      <c r="AD672" s="32" t="n">
        <v>1</v>
      </c>
      <c r="AE672" s="31" t="n">
        <v>1.7</v>
      </c>
      <c r="AF672" s="32" t="n">
        <v>0</v>
      </c>
      <c r="AG672" s="31" t="n">
        <v>0</v>
      </c>
      <c r="AH672" s="32" t="n">
        <v>39</v>
      </c>
      <c r="AI672" s="31" t="n">
        <v>43.4</v>
      </c>
      <c r="AJ672" s="31" t="n">
        <v>44.1</v>
      </c>
      <c r="AK672" s="31" t="n">
        <v>1.7</v>
      </c>
      <c r="AL672" s="30" t="inlineStr">
        <is>
          <t>T-0821</t>
        </is>
      </c>
      <c r="AM672" s="30" t="inlineStr">
        <is>
          <t>C-04-03</t>
        </is>
      </c>
      <c r="AN672" s="30" t="inlineStr">
        <is>
          <t>T-0680</t>
        </is>
      </c>
      <c r="AO672" s="30" t="inlineStr">
        <is>
          <t>C-05-02</t>
        </is>
      </c>
    </row>
    <row r="673">
      <c r="A673" s="30" t="inlineStr">
        <is>
          <t>O0672</t>
        </is>
      </c>
      <c r="B673" s="30" t="inlineStr">
        <is>
          <t>A</t>
        </is>
      </c>
      <c r="C673" s="31" t="n">
        <v>9290.4</v>
      </c>
      <c r="D673" s="31" t="n">
        <v>32818.9</v>
      </c>
      <c r="E673" s="31" t="n">
        <v>32818.9</v>
      </c>
      <c r="F673" s="31" t="n">
        <v>32830.1</v>
      </c>
      <c r="G673" s="31" t="n">
        <v>32859.6</v>
      </c>
      <c r="H673" s="31" t="n">
        <v>32877.9</v>
      </c>
      <c r="I673" s="31" t="n">
        <v>32913.9</v>
      </c>
      <c r="J673" s="31" t="n">
        <v>32952.1</v>
      </c>
      <c r="K673" s="31" t="n">
        <v>23661.7</v>
      </c>
      <c r="L673" s="31" t="n">
        <v>23528.5</v>
      </c>
      <c r="M673" s="30" t="inlineStr">
        <is>
          <t>AMR1</t>
        </is>
      </c>
      <c r="N673" s="30" t="inlineStr">
        <is>
          <t>AMR3</t>
        </is>
      </c>
      <c r="O673" s="32" t="n">
        <v>0</v>
      </c>
      <c r="P673" s="32" t="n">
        <v>0</v>
      </c>
      <c r="Q673" s="32" t="n">
        <v>21</v>
      </c>
      <c r="R673" s="31" t="n">
        <v>39.8</v>
      </c>
      <c r="S673" s="31" t="n">
        <v>39.8</v>
      </c>
      <c r="T673" s="30" t="inlineStr">
        <is>
          <t>AMR1</t>
        </is>
      </c>
      <c r="U673" s="31" t="n">
        <v>66.2</v>
      </c>
      <c r="V673" s="31" t="n">
        <v>66.2</v>
      </c>
      <c r="W673" s="30" t="inlineStr">
        <is>
          <t>AMR3</t>
        </is>
      </c>
      <c r="X673" s="32" t="n">
        <v>0</v>
      </c>
      <c r="Y673" s="32" t="n">
        <v>0</v>
      </c>
      <c r="Z673" s="31" t="n">
        <v>0</v>
      </c>
      <c r="AA673" s="32" t="n">
        <v>0</v>
      </c>
      <c r="AB673" s="32" t="n">
        <v>2</v>
      </c>
      <c r="AC673" s="32" t="n">
        <v>2</v>
      </c>
      <c r="AD673" s="32" t="n">
        <v>0</v>
      </c>
      <c r="AE673" s="31" t="n">
        <v>0</v>
      </c>
      <c r="AF673" s="32" t="n">
        <v>1</v>
      </c>
      <c r="AG673" s="31" t="n">
        <v>0.3</v>
      </c>
      <c r="AH673" s="32" t="n">
        <v>63</v>
      </c>
      <c r="AI673" s="31" t="n">
        <v>62.7</v>
      </c>
      <c r="AJ673" s="31" t="n">
        <v>43.9</v>
      </c>
      <c r="AK673" s="31" t="n">
        <v>8.300000000000001</v>
      </c>
      <c r="AL673" s="30" t="inlineStr">
        <is>
          <t>T-0822</t>
        </is>
      </c>
      <c r="AM673" s="30" t="inlineStr">
        <is>
          <t>A-04-01</t>
        </is>
      </c>
      <c r="AN673" s="30" t="inlineStr">
        <is>
          <t>T-0703</t>
        </is>
      </c>
      <c r="AO673" s="30" t="inlineStr">
        <is>
          <t>A-05-02</t>
        </is>
      </c>
    </row>
    <row r="674">
      <c r="A674" s="30" t="inlineStr">
        <is>
          <t>O0673</t>
        </is>
      </c>
      <c r="B674" s="30" t="inlineStr">
        <is>
          <t>D</t>
        </is>
      </c>
      <c r="C674" s="31" t="n">
        <v>9296.4</v>
      </c>
      <c r="D674" s="31" t="n">
        <v>32832.8</v>
      </c>
      <c r="E674" s="31" t="n">
        <v>32832.8</v>
      </c>
      <c r="F674" s="31" t="n">
        <v>32843.4</v>
      </c>
      <c r="G674" s="31" t="n">
        <v>32863.8</v>
      </c>
      <c r="H674" s="31" t="n">
        <v>32882.6</v>
      </c>
      <c r="I674" s="31" t="n">
        <v>32908.1</v>
      </c>
      <c r="J674" s="31" t="n">
        <v>32939.3</v>
      </c>
      <c r="K674" s="31" t="n">
        <v>23642.9</v>
      </c>
      <c r="L674" s="31" t="n">
        <v>23536.4</v>
      </c>
      <c r="M674" s="30" t="inlineStr">
        <is>
          <t>AMR3</t>
        </is>
      </c>
      <c r="N674" s="30" t="inlineStr">
        <is>
          <t>AMR2</t>
        </is>
      </c>
      <c r="O674" s="32" t="n">
        <v>0</v>
      </c>
      <c r="P674" s="32" t="n">
        <v>0</v>
      </c>
      <c r="Q674" s="32" t="n">
        <v>13</v>
      </c>
      <c r="R674" s="31" t="n">
        <v>29.3</v>
      </c>
      <c r="S674" s="31" t="n">
        <v>29.3</v>
      </c>
      <c r="T674" s="30" t="inlineStr">
        <is>
          <t>AMR3</t>
        </is>
      </c>
      <c r="U674" s="31" t="n">
        <v>53.4</v>
      </c>
      <c r="V674" s="31" t="n">
        <v>53.4</v>
      </c>
      <c r="W674" s="30" t="inlineStr">
        <is>
          <t>AMR2</t>
        </is>
      </c>
      <c r="X674" s="32" t="n">
        <v>0</v>
      </c>
      <c r="Y674" s="32" t="n">
        <v>0</v>
      </c>
      <c r="Z674" s="31" t="n">
        <v>0</v>
      </c>
      <c r="AA674" s="32" t="n">
        <v>0</v>
      </c>
      <c r="AB674" s="32" t="n">
        <v>0</v>
      </c>
      <c r="AC674" s="32" t="n">
        <v>0</v>
      </c>
      <c r="AD674" s="32" t="n">
        <v>0</v>
      </c>
      <c r="AE674" s="31" t="n">
        <v>0</v>
      </c>
      <c r="AF674" s="32" t="n">
        <v>0</v>
      </c>
      <c r="AG674" s="31" t="n">
        <v>0</v>
      </c>
      <c r="AH674" s="32" t="n">
        <v>44</v>
      </c>
      <c r="AI674" s="31" t="n">
        <v>47.7</v>
      </c>
      <c r="AJ674" s="31" t="n">
        <v>40</v>
      </c>
      <c r="AK674" s="31" t="n">
        <v>0</v>
      </c>
      <c r="AL674" s="30" t="inlineStr">
        <is>
          <t>T-0823</t>
        </is>
      </c>
      <c r="AM674" s="30" t="inlineStr">
        <is>
          <t>D-03-01</t>
        </is>
      </c>
      <c r="AN674" s="30" t="inlineStr">
        <is>
          <t>T-0550</t>
        </is>
      </c>
      <c r="AO674" s="30" t="inlineStr">
        <is>
          <t>D-04-01</t>
        </is>
      </c>
    </row>
    <row r="675">
      <c r="A675" s="30" t="inlineStr">
        <is>
          <t>O0674</t>
        </is>
      </c>
      <c r="B675" s="30" t="inlineStr">
        <is>
          <t>A</t>
        </is>
      </c>
      <c r="C675" s="31" t="n">
        <v>9300.200000000001</v>
      </c>
      <c r="D675" s="31" t="n">
        <v>32887.2</v>
      </c>
      <c r="E675" s="31" t="n">
        <v>32887.2</v>
      </c>
      <c r="F675" s="31" t="n">
        <v>32898.6</v>
      </c>
      <c r="G675" s="31" t="n">
        <v>32929.9</v>
      </c>
      <c r="H675" s="31" t="n">
        <v>32950.8</v>
      </c>
      <c r="I675" s="31" t="n">
        <v>32976.9</v>
      </c>
      <c r="J675" s="31" t="n">
        <v>33011.5</v>
      </c>
      <c r="K675" s="31" t="n">
        <v>23711.3</v>
      </c>
      <c r="L675" s="31" t="n">
        <v>23587</v>
      </c>
      <c r="M675" s="30" t="inlineStr">
        <is>
          <t>AMR1</t>
        </is>
      </c>
      <c r="N675" s="30" t="inlineStr">
        <is>
          <t>AMR1</t>
        </is>
      </c>
      <c r="O675" s="32" t="n">
        <v>0</v>
      </c>
      <c r="P675" s="32" t="n">
        <v>0</v>
      </c>
      <c r="Q675" s="32" t="n">
        <v>21</v>
      </c>
      <c r="R675" s="31" t="n">
        <v>36.8</v>
      </c>
      <c r="S675" s="31" t="n">
        <v>36.8</v>
      </c>
      <c r="T675" s="30" t="inlineStr">
        <is>
          <t>AMR1</t>
        </is>
      </c>
      <c r="U675" s="31" t="n">
        <v>60.4</v>
      </c>
      <c r="V675" s="31" t="n">
        <v>60.4</v>
      </c>
      <c r="W675" s="30" t="inlineStr">
        <is>
          <t>AMR1</t>
        </is>
      </c>
      <c r="X675" s="32" t="n">
        <v>0</v>
      </c>
      <c r="Y675" s="32" t="n">
        <v>0</v>
      </c>
      <c r="Z675" s="31" t="n">
        <v>0</v>
      </c>
      <c r="AA675" s="32" t="n">
        <v>0</v>
      </c>
      <c r="AB675" s="32" t="n">
        <v>1</v>
      </c>
      <c r="AC675" s="32" t="n">
        <v>1</v>
      </c>
      <c r="AD675" s="32" t="n">
        <v>0</v>
      </c>
      <c r="AE675" s="31" t="n">
        <v>0</v>
      </c>
      <c r="AF675" s="32" t="n">
        <v>0</v>
      </c>
      <c r="AG675" s="31" t="n">
        <v>0</v>
      </c>
      <c r="AH675" s="32" t="n">
        <v>64</v>
      </c>
      <c r="AI675" s="31" t="n">
        <v>64.09999999999999</v>
      </c>
      <c r="AJ675" s="31" t="n">
        <v>35.1</v>
      </c>
      <c r="AK675" s="31" t="n">
        <v>4.2</v>
      </c>
      <c r="AL675" s="30" t="inlineStr">
        <is>
          <t>T-0824</t>
        </is>
      </c>
      <c r="AM675" s="30" t="inlineStr">
        <is>
          <t>A-03-02</t>
        </is>
      </c>
      <c r="AN675" s="30" t="inlineStr">
        <is>
          <t>T-0706</t>
        </is>
      </c>
      <c r="AO675" s="30" t="inlineStr">
        <is>
          <t>A-04-03</t>
        </is>
      </c>
    </row>
    <row r="676">
      <c r="A676" s="30" t="inlineStr">
        <is>
          <t>O0675</t>
        </is>
      </c>
      <c r="B676" s="30" t="inlineStr">
        <is>
          <t>H</t>
        </is>
      </c>
      <c r="C676" s="31" t="n">
        <v>9305.299999999999</v>
      </c>
      <c r="D676" s="31" t="n">
        <v>32963</v>
      </c>
      <c r="E676" s="31" t="n">
        <v>32963</v>
      </c>
      <c r="F676" s="31" t="n">
        <v>32976.8</v>
      </c>
      <c r="G676" s="31" t="n">
        <v>33001.9</v>
      </c>
      <c r="H676" s="31" t="n">
        <v>33016.7</v>
      </c>
      <c r="I676" s="31" t="n">
        <v>33042.2</v>
      </c>
      <c r="J676" s="31" t="n">
        <v>33069.4</v>
      </c>
      <c r="K676" s="31" t="n">
        <v>23764.1</v>
      </c>
      <c r="L676" s="31" t="n">
        <v>23657.7</v>
      </c>
      <c r="M676" s="30" t="inlineStr">
        <is>
          <t>AMR2</t>
        </is>
      </c>
      <c r="N676" s="30" t="inlineStr">
        <is>
          <t>AMR2</t>
        </is>
      </c>
      <c r="O676" s="32" t="n">
        <v>0</v>
      </c>
      <c r="P676" s="32" t="n">
        <v>0</v>
      </c>
      <c r="Q676" s="32" t="n">
        <v>15</v>
      </c>
      <c r="R676" s="31" t="n">
        <v>38</v>
      </c>
      <c r="S676" s="31" t="n">
        <v>38</v>
      </c>
      <c r="T676" s="30" t="inlineStr">
        <is>
          <t>AMR2</t>
        </is>
      </c>
      <c r="U676" s="31" t="n">
        <v>54.4</v>
      </c>
      <c r="V676" s="31" t="n">
        <v>54.4</v>
      </c>
      <c r="W676" s="30" t="inlineStr">
        <is>
          <t>AMR2</t>
        </is>
      </c>
      <c r="X676" s="32" t="n">
        <v>0</v>
      </c>
      <c r="Y676" s="32" t="n">
        <v>0</v>
      </c>
      <c r="Z676" s="31" t="n">
        <v>0</v>
      </c>
      <c r="AA676" s="32" t="n">
        <v>0</v>
      </c>
      <c r="AB676" s="32" t="n">
        <v>0</v>
      </c>
      <c r="AC676" s="32" t="n">
        <v>0</v>
      </c>
      <c r="AD676" s="32" t="n">
        <v>0</v>
      </c>
      <c r="AE676" s="31" t="n">
        <v>0</v>
      </c>
      <c r="AF676" s="32" t="n">
        <v>0</v>
      </c>
      <c r="AG676" s="31" t="n">
        <v>0</v>
      </c>
      <c r="AH676" s="32" t="n">
        <v>39</v>
      </c>
      <c r="AI676" s="31" t="n">
        <v>44.5</v>
      </c>
      <c r="AJ676" s="31" t="n">
        <v>47.1</v>
      </c>
      <c r="AK676" s="31" t="n">
        <v>0</v>
      </c>
      <c r="AL676" s="30" t="inlineStr">
        <is>
          <t>T-0825</t>
        </is>
      </c>
      <c r="AM676" s="30" t="inlineStr">
        <is>
          <t>H-05-02</t>
        </is>
      </c>
      <c r="AN676" s="30" t="inlineStr">
        <is>
          <t>T-0686</t>
        </is>
      </c>
      <c r="AO676" s="30" t="inlineStr">
        <is>
          <t>H-06-02</t>
        </is>
      </c>
    </row>
    <row r="677">
      <c r="A677" s="30" t="inlineStr">
        <is>
          <t>O0676</t>
        </is>
      </c>
      <c r="B677" s="30" t="inlineStr">
        <is>
          <t>E</t>
        </is>
      </c>
      <c r="C677" s="31" t="n">
        <v>9310.6</v>
      </c>
      <c r="D677" s="31" t="n">
        <v>32975.8</v>
      </c>
      <c r="E677" s="31" t="n">
        <v>32975.8</v>
      </c>
      <c r="F677" s="31" t="n">
        <v>32989.3</v>
      </c>
      <c r="G677" s="31" t="n">
        <v>33018.2</v>
      </c>
      <c r="H677" s="31" t="n">
        <v>33035.2</v>
      </c>
      <c r="I677" s="31" t="n">
        <v>33066.9</v>
      </c>
      <c r="J677" s="31" t="n">
        <v>33104.3</v>
      </c>
      <c r="K677" s="31" t="n">
        <v>23793.7</v>
      </c>
      <c r="L677" s="31" t="n">
        <v>23665.2</v>
      </c>
      <c r="M677" s="30" t="inlineStr">
        <is>
          <t>AMR3</t>
        </is>
      </c>
      <c r="N677" s="30" t="inlineStr">
        <is>
          <t>AMR1</t>
        </is>
      </c>
      <c r="O677" s="32" t="n">
        <v>0</v>
      </c>
      <c r="P677" s="32" t="n">
        <v>0</v>
      </c>
      <c r="Q677" s="32" t="n">
        <v>19</v>
      </c>
      <c r="R677" s="31" t="n">
        <v>39.9</v>
      </c>
      <c r="S677" s="31" t="n">
        <v>39.9</v>
      </c>
      <c r="T677" s="30" t="inlineStr">
        <is>
          <t>AMR3</t>
        </is>
      </c>
      <c r="U677" s="31" t="n">
        <v>58.8</v>
      </c>
      <c r="V677" s="31" t="n">
        <v>58.8</v>
      </c>
      <c r="W677" s="30" t="inlineStr">
        <is>
          <t>AMR1</t>
        </is>
      </c>
      <c r="X677" s="32" t="n">
        <v>0</v>
      </c>
      <c r="Y677" s="32" t="n">
        <v>0</v>
      </c>
      <c r="Z677" s="31" t="n">
        <v>0</v>
      </c>
      <c r="AA677" s="32" t="n">
        <v>0</v>
      </c>
      <c r="AB677" s="32" t="n">
        <v>3</v>
      </c>
      <c r="AC677" s="32" t="n">
        <v>2</v>
      </c>
      <c r="AD677" s="32" t="n">
        <v>0</v>
      </c>
      <c r="AE677" s="31" t="n">
        <v>0</v>
      </c>
      <c r="AF677" s="32" t="n">
        <v>0</v>
      </c>
      <c r="AG677" s="31" t="n">
        <v>0</v>
      </c>
      <c r="AH677" s="32" t="n">
        <v>59</v>
      </c>
      <c r="AI677" s="31" t="n">
        <v>64.3</v>
      </c>
      <c r="AJ677" s="31" t="n">
        <v>41.2</v>
      </c>
      <c r="AK677" s="31" t="n">
        <v>6</v>
      </c>
      <c r="AL677" s="30" t="inlineStr">
        <is>
          <t>T-0826</t>
        </is>
      </c>
      <c r="AM677" s="30" t="inlineStr">
        <is>
          <t>E-05-02</t>
        </is>
      </c>
      <c r="AN677" s="30" t="inlineStr">
        <is>
          <t>T-0693</t>
        </is>
      </c>
      <c r="AO677" s="30" t="inlineStr">
        <is>
          <t>E-01-03</t>
        </is>
      </c>
    </row>
    <row r="678">
      <c r="A678" s="30" t="inlineStr">
        <is>
          <t>O0677</t>
        </is>
      </c>
      <c r="B678" s="30" t="inlineStr">
        <is>
          <t>D</t>
        </is>
      </c>
      <c r="C678" s="31" t="n">
        <v>9314.9</v>
      </c>
      <c r="D678" s="31" t="n">
        <v>33045</v>
      </c>
      <c r="E678" s="31" t="n">
        <v>33045</v>
      </c>
      <c r="F678" s="31" t="n">
        <v>33059.8</v>
      </c>
      <c r="G678" s="31" t="n">
        <v>33089.5</v>
      </c>
      <c r="H678" s="31" t="n">
        <v>33096.4</v>
      </c>
      <c r="I678" s="31" t="n">
        <v>33122.1</v>
      </c>
      <c r="J678" s="31" t="n">
        <v>33154</v>
      </c>
      <c r="K678" s="31" t="n">
        <v>23839.1</v>
      </c>
      <c r="L678" s="31" t="n">
        <v>23730.1</v>
      </c>
      <c r="M678" s="30" t="inlineStr">
        <is>
          <t>AMR3</t>
        </is>
      </c>
      <c r="N678" s="30" t="inlineStr">
        <is>
          <t>AMR2</t>
        </is>
      </c>
      <c r="O678" s="32" t="n">
        <v>0</v>
      </c>
      <c r="P678" s="32" t="n">
        <v>0</v>
      </c>
      <c r="Q678" s="32" t="n">
        <v>13</v>
      </c>
      <c r="R678" s="31" t="n">
        <v>36.7</v>
      </c>
      <c r="S678" s="31" t="n">
        <v>36.7</v>
      </c>
      <c r="T678" s="30" t="inlineStr">
        <is>
          <t>AMR3</t>
        </is>
      </c>
      <c r="U678" s="31" t="n">
        <v>54.3</v>
      </c>
      <c r="V678" s="31" t="n">
        <v>54.3</v>
      </c>
      <c r="W678" s="30" t="inlineStr">
        <is>
          <t>AMR2</t>
        </is>
      </c>
      <c r="X678" s="32" t="n">
        <v>0</v>
      </c>
      <c r="Y678" s="32" t="n">
        <v>0</v>
      </c>
      <c r="Z678" s="31" t="n">
        <v>0</v>
      </c>
      <c r="AA678" s="32" t="n">
        <v>0</v>
      </c>
      <c r="AB678" s="32" t="n">
        <v>1</v>
      </c>
      <c r="AC678" s="32" t="n">
        <v>1</v>
      </c>
      <c r="AD678" s="32" t="n">
        <v>0</v>
      </c>
      <c r="AE678" s="31" t="n">
        <v>0</v>
      </c>
      <c r="AF678" s="32" t="n">
        <v>1</v>
      </c>
      <c r="AG678" s="31" t="n">
        <v>0.3</v>
      </c>
      <c r="AH678" s="32" t="n">
        <v>45</v>
      </c>
      <c r="AI678" s="31" t="n">
        <v>48.5</v>
      </c>
      <c r="AJ678" s="31" t="n">
        <v>48.3</v>
      </c>
      <c r="AK678" s="31" t="n">
        <v>5.3</v>
      </c>
      <c r="AL678" s="30" t="inlineStr">
        <is>
          <t>T-0827</t>
        </is>
      </c>
      <c r="AM678" s="30" t="inlineStr">
        <is>
          <t>D-04-01</t>
        </is>
      </c>
      <c r="AN678" s="30" t="inlineStr">
        <is>
          <t>T-0586</t>
        </is>
      </c>
      <c r="AO678" s="30" t="inlineStr">
        <is>
          <t>D-05-01</t>
        </is>
      </c>
    </row>
    <row r="679">
      <c r="A679" s="30" t="inlineStr">
        <is>
          <t>O0678</t>
        </is>
      </c>
      <c r="B679" s="30" t="inlineStr">
        <is>
          <t>D</t>
        </is>
      </c>
      <c r="C679" s="31" t="n">
        <v>9319</v>
      </c>
      <c r="D679" s="31" t="n">
        <v>33104.3</v>
      </c>
      <c r="E679" s="31" t="n">
        <v>33104.3</v>
      </c>
      <c r="F679" s="31" t="n">
        <v>33115.4</v>
      </c>
      <c r="G679" s="31" t="n">
        <v>33142.8</v>
      </c>
      <c r="H679" s="31" t="n">
        <v>33157.6</v>
      </c>
      <c r="I679" s="31" t="n">
        <v>33191.2</v>
      </c>
      <c r="J679" s="31" t="n">
        <v>33226.6</v>
      </c>
      <c r="K679" s="31" t="n">
        <v>23907.6</v>
      </c>
      <c r="L679" s="31" t="n">
        <v>23785.3</v>
      </c>
      <c r="M679" s="30" t="inlineStr">
        <is>
          <t>AMR3</t>
        </is>
      </c>
      <c r="N679" s="30" t="inlineStr">
        <is>
          <t>AMR3</t>
        </is>
      </c>
      <c r="O679" s="32" t="n">
        <v>0</v>
      </c>
      <c r="P679" s="32" t="n">
        <v>0</v>
      </c>
      <c r="Q679" s="32" t="n">
        <v>13</v>
      </c>
      <c r="R679" s="31" t="n">
        <v>31</v>
      </c>
      <c r="S679" s="31" t="n">
        <v>31</v>
      </c>
      <c r="T679" s="30" t="inlineStr">
        <is>
          <t>AMR3</t>
        </is>
      </c>
      <c r="U679" s="31" t="n">
        <v>51.8</v>
      </c>
      <c r="V679" s="31" t="n">
        <v>51.8</v>
      </c>
      <c r="W679" s="30" t="inlineStr">
        <is>
          <t>AMR3</t>
        </is>
      </c>
      <c r="X679" s="32" t="n">
        <v>0</v>
      </c>
      <c r="Y679" s="32" t="n">
        <v>0</v>
      </c>
      <c r="Z679" s="31" t="n">
        <v>0</v>
      </c>
      <c r="AA679" s="32" t="n">
        <v>0</v>
      </c>
      <c r="AB679" s="32" t="n">
        <v>4</v>
      </c>
      <c r="AC679" s="32" t="n">
        <v>2</v>
      </c>
      <c r="AD679" s="32" t="n">
        <v>1</v>
      </c>
      <c r="AE679" s="31" t="n">
        <v>2</v>
      </c>
      <c r="AF679" s="32" t="n">
        <v>0</v>
      </c>
      <c r="AG679" s="31" t="n">
        <v>0</v>
      </c>
      <c r="AH679" s="32" t="n">
        <v>51</v>
      </c>
      <c r="AI679" s="31" t="n">
        <v>55.8</v>
      </c>
      <c r="AJ679" s="31" t="n">
        <v>40.1</v>
      </c>
      <c r="AK679" s="31" t="n">
        <v>11.6</v>
      </c>
      <c r="AL679" s="30" t="inlineStr">
        <is>
          <t>T-0828</t>
        </is>
      </c>
      <c r="AM679" s="30" t="inlineStr">
        <is>
          <t>D-05-03</t>
        </is>
      </c>
      <c r="AN679" s="30" t="inlineStr">
        <is>
          <t>T-0595</t>
        </is>
      </c>
      <c r="AO679" s="30" t="inlineStr">
        <is>
          <t>D-06-01</t>
        </is>
      </c>
    </row>
    <row r="680">
      <c r="A680" s="30" t="inlineStr">
        <is>
          <t>O0679</t>
        </is>
      </c>
      <c r="B680" s="30" t="inlineStr">
        <is>
          <t>C</t>
        </is>
      </c>
      <c r="C680" s="31" t="n">
        <v>9324.799999999999</v>
      </c>
      <c r="D680" s="31" t="n">
        <v>33133</v>
      </c>
      <c r="E680" s="31" t="n">
        <v>33133</v>
      </c>
      <c r="F680" s="31" t="n">
        <v>33147.5</v>
      </c>
      <c r="G680" s="31" t="n">
        <v>33170.7</v>
      </c>
      <c r="H680" s="31" t="n">
        <v>33182.3</v>
      </c>
      <c r="I680" s="31" t="n">
        <v>33208.3</v>
      </c>
      <c r="J680" s="31" t="n">
        <v>33240.6</v>
      </c>
      <c r="K680" s="31" t="n">
        <v>23915.8</v>
      </c>
      <c r="L680" s="31" t="n">
        <v>23808.2</v>
      </c>
      <c r="M680" s="30" t="inlineStr">
        <is>
          <t>AMR1</t>
        </is>
      </c>
      <c r="N680" s="30" t="inlineStr">
        <is>
          <t>AMR2</t>
        </is>
      </c>
      <c r="O680" s="32" t="n">
        <v>0</v>
      </c>
      <c r="P680" s="32" t="n">
        <v>0</v>
      </c>
      <c r="Q680" s="32" t="n">
        <v>13</v>
      </c>
      <c r="R680" s="31" t="n">
        <v>36</v>
      </c>
      <c r="S680" s="31" t="n">
        <v>36</v>
      </c>
      <c r="T680" s="30" t="inlineStr">
        <is>
          <t>AMR1</t>
        </is>
      </c>
      <c r="U680" s="31" t="n">
        <v>48.9</v>
      </c>
      <c r="V680" s="31" t="n">
        <v>48.9</v>
      </c>
      <c r="W680" s="30" t="inlineStr">
        <is>
          <t>AMR2</t>
        </is>
      </c>
      <c r="X680" s="32" t="n">
        <v>0</v>
      </c>
      <c r="Y680" s="32" t="n">
        <v>0</v>
      </c>
      <c r="Z680" s="31" t="n">
        <v>0</v>
      </c>
      <c r="AA680" s="32" t="n">
        <v>0</v>
      </c>
      <c r="AB680" s="32" t="n">
        <v>2</v>
      </c>
      <c r="AC680" s="32" t="n">
        <v>1</v>
      </c>
      <c r="AD680" s="32" t="n">
        <v>1</v>
      </c>
      <c r="AE680" s="31" t="n">
        <v>4.7</v>
      </c>
      <c r="AF680" s="32" t="n">
        <v>0</v>
      </c>
      <c r="AG680" s="31" t="n">
        <v>0</v>
      </c>
      <c r="AH680" s="32" t="n">
        <v>40</v>
      </c>
      <c r="AI680" s="31" t="n">
        <v>45.6</v>
      </c>
      <c r="AJ680" s="31" t="n">
        <v>42.7</v>
      </c>
      <c r="AK680" s="31" t="n">
        <v>7.7</v>
      </c>
      <c r="AL680" s="30" t="inlineStr">
        <is>
          <t>T-0829</t>
        </is>
      </c>
      <c r="AM680" s="30" t="inlineStr">
        <is>
          <t>C-03-02</t>
        </is>
      </c>
      <c r="AN680" s="30" t="inlineStr">
        <is>
          <t>T-0690</t>
        </is>
      </c>
      <c r="AO680" s="30" t="inlineStr">
        <is>
          <t>C-04-02</t>
        </is>
      </c>
    </row>
    <row r="681">
      <c r="A681" s="30" t="inlineStr">
        <is>
          <t>O0680</t>
        </is>
      </c>
      <c r="B681" s="30" t="inlineStr">
        <is>
          <t>G</t>
        </is>
      </c>
      <c r="C681" s="31" t="n">
        <v>9331.5</v>
      </c>
      <c r="D681" s="31" t="n">
        <v>33192.2</v>
      </c>
      <c r="E681" s="31" t="n">
        <v>33192.2</v>
      </c>
      <c r="F681" s="31" t="n">
        <v>33203.4</v>
      </c>
      <c r="G681" s="31" t="n">
        <v>33230.8</v>
      </c>
      <c r="H681" s="31" t="n">
        <v>33246.3</v>
      </c>
      <c r="I681" s="31" t="n">
        <v>33276</v>
      </c>
      <c r="J681" s="31" t="n">
        <v>33305.8</v>
      </c>
      <c r="K681" s="31" t="n">
        <v>23974.3</v>
      </c>
      <c r="L681" s="31" t="n">
        <v>23860.7</v>
      </c>
      <c r="M681" s="30" t="inlineStr">
        <is>
          <t>AMR1</t>
        </is>
      </c>
      <c r="N681" s="30" t="inlineStr">
        <is>
          <t>AMR1</t>
        </is>
      </c>
      <c r="O681" s="32" t="n">
        <v>0</v>
      </c>
      <c r="P681" s="32" t="n">
        <v>0</v>
      </c>
      <c r="Q681" s="32" t="n">
        <v>17</v>
      </c>
      <c r="R681" s="31" t="n">
        <v>38.5</v>
      </c>
      <c r="S681" s="31" t="n">
        <v>38.5</v>
      </c>
      <c r="T681" s="30" t="inlineStr">
        <is>
          <t>AMR1</t>
        </is>
      </c>
      <c r="U681" s="31" t="n">
        <v>56.2</v>
      </c>
      <c r="V681" s="31" t="n">
        <v>56.2</v>
      </c>
      <c r="W681" s="30" t="inlineStr">
        <is>
          <t>AMR1</t>
        </is>
      </c>
      <c r="X681" s="32" t="n">
        <v>0</v>
      </c>
      <c r="Y681" s="32" t="n">
        <v>0</v>
      </c>
      <c r="Z681" s="31" t="n">
        <v>0</v>
      </c>
      <c r="AA681" s="32" t="n">
        <v>0</v>
      </c>
      <c r="AB681" s="32" t="n">
        <v>0</v>
      </c>
      <c r="AC681" s="32" t="n">
        <v>0</v>
      </c>
      <c r="AD681" s="32" t="n">
        <v>0</v>
      </c>
      <c r="AE681" s="31" t="n">
        <v>0</v>
      </c>
      <c r="AF681" s="32" t="n">
        <v>0</v>
      </c>
      <c r="AG681" s="31" t="n">
        <v>0</v>
      </c>
      <c r="AH681" s="32" t="n">
        <v>50</v>
      </c>
      <c r="AI681" s="31" t="n">
        <v>53.8</v>
      </c>
      <c r="AJ681" s="31" t="n">
        <v>44.3</v>
      </c>
      <c r="AK681" s="31" t="n">
        <v>0</v>
      </c>
      <c r="AL681" s="30" t="inlineStr">
        <is>
          <t>T-0830</t>
        </is>
      </c>
      <c r="AM681" s="30" t="inlineStr">
        <is>
          <t>G-06-01</t>
        </is>
      </c>
      <c r="AN681" s="30" t="inlineStr">
        <is>
          <t>T-0655</t>
        </is>
      </c>
      <c r="AO681" s="30" t="inlineStr">
        <is>
          <t>G-02-02</t>
        </is>
      </c>
    </row>
    <row r="682">
      <c r="A682" s="30" t="inlineStr">
        <is>
          <t>O0681</t>
        </is>
      </c>
      <c r="B682" s="30" t="inlineStr">
        <is>
          <t>H</t>
        </is>
      </c>
      <c r="C682" s="31" t="n">
        <v>9337.299999999999</v>
      </c>
      <c r="D682" s="31" t="n">
        <v>33250.3</v>
      </c>
      <c r="E682" s="31" t="n">
        <v>33250.3</v>
      </c>
      <c r="F682" s="31" t="n">
        <v>33260.7</v>
      </c>
      <c r="G682" s="31" t="n">
        <v>33282.7</v>
      </c>
      <c r="H682" s="31" t="n">
        <v>33296.2</v>
      </c>
      <c r="I682" s="31" t="n">
        <v>33323.2</v>
      </c>
      <c r="J682" s="31" t="n">
        <v>33346.3</v>
      </c>
      <c r="K682" s="31" t="n">
        <v>24009</v>
      </c>
      <c r="L682" s="31" t="n">
        <v>23913</v>
      </c>
      <c r="M682" s="30" t="inlineStr">
        <is>
          <t>AMR3</t>
        </is>
      </c>
      <c r="N682" s="30" t="inlineStr">
        <is>
          <t>AMR3</t>
        </is>
      </c>
      <c r="O682" s="32" t="n">
        <v>0</v>
      </c>
      <c r="P682" s="32" t="n">
        <v>0</v>
      </c>
      <c r="Q682" s="32" t="n">
        <v>15</v>
      </c>
      <c r="R682" s="31" t="n">
        <v>32.3</v>
      </c>
      <c r="S682" s="31" t="n">
        <v>32.3</v>
      </c>
      <c r="T682" s="30" t="inlineStr">
        <is>
          <t>AMR3</t>
        </is>
      </c>
      <c r="U682" s="31" t="n">
        <v>51.8</v>
      </c>
      <c r="V682" s="31" t="n">
        <v>51.8</v>
      </c>
      <c r="W682" s="30" t="inlineStr">
        <is>
          <t>AMR3</t>
        </is>
      </c>
      <c r="X682" s="32" t="n">
        <v>0</v>
      </c>
      <c r="Y682" s="32" t="n">
        <v>0</v>
      </c>
      <c r="Z682" s="31" t="n">
        <v>0</v>
      </c>
      <c r="AA682" s="32" t="n">
        <v>0</v>
      </c>
      <c r="AB682" s="32" t="n">
        <v>0</v>
      </c>
      <c r="AC682" s="32" t="n">
        <v>0</v>
      </c>
      <c r="AD682" s="32" t="n">
        <v>0</v>
      </c>
      <c r="AE682" s="31" t="n">
        <v>0</v>
      </c>
      <c r="AF682" s="32" t="n">
        <v>0</v>
      </c>
      <c r="AG682" s="31" t="n">
        <v>0</v>
      </c>
      <c r="AH682" s="32" t="n">
        <v>38</v>
      </c>
      <c r="AI682" s="31" t="n">
        <v>43.7</v>
      </c>
      <c r="AJ682" s="31" t="n">
        <v>38.8</v>
      </c>
      <c r="AK682" s="31" t="n">
        <v>0</v>
      </c>
      <c r="AL682" s="30" t="inlineStr">
        <is>
          <t>T-0831</t>
        </is>
      </c>
      <c r="AM682" s="30" t="inlineStr">
        <is>
          <t>H-06-02</t>
        </is>
      </c>
      <c r="AN682" s="30" t="inlineStr">
        <is>
          <t>T-0689</t>
        </is>
      </c>
      <c r="AO682" s="30" t="inlineStr">
        <is>
          <t>H-06-01</t>
        </is>
      </c>
    </row>
    <row r="683">
      <c r="A683" s="30" t="inlineStr">
        <is>
          <t>O0682</t>
        </is>
      </c>
      <c r="B683" s="30" t="inlineStr">
        <is>
          <t>D</t>
        </is>
      </c>
      <c r="C683" s="31" t="n">
        <v>9341</v>
      </c>
      <c r="D683" s="31" t="n">
        <v>33264.3</v>
      </c>
      <c r="E683" s="31" t="n">
        <v>33264.3</v>
      </c>
      <c r="F683" s="31" t="n">
        <v>33279</v>
      </c>
      <c r="G683" s="31" t="n">
        <v>33302.8</v>
      </c>
      <c r="H683" s="31" t="n">
        <v>33319.7</v>
      </c>
      <c r="I683" s="31" t="n">
        <v>33347.8</v>
      </c>
      <c r="J683" s="31" t="n">
        <v>33375</v>
      </c>
      <c r="K683" s="31" t="n">
        <v>24034</v>
      </c>
      <c r="L683" s="31" t="n">
        <v>23923.3</v>
      </c>
      <c r="M683" s="30" t="inlineStr">
        <is>
          <t>AMR2</t>
        </is>
      </c>
      <c r="N683" s="30" t="inlineStr">
        <is>
          <t>AMR2</t>
        </is>
      </c>
      <c r="O683" s="32" t="n">
        <v>0</v>
      </c>
      <c r="P683" s="32" t="n">
        <v>0</v>
      </c>
      <c r="Q683" s="32" t="n">
        <v>13</v>
      </c>
      <c r="R683" s="31" t="n">
        <v>36</v>
      </c>
      <c r="S683" s="31" t="n">
        <v>36</v>
      </c>
      <c r="T683" s="30" t="inlineStr">
        <is>
          <t>AMR2</t>
        </is>
      </c>
      <c r="U683" s="31" t="n">
        <v>49.1</v>
      </c>
      <c r="V683" s="31" t="n">
        <v>49.1</v>
      </c>
      <c r="W683" s="30" t="inlineStr">
        <is>
          <t>AMR2</t>
        </is>
      </c>
      <c r="X683" s="32" t="n">
        <v>0</v>
      </c>
      <c r="Y683" s="32" t="n">
        <v>0</v>
      </c>
      <c r="Z683" s="31" t="n">
        <v>0</v>
      </c>
      <c r="AA683" s="32" t="n">
        <v>0</v>
      </c>
      <c r="AB683" s="32" t="n">
        <v>1</v>
      </c>
      <c r="AC683" s="32" t="n">
        <v>1</v>
      </c>
      <c r="AD683" s="32" t="n">
        <v>0</v>
      </c>
      <c r="AE683" s="31" t="n">
        <v>0</v>
      </c>
      <c r="AF683" s="32" t="n">
        <v>0</v>
      </c>
      <c r="AG683" s="31" t="n">
        <v>0</v>
      </c>
      <c r="AH683" s="32" t="n">
        <v>43</v>
      </c>
      <c r="AI683" s="31" t="n">
        <v>48.4</v>
      </c>
      <c r="AJ683" s="31" t="n">
        <v>42.4</v>
      </c>
      <c r="AK683" s="31" t="n">
        <v>3</v>
      </c>
      <c r="AL683" s="30" t="inlineStr">
        <is>
          <t>T-0832</t>
        </is>
      </c>
      <c r="AM683" s="30" t="inlineStr">
        <is>
          <t>D-05-01</t>
        </is>
      </c>
      <c r="AN683" s="30" t="inlineStr">
        <is>
          <t>T-0598</t>
        </is>
      </c>
      <c r="AO683" s="30" t="inlineStr">
        <is>
          <t>D-02-01</t>
        </is>
      </c>
    </row>
    <row r="684">
      <c r="A684" s="30" t="inlineStr">
        <is>
          <t>O0683</t>
        </is>
      </c>
      <c r="B684" s="30" t="inlineStr">
        <is>
          <t>F</t>
        </is>
      </c>
      <c r="C684" s="31" t="n">
        <v>9345.299999999999</v>
      </c>
      <c r="D684" s="31" t="n">
        <v>33334.8</v>
      </c>
      <c r="E684" s="31" t="n">
        <v>33334.8</v>
      </c>
      <c r="F684" s="31" t="n">
        <v>33348.7</v>
      </c>
      <c r="G684" s="31" t="n">
        <v>33378.8</v>
      </c>
      <c r="H684" s="31" t="n">
        <v>33398.7</v>
      </c>
      <c r="I684" s="31" t="n">
        <v>33430.5</v>
      </c>
      <c r="J684" s="31" t="n">
        <v>33462.1</v>
      </c>
      <c r="K684" s="31" t="n">
        <v>24116.8</v>
      </c>
      <c r="L684" s="31" t="n">
        <v>23989.5</v>
      </c>
      <c r="M684" s="30" t="inlineStr">
        <is>
          <t>AMR1</t>
        </is>
      </c>
      <c r="N684" s="30" t="inlineStr">
        <is>
          <t>AMR2</t>
        </is>
      </c>
      <c r="O684" s="32" t="n">
        <v>0</v>
      </c>
      <c r="P684" s="32" t="n">
        <v>0</v>
      </c>
      <c r="Q684" s="32" t="n">
        <v>23</v>
      </c>
      <c r="R684" s="31" t="n">
        <v>43.1</v>
      </c>
      <c r="S684" s="31" t="n">
        <v>43.1</v>
      </c>
      <c r="T684" s="30" t="inlineStr">
        <is>
          <t>AMR1</t>
        </is>
      </c>
      <c r="U684" s="31" t="n">
        <v>61.7</v>
      </c>
      <c r="V684" s="31" t="n">
        <v>61.7</v>
      </c>
      <c r="W684" s="30" t="inlineStr">
        <is>
          <t>AMR2</t>
        </is>
      </c>
      <c r="X684" s="32" t="n">
        <v>0</v>
      </c>
      <c r="Y684" s="32" t="n">
        <v>0</v>
      </c>
      <c r="Z684" s="31" t="n">
        <v>0</v>
      </c>
      <c r="AA684" s="32" t="n">
        <v>0</v>
      </c>
      <c r="AB684" s="32" t="n">
        <v>0</v>
      </c>
      <c r="AC684" s="32" t="n">
        <v>1</v>
      </c>
      <c r="AD684" s="32" t="n">
        <v>0</v>
      </c>
      <c r="AE684" s="31" t="n">
        <v>0</v>
      </c>
      <c r="AF684" s="32" t="n">
        <v>0</v>
      </c>
      <c r="AG684" s="31" t="n">
        <v>0</v>
      </c>
      <c r="AH684" s="32" t="n">
        <v>63</v>
      </c>
      <c r="AI684" s="31" t="n">
        <v>64.8</v>
      </c>
      <c r="AJ684" s="31" t="n">
        <v>39.6</v>
      </c>
      <c r="AK684" s="31" t="n">
        <v>3</v>
      </c>
      <c r="AL684" s="30" t="inlineStr">
        <is>
          <t>T-0833</t>
        </is>
      </c>
      <c r="AM684" s="30" t="inlineStr">
        <is>
          <t>F-05-01</t>
        </is>
      </c>
      <c r="AN684" s="30" t="inlineStr">
        <is>
          <t>T-0713</t>
        </is>
      </c>
      <c r="AO684" s="30" t="inlineStr">
        <is>
          <t>F-06-01</t>
        </is>
      </c>
    </row>
    <row r="685">
      <c r="A685" s="30" t="inlineStr">
        <is>
          <t>O0684</t>
        </is>
      </c>
      <c r="B685" s="30" t="inlineStr">
        <is>
          <t>G</t>
        </is>
      </c>
      <c r="C685" s="31" t="n">
        <v>9350.5</v>
      </c>
      <c r="D685" s="31" t="n">
        <v>33370</v>
      </c>
      <c r="E685" s="31" t="n">
        <v>33370</v>
      </c>
      <c r="F685" s="31" t="n">
        <v>33393.5</v>
      </c>
      <c r="G685" s="31" t="n">
        <v>33425.4</v>
      </c>
      <c r="H685" s="31" t="n">
        <v>33443.6</v>
      </c>
      <c r="I685" s="31" t="n">
        <v>33474</v>
      </c>
      <c r="J685" s="31" t="n">
        <v>33500</v>
      </c>
      <c r="K685" s="31" t="n">
        <v>24149.5</v>
      </c>
      <c r="L685" s="31" t="n">
        <v>24019.5</v>
      </c>
      <c r="M685" s="30" t="inlineStr">
        <is>
          <t>AMR3</t>
        </is>
      </c>
      <c r="N685" s="30" t="inlineStr">
        <is>
          <t>AMR3</t>
        </is>
      </c>
      <c r="O685" s="32" t="n">
        <v>0</v>
      </c>
      <c r="P685" s="32" t="n">
        <v>0</v>
      </c>
      <c r="Q685" s="32" t="n">
        <v>17</v>
      </c>
      <c r="R685" s="31" t="n">
        <v>51</v>
      </c>
      <c r="S685" s="31" t="n">
        <v>51</v>
      </c>
      <c r="T685" s="30" t="inlineStr">
        <is>
          <t>AMR3</t>
        </is>
      </c>
      <c r="U685" s="31" t="n">
        <v>54.6</v>
      </c>
      <c r="V685" s="31" t="n">
        <v>54.6</v>
      </c>
      <c r="W685" s="30" t="inlineStr">
        <is>
          <t>AMR3</t>
        </is>
      </c>
      <c r="X685" s="32" t="n">
        <v>0</v>
      </c>
      <c r="Y685" s="32" t="n">
        <v>0</v>
      </c>
      <c r="Z685" s="31" t="n">
        <v>0</v>
      </c>
      <c r="AA685" s="32" t="n">
        <v>0</v>
      </c>
      <c r="AB685" s="32" t="n">
        <v>1</v>
      </c>
      <c r="AC685" s="32" t="n">
        <v>0</v>
      </c>
      <c r="AD685" s="32" t="n">
        <v>0</v>
      </c>
      <c r="AE685" s="31" t="n">
        <v>0</v>
      </c>
      <c r="AF685" s="32" t="n">
        <v>0</v>
      </c>
      <c r="AG685" s="31" t="n">
        <v>0</v>
      </c>
      <c r="AH685" s="32" t="n">
        <v>51</v>
      </c>
      <c r="AI685" s="31" t="n">
        <v>54.7</v>
      </c>
      <c r="AJ685" s="31" t="n">
        <v>55.2</v>
      </c>
      <c r="AK685" s="31" t="n">
        <v>1.9</v>
      </c>
      <c r="AL685" s="30" t="inlineStr">
        <is>
          <t>T-0834</t>
        </is>
      </c>
      <c r="AM685" s="30" t="inlineStr">
        <is>
          <t>G-01-02</t>
        </is>
      </c>
      <c r="AN685" s="30" t="inlineStr">
        <is>
          <t>T-0660</t>
        </is>
      </c>
      <c r="AO685" s="30" t="inlineStr">
        <is>
          <t>G-03-02</t>
        </is>
      </c>
    </row>
    <row r="686">
      <c r="A686" s="30" t="inlineStr">
        <is>
          <t>O0685</t>
        </is>
      </c>
      <c r="B686" s="30" t="inlineStr">
        <is>
          <t>D</t>
        </is>
      </c>
      <c r="C686" s="31" t="n">
        <v>9354</v>
      </c>
      <c r="D686" s="31" t="n">
        <v>33406.6</v>
      </c>
      <c r="E686" s="31" t="n">
        <v>33406.6</v>
      </c>
      <c r="F686" s="31" t="n">
        <v>33422.2</v>
      </c>
      <c r="G686" s="31" t="n">
        <v>33443.5</v>
      </c>
      <c r="H686" s="31" t="n">
        <v>33456.3</v>
      </c>
      <c r="I686" s="31" t="n">
        <v>33482.2</v>
      </c>
      <c r="J686" s="31" t="n">
        <v>33511.9</v>
      </c>
      <c r="K686" s="31" t="n">
        <v>24157.9</v>
      </c>
      <c r="L686" s="31" t="n">
        <v>24052.6</v>
      </c>
      <c r="M686" s="30" t="inlineStr">
        <is>
          <t>AMR1</t>
        </is>
      </c>
      <c r="N686" s="30" t="inlineStr">
        <is>
          <t>AMR1</t>
        </is>
      </c>
      <c r="O686" s="32" t="n">
        <v>0</v>
      </c>
      <c r="P686" s="32" t="n">
        <v>0</v>
      </c>
      <c r="Q686" s="32" t="n">
        <v>13</v>
      </c>
      <c r="R686" s="31" t="n">
        <v>36</v>
      </c>
      <c r="S686" s="31" t="n">
        <v>36</v>
      </c>
      <c r="T686" s="30" t="inlineStr">
        <is>
          <t>AMR1</t>
        </is>
      </c>
      <c r="U686" s="31" t="n">
        <v>51.6</v>
      </c>
      <c r="V686" s="31" t="n">
        <v>51.6</v>
      </c>
      <c r="W686" s="30" t="inlineStr">
        <is>
          <t>AMR1</t>
        </is>
      </c>
      <c r="X686" s="32" t="n">
        <v>0</v>
      </c>
      <c r="Y686" s="32" t="n">
        <v>0</v>
      </c>
      <c r="Z686" s="31" t="n">
        <v>0</v>
      </c>
      <c r="AA686" s="32" t="n">
        <v>0</v>
      </c>
      <c r="AB686" s="32" t="n">
        <v>0</v>
      </c>
      <c r="AC686" s="32" t="n">
        <v>0</v>
      </c>
      <c r="AD686" s="32" t="n">
        <v>1</v>
      </c>
      <c r="AE686" s="31" t="n">
        <v>4.2</v>
      </c>
      <c r="AF686" s="32" t="n">
        <v>0</v>
      </c>
      <c r="AG686" s="31" t="n">
        <v>0</v>
      </c>
      <c r="AH686" s="32" t="n">
        <v>39</v>
      </c>
      <c r="AI686" s="31" t="n">
        <v>43.4</v>
      </c>
      <c r="AJ686" s="31" t="n">
        <v>44.9</v>
      </c>
      <c r="AK686" s="31" t="n">
        <v>4.2</v>
      </c>
      <c r="AL686" s="30" t="inlineStr">
        <is>
          <t>T-0835</t>
        </is>
      </c>
      <c r="AM686" s="30" t="inlineStr">
        <is>
          <t>D-02-01</t>
        </is>
      </c>
      <c r="AN686" s="30" t="inlineStr">
        <is>
          <t>T-0644</t>
        </is>
      </c>
      <c r="AO686" s="30" t="inlineStr">
        <is>
          <t>D-01-02</t>
        </is>
      </c>
    </row>
    <row r="687">
      <c r="A687" s="30" t="inlineStr">
        <is>
          <t>O0686</t>
        </is>
      </c>
      <c r="B687" s="30" t="inlineStr">
        <is>
          <t>E</t>
        </is>
      </c>
      <c r="C687" s="31" t="n">
        <v>9359.6</v>
      </c>
      <c r="D687" s="31" t="n">
        <v>33485.8</v>
      </c>
      <c r="E687" s="31" t="n">
        <v>33485.8</v>
      </c>
      <c r="F687" s="31" t="n">
        <v>33499.8</v>
      </c>
      <c r="G687" s="31" t="n">
        <v>33529.8</v>
      </c>
      <c r="H687" s="31" t="n">
        <v>33535.6</v>
      </c>
      <c r="I687" s="31" t="n">
        <v>33568.2</v>
      </c>
      <c r="J687" s="31" t="n">
        <v>33602.1</v>
      </c>
      <c r="K687" s="31" t="n">
        <v>24242.5</v>
      </c>
      <c r="L687" s="31" t="n">
        <v>24126.2</v>
      </c>
      <c r="M687" s="30" t="inlineStr">
        <is>
          <t>AMR2</t>
        </is>
      </c>
      <c r="N687" s="30" t="inlineStr">
        <is>
          <t>AMR1</t>
        </is>
      </c>
      <c r="O687" s="32" t="n">
        <v>0</v>
      </c>
      <c r="P687" s="32" t="n">
        <v>0</v>
      </c>
      <c r="Q687" s="32" t="n">
        <v>19</v>
      </c>
      <c r="R687" s="31" t="n">
        <v>43.1</v>
      </c>
      <c r="S687" s="31" t="n">
        <v>43.1</v>
      </c>
      <c r="T687" s="30" t="inlineStr">
        <is>
          <t>AMR2</t>
        </is>
      </c>
      <c r="U687" s="31" t="n">
        <v>61.7</v>
      </c>
      <c r="V687" s="31" t="n">
        <v>61.7</v>
      </c>
      <c r="W687" s="30" t="inlineStr">
        <is>
          <t>AMR1</t>
        </is>
      </c>
      <c r="X687" s="32" t="n">
        <v>0</v>
      </c>
      <c r="Y687" s="32" t="n">
        <v>0</v>
      </c>
      <c r="Z687" s="31" t="n">
        <v>0</v>
      </c>
      <c r="AA687" s="32" t="n">
        <v>0</v>
      </c>
      <c r="AB687" s="32" t="n">
        <v>0</v>
      </c>
      <c r="AC687" s="32" t="n">
        <v>0</v>
      </c>
      <c r="AD687" s="32" t="n">
        <v>0</v>
      </c>
      <c r="AE687" s="31" t="n">
        <v>0</v>
      </c>
      <c r="AF687" s="32" t="n">
        <v>0</v>
      </c>
      <c r="AG687" s="31" t="n">
        <v>0</v>
      </c>
      <c r="AH687" s="32" t="n">
        <v>63</v>
      </c>
      <c r="AI687" s="31" t="n">
        <v>63.2</v>
      </c>
      <c r="AJ687" s="31" t="n">
        <v>47.3</v>
      </c>
      <c r="AK687" s="31" t="n">
        <v>0</v>
      </c>
      <c r="AL687" s="30" t="inlineStr">
        <is>
          <t>T-0836</t>
        </is>
      </c>
      <c r="AM687" s="30" t="inlineStr">
        <is>
          <t>E-01-03</t>
        </is>
      </c>
      <c r="AN687" s="30" t="inlineStr">
        <is>
          <t>T-0696</t>
        </is>
      </c>
      <c r="AO687" s="30" t="inlineStr">
        <is>
          <t>E-06-02</t>
        </is>
      </c>
    </row>
    <row r="688">
      <c r="A688" s="30" t="inlineStr">
        <is>
          <t>O0687</t>
        </is>
      </c>
      <c r="B688" s="30" t="inlineStr">
        <is>
          <t>A</t>
        </is>
      </c>
      <c r="C688" s="31" t="n">
        <v>9364.799999999999</v>
      </c>
      <c r="D688" s="31" t="n">
        <v>33523.7</v>
      </c>
      <c r="E688" s="31" t="n">
        <v>33523.7</v>
      </c>
      <c r="F688" s="31" t="n">
        <v>33534.9</v>
      </c>
      <c r="G688" s="31" t="n">
        <v>33563.7</v>
      </c>
      <c r="H688" s="31" t="n">
        <v>33583.9</v>
      </c>
      <c r="I688" s="31" t="n">
        <v>33611.7</v>
      </c>
      <c r="J688" s="31" t="n">
        <v>33643.6</v>
      </c>
      <c r="K688" s="31" t="n">
        <v>24278.8</v>
      </c>
      <c r="L688" s="31" t="n">
        <v>24158.9</v>
      </c>
      <c r="M688" s="30" t="inlineStr">
        <is>
          <t>AMR3</t>
        </is>
      </c>
      <c r="N688" s="30" t="inlineStr">
        <is>
          <t>AMR3</t>
        </is>
      </c>
      <c r="O688" s="32" t="n">
        <v>0</v>
      </c>
      <c r="P688" s="32" t="n">
        <v>0</v>
      </c>
      <c r="Q688" s="32" t="n">
        <v>21</v>
      </c>
      <c r="R688" s="31" t="n">
        <v>39.1</v>
      </c>
      <c r="S688" s="31" t="n">
        <v>39.1</v>
      </c>
      <c r="T688" s="30" t="inlineStr">
        <is>
          <t>AMR3</t>
        </is>
      </c>
      <c r="U688" s="31" t="n">
        <v>61.4</v>
      </c>
      <c r="V688" s="31" t="n">
        <v>61.4</v>
      </c>
      <c r="W688" s="30" t="inlineStr">
        <is>
          <t>AMR3</t>
        </is>
      </c>
      <c r="X688" s="32" t="n">
        <v>0</v>
      </c>
      <c r="Y688" s="32" t="n">
        <v>0</v>
      </c>
      <c r="Z688" s="31" t="n">
        <v>0</v>
      </c>
      <c r="AA688" s="32" t="n">
        <v>0</v>
      </c>
      <c r="AB688" s="32" t="n">
        <v>0</v>
      </c>
      <c r="AC688" s="32" t="n">
        <v>0</v>
      </c>
      <c r="AD688" s="32" t="n">
        <v>0</v>
      </c>
      <c r="AE688" s="31" t="n">
        <v>0</v>
      </c>
      <c r="AF688" s="32" t="n">
        <v>0</v>
      </c>
      <c r="AG688" s="31" t="n">
        <v>0</v>
      </c>
      <c r="AH688" s="32" t="n">
        <v>61</v>
      </c>
      <c r="AI688" s="31" t="n">
        <v>61.3</v>
      </c>
      <c r="AJ688" s="31" t="n">
        <v>38.4</v>
      </c>
      <c r="AK688" s="31" t="n">
        <v>0</v>
      </c>
      <c r="AL688" s="30" t="inlineStr">
        <is>
          <t>T-0837</t>
        </is>
      </c>
      <c r="AM688" s="30" t="inlineStr">
        <is>
          <t>A-05-02</t>
        </is>
      </c>
      <c r="AN688" s="30" t="inlineStr">
        <is>
          <t>T-0710</t>
        </is>
      </c>
      <c r="AO688" s="30" t="inlineStr">
        <is>
          <t>A-06-01</t>
        </is>
      </c>
    </row>
    <row r="689">
      <c r="A689" s="30" t="inlineStr">
        <is>
          <t>O0688</t>
        </is>
      </c>
      <c r="B689" s="30" t="inlineStr">
        <is>
          <t>A</t>
        </is>
      </c>
      <c r="C689" s="31" t="n">
        <v>9369.299999999999</v>
      </c>
      <c r="D689" s="31" t="n">
        <v>33548</v>
      </c>
      <c r="E689" s="31" t="n">
        <v>33548</v>
      </c>
      <c r="F689" s="31" t="n">
        <v>33558.8</v>
      </c>
      <c r="G689" s="31" t="n">
        <v>33585.4</v>
      </c>
      <c r="H689" s="31" t="n">
        <v>33605.6</v>
      </c>
      <c r="I689" s="31" t="n">
        <v>33635.7</v>
      </c>
      <c r="J689" s="31" t="n">
        <v>33675.4</v>
      </c>
      <c r="K689" s="31" t="n">
        <v>24306.1</v>
      </c>
      <c r="L689" s="31" t="n">
        <v>24178.7</v>
      </c>
      <c r="M689" s="30" t="inlineStr">
        <is>
          <t>AMR2</t>
        </is>
      </c>
      <c r="N689" s="30" t="inlineStr">
        <is>
          <t>AMR2</t>
        </is>
      </c>
      <c r="O689" s="32" t="n">
        <v>0</v>
      </c>
      <c r="P689" s="32" t="n">
        <v>0</v>
      </c>
      <c r="Q689" s="32" t="n">
        <v>21</v>
      </c>
      <c r="R689" s="31" t="n">
        <v>36.5</v>
      </c>
      <c r="S689" s="31" t="n">
        <v>36.5</v>
      </c>
      <c r="T689" s="30" t="inlineStr">
        <is>
          <t>AMR2</t>
        </is>
      </c>
      <c r="U689" s="31" t="n">
        <v>66.5</v>
      </c>
      <c r="V689" s="31" t="n">
        <v>66.5</v>
      </c>
      <c r="W689" s="30" t="inlineStr">
        <is>
          <t>AMR2</t>
        </is>
      </c>
      <c r="X689" s="32" t="n">
        <v>0</v>
      </c>
      <c r="Y689" s="32" t="n">
        <v>0</v>
      </c>
      <c r="Z689" s="31" t="n">
        <v>0</v>
      </c>
      <c r="AA689" s="32" t="n">
        <v>0</v>
      </c>
      <c r="AB689" s="32" t="n">
        <v>0</v>
      </c>
      <c r="AC689" s="32" t="n">
        <v>0</v>
      </c>
      <c r="AD689" s="32" t="n">
        <v>0</v>
      </c>
      <c r="AE689" s="31" t="n">
        <v>0</v>
      </c>
      <c r="AF689" s="32" t="n">
        <v>0</v>
      </c>
      <c r="AG689" s="31" t="n">
        <v>0</v>
      </c>
      <c r="AH689" s="32" t="n">
        <v>67</v>
      </c>
      <c r="AI689" s="31" t="n">
        <v>66.3</v>
      </c>
      <c r="AJ689" s="31" t="n">
        <v>40.9</v>
      </c>
      <c r="AK689" s="31" t="n">
        <v>0</v>
      </c>
      <c r="AL689" s="30" t="inlineStr">
        <is>
          <t>T-0838</t>
        </is>
      </c>
      <c r="AM689" s="30" t="inlineStr">
        <is>
          <t>A-04-03</t>
        </is>
      </c>
      <c r="AN689" s="30" t="inlineStr">
        <is>
          <t>T-0726</t>
        </is>
      </c>
      <c r="AO689" s="30" t="inlineStr">
        <is>
          <t>A-02-02</t>
        </is>
      </c>
    </row>
    <row r="690">
      <c r="A690" s="30" t="inlineStr">
        <is>
          <t>O0689</t>
        </is>
      </c>
      <c r="B690" s="30" t="inlineStr">
        <is>
          <t>J</t>
        </is>
      </c>
      <c r="C690" s="31" t="n">
        <v>9373</v>
      </c>
      <c r="D690" s="31" t="n">
        <v>33625.8</v>
      </c>
      <c r="E690" s="31" t="n">
        <v>33625.8</v>
      </c>
      <c r="F690" s="31" t="n">
        <v>33636.7</v>
      </c>
      <c r="G690" s="31" t="n">
        <v>33665.5</v>
      </c>
      <c r="H690" s="31" t="n">
        <v>33667.3</v>
      </c>
      <c r="I690" s="31" t="n">
        <v>33698.9</v>
      </c>
      <c r="J690" s="31" t="n">
        <v>33734.6</v>
      </c>
      <c r="K690" s="31" t="n">
        <v>24361.6</v>
      </c>
      <c r="L690" s="31" t="n">
        <v>24252.8</v>
      </c>
      <c r="M690" s="30" t="inlineStr">
        <is>
          <t>AMR1</t>
        </is>
      </c>
      <c r="N690" s="30" t="inlineStr">
        <is>
          <t>AMR3</t>
        </is>
      </c>
      <c r="O690" s="32" t="n">
        <v>0</v>
      </c>
      <c r="P690" s="32" t="n">
        <v>0</v>
      </c>
      <c r="Q690" s="32" t="n">
        <v>21</v>
      </c>
      <c r="R690" s="31" t="n">
        <v>38.8</v>
      </c>
      <c r="S690" s="31" t="n">
        <v>38.8</v>
      </c>
      <c r="T690" s="30" t="inlineStr">
        <is>
          <t>AMR1</t>
        </is>
      </c>
      <c r="U690" s="31" t="n">
        <v>64</v>
      </c>
      <c r="V690" s="31" t="n">
        <v>64</v>
      </c>
      <c r="W690" s="30" t="inlineStr">
        <is>
          <t>AMR3</t>
        </is>
      </c>
      <c r="X690" s="32" t="n">
        <v>0</v>
      </c>
      <c r="Y690" s="32" t="n">
        <v>0</v>
      </c>
      <c r="Z690" s="31" t="n">
        <v>0</v>
      </c>
      <c r="AA690" s="32" t="n">
        <v>0</v>
      </c>
      <c r="AB690" s="32" t="n">
        <v>0</v>
      </c>
      <c r="AC690" s="32" t="n">
        <v>0</v>
      </c>
      <c r="AD690" s="32" t="n">
        <v>0</v>
      </c>
      <c r="AE690" s="31" t="n">
        <v>0</v>
      </c>
      <c r="AF690" s="32" t="n">
        <v>0</v>
      </c>
      <c r="AG690" s="31" t="n">
        <v>0</v>
      </c>
      <c r="AH690" s="32" t="n">
        <v>63</v>
      </c>
      <c r="AI690" s="31" t="n">
        <v>64.8</v>
      </c>
      <c r="AJ690" s="31" t="n">
        <v>42.2</v>
      </c>
      <c r="AK690" s="31" t="n">
        <v>0</v>
      </c>
      <c r="AL690" s="30" t="inlineStr">
        <is>
          <t>T-0839</t>
        </is>
      </c>
      <c r="AM690" s="30" t="inlineStr">
        <is>
          <t>J-01-01</t>
        </is>
      </c>
      <c r="AN690" s="30" t="inlineStr">
        <is>
          <t>T-0701</t>
        </is>
      </c>
      <c r="AO690" s="30" t="inlineStr">
        <is>
          <t>J-05-03</t>
        </is>
      </c>
    </row>
    <row r="691">
      <c r="A691" s="30" t="inlineStr">
        <is>
          <t>O0690</t>
        </is>
      </c>
      <c r="B691" s="30" t="inlineStr">
        <is>
          <t>H</t>
        </is>
      </c>
      <c r="C691" s="31" t="n">
        <v>9378.299999999999</v>
      </c>
      <c r="D691" s="31" t="n">
        <v>33685.7</v>
      </c>
      <c r="E691" s="31" t="n">
        <v>33685.7</v>
      </c>
      <c r="F691" s="31" t="n">
        <v>33699.8</v>
      </c>
      <c r="G691" s="31" t="n">
        <v>33728.4</v>
      </c>
      <c r="H691" s="31" t="n">
        <v>33741.9</v>
      </c>
      <c r="I691" s="31" t="n">
        <v>33769.1</v>
      </c>
      <c r="J691" s="31" t="n">
        <v>33795.2</v>
      </c>
      <c r="K691" s="31" t="n">
        <v>24416.9</v>
      </c>
      <c r="L691" s="31" t="n">
        <v>24307.4</v>
      </c>
      <c r="M691" s="30" t="inlineStr">
        <is>
          <t>AMR1</t>
        </is>
      </c>
      <c r="N691" s="30" t="inlineStr">
        <is>
          <t>AMR1</t>
        </is>
      </c>
      <c r="O691" s="32" t="n">
        <v>0</v>
      </c>
      <c r="P691" s="32" t="n">
        <v>0</v>
      </c>
      <c r="Q691" s="32" t="n">
        <v>15</v>
      </c>
      <c r="R691" s="31" t="n">
        <v>39.9</v>
      </c>
      <c r="S691" s="31" t="n">
        <v>39.9</v>
      </c>
      <c r="T691" s="30" t="inlineStr">
        <is>
          <t>AMR1</t>
        </is>
      </c>
      <c r="U691" s="31" t="n">
        <v>54.5</v>
      </c>
      <c r="V691" s="31" t="n">
        <v>54.5</v>
      </c>
      <c r="W691" s="30" t="inlineStr">
        <is>
          <t>AMR1</t>
        </is>
      </c>
      <c r="X691" s="32" t="n">
        <v>0</v>
      </c>
      <c r="Y691" s="32" t="n">
        <v>0</v>
      </c>
      <c r="Z691" s="31" t="n">
        <v>0</v>
      </c>
      <c r="AA691" s="32" t="n">
        <v>0</v>
      </c>
      <c r="AB691" s="32" t="n">
        <v>0</v>
      </c>
      <c r="AC691" s="32" t="n">
        <v>0</v>
      </c>
      <c r="AD691" s="32" t="n">
        <v>0</v>
      </c>
      <c r="AE691" s="31" t="n">
        <v>0</v>
      </c>
      <c r="AF691" s="32" t="n">
        <v>0</v>
      </c>
      <c r="AG691" s="31" t="n">
        <v>0</v>
      </c>
      <c r="AH691" s="32" t="n">
        <v>40</v>
      </c>
      <c r="AI691" s="31" t="n">
        <v>44.2</v>
      </c>
      <c r="AJ691" s="31" t="n">
        <v>49.1</v>
      </c>
      <c r="AK691" s="31" t="n">
        <v>2.7</v>
      </c>
      <c r="AL691" s="30" t="inlineStr">
        <is>
          <t>T-0840</t>
        </is>
      </c>
      <c r="AM691" s="30" t="inlineStr">
        <is>
          <t>H-06-01</t>
        </is>
      </c>
      <c r="AN691" s="30" t="inlineStr">
        <is>
          <t>T-0711</t>
        </is>
      </c>
      <c r="AO691" s="30" t="inlineStr">
        <is>
          <t>H-01-03</t>
        </is>
      </c>
    </row>
    <row r="692">
      <c r="A692" s="30" t="inlineStr">
        <is>
          <t>O0691</t>
        </is>
      </c>
      <c r="B692" s="30" t="inlineStr">
        <is>
          <t>D</t>
        </is>
      </c>
      <c r="C692" s="31" t="n">
        <v>9385.1</v>
      </c>
      <c r="D692" s="31" t="n">
        <v>33699.1</v>
      </c>
      <c r="E692" s="31" t="n">
        <v>33699.1</v>
      </c>
      <c r="F692" s="31" t="n">
        <v>33711.2</v>
      </c>
      <c r="G692" s="31" t="n">
        <v>33733.7</v>
      </c>
      <c r="H692" s="31" t="n">
        <v>33749.2</v>
      </c>
      <c r="I692" s="31" t="n">
        <v>33777.9</v>
      </c>
      <c r="J692" s="31" t="n">
        <v>33807.5</v>
      </c>
      <c r="K692" s="31" t="n">
        <v>24422.4</v>
      </c>
      <c r="L692" s="31" t="n">
        <v>24314</v>
      </c>
      <c r="M692" s="30" t="inlineStr">
        <is>
          <t>AMR2</t>
        </is>
      </c>
      <c r="N692" s="30" t="inlineStr">
        <is>
          <t>AMR2</t>
        </is>
      </c>
      <c r="O692" s="32" t="n">
        <v>0</v>
      </c>
      <c r="P692" s="32" t="n">
        <v>0</v>
      </c>
      <c r="Q692" s="32" t="n">
        <v>13</v>
      </c>
      <c r="R692" s="31" t="n">
        <v>31.3</v>
      </c>
      <c r="S692" s="31" t="n">
        <v>31.3</v>
      </c>
      <c r="T692" s="30" t="inlineStr">
        <is>
          <t>AMR2</t>
        </is>
      </c>
      <c r="U692" s="31" t="n">
        <v>49.5</v>
      </c>
      <c r="V692" s="31" t="n">
        <v>49.5</v>
      </c>
      <c r="W692" s="30" t="inlineStr">
        <is>
          <t>AMR2</t>
        </is>
      </c>
      <c r="X692" s="32" t="n">
        <v>0</v>
      </c>
      <c r="Y692" s="32" t="n">
        <v>0</v>
      </c>
      <c r="Z692" s="31" t="n">
        <v>0</v>
      </c>
      <c r="AA692" s="32" t="n">
        <v>0</v>
      </c>
      <c r="AB692" s="32" t="n">
        <v>1</v>
      </c>
      <c r="AC692" s="32" t="n">
        <v>1</v>
      </c>
      <c r="AD692" s="32" t="n">
        <v>1</v>
      </c>
      <c r="AE692" s="31" t="n">
        <v>3.6</v>
      </c>
      <c r="AF692" s="32" t="n">
        <v>1</v>
      </c>
      <c r="AG692" s="31" t="n">
        <v>0.4</v>
      </c>
      <c r="AH692" s="32" t="n">
        <v>42</v>
      </c>
      <c r="AI692" s="31" t="n">
        <v>45.8</v>
      </c>
      <c r="AJ692" s="31" t="n">
        <v>38.1</v>
      </c>
      <c r="AK692" s="31" t="n">
        <v>9</v>
      </c>
      <c r="AL692" s="30" t="inlineStr">
        <is>
          <t>T-0841</t>
        </is>
      </c>
      <c r="AM692" s="30" t="inlineStr">
        <is>
          <t>D-06-01</t>
        </is>
      </c>
      <c r="AN692" s="30" t="inlineStr">
        <is>
          <t>T-0682</t>
        </is>
      </c>
      <c r="AO692" s="30" t="inlineStr">
        <is>
          <t>D-02-02</t>
        </is>
      </c>
    </row>
    <row r="693">
      <c r="A693" s="30" t="inlineStr">
        <is>
          <t>O0692</t>
        </is>
      </c>
      <c r="B693" s="30" t="inlineStr">
        <is>
          <t>F</t>
        </is>
      </c>
      <c r="C693" s="31" t="n">
        <v>9388.6</v>
      </c>
      <c r="D693" s="31" t="n">
        <v>33762.3</v>
      </c>
      <c r="E693" s="31" t="n">
        <v>33762.3</v>
      </c>
      <c r="F693" s="31" t="n">
        <v>33776.9</v>
      </c>
      <c r="G693" s="31" t="n">
        <v>33808.6</v>
      </c>
      <c r="H693" s="31" t="n">
        <v>33818.9</v>
      </c>
      <c r="I693" s="31" t="n">
        <v>33850.9</v>
      </c>
      <c r="J693" s="31" t="n">
        <v>33887.1</v>
      </c>
      <c r="K693" s="31" t="n">
        <v>24498.5</v>
      </c>
      <c r="L693" s="31" t="n">
        <v>24373.7</v>
      </c>
      <c r="M693" s="30" t="inlineStr">
        <is>
          <t>AMR3</t>
        </is>
      </c>
      <c r="N693" s="30" t="inlineStr">
        <is>
          <t>AMR1</t>
        </is>
      </c>
      <c r="O693" s="32" t="n">
        <v>0</v>
      </c>
      <c r="P693" s="32" t="n">
        <v>0</v>
      </c>
      <c r="Q693" s="32" t="n">
        <v>23</v>
      </c>
      <c r="R693" s="31" t="n">
        <v>46.2</v>
      </c>
      <c r="S693" s="31" t="n">
        <v>46.2</v>
      </c>
      <c r="T693" s="30" t="inlineStr">
        <is>
          <t>AMR3</t>
        </is>
      </c>
      <c r="U693" s="31" t="n">
        <v>68.90000000000001</v>
      </c>
      <c r="V693" s="31" t="n">
        <v>68.90000000000001</v>
      </c>
      <c r="W693" s="30" t="inlineStr">
        <is>
          <t>AMR1</t>
        </is>
      </c>
      <c r="X693" s="32" t="n">
        <v>0</v>
      </c>
      <c r="Y693" s="32" t="n">
        <v>0</v>
      </c>
      <c r="Z693" s="31" t="n">
        <v>0</v>
      </c>
      <c r="AA693" s="32" t="n">
        <v>0</v>
      </c>
      <c r="AB693" s="32" t="n">
        <v>0</v>
      </c>
      <c r="AC693" s="32" t="n">
        <v>0</v>
      </c>
      <c r="AD693" s="32" t="n">
        <v>0</v>
      </c>
      <c r="AE693" s="31" t="n">
        <v>0</v>
      </c>
      <c r="AF693" s="32" t="n">
        <v>0</v>
      </c>
      <c r="AG693" s="31" t="n">
        <v>0</v>
      </c>
      <c r="AH693" s="32" t="n">
        <v>64</v>
      </c>
      <c r="AI693" s="31" t="n">
        <v>64.59999999999999</v>
      </c>
      <c r="AJ693" s="31" t="n">
        <v>49.9</v>
      </c>
      <c r="AK693" s="31" t="n">
        <v>0</v>
      </c>
      <c r="AL693" s="30" t="inlineStr">
        <is>
          <t>T-0842</t>
        </is>
      </c>
      <c r="AM693" s="30" t="inlineStr">
        <is>
          <t>F-06-01</t>
        </is>
      </c>
      <c r="AN693" s="30" t="inlineStr">
        <is>
          <t>T-0714</t>
        </is>
      </c>
      <c r="AO693" s="30" t="inlineStr">
        <is>
          <t>F-05-03</t>
        </is>
      </c>
    </row>
    <row r="694">
      <c r="A694" s="30" t="inlineStr">
        <is>
          <t>O0693</t>
        </is>
      </c>
      <c r="B694" s="30" t="inlineStr">
        <is>
          <t>F</t>
        </is>
      </c>
      <c r="C694" s="31" t="n">
        <v>9394.4</v>
      </c>
      <c r="D694" s="31" t="n">
        <v>33829.5</v>
      </c>
      <c r="E694" s="31" t="n">
        <v>33829.5</v>
      </c>
      <c r="F694" s="31" t="n">
        <v>33843.3</v>
      </c>
      <c r="G694" s="31" t="n">
        <v>33876.7</v>
      </c>
      <c r="H694" s="31" t="n">
        <v>33898.9</v>
      </c>
      <c r="I694" s="31" t="n">
        <v>33929.5</v>
      </c>
      <c r="J694" s="31" t="n">
        <v>33971.9</v>
      </c>
      <c r="K694" s="31" t="n">
        <v>24577.5</v>
      </c>
      <c r="L694" s="31" t="n">
        <v>24435.1</v>
      </c>
      <c r="M694" s="30" t="inlineStr">
        <is>
          <t>AMR3</t>
        </is>
      </c>
      <c r="N694" s="30" t="inlineStr">
        <is>
          <t>AMR3</t>
        </is>
      </c>
      <c r="O694" s="32" t="n">
        <v>0</v>
      </c>
      <c r="P694" s="32" t="n">
        <v>0</v>
      </c>
      <c r="Q694" s="32" t="n">
        <v>23</v>
      </c>
      <c r="R694" s="31" t="n">
        <v>46.3</v>
      </c>
      <c r="S694" s="31" t="n">
        <v>46.3</v>
      </c>
      <c r="T694" s="30" t="inlineStr">
        <is>
          <t>AMR3</t>
        </is>
      </c>
      <c r="U694" s="31" t="n">
        <v>63.3</v>
      </c>
      <c r="V694" s="31" t="n">
        <v>63.3</v>
      </c>
      <c r="W694" s="30" t="inlineStr">
        <is>
          <t>AMR3</t>
        </is>
      </c>
      <c r="X694" s="32" t="n">
        <v>0</v>
      </c>
      <c r="Y694" s="32" t="n">
        <v>0</v>
      </c>
      <c r="Z694" s="31" t="n">
        <v>0</v>
      </c>
      <c r="AA694" s="32" t="n">
        <v>0</v>
      </c>
      <c r="AB694" s="32" t="n">
        <v>1</v>
      </c>
      <c r="AC694" s="32" t="n">
        <v>1</v>
      </c>
      <c r="AD694" s="32" t="n">
        <v>0</v>
      </c>
      <c r="AE694" s="31" t="n">
        <v>0</v>
      </c>
      <c r="AF694" s="32" t="n">
        <v>0</v>
      </c>
      <c r="AG694" s="31" t="n">
        <v>0</v>
      </c>
      <c r="AH694" s="32" t="n">
        <v>71</v>
      </c>
      <c r="AI694" s="31" t="n">
        <v>72.8</v>
      </c>
      <c r="AJ694" s="31" t="n">
        <v>44.4</v>
      </c>
      <c r="AK694" s="31" t="n">
        <v>3</v>
      </c>
      <c r="AL694" s="30" t="inlineStr">
        <is>
          <t>T-0843</t>
        </is>
      </c>
      <c r="AM694" s="30" t="inlineStr">
        <is>
          <t>F-04-03</t>
        </is>
      </c>
      <c r="AN694" s="30" t="inlineStr">
        <is>
          <t>T-0715</t>
        </is>
      </c>
      <c r="AO694" s="30" t="inlineStr">
        <is>
          <t>F-02-02</t>
        </is>
      </c>
    </row>
    <row r="695">
      <c r="A695" s="30" t="inlineStr">
        <is>
          <t>O0694</t>
        </is>
      </c>
      <c r="B695" s="30" t="inlineStr">
        <is>
          <t>F</t>
        </is>
      </c>
      <c r="C695" s="31" t="n">
        <v>9399.6</v>
      </c>
      <c r="D695" s="31" t="n">
        <v>33843.4</v>
      </c>
      <c r="E695" s="31" t="n">
        <v>33843.4</v>
      </c>
      <c r="F695" s="31" t="n">
        <v>33867.6</v>
      </c>
      <c r="G695" s="31" t="n">
        <v>33896.7</v>
      </c>
      <c r="H695" s="31" t="n">
        <v>33910.8</v>
      </c>
      <c r="I695" s="31" t="n">
        <v>33946</v>
      </c>
      <c r="J695" s="31" t="n">
        <v>33983.7</v>
      </c>
      <c r="K695" s="31" t="n">
        <v>24584.1</v>
      </c>
      <c r="L695" s="31" t="n">
        <v>24443.8</v>
      </c>
      <c r="M695" s="30" t="inlineStr">
        <is>
          <t>AMR2</t>
        </is>
      </c>
      <c r="N695" s="30" t="inlineStr">
        <is>
          <t>AMR1</t>
        </is>
      </c>
      <c r="O695" s="32" t="n">
        <v>0</v>
      </c>
      <c r="P695" s="32" t="n">
        <v>0</v>
      </c>
      <c r="Q695" s="32" t="n">
        <v>23</v>
      </c>
      <c r="R695" s="31" t="n">
        <v>52.4</v>
      </c>
      <c r="S695" s="31" t="n">
        <v>52.4</v>
      </c>
      <c r="T695" s="30" t="inlineStr">
        <is>
          <t>AMR2</t>
        </is>
      </c>
      <c r="U695" s="31" t="n">
        <v>60</v>
      </c>
      <c r="V695" s="31" t="n">
        <v>60</v>
      </c>
      <c r="W695" s="30" t="inlineStr">
        <is>
          <t>AMR1</t>
        </is>
      </c>
      <c r="X695" s="32" t="n">
        <v>0</v>
      </c>
      <c r="Y695" s="32" t="n">
        <v>0</v>
      </c>
      <c r="Z695" s="31" t="n">
        <v>0</v>
      </c>
      <c r="AA695" s="32" t="n">
        <v>0</v>
      </c>
      <c r="AB695" s="32" t="n">
        <v>2</v>
      </c>
      <c r="AC695" s="32" t="n">
        <v>1</v>
      </c>
      <c r="AD695" s="32" t="n">
        <v>1</v>
      </c>
      <c r="AE695" s="31" t="n">
        <v>1.6</v>
      </c>
      <c r="AF695" s="32" t="n">
        <v>1</v>
      </c>
      <c r="AG695" s="31" t="n">
        <v>1.4</v>
      </c>
      <c r="AH695" s="32" t="n">
        <v>67</v>
      </c>
      <c r="AI695" s="31" t="n">
        <v>66.90000000000001</v>
      </c>
      <c r="AJ695" s="31" t="n">
        <v>47.2</v>
      </c>
      <c r="AK695" s="31" t="n">
        <v>12.1</v>
      </c>
      <c r="AL695" s="30" t="inlineStr">
        <is>
          <t>T-0844</t>
        </is>
      </c>
      <c r="AM695" s="30" t="inlineStr">
        <is>
          <t>F-05-03</t>
        </is>
      </c>
      <c r="AN695" s="30" t="inlineStr">
        <is>
          <t>T-0716</t>
        </is>
      </c>
      <c r="AO695" s="30" t="inlineStr">
        <is>
          <t>F-03-02</t>
        </is>
      </c>
    </row>
    <row r="696">
      <c r="A696" s="30" t="inlineStr">
        <is>
          <t>O0695</t>
        </is>
      </c>
      <c r="B696" s="30" t="inlineStr">
        <is>
          <t>H</t>
        </is>
      </c>
      <c r="C696" s="31" t="n">
        <v>9404.700000000001</v>
      </c>
      <c r="D696" s="31" t="n">
        <v>33918.9</v>
      </c>
      <c r="E696" s="31" t="n">
        <v>33918.9</v>
      </c>
      <c r="F696" s="31" t="n">
        <v>33929.5</v>
      </c>
      <c r="G696" s="31" t="n">
        <v>33955.3</v>
      </c>
      <c r="H696" s="31" t="n">
        <v>33969.5</v>
      </c>
      <c r="I696" s="31" t="n">
        <v>33996.6</v>
      </c>
      <c r="J696" s="31" t="n">
        <v>34023.3</v>
      </c>
      <c r="K696" s="31" t="n">
        <v>24618.6</v>
      </c>
      <c r="L696" s="31" t="n">
        <v>24514.2</v>
      </c>
      <c r="M696" s="30" t="inlineStr">
        <is>
          <t>AMR2</t>
        </is>
      </c>
      <c r="N696" s="30" t="inlineStr">
        <is>
          <t>AMR2</t>
        </is>
      </c>
      <c r="O696" s="32" t="n">
        <v>0</v>
      </c>
      <c r="P696" s="32" t="n">
        <v>0</v>
      </c>
      <c r="Q696" s="32" t="n">
        <v>15</v>
      </c>
      <c r="R696" s="31" t="n">
        <v>35.5</v>
      </c>
      <c r="S696" s="31" t="n">
        <v>35.5</v>
      </c>
      <c r="T696" s="30" t="inlineStr">
        <is>
          <t>AMR2</t>
        </is>
      </c>
      <c r="U696" s="31" t="n">
        <v>54</v>
      </c>
      <c r="V696" s="31" t="n">
        <v>54</v>
      </c>
      <c r="W696" s="30" t="inlineStr">
        <is>
          <t>AMR2</t>
        </is>
      </c>
      <c r="X696" s="32" t="n">
        <v>0</v>
      </c>
      <c r="Y696" s="32" t="n">
        <v>0</v>
      </c>
      <c r="Z696" s="31" t="n">
        <v>0</v>
      </c>
      <c r="AA696" s="32" t="n">
        <v>0</v>
      </c>
      <c r="AB696" s="32" t="n">
        <v>0</v>
      </c>
      <c r="AC696" s="32" t="n">
        <v>0</v>
      </c>
      <c r="AD696" s="32" t="n">
        <v>0</v>
      </c>
      <c r="AE696" s="31" t="n">
        <v>0</v>
      </c>
      <c r="AF696" s="32" t="n">
        <v>0</v>
      </c>
      <c r="AG696" s="31" t="n">
        <v>0</v>
      </c>
      <c r="AH696" s="32" t="n">
        <v>41</v>
      </c>
      <c r="AI696" s="31" t="n">
        <v>46</v>
      </c>
      <c r="AJ696" s="31" t="n">
        <v>44.2</v>
      </c>
      <c r="AK696" s="31" t="n">
        <v>0</v>
      </c>
      <c r="AL696" s="30" t="inlineStr">
        <is>
          <t>T-0845</t>
        </is>
      </c>
      <c r="AM696" s="30" t="inlineStr">
        <is>
          <t>H-01-03</t>
        </is>
      </c>
      <c r="AN696" s="30" t="inlineStr">
        <is>
          <t>T-0722</t>
        </is>
      </c>
      <c r="AO696" s="30" t="inlineStr">
        <is>
          <t>H-01-02</t>
        </is>
      </c>
    </row>
    <row r="697">
      <c r="A697" s="30" t="inlineStr">
        <is>
          <t>O0696</t>
        </is>
      </c>
      <c r="B697" s="30" t="inlineStr">
        <is>
          <t>C</t>
        </is>
      </c>
      <c r="C697" s="31" t="n">
        <v>9409.700000000001</v>
      </c>
      <c r="D697" s="31" t="n">
        <v>33995.6</v>
      </c>
      <c r="E697" s="31" t="n">
        <v>33995.6</v>
      </c>
      <c r="F697" s="31" t="n">
        <v>34011.4</v>
      </c>
      <c r="G697" s="31" t="n">
        <v>34031.1</v>
      </c>
      <c r="H697" s="31" t="n">
        <v>34043.9</v>
      </c>
      <c r="I697" s="31" t="n">
        <v>34071.3</v>
      </c>
      <c r="J697" s="31" t="n">
        <v>34102.1</v>
      </c>
      <c r="K697" s="31" t="n">
        <v>24692.4</v>
      </c>
      <c r="L697" s="31" t="n">
        <v>24585.9</v>
      </c>
      <c r="M697" s="30" t="inlineStr">
        <is>
          <t>AMR3</t>
        </is>
      </c>
      <c r="N697" s="30" t="inlineStr">
        <is>
          <t>AMR3</t>
        </is>
      </c>
      <c r="O697" s="32" t="n">
        <v>0</v>
      </c>
      <c r="P697" s="32" t="n">
        <v>0</v>
      </c>
      <c r="Q697" s="32" t="n">
        <v>13</v>
      </c>
      <c r="R697" s="31" t="n">
        <v>34.6</v>
      </c>
      <c r="S697" s="31" t="n">
        <v>34.6</v>
      </c>
      <c r="T697" s="30" t="inlineStr">
        <is>
          <t>AMR3</t>
        </is>
      </c>
      <c r="U697" s="31" t="n">
        <v>52.4</v>
      </c>
      <c r="V697" s="31" t="n">
        <v>52.4</v>
      </c>
      <c r="W697" s="30" t="inlineStr">
        <is>
          <t>AMR3</t>
        </is>
      </c>
      <c r="X697" s="32" t="n">
        <v>0</v>
      </c>
      <c r="Y697" s="32" t="n">
        <v>0</v>
      </c>
      <c r="Z697" s="31" t="n">
        <v>0</v>
      </c>
      <c r="AA697" s="32" t="n">
        <v>0</v>
      </c>
      <c r="AB697" s="32" t="n">
        <v>0</v>
      </c>
      <c r="AC697" s="32" t="n">
        <v>1</v>
      </c>
      <c r="AD697" s="32" t="n">
        <v>0</v>
      </c>
      <c r="AE697" s="31" t="n">
        <v>0</v>
      </c>
      <c r="AF697" s="32" t="n">
        <v>1</v>
      </c>
      <c r="AG697" s="31" t="n">
        <v>0.5</v>
      </c>
      <c r="AH697" s="32" t="n">
        <v>39</v>
      </c>
      <c r="AI697" s="31" t="n">
        <v>43.4</v>
      </c>
      <c r="AJ697" s="31" t="n">
        <v>44.8</v>
      </c>
      <c r="AK697" s="31" t="n">
        <v>5.5</v>
      </c>
      <c r="AL697" s="30" t="inlineStr">
        <is>
          <t>T-0846</t>
        </is>
      </c>
      <c r="AM697" s="30" t="inlineStr">
        <is>
          <t>C-04-02</t>
        </is>
      </c>
      <c r="AN697" s="30" t="inlineStr">
        <is>
          <t>T-0691</t>
        </is>
      </c>
      <c r="AO697" s="30" t="inlineStr">
        <is>
          <t>C-05-03</t>
        </is>
      </c>
    </row>
    <row r="698">
      <c r="A698" s="30" t="inlineStr">
        <is>
          <t>O0697</t>
        </is>
      </c>
      <c r="B698" s="30" t="inlineStr">
        <is>
          <t>B</t>
        </is>
      </c>
      <c r="C698" s="31" t="n">
        <v>9414.6</v>
      </c>
      <c r="D698" s="31" t="n">
        <v>34011.5</v>
      </c>
      <c r="E698" s="31" t="n">
        <v>34011.5</v>
      </c>
      <c r="F698" s="31" t="n">
        <v>34024.2</v>
      </c>
      <c r="G698" s="31" t="n">
        <v>34050.4</v>
      </c>
      <c r="H698" s="31" t="n">
        <v>34054.4</v>
      </c>
      <c r="I698" s="31" t="n">
        <v>34083.2</v>
      </c>
      <c r="J698" s="31" t="n">
        <v>34116</v>
      </c>
      <c r="K698" s="31" t="n">
        <v>24701.4</v>
      </c>
      <c r="L698" s="31" t="n">
        <v>24596.9</v>
      </c>
      <c r="M698" s="30" t="inlineStr">
        <is>
          <t>AMR1</t>
        </is>
      </c>
      <c r="N698" s="30" t="inlineStr">
        <is>
          <t>AMR2</t>
        </is>
      </c>
      <c r="O698" s="32" t="n">
        <v>0</v>
      </c>
      <c r="P698" s="32" t="n">
        <v>0</v>
      </c>
      <c r="Q698" s="32" t="n">
        <v>15</v>
      </c>
      <c r="R698" s="31" t="n">
        <v>37.2</v>
      </c>
      <c r="S698" s="31" t="n">
        <v>37.2</v>
      </c>
      <c r="T698" s="30" t="inlineStr">
        <is>
          <t>AMR1</t>
        </is>
      </c>
      <c r="U698" s="31" t="n">
        <v>56.7</v>
      </c>
      <c r="V698" s="31" t="n">
        <v>56.7</v>
      </c>
      <c r="W698" s="30" t="inlineStr">
        <is>
          <t>AMR2</t>
        </is>
      </c>
      <c r="X698" s="32" t="n">
        <v>0</v>
      </c>
      <c r="Y698" s="32" t="n">
        <v>0</v>
      </c>
      <c r="Z698" s="31" t="n">
        <v>0</v>
      </c>
      <c r="AA698" s="32" t="n">
        <v>0</v>
      </c>
      <c r="AB698" s="32" t="n">
        <v>0</v>
      </c>
      <c r="AC698" s="32" t="n">
        <v>0</v>
      </c>
      <c r="AD698" s="32" t="n">
        <v>1</v>
      </c>
      <c r="AE698" s="31" t="n">
        <v>1.6</v>
      </c>
      <c r="AF698" s="32" t="n">
        <v>0</v>
      </c>
      <c r="AG698" s="31" t="n">
        <v>0</v>
      </c>
      <c r="AH698" s="32" t="n">
        <v>50</v>
      </c>
      <c r="AI698" s="31" t="n">
        <v>52.3</v>
      </c>
      <c r="AJ698" s="31" t="n">
        <v>46.6</v>
      </c>
      <c r="AK698" s="31" t="n">
        <v>1.6</v>
      </c>
      <c r="AL698" s="30" t="inlineStr">
        <is>
          <t>T-0847</t>
        </is>
      </c>
      <c r="AM698" s="30" t="inlineStr">
        <is>
          <t>B-03-01</t>
        </is>
      </c>
      <c r="AN698" s="30" t="inlineStr">
        <is>
          <t>T-0653</t>
        </is>
      </c>
      <c r="AO698" s="30" t="inlineStr">
        <is>
          <t>B-02-03</t>
        </is>
      </c>
    </row>
    <row r="699">
      <c r="A699" s="30" t="inlineStr">
        <is>
          <t>O0698</t>
        </is>
      </c>
      <c r="B699" s="30" t="inlineStr">
        <is>
          <t>D</t>
        </is>
      </c>
      <c r="C699" s="31" t="n">
        <v>9418.9</v>
      </c>
      <c r="D699" s="31" t="n">
        <v>34065.9</v>
      </c>
      <c r="E699" s="31" t="n">
        <v>34065.9</v>
      </c>
      <c r="F699" s="31" t="n">
        <v>34079.1</v>
      </c>
      <c r="G699" s="31" t="n">
        <v>34101.6</v>
      </c>
      <c r="H699" s="31" t="n">
        <v>34114.4</v>
      </c>
      <c r="I699" s="31" t="n">
        <v>34145.3</v>
      </c>
      <c r="J699" s="31" t="n">
        <v>34172.6</v>
      </c>
      <c r="K699" s="31" t="n">
        <v>24753.7</v>
      </c>
      <c r="L699" s="31" t="n">
        <v>24647</v>
      </c>
      <c r="M699" s="30" t="inlineStr">
        <is>
          <t>AMR1</t>
        </is>
      </c>
      <c r="N699" s="30" t="inlineStr">
        <is>
          <t>AMR1</t>
        </is>
      </c>
      <c r="O699" s="32" t="n">
        <v>0</v>
      </c>
      <c r="P699" s="32" t="n">
        <v>0</v>
      </c>
      <c r="Q699" s="32" t="n">
        <v>13</v>
      </c>
      <c r="R699" s="31" t="n">
        <v>34.8</v>
      </c>
      <c r="S699" s="31" t="n">
        <v>34.8</v>
      </c>
      <c r="T699" s="30" t="inlineStr">
        <is>
          <t>AMR1</t>
        </is>
      </c>
      <c r="U699" s="31" t="n">
        <v>49</v>
      </c>
      <c r="V699" s="31" t="n">
        <v>49</v>
      </c>
      <c r="W699" s="30" t="inlineStr">
        <is>
          <t>AMR1</t>
        </is>
      </c>
      <c r="X699" s="32" t="n">
        <v>0</v>
      </c>
      <c r="Y699" s="32" t="n">
        <v>0</v>
      </c>
      <c r="Z699" s="31" t="n">
        <v>0</v>
      </c>
      <c r="AA699" s="32" t="n">
        <v>0</v>
      </c>
      <c r="AB699" s="32" t="n">
        <v>1</v>
      </c>
      <c r="AC699" s="32" t="n">
        <v>1</v>
      </c>
      <c r="AD699" s="32" t="n">
        <v>0</v>
      </c>
      <c r="AE699" s="31" t="n">
        <v>0</v>
      </c>
      <c r="AF699" s="32" t="n">
        <v>0</v>
      </c>
      <c r="AG699" s="31" t="n">
        <v>0</v>
      </c>
      <c r="AH699" s="32" t="n">
        <v>43</v>
      </c>
      <c r="AI699" s="31" t="n">
        <v>48.2</v>
      </c>
      <c r="AJ699" s="31" t="n">
        <v>41.1</v>
      </c>
      <c r="AK699" s="31" t="n">
        <v>4.6</v>
      </c>
      <c r="AL699" s="30" t="inlineStr">
        <is>
          <t>T-0848</t>
        </is>
      </c>
      <c r="AM699" s="30" t="inlineStr">
        <is>
          <t>D-01-02</t>
        </is>
      </c>
      <c r="AN699" s="30" t="inlineStr">
        <is>
          <t>T-0694</t>
        </is>
      </c>
      <c r="AO699" s="30" t="inlineStr">
        <is>
          <t>D-03-02</t>
        </is>
      </c>
    </row>
    <row r="700">
      <c r="A700" s="30" t="inlineStr">
        <is>
          <t>O0699</t>
        </is>
      </c>
      <c r="B700" s="30" t="inlineStr">
        <is>
          <t>I</t>
        </is>
      </c>
      <c r="C700" s="31" t="n">
        <v>9422.5</v>
      </c>
      <c r="D700" s="31" t="n">
        <v>34130.8</v>
      </c>
      <c r="E700" s="31" t="n">
        <v>34130.8</v>
      </c>
      <c r="F700" s="31" t="n">
        <v>34145.5</v>
      </c>
      <c r="G700" s="31" t="n">
        <v>34172.1</v>
      </c>
      <c r="H700" s="31" t="n">
        <v>34189.3</v>
      </c>
      <c r="I700" s="31" t="n">
        <v>34222.2</v>
      </c>
      <c r="J700" s="31" t="n">
        <v>34253.2</v>
      </c>
      <c r="K700" s="31" t="n">
        <v>24830.7</v>
      </c>
      <c r="L700" s="31" t="n">
        <v>24708.3</v>
      </c>
      <c r="M700" s="30" t="inlineStr">
        <is>
          <t>AMR3</t>
        </is>
      </c>
      <c r="N700" s="30" t="inlineStr">
        <is>
          <t>AMR3</t>
        </is>
      </c>
      <c r="O700" s="32" t="n">
        <v>0</v>
      </c>
      <c r="P700" s="32" t="n">
        <v>0</v>
      </c>
      <c r="Q700" s="32" t="n">
        <v>15</v>
      </c>
      <c r="R700" s="31" t="n">
        <v>40.4</v>
      </c>
      <c r="S700" s="31" t="n">
        <v>40.4</v>
      </c>
      <c r="T700" s="30" t="inlineStr">
        <is>
          <t>AMR3</t>
        </is>
      </c>
      <c r="U700" s="31" t="n">
        <v>56</v>
      </c>
      <c r="V700" s="31" t="n">
        <v>56</v>
      </c>
      <c r="W700" s="30" t="inlineStr">
        <is>
          <t>AMR3</t>
        </is>
      </c>
      <c r="X700" s="32" t="n">
        <v>0</v>
      </c>
      <c r="Y700" s="32" t="n">
        <v>0</v>
      </c>
      <c r="Z700" s="31" t="n">
        <v>0</v>
      </c>
      <c r="AA700" s="32" t="n">
        <v>0</v>
      </c>
      <c r="AB700" s="32" t="n">
        <v>0</v>
      </c>
      <c r="AC700" s="32" t="n">
        <v>1</v>
      </c>
      <c r="AD700" s="32" t="n">
        <v>1</v>
      </c>
      <c r="AE700" s="31" t="n">
        <v>2.5</v>
      </c>
      <c r="AF700" s="32" t="n">
        <v>1</v>
      </c>
      <c r="AG700" s="31" t="n">
        <v>0.6</v>
      </c>
      <c r="AH700" s="32" t="n">
        <v>41</v>
      </c>
      <c r="AI700" s="31" t="n">
        <v>46.5</v>
      </c>
      <c r="AJ700" s="31" t="n">
        <v>50.6</v>
      </c>
      <c r="AK700" s="31" t="n">
        <v>8.1</v>
      </c>
      <c r="AL700" s="30" t="inlineStr">
        <is>
          <t>T-0849</t>
        </is>
      </c>
      <c r="AM700" s="30" t="inlineStr">
        <is>
          <t>I-01-02</t>
        </is>
      </c>
      <c r="AN700" s="30" t="inlineStr">
        <is>
          <t>T-0643</t>
        </is>
      </c>
      <c r="AO700" s="30" t="inlineStr">
        <is>
          <t>I-02-02</t>
        </is>
      </c>
    </row>
    <row r="701">
      <c r="A701" s="30" t="inlineStr">
        <is>
          <t>O0700</t>
        </is>
      </c>
      <c r="B701" s="30" t="inlineStr">
        <is>
          <t>I</t>
        </is>
      </c>
      <c r="C701" s="31" t="n">
        <v>9426.1</v>
      </c>
      <c r="D701" s="31" t="n">
        <v>34145.6</v>
      </c>
      <c r="E701" s="31" t="n">
        <v>34145.6</v>
      </c>
      <c r="F701" s="31" t="n">
        <v>34156.8</v>
      </c>
      <c r="G701" s="31" t="n">
        <v>34187.9</v>
      </c>
      <c r="H701" s="31" t="n">
        <v>34200.3</v>
      </c>
      <c r="I701" s="31" t="n">
        <v>34238.8</v>
      </c>
      <c r="J701" s="31" t="n">
        <v>34267.4</v>
      </c>
      <c r="K701" s="31" t="n">
        <v>24841.3</v>
      </c>
      <c r="L701" s="31" t="n">
        <v>24719.5</v>
      </c>
      <c r="M701" s="30" t="inlineStr">
        <is>
          <t>AMR2</t>
        </is>
      </c>
      <c r="N701" s="30" t="inlineStr">
        <is>
          <t>AMR1</t>
        </is>
      </c>
      <c r="O701" s="32" t="n">
        <v>0</v>
      </c>
      <c r="P701" s="32" t="n">
        <v>0</v>
      </c>
      <c r="Q701" s="32" t="n">
        <v>15</v>
      </c>
      <c r="R701" s="31" t="n">
        <v>33.4</v>
      </c>
      <c r="S701" s="31" t="n">
        <v>33.4</v>
      </c>
      <c r="T701" s="30" t="inlineStr">
        <is>
          <t>AMR2</t>
        </is>
      </c>
      <c r="U701" s="31" t="n">
        <v>51.9</v>
      </c>
      <c r="V701" s="31" t="n">
        <v>51.9</v>
      </c>
      <c r="W701" s="30" t="inlineStr">
        <is>
          <t>AMR1</t>
        </is>
      </c>
      <c r="X701" s="32" t="n">
        <v>0</v>
      </c>
      <c r="Y701" s="32" t="n">
        <v>0</v>
      </c>
      <c r="Z701" s="31" t="n">
        <v>0</v>
      </c>
      <c r="AA701" s="32" t="n">
        <v>0</v>
      </c>
      <c r="AB701" s="32" t="n">
        <v>1</v>
      </c>
      <c r="AC701" s="32" t="n">
        <v>1</v>
      </c>
      <c r="AD701" s="32" t="n">
        <v>1</v>
      </c>
      <c r="AE701" s="31" t="n">
        <v>1.6</v>
      </c>
      <c r="AF701" s="32" t="n">
        <v>0</v>
      </c>
      <c r="AG701" s="31" t="n">
        <v>0</v>
      </c>
      <c r="AH701" s="32" t="n">
        <v>49</v>
      </c>
      <c r="AI701" s="31" t="n">
        <v>59.3</v>
      </c>
      <c r="AJ701" s="31" t="n">
        <v>39.5</v>
      </c>
      <c r="AK701" s="31" t="n">
        <v>10.6</v>
      </c>
      <c r="AL701" s="30" t="inlineStr">
        <is>
          <t>T-0850</t>
        </is>
      </c>
      <c r="AM701" s="30" t="inlineStr">
        <is>
          <t>I-05-03</t>
        </is>
      </c>
      <c r="AN701" s="30" t="inlineStr">
        <is>
          <t>T-0683</t>
        </is>
      </c>
      <c r="AO701" s="30" t="inlineStr">
        <is>
          <t>I-03-02</t>
        </is>
      </c>
    </row>
    <row r="702">
      <c r="A702" s="30" t="inlineStr">
        <is>
          <t>O0701</t>
        </is>
      </c>
      <c r="B702" s="30" t="inlineStr">
        <is>
          <t>H</t>
        </is>
      </c>
      <c r="C702" s="31" t="n">
        <v>9432.4</v>
      </c>
      <c r="D702" s="31" t="n">
        <v>34210.1</v>
      </c>
      <c r="E702" s="31" t="n">
        <v>34210.1</v>
      </c>
      <c r="F702" s="31" t="n">
        <v>34223.9</v>
      </c>
      <c r="G702" s="31" t="n">
        <v>34248.5</v>
      </c>
      <c r="H702" s="31" t="n">
        <v>34262.7</v>
      </c>
      <c r="I702" s="31" t="n">
        <v>34291.7</v>
      </c>
      <c r="J702" s="31" t="n">
        <v>34320.1</v>
      </c>
      <c r="K702" s="31" t="n">
        <v>24887.7</v>
      </c>
      <c r="L702" s="31" t="n">
        <v>24777.7</v>
      </c>
      <c r="M702" s="30" t="inlineStr">
        <is>
          <t>AMR2</t>
        </is>
      </c>
      <c r="N702" s="30" t="inlineStr">
        <is>
          <t>AMR2</t>
        </is>
      </c>
      <c r="O702" s="32" t="n">
        <v>0</v>
      </c>
      <c r="P702" s="32" t="n">
        <v>0</v>
      </c>
      <c r="Q702" s="32" t="n">
        <v>15</v>
      </c>
      <c r="R702" s="31" t="n">
        <v>37.5</v>
      </c>
      <c r="S702" s="31" t="n">
        <v>37.5</v>
      </c>
      <c r="T702" s="30" t="inlineStr">
        <is>
          <t>AMR2</t>
        </is>
      </c>
      <c r="U702" s="31" t="n">
        <v>57.6</v>
      </c>
      <c r="V702" s="31" t="n">
        <v>57.6</v>
      </c>
      <c r="W702" s="30" t="inlineStr">
        <is>
          <t>AMR2</t>
        </is>
      </c>
      <c r="X702" s="32" t="n">
        <v>0</v>
      </c>
      <c r="Y702" s="32" t="n">
        <v>0</v>
      </c>
      <c r="Z702" s="31" t="n">
        <v>0</v>
      </c>
      <c r="AA702" s="32" t="n">
        <v>0</v>
      </c>
      <c r="AB702" s="32" t="n">
        <v>0</v>
      </c>
      <c r="AC702" s="32" t="n">
        <v>0</v>
      </c>
      <c r="AD702" s="32" t="n">
        <v>0</v>
      </c>
      <c r="AE702" s="31" t="n">
        <v>0</v>
      </c>
      <c r="AF702" s="32" t="n">
        <v>0</v>
      </c>
      <c r="AG702" s="31" t="n">
        <v>0</v>
      </c>
      <c r="AH702" s="32" t="n">
        <v>41</v>
      </c>
      <c r="AI702" s="31" t="n">
        <v>46</v>
      </c>
      <c r="AJ702" s="31" t="n">
        <v>49.8</v>
      </c>
      <c r="AK702" s="31" t="n">
        <v>0</v>
      </c>
      <c r="AL702" s="30" t="inlineStr">
        <is>
          <t>T-0851</t>
        </is>
      </c>
      <c r="AM702" s="30" t="inlineStr">
        <is>
          <t>H-01-02</t>
        </is>
      </c>
      <c r="AN702" s="30" t="inlineStr">
        <is>
          <t>T-0734</t>
        </is>
      </c>
      <c r="AO702" s="30" t="inlineStr">
        <is>
          <t>H-02-03</t>
        </is>
      </c>
    </row>
    <row r="703">
      <c r="A703" s="30" t="inlineStr">
        <is>
          <t>O0702</t>
        </is>
      </c>
      <c r="B703" s="30" t="inlineStr">
        <is>
          <t>I</t>
        </is>
      </c>
      <c r="C703" s="31" t="n">
        <v>9438.5</v>
      </c>
      <c r="D703" s="31" t="n">
        <v>34276.9</v>
      </c>
      <c r="E703" s="31" t="n">
        <v>34276.9</v>
      </c>
      <c r="F703" s="31" t="n">
        <v>34290.4</v>
      </c>
      <c r="G703" s="31" t="n">
        <v>34317.5</v>
      </c>
      <c r="H703" s="31" t="n">
        <v>34332.3</v>
      </c>
      <c r="I703" s="31" t="n">
        <v>34366.3</v>
      </c>
      <c r="J703" s="31" t="n">
        <v>34393.5</v>
      </c>
      <c r="K703" s="31" t="n">
        <v>24955</v>
      </c>
      <c r="L703" s="31" t="n">
        <v>24838.4</v>
      </c>
      <c r="M703" s="30" t="inlineStr">
        <is>
          <t>AMR3</t>
        </is>
      </c>
      <c r="N703" s="30" t="inlineStr">
        <is>
          <t>AMR3</t>
        </is>
      </c>
      <c r="O703" s="32" t="n">
        <v>0</v>
      </c>
      <c r="P703" s="32" t="n">
        <v>0</v>
      </c>
      <c r="Q703" s="32" t="n">
        <v>15</v>
      </c>
      <c r="R703" s="31" t="n">
        <v>39.7</v>
      </c>
      <c r="S703" s="31" t="n">
        <v>39.7</v>
      </c>
      <c r="T703" s="30" t="inlineStr">
        <is>
          <t>AMR3</t>
        </is>
      </c>
      <c r="U703" s="31" t="n">
        <v>52.1</v>
      </c>
      <c r="V703" s="31" t="n">
        <v>52.1</v>
      </c>
      <c r="W703" s="30" t="inlineStr">
        <is>
          <t>AMR3</t>
        </is>
      </c>
      <c r="X703" s="32" t="n">
        <v>0</v>
      </c>
      <c r="Y703" s="32" t="n">
        <v>0</v>
      </c>
      <c r="Z703" s="31" t="n">
        <v>0</v>
      </c>
      <c r="AA703" s="32" t="n">
        <v>0</v>
      </c>
      <c r="AB703" s="32" t="n">
        <v>1</v>
      </c>
      <c r="AC703" s="32" t="n">
        <v>1</v>
      </c>
      <c r="AD703" s="32" t="n">
        <v>0</v>
      </c>
      <c r="AE703" s="31" t="n">
        <v>0</v>
      </c>
      <c r="AF703" s="32" t="n">
        <v>0</v>
      </c>
      <c r="AG703" s="31" t="n">
        <v>0</v>
      </c>
      <c r="AH703" s="32" t="n">
        <v>47</v>
      </c>
      <c r="AI703" s="31" t="n">
        <v>52.8</v>
      </c>
      <c r="AJ703" s="31" t="n">
        <v>46</v>
      </c>
      <c r="AK703" s="31" t="n">
        <v>3</v>
      </c>
      <c r="AL703" s="30" t="inlineStr">
        <is>
          <t>T-0852</t>
        </is>
      </c>
      <c r="AM703" s="30" t="inlineStr">
        <is>
          <t>I-02-02</t>
        </is>
      </c>
      <c r="AN703" s="30" t="inlineStr">
        <is>
          <t>T-0684</t>
        </is>
      </c>
      <c r="AO703" s="30" t="inlineStr">
        <is>
          <t>I-04-02</t>
        </is>
      </c>
    </row>
    <row r="704">
      <c r="A704" s="30" t="inlineStr">
        <is>
          <t>O0703</t>
        </is>
      </c>
      <c r="B704" s="30" t="inlineStr">
        <is>
          <t>B</t>
        </is>
      </c>
      <c r="C704" s="31" t="n">
        <v>9442.1</v>
      </c>
      <c r="D704" s="31" t="n">
        <v>34291.1</v>
      </c>
      <c r="E704" s="31" t="n">
        <v>34291.1</v>
      </c>
      <c r="F704" s="31" t="n">
        <v>34303.1</v>
      </c>
      <c r="G704" s="31" t="n">
        <v>34325.8</v>
      </c>
      <c r="H704" s="31" t="n">
        <v>34342</v>
      </c>
      <c r="I704" s="31" t="n">
        <v>34366.1</v>
      </c>
      <c r="J704" s="31" t="n">
        <v>34410.4</v>
      </c>
      <c r="K704" s="31" t="n">
        <v>24968.3</v>
      </c>
      <c r="L704" s="31" t="n">
        <v>24849</v>
      </c>
      <c r="M704" s="30" t="inlineStr">
        <is>
          <t>AMR1</t>
        </is>
      </c>
      <c r="N704" s="30" t="inlineStr">
        <is>
          <t>AMR1</t>
        </is>
      </c>
      <c r="O704" s="32" t="n">
        <v>0</v>
      </c>
      <c r="P704" s="32" t="n">
        <v>0</v>
      </c>
      <c r="Q704" s="32" t="n">
        <v>15</v>
      </c>
      <c r="R704" s="31" t="n">
        <v>32.2</v>
      </c>
      <c r="S704" s="31" t="n">
        <v>32.2</v>
      </c>
      <c r="T704" s="30" t="inlineStr">
        <is>
          <t>AMR1</t>
        </is>
      </c>
      <c r="U704" s="31" t="n">
        <v>55.7</v>
      </c>
      <c r="V704" s="31" t="n">
        <v>55.7</v>
      </c>
      <c r="W704" s="30" t="inlineStr">
        <is>
          <t>AMR1</t>
        </is>
      </c>
      <c r="X704" s="32" t="n">
        <v>0</v>
      </c>
      <c r="Y704" s="32" t="n">
        <v>0</v>
      </c>
      <c r="Z704" s="31" t="n">
        <v>0</v>
      </c>
      <c r="AA704" s="32" t="n">
        <v>0</v>
      </c>
      <c r="AB704" s="32" t="n">
        <v>0</v>
      </c>
      <c r="AC704" s="32" t="n">
        <v>0</v>
      </c>
      <c r="AD704" s="32" t="n">
        <v>2</v>
      </c>
      <c r="AE704" s="31" t="n">
        <v>10.9</v>
      </c>
      <c r="AF704" s="32" t="n">
        <v>1</v>
      </c>
      <c r="AG704" s="31" t="n">
        <v>4.3</v>
      </c>
      <c r="AH704" s="32" t="n">
        <v>49</v>
      </c>
      <c r="AI704" s="31" t="n">
        <v>51.6</v>
      </c>
      <c r="AJ704" s="31" t="n">
        <v>40.6</v>
      </c>
      <c r="AK704" s="31" t="n">
        <v>10.9</v>
      </c>
      <c r="AL704" s="30" t="inlineStr">
        <is>
          <t>T-0853</t>
        </is>
      </c>
      <c r="AM704" s="30" t="inlineStr">
        <is>
          <t>B-01-03</t>
        </is>
      </c>
      <c r="AN704" s="30" t="inlineStr">
        <is>
          <t>T-0667</t>
        </is>
      </c>
      <c r="AO704" s="30" t="inlineStr">
        <is>
          <t>B-03-03</t>
        </is>
      </c>
    </row>
    <row r="705">
      <c r="A705" s="30" t="inlineStr">
        <is>
          <t>O0704</t>
        </is>
      </c>
      <c r="B705" s="30" t="inlineStr">
        <is>
          <t>C</t>
        </is>
      </c>
      <c r="C705" s="31" t="n">
        <v>9448</v>
      </c>
      <c r="D705" s="31" t="n">
        <v>34348.8</v>
      </c>
      <c r="E705" s="31" t="n">
        <v>34348.8</v>
      </c>
      <c r="F705" s="31" t="n">
        <v>34364.2</v>
      </c>
      <c r="G705" s="31" t="n">
        <v>34387.2</v>
      </c>
      <c r="H705" s="31" t="n">
        <v>34400</v>
      </c>
      <c r="I705" s="31" t="n">
        <v>34422.8</v>
      </c>
      <c r="J705" s="31" t="n">
        <v>34449.4</v>
      </c>
      <c r="K705" s="31" t="n">
        <v>25001.4</v>
      </c>
      <c r="L705" s="31" t="n">
        <v>24900.8</v>
      </c>
      <c r="M705" s="30" t="inlineStr">
        <is>
          <t>AMR2</t>
        </is>
      </c>
      <c r="N705" s="30" t="inlineStr">
        <is>
          <t>AMR2</t>
        </is>
      </c>
      <c r="O705" s="32" t="n">
        <v>0</v>
      </c>
      <c r="P705" s="32" t="n">
        <v>0</v>
      </c>
      <c r="Q705" s="32" t="n">
        <v>13</v>
      </c>
      <c r="R705" s="31" t="n">
        <v>37.5</v>
      </c>
      <c r="S705" s="31" t="n">
        <v>37.5</v>
      </c>
      <c r="T705" s="30" t="inlineStr">
        <is>
          <t>AMR2</t>
        </is>
      </c>
      <c r="U705" s="31" t="n">
        <v>50.6</v>
      </c>
      <c r="V705" s="31" t="n">
        <v>50.6</v>
      </c>
      <c r="W705" s="30" t="inlineStr">
        <is>
          <t>AMR2</t>
        </is>
      </c>
      <c r="X705" s="32" t="n">
        <v>0</v>
      </c>
      <c r="Y705" s="32" t="n">
        <v>0</v>
      </c>
      <c r="Z705" s="31" t="n">
        <v>0</v>
      </c>
      <c r="AA705" s="32" t="n">
        <v>0</v>
      </c>
      <c r="AB705" s="32" t="n">
        <v>0</v>
      </c>
      <c r="AC705" s="32" t="n">
        <v>0</v>
      </c>
      <c r="AD705" s="32" t="n">
        <v>0</v>
      </c>
      <c r="AE705" s="31" t="n">
        <v>0</v>
      </c>
      <c r="AF705" s="32" t="n">
        <v>0</v>
      </c>
      <c r="AG705" s="31" t="n">
        <v>0</v>
      </c>
      <c r="AH705" s="32" t="n">
        <v>39</v>
      </c>
      <c r="AI705" s="31" t="n">
        <v>41.9</v>
      </c>
      <c r="AJ705" s="31" t="n">
        <v>45.9</v>
      </c>
      <c r="AK705" s="31" t="n">
        <v>0</v>
      </c>
      <c r="AL705" s="30" t="inlineStr">
        <is>
          <t>T-0854</t>
        </is>
      </c>
      <c r="AM705" s="30" t="inlineStr">
        <is>
          <t>C-05-02</t>
        </is>
      </c>
      <c r="AN705" s="30" t="inlineStr">
        <is>
          <t>T-0720</t>
        </is>
      </c>
      <c r="AO705" s="30" t="inlineStr">
        <is>
          <t>C-02-01</t>
        </is>
      </c>
    </row>
    <row r="706">
      <c r="A706" s="30" t="inlineStr">
        <is>
          <t>O0705</t>
        </is>
      </c>
      <c r="B706" s="30" t="inlineStr">
        <is>
          <t>J</t>
        </is>
      </c>
      <c r="C706" s="31" t="n">
        <v>9451.1</v>
      </c>
      <c r="D706" s="31" t="n">
        <v>34417.2</v>
      </c>
      <c r="E706" s="31" t="n">
        <v>34417.2</v>
      </c>
      <c r="F706" s="31" t="n">
        <v>34431.8</v>
      </c>
      <c r="G706" s="31" t="n">
        <v>34459.7</v>
      </c>
      <c r="H706" s="31" t="n">
        <v>34473.1</v>
      </c>
      <c r="I706" s="31" t="n">
        <v>34504.6</v>
      </c>
      <c r="J706" s="31" t="n">
        <v>34535.7</v>
      </c>
      <c r="K706" s="31" t="n">
        <v>25084.6</v>
      </c>
      <c r="L706" s="31" t="n">
        <v>24966.1</v>
      </c>
      <c r="M706" s="30" t="inlineStr">
        <is>
          <t>AMR3</t>
        </is>
      </c>
      <c r="N706" s="30" t="inlineStr">
        <is>
          <t>AMR2</t>
        </is>
      </c>
      <c r="O706" s="32" t="n">
        <v>0</v>
      </c>
      <c r="P706" s="32" t="n">
        <v>0</v>
      </c>
      <c r="Q706" s="32" t="n">
        <v>21</v>
      </c>
      <c r="R706" s="31" t="n">
        <v>40.8</v>
      </c>
      <c r="S706" s="31" t="n">
        <v>40.8</v>
      </c>
      <c r="T706" s="30" t="inlineStr">
        <is>
          <t>AMR3</t>
        </is>
      </c>
      <c r="U706" s="31" t="n">
        <v>62.8</v>
      </c>
      <c r="V706" s="31" t="n">
        <v>62.8</v>
      </c>
      <c r="W706" s="30" t="inlineStr">
        <is>
          <t>AMR2</t>
        </is>
      </c>
      <c r="X706" s="32" t="n">
        <v>0</v>
      </c>
      <c r="Y706" s="32" t="n">
        <v>0</v>
      </c>
      <c r="Z706" s="31" t="n">
        <v>0</v>
      </c>
      <c r="AA706" s="32" t="n">
        <v>0</v>
      </c>
      <c r="AB706" s="32" t="n">
        <v>0</v>
      </c>
      <c r="AC706" s="32" t="n">
        <v>0</v>
      </c>
      <c r="AD706" s="32" t="n">
        <v>0</v>
      </c>
      <c r="AE706" s="31" t="n">
        <v>0</v>
      </c>
      <c r="AF706" s="32" t="n">
        <v>0</v>
      </c>
      <c r="AG706" s="31" t="n">
        <v>0</v>
      </c>
      <c r="AH706" s="32" t="n">
        <v>60</v>
      </c>
      <c r="AI706" s="31" t="n">
        <v>62.1</v>
      </c>
      <c r="AJ706" s="31" t="n">
        <v>43</v>
      </c>
      <c r="AK706" s="31" t="n">
        <v>0</v>
      </c>
      <c r="AL706" s="30" t="inlineStr">
        <is>
          <t>T-0855</t>
        </is>
      </c>
      <c r="AM706" s="30" t="inlineStr">
        <is>
          <t>J-03-03</t>
        </is>
      </c>
      <c r="AN706" s="30" t="inlineStr">
        <is>
          <t>T-0704</t>
        </is>
      </c>
      <c r="AO706" s="30" t="inlineStr">
        <is>
          <t>J-02-01</t>
        </is>
      </c>
    </row>
    <row r="707">
      <c r="A707" s="30" t="inlineStr">
        <is>
          <t>O0706</t>
        </is>
      </c>
      <c r="B707" s="30" t="inlineStr">
        <is>
          <t>D</t>
        </is>
      </c>
      <c r="C707" s="31" t="n">
        <v>9457.200000000001</v>
      </c>
      <c r="D707" s="31" t="n">
        <v>34434.1</v>
      </c>
      <c r="E707" s="31" t="n">
        <v>34434.1</v>
      </c>
      <c r="F707" s="31" t="n">
        <v>34447.7</v>
      </c>
      <c r="G707" s="31" t="n">
        <v>34472</v>
      </c>
      <c r="H707" s="31" t="n">
        <v>34481.2</v>
      </c>
      <c r="I707" s="31" t="n">
        <v>34510.1</v>
      </c>
      <c r="J707" s="31" t="n">
        <v>34550.1</v>
      </c>
      <c r="K707" s="31" t="n">
        <v>25092.9</v>
      </c>
      <c r="L707" s="31" t="n">
        <v>24976.9</v>
      </c>
      <c r="M707" s="30" t="inlineStr">
        <is>
          <t>AMR1</t>
        </is>
      </c>
      <c r="N707" s="30" t="inlineStr">
        <is>
          <t>AMR3</t>
        </is>
      </c>
      <c r="O707" s="32" t="n">
        <v>0</v>
      </c>
      <c r="P707" s="32" t="n">
        <v>0</v>
      </c>
      <c r="Q707" s="32" t="n">
        <v>13</v>
      </c>
      <c r="R707" s="31" t="n">
        <v>37</v>
      </c>
      <c r="S707" s="31" t="n">
        <v>37</v>
      </c>
      <c r="T707" s="30" t="inlineStr">
        <is>
          <t>AMR1</t>
        </is>
      </c>
      <c r="U707" s="31" t="n">
        <v>50.8</v>
      </c>
      <c r="V707" s="31" t="n">
        <v>50.8</v>
      </c>
      <c r="W707" s="30" t="inlineStr">
        <is>
          <t>AMR3</t>
        </is>
      </c>
      <c r="X707" s="32" t="n">
        <v>0</v>
      </c>
      <c r="Y707" s="32" t="n">
        <v>0</v>
      </c>
      <c r="Z707" s="31" t="n">
        <v>0</v>
      </c>
      <c r="AA707" s="32" t="n">
        <v>0</v>
      </c>
      <c r="AB707" s="32" t="n">
        <v>2</v>
      </c>
      <c r="AC707" s="32" t="n">
        <v>1</v>
      </c>
      <c r="AD707" s="32" t="n">
        <v>1</v>
      </c>
      <c r="AE707" s="31" t="n">
        <v>9.800000000000001</v>
      </c>
      <c r="AF707" s="32" t="n">
        <v>1</v>
      </c>
      <c r="AG707" s="31" t="n">
        <v>4.8</v>
      </c>
      <c r="AH707" s="32" t="n">
        <v>43</v>
      </c>
      <c r="AI707" s="31" t="n">
        <v>46.9</v>
      </c>
      <c r="AJ707" s="31" t="n">
        <v>45.1</v>
      </c>
      <c r="AK707" s="31" t="n">
        <v>14.8</v>
      </c>
      <c r="AL707" s="30" t="inlineStr">
        <is>
          <t>T-0856</t>
        </is>
      </c>
      <c r="AM707" s="30" t="inlineStr">
        <is>
          <t>D-02-02</t>
        </is>
      </c>
      <c r="AN707" s="30" t="inlineStr">
        <is>
          <t>T-0725</t>
        </is>
      </c>
      <c r="AO707" s="30" t="inlineStr">
        <is>
          <t>D-04-02</t>
        </is>
      </c>
    </row>
    <row r="708">
      <c r="A708" s="30" t="inlineStr">
        <is>
          <t>O0707</t>
        </is>
      </c>
      <c r="B708" s="30" t="inlineStr">
        <is>
          <t>I</t>
        </is>
      </c>
      <c r="C708" s="31" t="n">
        <v>9463</v>
      </c>
      <c r="D708" s="31" t="n">
        <v>34491.2</v>
      </c>
      <c r="E708" s="31" t="n">
        <v>34491.2</v>
      </c>
      <c r="F708" s="31" t="n">
        <v>34505.2</v>
      </c>
      <c r="G708" s="31" t="n">
        <v>34535.7</v>
      </c>
      <c r="H708" s="31" t="n">
        <v>34551.8</v>
      </c>
      <c r="I708" s="31" t="n">
        <v>34584.9</v>
      </c>
      <c r="J708" s="31" t="n">
        <v>34610.6</v>
      </c>
      <c r="K708" s="31" t="n">
        <v>25147.6</v>
      </c>
      <c r="L708" s="31" t="n">
        <v>25028.2</v>
      </c>
      <c r="M708" s="30" t="inlineStr">
        <is>
          <t>AMR1</t>
        </is>
      </c>
      <c r="N708" s="30" t="inlineStr">
        <is>
          <t>AMR1</t>
        </is>
      </c>
      <c r="O708" s="32" t="n">
        <v>0</v>
      </c>
      <c r="P708" s="32" t="n">
        <v>0</v>
      </c>
      <c r="Q708" s="32" t="n">
        <v>15</v>
      </c>
      <c r="R708" s="31" t="n">
        <v>40</v>
      </c>
      <c r="S708" s="31" t="n">
        <v>40</v>
      </c>
      <c r="T708" s="30" t="inlineStr">
        <is>
          <t>AMR1</t>
        </is>
      </c>
      <c r="U708" s="31" t="n">
        <v>50.1</v>
      </c>
      <c r="V708" s="31" t="n">
        <v>50.1</v>
      </c>
      <c r="W708" s="30" t="inlineStr">
        <is>
          <t>AMR1</t>
        </is>
      </c>
      <c r="X708" s="32" t="n">
        <v>0</v>
      </c>
      <c r="Y708" s="32" t="n">
        <v>0</v>
      </c>
      <c r="Z708" s="31" t="n">
        <v>0</v>
      </c>
      <c r="AA708" s="32" t="n">
        <v>0</v>
      </c>
      <c r="AB708" s="32" t="n">
        <v>2</v>
      </c>
      <c r="AC708" s="32" t="n">
        <v>1</v>
      </c>
      <c r="AD708" s="32" t="n">
        <v>1</v>
      </c>
      <c r="AE708" s="31" t="n">
        <v>2.8</v>
      </c>
      <c r="AF708" s="32" t="n">
        <v>0</v>
      </c>
      <c r="AG708" s="31" t="n">
        <v>0</v>
      </c>
      <c r="AH708" s="32" t="n">
        <v>48</v>
      </c>
      <c r="AI708" s="31" t="n">
        <v>53.2</v>
      </c>
      <c r="AJ708" s="31" t="n">
        <v>44.3</v>
      </c>
      <c r="AK708" s="31" t="n">
        <v>5.8</v>
      </c>
      <c r="AL708" s="30" t="inlineStr">
        <is>
          <t>T-0857</t>
        </is>
      </c>
      <c r="AM708" s="30" t="inlineStr">
        <is>
          <t>I-03-02</t>
        </is>
      </c>
      <c r="AN708" s="30" t="inlineStr">
        <is>
          <t>T-0695</t>
        </is>
      </c>
      <c r="AO708" s="30" t="inlineStr">
        <is>
          <t>I-05-02</t>
        </is>
      </c>
    </row>
    <row r="709">
      <c r="A709" s="30" t="inlineStr">
        <is>
          <t>O0708</t>
        </is>
      </c>
      <c r="B709" s="30" t="inlineStr">
        <is>
          <t>G</t>
        </is>
      </c>
      <c r="C709" s="31" t="n">
        <v>9466.299999999999</v>
      </c>
      <c r="D709" s="31" t="n">
        <v>34564.4</v>
      </c>
      <c r="E709" s="31" t="n">
        <v>34564.4</v>
      </c>
      <c r="F709" s="31" t="n">
        <v>34576.9</v>
      </c>
      <c r="G709" s="31" t="n">
        <v>34606.6</v>
      </c>
      <c r="H709" s="31" t="n">
        <v>34624.8</v>
      </c>
      <c r="I709" s="31" t="n">
        <v>34653.5</v>
      </c>
      <c r="J709" s="31" t="n">
        <v>34681.4</v>
      </c>
      <c r="K709" s="31" t="n">
        <v>25215.1</v>
      </c>
      <c r="L709" s="31" t="n">
        <v>25098.1</v>
      </c>
      <c r="M709" s="30" t="inlineStr">
        <is>
          <t>AMR2</t>
        </is>
      </c>
      <c r="N709" s="30" t="inlineStr">
        <is>
          <t>AMR2</t>
        </is>
      </c>
      <c r="O709" s="32" t="n">
        <v>0</v>
      </c>
      <c r="P709" s="32" t="n">
        <v>0</v>
      </c>
      <c r="Q709" s="32" t="n">
        <v>17</v>
      </c>
      <c r="R709" s="31" t="n">
        <v>39.7</v>
      </c>
      <c r="S709" s="31" t="n">
        <v>39.7</v>
      </c>
      <c r="T709" s="30" t="inlineStr">
        <is>
          <t>AMR2</t>
        </is>
      </c>
      <c r="U709" s="31" t="n">
        <v>56.3</v>
      </c>
      <c r="V709" s="31" t="n">
        <v>56.3</v>
      </c>
      <c r="W709" s="30" t="inlineStr">
        <is>
          <t>AMR2</t>
        </is>
      </c>
      <c r="X709" s="32" t="n">
        <v>0</v>
      </c>
      <c r="Y709" s="32" t="n">
        <v>0</v>
      </c>
      <c r="Z709" s="31" t="n">
        <v>0</v>
      </c>
      <c r="AA709" s="32" t="n">
        <v>0</v>
      </c>
      <c r="AB709" s="32" t="n">
        <v>0</v>
      </c>
      <c r="AC709" s="32" t="n">
        <v>0</v>
      </c>
      <c r="AD709" s="32" t="n">
        <v>0</v>
      </c>
      <c r="AE709" s="31" t="n">
        <v>0</v>
      </c>
      <c r="AF709" s="32" t="n">
        <v>0</v>
      </c>
      <c r="AG709" s="31" t="n">
        <v>0</v>
      </c>
      <c r="AH709" s="32" t="n">
        <v>49</v>
      </c>
      <c r="AI709" s="31" t="n">
        <v>53.2</v>
      </c>
      <c r="AJ709" s="31" t="n">
        <v>45.6</v>
      </c>
      <c r="AK709" s="31" t="n">
        <v>0</v>
      </c>
      <c r="AL709" s="30" t="inlineStr">
        <is>
          <t>T-0858</t>
        </is>
      </c>
      <c r="AM709" s="30" t="inlineStr">
        <is>
          <t>G-02-02</t>
        </is>
      </c>
      <c r="AN709" s="30" t="inlineStr">
        <is>
          <t>T-0671</t>
        </is>
      </c>
      <c r="AO709" s="30" t="inlineStr">
        <is>
          <t>G-04-02</t>
        </is>
      </c>
    </row>
    <row r="710">
      <c r="A710" s="30" t="inlineStr">
        <is>
          <t>O0709</t>
        </is>
      </c>
      <c r="B710" s="30" t="inlineStr">
        <is>
          <t>I</t>
        </is>
      </c>
      <c r="C710" s="31" t="n">
        <v>9471.9</v>
      </c>
      <c r="D710" s="31" t="n">
        <v>34576.9</v>
      </c>
      <c r="E710" s="31" t="n">
        <v>34576.9</v>
      </c>
      <c r="F710" s="31" t="n">
        <v>34592.3</v>
      </c>
      <c r="G710" s="31" t="n">
        <v>34619.6</v>
      </c>
      <c r="H710" s="31" t="n">
        <v>34634.3</v>
      </c>
      <c r="I710" s="31" t="n">
        <v>34664.9</v>
      </c>
      <c r="J710" s="31" t="n">
        <v>34693</v>
      </c>
      <c r="K710" s="31" t="n">
        <v>25221.1</v>
      </c>
      <c r="L710" s="31" t="n">
        <v>25105</v>
      </c>
      <c r="M710" s="30" t="inlineStr">
        <is>
          <t>AMR3</t>
        </is>
      </c>
      <c r="N710" s="30" t="inlineStr">
        <is>
          <t>AMR1</t>
        </is>
      </c>
      <c r="O710" s="32" t="n">
        <v>0</v>
      </c>
      <c r="P710" s="32" t="n">
        <v>0</v>
      </c>
      <c r="Q710" s="32" t="n">
        <v>15</v>
      </c>
      <c r="R710" s="31" t="n">
        <v>40.2</v>
      </c>
      <c r="S710" s="31" t="n">
        <v>40.2</v>
      </c>
      <c r="T710" s="30" t="inlineStr">
        <is>
          <t>AMR3</t>
        </is>
      </c>
      <c r="U710" s="31" t="n">
        <v>46.8</v>
      </c>
      <c r="V710" s="31" t="n">
        <v>46.8</v>
      </c>
      <c r="W710" s="30" t="inlineStr">
        <is>
          <t>AMR1</t>
        </is>
      </c>
      <c r="X710" s="32" t="n">
        <v>0</v>
      </c>
      <c r="Y710" s="32" t="n">
        <v>0</v>
      </c>
      <c r="Z710" s="31" t="n">
        <v>0</v>
      </c>
      <c r="AA710" s="32" t="n">
        <v>0</v>
      </c>
      <c r="AB710" s="32" t="n">
        <v>1</v>
      </c>
      <c r="AC710" s="32" t="n">
        <v>1</v>
      </c>
      <c r="AD710" s="32" t="n">
        <v>1</v>
      </c>
      <c r="AE710" s="31" t="n">
        <v>2.1</v>
      </c>
      <c r="AF710" s="32" t="n">
        <v>0</v>
      </c>
      <c r="AG710" s="31" t="n">
        <v>0</v>
      </c>
      <c r="AH710" s="32" t="n">
        <v>49</v>
      </c>
      <c r="AI710" s="31" t="n">
        <v>55.1</v>
      </c>
      <c r="AJ710" s="31" t="n">
        <v>41.2</v>
      </c>
      <c r="AK710" s="31" t="n">
        <v>5.1</v>
      </c>
      <c r="AL710" s="30" t="inlineStr">
        <is>
          <t>T-0859</t>
        </is>
      </c>
      <c r="AM710" s="30" t="inlineStr">
        <is>
          <t>I-04-02</t>
        </is>
      </c>
      <c r="AN710" s="30" t="inlineStr">
        <is>
          <t>T-0697</t>
        </is>
      </c>
      <c r="AO710" s="30" t="inlineStr">
        <is>
          <t>I-06-02</t>
        </is>
      </c>
    </row>
    <row r="711">
      <c r="A711" s="30" t="inlineStr">
        <is>
          <t>O0710</t>
        </is>
      </c>
      <c r="B711" s="30" t="inlineStr">
        <is>
          <t>G</t>
        </is>
      </c>
      <c r="C711" s="31" t="n">
        <v>9475</v>
      </c>
      <c r="D711" s="31" t="n">
        <v>34644.1</v>
      </c>
      <c r="E711" s="31" t="n">
        <v>34644.1</v>
      </c>
      <c r="F711" s="31" t="n">
        <v>34654.7</v>
      </c>
      <c r="G711" s="31" t="n">
        <v>34681.1</v>
      </c>
      <c r="H711" s="31" t="n">
        <v>34698.6</v>
      </c>
      <c r="I711" s="31" t="n">
        <v>34727</v>
      </c>
      <c r="J711" s="31" t="n">
        <v>34758</v>
      </c>
      <c r="K711" s="31" t="n">
        <v>25283</v>
      </c>
      <c r="L711" s="31" t="n">
        <v>25169.1</v>
      </c>
      <c r="M711" s="30" t="inlineStr">
        <is>
          <t>AMR3</t>
        </is>
      </c>
      <c r="N711" s="30" t="inlineStr">
        <is>
          <t>AMR3</t>
        </is>
      </c>
      <c r="O711" s="32" t="n">
        <v>0</v>
      </c>
      <c r="P711" s="32" t="n">
        <v>0</v>
      </c>
      <c r="Q711" s="32" t="n">
        <v>17</v>
      </c>
      <c r="R711" s="31" t="n">
        <v>35.3</v>
      </c>
      <c r="S711" s="31" t="n">
        <v>35.3</v>
      </c>
      <c r="T711" s="30" t="inlineStr">
        <is>
          <t>AMR3</t>
        </is>
      </c>
      <c r="U711" s="31" t="n">
        <v>56.1</v>
      </c>
      <c r="V711" s="31" t="n">
        <v>56.1</v>
      </c>
      <c r="W711" s="30" t="inlineStr">
        <is>
          <t>AMR3</t>
        </is>
      </c>
      <c r="X711" s="32" t="n">
        <v>0</v>
      </c>
      <c r="Y711" s="32" t="n">
        <v>0</v>
      </c>
      <c r="Z711" s="31" t="n">
        <v>0</v>
      </c>
      <c r="AA711" s="32" t="n">
        <v>0</v>
      </c>
      <c r="AB711" s="32" t="n">
        <v>0</v>
      </c>
      <c r="AC711" s="32" t="n">
        <v>0</v>
      </c>
      <c r="AD711" s="32" t="n">
        <v>0</v>
      </c>
      <c r="AE711" s="31" t="n">
        <v>0</v>
      </c>
      <c r="AF711" s="32" t="n">
        <v>0</v>
      </c>
      <c r="AG711" s="31" t="n">
        <v>0</v>
      </c>
      <c r="AH711" s="32" t="n">
        <v>52</v>
      </c>
      <c r="AI711" s="31" t="n">
        <v>55.4</v>
      </c>
      <c r="AJ711" s="31" t="n">
        <v>41</v>
      </c>
      <c r="AK711" s="31" t="n">
        <v>0</v>
      </c>
      <c r="AL711" s="30" t="inlineStr">
        <is>
          <t>T-0860</t>
        </is>
      </c>
      <c r="AM711" s="30" t="inlineStr">
        <is>
          <t>G-03-02</t>
        </is>
      </c>
      <c r="AN711" s="30" t="inlineStr">
        <is>
          <t>T-0687</t>
        </is>
      </c>
      <c r="AO711" s="30" t="inlineStr">
        <is>
          <t>G-02-01</t>
        </is>
      </c>
    </row>
    <row r="712">
      <c r="A712" s="30" t="inlineStr">
        <is>
          <t>O0711</t>
        </is>
      </c>
      <c r="B712" s="30" t="inlineStr">
        <is>
          <t>J</t>
        </is>
      </c>
      <c r="C712" s="31" t="n">
        <v>9478</v>
      </c>
      <c r="D712" s="31" t="n">
        <v>34705.1</v>
      </c>
      <c r="E712" s="31" t="n">
        <v>34705.1</v>
      </c>
      <c r="F712" s="31" t="n">
        <v>34720.4</v>
      </c>
      <c r="G712" s="31" t="n">
        <v>34750</v>
      </c>
      <c r="H712" s="31" t="n">
        <v>34770.2</v>
      </c>
      <c r="I712" s="31" t="n">
        <v>34800.2</v>
      </c>
      <c r="J712" s="31" t="n">
        <v>34834.5</v>
      </c>
      <c r="K712" s="31" t="n">
        <v>25356.5</v>
      </c>
      <c r="L712" s="31" t="n">
        <v>25227.1</v>
      </c>
      <c r="M712" s="30" t="inlineStr">
        <is>
          <t>AMR2</t>
        </is>
      </c>
      <c r="N712" s="30" t="inlineStr">
        <is>
          <t>AMR2</t>
        </is>
      </c>
      <c r="O712" s="32" t="n">
        <v>0</v>
      </c>
      <c r="P712" s="32" t="n">
        <v>0</v>
      </c>
      <c r="Q712" s="32" t="n">
        <v>21</v>
      </c>
      <c r="R712" s="31" t="n">
        <v>44</v>
      </c>
      <c r="S712" s="31" t="n">
        <v>44</v>
      </c>
      <c r="T712" s="30" t="inlineStr">
        <is>
          <t>AMR2</t>
        </is>
      </c>
      <c r="U712" s="31" t="n">
        <v>59.5</v>
      </c>
      <c r="V712" s="31" t="n">
        <v>59.5</v>
      </c>
      <c r="W712" s="30" t="inlineStr">
        <is>
          <t>AMR2</t>
        </is>
      </c>
      <c r="X712" s="32" t="n">
        <v>0</v>
      </c>
      <c r="Y712" s="32" t="n">
        <v>0</v>
      </c>
      <c r="Z712" s="31" t="n">
        <v>0</v>
      </c>
      <c r="AA712" s="32" t="n">
        <v>0</v>
      </c>
      <c r="AB712" s="32" t="n">
        <v>0</v>
      </c>
      <c r="AC712" s="32" t="n">
        <v>0</v>
      </c>
      <c r="AD712" s="32" t="n">
        <v>0</v>
      </c>
      <c r="AE712" s="31" t="n">
        <v>0</v>
      </c>
      <c r="AF712" s="32" t="n">
        <v>0</v>
      </c>
      <c r="AG712" s="31" t="n">
        <v>0</v>
      </c>
      <c r="AH712" s="32" t="n">
        <v>65</v>
      </c>
      <c r="AI712" s="31" t="n">
        <v>66.3</v>
      </c>
      <c r="AJ712" s="31" t="n">
        <v>42.9</v>
      </c>
      <c r="AK712" s="31" t="n">
        <v>0</v>
      </c>
      <c r="AL712" s="30" t="inlineStr">
        <is>
          <t>T-0861</t>
        </is>
      </c>
      <c r="AM712" s="30" t="inlineStr">
        <is>
          <t>J-02-01</t>
        </is>
      </c>
      <c r="AN712" s="30" t="inlineStr">
        <is>
          <t>T-0705</t>
        </is>
      </c>
      <c r="AO712" s="30" t="inlineStr">
        <is>
          <t>J-06-02</t>
        </is>
      </c>
    </row>
    <row r="713">
      <c r="A713" s="30" t="inlineStr">
        <is>
          <t>O0712</t>
        </is>
      </c>
      <c r="B713" s="30" t="inlineStr">
        <is>
          <t>A</t>
        </is>
      </c>
      <c r="C713" s="31" t="n">
        <v>9484.299999999999</v>
      </c>
      <c r="D713" s="31" t="n">
        <v>34720.5</v>
      </c>
      <c r="E713" s="31" t="n">
        <v>34720.5</v>
      </c>
      <c r="F713" s="31" t="n">
        <v>34735.5</v>
      </c>
      <c r="G713" s="31" t="n">
        <v>34762.3</v>
      </c>
      <c r="H713" s="31" t="n">
        <v>34781.2</v>
      </c>
      <c r="I713" s="31" t="n">
        <v>34812.7</v>
      </c>
      <c r="J713" s="31" t="n">
        <v>34854.7</v>
      </c>
      <c r="K713" s="31" t="n">
        <v>25370.4</v>
      </c>
      <c r="L713" s="31" t="n">
        <v>25236.2</v>
      </c>
      <c r="M713" s="30" t="inlineStr">
        <is>
          <t>AMR1</t>
        </is>
      </c>
      <c r="N713" s="30" t="inlineStr">
        <is>
          <t>AMR1</t>
        </is>
      </c>
      <c r="O713" s="32" t="n">
        <v>0</v>
      </c>
      <c r="P713" s="32" t="n">
        <v>0</v>
      </c>
      <c r="Q713" s="32" t="n">
        <v>21</v>
      </c>
      <c r="R713" s="31" t="n">
        <v>41.7</v>
      </c>
      <c r="S713" s="31" t="n">
        <v>41.7</v>
      </c>
      <c r="T713" s="30" t="inlineStr">
        <is>
          <t>AMR1</t>
        </is>
      </c>
      <c r="U713" s="31" t="n">
        <v>67.59999999999999</v>
      </c>
      <c r="V713" s="31" t="n">
        <v>67.59999999999999</v>
      </c>
      <c r="W713" s="30" t="inlineStr">
        <is>
          <t>AMR1</t>
        </is>
      </c>
      <c r="X713" s="32" t="n">
        <v>0</v>
      </c>
      <c r="Y713" s="32" t="n">
        <v>0</v>
      </c>
      <c r="Z713" s="31" t="n">
        <v>0</v>
      </c>
      <c r="AA713" s="32" t="n">
        <v>0</v>
      </c>
      <c r="AB713" s="32" t="n">
        <v>1</v>
      </c>
      <c r="AC713" s="32" t="n">
        <v>0</v>
      </c>
      <c r="AD713" s="32" t="n">
        <v>0</v>
      </c>
      <c r="AE713" s="31" t="n">
        <v>0</v>
      </c>
      <c r="AF713" s="32" t="n">
        <v>0</v>
      </c>
      <c r="AG713" s="31" t="n">
        <v>0</v>
      </c>
      <c r="AH713" s="32" t="n">
        <v>66</v>
      </c>
      <c r="AI713" s="31" t="n">
        <v>65.5</v>
      </c>
      <c r="AJ713" s="31" t="n">
        <v>47.2</v>
      </c>
      <c r="AK713" s="31" t="n">
        <v>2.6</v>
      </c>
      <c r="AL713" s="30" t="inlineStr">
        <is>
          <t>T-0862</t>
        </is>
      </c>
      <c r="AM713" s="30" t="inlineStr">
        <is>
          <t>A-06-01</t>
        </is>
      </c>
      <c r="AN713" s="30" t="inlineStr">
        <is>
          <t>T-0732</t>
        </is>
      </c>
      <c r="AO713" s="30" t="inlineStr">
        <is>
          <t>A-01-01</t>
        </is>
      </c>
    </row>
    <row r="714">
      <c r="A714" s="30" t="inlineStr">
        <is>
          <t>O0713</t>
        </is>
      </c>
      <c r="B714" s="30" t="inlineStr">
        <is>
          <t>H</t>
        </is>
      </c>
      <c r="C714" s="31" t="n">
        <v>9489.4</v>
      </c>
      <c r="D714" s="31" t="n">
        <v>34784.6</v>
      </c>
      <c r="E714" s="31" t="n">
        <v>34784.6</v>
      </c>
      <c r="F714" s="31" t="n">
        <v>34797</v>
      </c>
      <c r="G714" s="31" t="n">
        <v>34819.3</v>
      </c>
      <c r="H714" s="31" t="n">
        <v>34833.5</v>
      </c>
      <c r="I714" s="31" t="n">
        <v>34861.1</v>
      </c>
      <c r="J714" s="31" t="n">
        <v>34885.1</v>
      </c>
      <c r="K714" s="31" t="n">
        <v>25395.7</v>
      </c>
      <c r="L714" s="31" t="n">
        <v>25295.2</v>
      </c>
      <c r="M714" s="30" t="inlineStr">
        <is>
          <t>AMR3</t>
        </is>
      </c>
      <c r="N714" s="30" t="inlineStr">
        <is>
          <t>AMR3</t>
        </is>
      </c>
      <c r="O714" s="32" t="n">
        <v>0</v>
      </c>
      <c r="P714" s="32" t="n">
        <v>0</v>
      </c>
      <c r="Q714" s="32" t="n">
        <v>15</v>
      </c>
      <c r="R714" s="31" t="n">
        <v>33.8</v>
      </c>
      <c r="S714" s="31" t="n">
        <v>33.8</v>
      </c>
      <c r="T714" s="30" t="inlineStr">
        <is>
          <t>AMR3</t>
        </is>
      </c>
      <c r="U714" s="31" t="n">
        <v>51.8</v>
      </c>
      <c r="V714" s="31" t="n">
        <v>51.8</v>
      </c>
      <c r="W714" s="30" t="inlineStr">
        <is>
          <t>AMR3</t>
        </is>
      </c>
      <c r="X714" s="32" t="n">
        <v>0</v>
      </c>
      <c r="Y714" s="32" t="n">
        <v>0</v>
      </c>
      <c r="Z714" s="31" t="n">
        <v>0</v>
      </c>
      <c r="AA714" s="32" t="n">
        <v>0</v>
      </c>
      <c r="AB714" s="32" t="n">
        <v>0</v>
      </c>
      <c r="AC714" s="32" t="n">
        <v>0</v>
      </c>
      <c r="AD714" s="32" t="n">
        <v>0</v>
      </c>
      <c r="AE714" s="31" t="n">
        <v>0</v>
      </c>
      <c r="AF714" s="32" t="n">
        <v>0</v>
      </c>
      <c r="AG714" s="31" t="n">
        <v>0</v>
      </c>
      <c r="AH714" s="32" t="n">
        <v>41</v>
      </c>
      <c r="AI714" s="31" t="n">
        <v>46</v>
      </c>
      <c r="AJ714" s="31" t="n">
        <v>40.3</v>
      </c>
      <c r="AK714" s="31" t="n">
        <v>0</v>
      </c>
      <c r="AL714" s="30" t="inlineStr">
        <is>
          <t>T-0863</t>
        </is>
      </c>
      <c r="AM714" s="30" t="inlineStr">
        <is>
          <t>H-02-03</t>
        </is>
      </c>
      <c r="AN714" s="30" t="inlineStr">
        <is>
          <t>T-0741</t>
        </is>
      </c>
      <c r="AO714" s="30" t="inlineStr">
        <is>
          <t>H-02-01</t>
        </is>
      </c>
    </row>
    <row r="715">
      <c r="A715" s="30" t="inlineStr">
        <is>
          <t>O0714</t>
        </is>
      </c>
      <c r="B715" s="30" t="inlineStr">
        <is>
          <t>H</t>
        </is>
      </c>
      <c r="C715" s="31" t="n">
        <v>9493.4</v>
      </c>
      <c r="D715" s="31" t="n">
        <v>34858.2</v>
      </c>
      <c r="E715" s="31" t="n">
        <v>34858.2</v>
      </c>
      <c r="F715" s="31" t="n">
        <v>34874.5</v>
      </c>
      <c r="G715" s="31" t="n">
        <v>34897.4</v>
      </c>
      <c r="H715" s="31" t="n">
        <v>34911.6</v>
      </c>
      <c r="I715" s="31" t="n">
        <v>34942.1</v>
      </c>
      <c r="J715" s="31" t="n">
        <v>34965.9</v>
      </c>
      <c r="K715" s="31" t="n">
        <v>25472.5</v>
      </c>
      <c r="L715" s="31" t="n">
        <v>25364.8</v>
      </c>
      <c r="M715" s="30" t="inlineStr">
        <is>
          <t>AMR2</t>
        </is>
      </c>
      <c r="N715" s="30" t="inlineStr">
        <is>
          <t>AMR2</t>
        </is>
      </c>
      <c r="O715" s="32" t="n">
        <v>0</v>
      </c>
      <c r="P715" s="32" t="n">
        <v>0</v>
      </c>
      <c r="Q715" s="32" t="n">
        <v>15</v>
      </c>
      <c r="R715" s="31" t="n">
        <v>38.3</v>
      </c>
      <c r="S715" s="31" t="n">
        <v>38.3</v>
      </c>
      <c r="T715" s="30" t="inlineStr">
        <is>
          <t>AMR2</t>
        </is>
      </c>
      <c r="U715" s="31" t="n">
        <v>50.6</v>
      </c>
      <c r="V715" s="31" t="n">
        <v>50.6</v>
      </c>
      <c r="W715" s="30" t="inlineStr">
        <is>
          <t>AMR2</t>
        </is>
      </c>
      <c r="X715" s="32" t="n">
        <v>0</v>
      </c>
      <c r="Y715" s="32" t="n">
        <v>0</v>
      </c>
      <c r="Z715" s="31" t="n">
        <v>0</v>
      </c>
      <c r="AA715" s="32" t="n">
        <v>0</v>
      </c>
      <c r="AB715" s="32" t="n">
        <v>2</v>
      </c>
      <c r="AC715" s="32" t="n">
        <v>1</v>
      </c>
      <c r="AD715" s="32" t="n">
        <v>0</v>
      </c>
      <c r="AE715" s="31" t="n">
        <v>0</v>
      </c>
      <c r="AF715" s="32" t="n">
        <v>0</v>
      </c>
      <c r="AG715" s="31" t="n">
        <v>0</v>
      </c>
      <c r="AH715" s="32" t="n">
        <v>41</v>
      </c>
      <c r="AI715" s="31" t="n">
        <v>46.9</v>
      </c>
      <c r="AJ715" s="31" t="n">
        <v>43.6</v>
      </c>
      <c r="AK715" s="31" t="n">
        <v>3</v>
      </c>
      <c r="AL715" s="30" t="inlineStr">
        <is>
          <t>T-0864</t>
        </is>
      </c>
      <c r="AM715" s="30" t="inlineStr">
        <is>
          <t>H-02-01</t>
        </is>
      </c>
      <c r="AN715" s="30" t="inlineStr">
        <is>
          <t>T-0760</t>
        </is>
      </c>
      <c r="AO715" s="30" t="inlineStr">
        <is>
          <t>H-04-01</t>
        </is>
      </c>
    </row>
    <row r="716">
      <c r="A716" s="30" t="inlineStr">
        <is>
          <t>O0715</t>
        </is>
      </c>
      <c r="B716" s="30" t="inlineStr">
        <is>
          <t>D</t>
        </is>
      </c>
      <c r="C716" s="31" t="n">
        <v>9498.299999999999</v>
      </c>
      <c r="D716" s="31" t="n">
        <v>34878.4</v>
      </c>
      <c r="E716" s="31" t="n">
        <v>34878.4</v>
      </c>
      <c r="F716" s="31" t="n">
        <v>34890.9</v>
      </c>
      <c r="G716" s="31" t="n">
        <v>34921.5</v>
      </c>
      <c r="H716" s="31" t="n">
        <v>34938.5</v>
      </c>
      <c r="I716" s="31" t="n">
        <v>34964.2</v>
      </c>
      <c r="J716" s="31" t="n">
        <v>34993.7</v>
      </c>
      <c r="K716" s="31" t="n">
        <v>25495.4</v>
      </c>
      <c r="L716" s="31" t="n">
        <v>25380.1</v>
      </c>
      <c r="M716" s="30" t="inlineStr">
        <is>
          <t>AMR1</t>
        </is>
      </c>
      <c r="N716" s="30" t="inlineStr">
        <is>
          <t>AMR1</t>
        </is>
      </c>
      <c r="O716" s="32" t="n">
        <v>0</v>
      </c>
      <c r="P716" s="32" t="n">
        <v>0</v>
      </c>
      <c r="Q716" s="32" t="n">
        <v>13</v>
      </c>
      <c r="R716" s="31" t="n">
        <v>32.5</v>
      </c>
      <c r="S716" s="31" t="n">
        <v>32.5</v>
      </c>
      <c r="T716" s="30" t="inlineStr">
        <is>
          <t>AMR1</t>
        </is>
      </c>
      <c r="U716" s="31" t="n">
        <v>51.9</v>
      </c>
      <c r="V716" s="31" t="n">
        <v>51.9</v>
      </c>
      <c r="W716" s="30" t="inlineStr">
        <is>
          <t>AMR1</t>
        </is>
      </c>
      <c r="X716" s="32" t="n">
        <v>0</v>
      </c>
      <c r="Y716" s="32" t="n">
        <v>0</v>
      </c>
      <c r="Z716" s="31" t="n">
        <v>0</v>
      </c>
      <c r="AA716" s="32" t="n">
        <v>0</v>
      </c>
      <c r="AB716" s="32" t="n">
        <v>1</v>
      </c>
      <c r="AC716" s="32" t="n">
        <v>1</v>
      </c>
      <c r="AD716" s="32" t="n">
        <v>1</v>
      </c>
      <c r="AE716" s="31" t="n">
        <v>2</v>
      </c>
      <c r="AF716" s="32" t="n">
        <v>0</v>
      </c>
      <c r="AG716" s="31" t="n">
        <v>0</v>
      </c>
      <c r="AH716" s="32" t="n">
        <v>48</v>
      </c>
      <c r="AI716" s="31" t="n">
        <v>53.6</v>
      </c>
      <c r="AJ716" s="31" t="n">
        <v>41.7</v>
      </c>
      <c r="AK716" s="31" t="n">
        <v>3</v>
      </c>
      <c r="AL716" s="30" t="inlineStr">
        <is>
          <t>T-0865</t>
        </is>
      </c>
      <c r="AM716" s="30" t="inlineStr">
        <is>
          <t>D-03-02</t>
        </is>
      </c>
      <c r="AN716" s="30" t="inlineStr">
        <is>
          <t>T-0755</t>
        </is>
      </c>
      <c r="AO716" s="30" t="inlineStr">
        <is>
          <t>D-05-02</t>
        </is>
      </c>
    </row>
    <row r="717">
      <c r="A717" s="30" t="inlineStr">
        <is>
          <t>O0716</t>
        </is>
      </c>
      <c r="B717" s="30" t="inlineStr">
        <is>
          <t>J</t>
        </is>
      </c>
      <c r="C717" s="31" t="n">
        <v>9504</v>
      </c>
      <c r="D717" s="31" t="n">
        <v>34919.4</v>
      </c>
      <c r="E717" s="31" t="n">
        <v>34919.4</v>
      </c>
      <c r="F717" s="31" t="n">
        <v>34932.2</v>
      </c>
      <c r="G717" s="31" t="n">
        <v>34967.1</v>
      </c>
      <c r="H717" s="31" t="n">
        <v>34990</v>
      </c>
      <c r="I717" s="31" t="n">
        <v>35024.7</v>
      </c>
      <c r="J717" s="31" t="n">
        <v>35065.2</v>
      </c>
      <c r="K717" s="31" t="n">
        <v>25561.2</v>
      </c>
      <c r="L717" s="31" t="n">
        <v>25415.4</v>
      </c>
      <c r="M717" s="30" t="inlineStr">
        <is>
          <t>AMR3</t>
        </is>
      </c>
      <c r="N717" s="30" t="inlineStr">
        <is>
          <t>AMR3</t>
        </is>
      </c>
      <c r="O717" s="32" t="n">
        <v>0</v>
      </c>
      <c r="P717" s="32" t="n">
        <v>0</v>
      </c>
      <c r="Q717" s="32" t="n">
        <v>21</v>
      </c>
      <c r="R717" s="31" t="n">
        <v>42.2</v>
      </c>
      <c r="S717" s="31" t="n">
        <v>42.2</v>
      </c>
      <c r="T717" s="30" t="inlineStr">
        <is>
          <t>AMR3</t>
        </is>
      </c>
      <c r="U717" s="31" t="n">
        <v>62.4</v>
      </c>
      <c r="V717" s="31" t="n">
        <v>62.4</v>
      </c>
      <c r="W717" s="30" t="inlineStr">
        <is>
          <t>AMR3</t>
        </is>
      </c>
      <c r="X717" s="32" t="n">
        <v>0</v>
      </c>
      <c r="Y717" s="32" t="n">
        <v>0</v>
      </c>
      <c r="Z717" s="31" t="n">
        <v>0</v>
      </c>
      <c r="AA717" s="32" t="n">
        <v>0</v>
      </c>
      <c r="AB717" s="32" t="n">
        <v>3</v>
      </c>
      <c r="AC717" s="32" t="n">
        <v>1</v>
      </c>
      <c r="AD717" s="32" t="n">
        <v>0</v>
      </c>
      <c r="AE717" s="31" t="n">
        <v>0</v>
      </c>
      <c r="AF717" s="32" t="n">
        <v>0</v>
      </c>
      <c r="AG717" s="31" t="n">
        <v>0</v>
      </c>
      <c r="AH717" s="32" t="n">
        <v>68</v>
      </c>
      <c r="AI717" s="31" t="n">
        <v>68.7</v>
      </c>
      <c r="AJ717" s="31" t="n">
        <v>44</v>
      </c>
      <c r="AK717" s="31" t="n">
        <v>10.2</v>
      </c>
      <c r="AL717" s="30" t="inlineStr">
        <is>
          <t>T-0866</t>
        </is>
      </c>
      <c r="AM717" s="30" t="inlineStr">
        <is>
          <t>J-06-02</t>
        </is>
      </c>
      <c r="AN717" s="30" t="inlineStr">
        <is>
          <t>T-0712</t>
        </is>
      </c>
      <c r="AO717" s="30" t="inlineStr">
        <is>
          <t>J-04-01</t>
        </is>
      </c>
    </row>
    <row r="718">
      <c r="A718" s="30" t="inlineStr">
        <is>
          <t>O0717</t>
        </is>
      </c>
      <c r="B718" s="30" t="inlineStr">
        <is>
          <t>I</t>
        </is>
      </c>
      <c r="C718" s="31" t="n">
        <v>9510</v>
      </c>
      <c r="D718" s="31" t="n">
        <v>35000</v>
      </c>
      <c r="E718" s="31" t="n">
        <v>35000</v>
      </c>
      <c r="F718" s="31" t="n">
        <v>35015.6</v>
      </c>
      <c r="G718" s="31" t="n">
        <v>35044.2</v>
      </c>
      <c r="H718" s="31" t="n">
        <v>35061</v>
      </c>
      <c r="I718" s="31" t="n">
        <v>35088.5</v>
      </c>
      <c r="J718" s="31" t="n">
        <v>35115.9</v>
      </c>
      <c r="K718" s="31" t="n">
        <v>25605.9</v>
      </c>
      <c r="L718" s="31" t="n">
        <v>25490</v>
      </c>
      <c r="M718" s="30" t="inlineStr">
        <is>
          <t>AMR2</t>
        </is>
      </c>
      <c r="N718" s="30" t="inlineStr">
        <is>
          <t>AMR2</t>
        </is>
      </c>
      <c r="O718" s="32" t="n">
        <v>0</v>
      </c>
      <c r="P718" s="32" t="n">
        <v>0</v>
      </c>
      <c r="Q718" s="32" t="n">
        <v>15</v>
      </c>
      <c r="R718" s="31" t="n">
        <v>41.7</v>
      </c>
      <c r="S718" s="31" t="n">
        <v>41.7</v>
      </c>
      <c r="T718" s="30" t="inlineStr">
        <is>
          <t>AMR2</t>
        </is>
      </c>
      <c r="U718" s="31" t="n">
        <v>55.1</v>
      </c>
      <c r="V718" s="31" t="n">
        <v>55.1</v>
      </c>
      <c r="W718" s="30" t="inlineStr">
        <is>
          <t>AMR2</t>
        </is>
      </c>
      <c r="X718" s="32" t="n">
        <v>0</v>
      </c>
      <c r="Y718" s="32" t="n">
        <v>0</v>
      </c>
      <c r="Z718" s="31" t="n">
        <v>0</v>
      </c>
      <c r="AA718" s="32" t="n">
        <v>0</v>
      </c>
      <c r="AB718" s="32" t="n">
        <v>2</v>
      </c>
      <c r="AC718" s="32" t="n">
        <v>0</v>
      </c>
      <c r="AD718" s="32" t="n">
        <v>0</v>
      </c>
      <c r="AE718" s="31" t="n">
        <v>0</v>
      </c>
      <c r="AF718" s="32" t="n">
        <v>0</v>
      </c>
      <c r="AG718" s="31" t="n">
        <v>0</v>
      </c>
      <c r="AH718" s="32" t="n">
        <v>43</v>
      </c>
      <c r="AI718" s="31" t="n">
        <v>48.1</v>
      </c>
      <c r="AJ718" s="31" t="n">
        <v>51</v>
      </c>
      <c r="AK718" s="31" t="n">
        <v>0</v>
      </c>
      <c r="AL718" s="30" t="inlineStr">
        <is>
          <t>T-0867</t>
        </is>
      </c>
      <c r="AM718" s="30" t="inlineStr">
        <is>
          <t>I-05-02</t>
        </is>
      </c>
      <c r="AN718" s="30" t="inlineStr">
        <is>
          <t>T-0699</t>
        </is>
      </c>
      <c r="AO718" s="30" t="inlineStr">
        <is>
          <t>I-01-03</t>
        </is>
      </c>
    </row>
    <row r="719">
      <c r="A719" s="30" t="inlineStr">
        <is>
          <t>O0718</t>
        </is>
      </c>
      <c r="B719" s="30" t="inlineStr">
        <is>
          <t>C</t>
        </is>
      </c>
      <c r="C719" s="31" t="n">
        <v>9515.299999999999</v>
      </c>
      <c r="D719" s="31" t="n">
        <v>35017.4</v>
      </c>
      <c r="E719" s="31" t="n">
        <v>35017.4</v>
      </c>
      <c r="F719" s="31" t="n">
        <v>35031.8</v>
      </c>
      <c r="G719" s="31" t="n">
        <v>35053.2</v>
      </c>
      <c r="H719" s="31" t="n">
        <v>35065.4</v>
      </c>
      <c r="I719" s="31" t="n">
        <v>35087.7</v>
      </c>
      <c r="J719" s="31" t="n">
        <v>35130.2</v>
      </c>
      <c r="K719" s="31" t="n">
        <v>25614.9</v>
      </c>
      <c r="L719" s="31" t="n">
        <v>25502.1</v>
      </c>
      <c r="M719" s="30" t="inlineStr">
        <is>
          <t>AMR1</t>
        </is>
      </c>
      <c r="N719" s="30" t="inlineStr">
        <is>
          <t>AMR1</t>
        </is>
      </c>
      <c r="O719" s="32" t="n">
        <v>0</v>
      </c>
      <c r="P719" s="32" t="n">
        <v>0</v>
      </c>
      <c r="Q719" s="32" t="n">
        <v>13</v>
      </c>
      <c r="R719" s="31" t="n">
        <v>34.9</v>
      </c>
      <c r="S719" s="31" t="n">
        <v>34.9</v>
      </c>
      <c r="T719" s="30" t="inlineStr">
        <is>
          <t>AMR1</t>
        </is>
      </c>
      <c r="U719" s="31" t="n">
        <v>51.6</v>
      </c>
      <c r="V719" s="31" t="n">
        <v>51.6</v>
      </c>
      <c r="W719" s="30" t="inlineStr">
        <is>
          <t>AMR1</t>
        </is>
      </c>
      <c r="X719" s="32" t="n">
        <v>0</v>
      </c>
      <c r="Y719" s="32" t="n">
        <v>0</v>
      </c>
      <c r="Z719" s="31" t="n">
        <v>0</v>
      </c>
      <c r="AA719" s="32" t="n">
        <v>0</v>
      </c>
      <c r="AB719" s="32" t="n">
        <v>1</v>
      </c>
      <c r="AC719" s="32" t="n">
        <v>0</v>
      </c>
      <c r="AD719" s="32" t="n">
        <v>2</v>
      </c>
      <c r="AE719" s="31" t="n">
        <v>12.8</v>
      </c>
      <c r="AF719" s="32" t="n">
        <v>1</v>
      </c>
      <c r="AG719" s="31" t="n">
        <v>6.6</v>
      </c>
      <c r="AH719" s="32" t="n">
        <v>37</v>
      </c>
      <c r="AI719" s="31" t="n">
        <v>40.4</v>
      </c>
      <c r="AJ719" s="31" t="n">
        <v>44.3</v>
      </c>
      <c r="AK719" s="31" t="n">
        <v>15.9</v>
      </c>
      <c r="AL719" s="30" t="inlineStr">
        <is>
          <t>T-0868</t>
        </is>
      </c>
      <c r="AM719" s="30" t="inlineStr">
        <is>
          <t>C-02-01</t>
        </is>
      </c>
      <c r="AN719" s="30" t="inlineStr">
        <is>
          <t>T-0736</t>
        </is>
      </c>
      <c r="AO719" s="30" t="inlineStr">
        <is>
          <t>C-06-02</t>
        </is>
      </c>
    </row>
    <row r="720">
      <c r="A720" s="30" t="inlineStr">
        <is>
          <t>O0719</t>
        </is>
      </c>
      <c r="B720" s="30" t="inlineStr">
        <is>
          <t>I</t>
        </is>
      </c>
      <c r="C720" s="31" t="n">
        <v>9518.9</v>
      </c>
      <c r="D720" s="31" t="n">
        <v>35090.4</v>
      </c>
      <c r="E720" s="31" t="n">
        <v>35090.4</v>
      </c>
      <c r="F720" s="31" t="n">
        <v>35104.9</v>
      </c>
      <c r="G720" s="31" t="n">
        <v>35129.9</v>
      </c>
      <c r="H720" s="31" t="n">
        <v>35139.6</v>
      </c>
      <c r="I720" s="31" t="n">
        <v>35167.9</v>
      </c>
      <c r="J720" s="31" t="n">
        <v>35194.9</v>
      </c>
      <c r="K720" s="31" t="n">
        <v>25676</v>
      </c>
      <c r="L720" s="31" t="n">
        <v>25571.5</v>
      </c>
      <c r="M720" s="30" t="inlineStr">
        <is>
          <t>AMR3</t>
        </is>
      </c>
      <c r="N720" s="30" t="inlineStr">
        <is>
          <t>AMR2</t>
        </is>
      </c>
      <c r="O720" s="32" t="n">
        <v>0</v>
      </c>
      <c r="P720" s="32" t="n">
        <v>0</v>
      </c>
      <c r="Q720" s="32" t="n">
        <v>15</v>
      </c>
      <c r="R720" s="31" t="n">
        <v>36.2</v>
      </c>
      <c r="S720" s="31" t="n">
        <v>36.2</v>
      </c>
      <c r="T720" s="30" t="inlineStr">
        <is>
          <t>AMR3</t>
        </is>
      </c>
      <c r="U720" s="31" t="n">
        <v>50.4</v>
      </c>
      <c r="V720" s="31" t="n">
        <v>50.4</v>
      </c>
      <c r="W720" s="30" t="inlineStr">
        <is>
          <t>AMR2</t>
        </is>
      </c>
      <c r="X720" s="32" t="n">
        <v>0</v>
      </c>
      <c r="Y720" s="32" t="n">
        <v>0</v>
      </c>
      <c r="Z720" s="31" t="n">
        <v>0</v>
      </c>
      <c r="AA720" s="32" t="n">
        <v>0</v>
      </c>
      <c r="AB720" s="32" t="n">
        <v>1</v>
      </c>
      <c r="AC720" s="32" t="n">
        <v>1</v>
      </c>
      <c r="AD720" s="32" t="n">
        <v>0</v>
      </c>
      <c r="AE720" s="31" t="n">
        <v>0</v>
      </c>
      <c r="AF720" s="32" t="n">
        <v>1</v>
      </c>
      <c r="AG720" s="31" t="n">
        <v>0.1</v>
      </c>
      <c r="AH720" s="32" t="n">
        <v>44</v>
      </c>
      <c r="AI720" s="31" t="n">
        <v>48.9</v>
      </c>
      <c r="AJ720" s="31" t="n">
        <v>40.8</v>
      </c>
      <c r="AK720" s="31" t="n">
        <v>5.1</v>
      </c>
      <c r="AL720" s="30" t="inlineStr">
        <is>
          <t>T-0869</t>
        </is>
      </c>
      <c r="AM720" s="30" t="inlineStr">
        <is>
          <t>I-06-02</t>
        </is>
      </c>
      <c r="AN720" s="30" t="inlineStr">
        <is>
          <t>T-0707</t>
        </is>
      </c>
      <c r="AO720" s="30" t="inlineStr">
        <is>
          <t>I-02-03</t>
        </is>
      </c>
    </row>
    <row r="721">
      <c r="A721" s="30" t="inlineStr">
        <is>
          <t>O0720</t>
        </is>
      </c>
      <c r="B721" s="30" t="inlineStr">
        <is>
          <t>C</t>
        </is>
      </c>
      <c r="C721" s="31" t="n">
        <v>9525.1</v>
      </c>
      <c r="D721" s="31" t="n">
        <v>35147.4</v>
      </c>
      <c r="E721" s="31" t="n">
        <v>35147.4</v>
      </c>
      <c r="F721" s="31" t="n">
        <v>35161.3</v>
      </c>
      <c r="G721" s="31" t="n">
        <v>35184.6</v>
      </c>
      <c r="H721" s="31" t="n">
        <v>35196.1</v>
      </c>
      <c r="I721" s="31" t="n">
        <v>35216.6</v>
      </c>
      <c r="J721" s="31" t="n">
        <v>35244.8</v>
      </c>
      <c r="K721" s="31" t="n">
        <v>25719.7</v>
      </c>
      <c r="L721" s="31" t="n">
        <v>25622.3</v>
      </c>
      <c r="M721" s="30" t="inlineStr">
        <is>
          <t>AMR3</t>
        </is>
      </c>
      <c r="N721" s="30" t="inlineStr">
        <is>
          <t>AMR3</t>
        </is>
      </c>
      <c r="O721" s="32" t="n">
        <v>0</v>
      </c>
      <c r="P721" s="32" t="n">
        <v>0</v>
      </c>
      <c r="Q721" s="32" t="n">
        <v>13</v>
      </c>
      <c r="R721" s="31" t="n">
        <v>37.1</v>
      </c>
      <c r="S721" s="31" t="n">
        <v>37.1</v>
      </c>
      <c r="T721" s="30" t="inlineStr">
        <is>
          <t>AMR3</t>
        </is>
      </c>
      <c r="U721" s="31" t="n">
        <v>49.9</v>
      </c>
      <c r="V721" s="31" t="n">
        <v>49.9</v>
      </c>
      <c r="W721" s="30" t="inlineStr">
        <is>
          <t>AMR3</t>
        </is>
      </c>
      <c r="X721" s="32" t="n">
        <v>0</v>
      </c>
      <c r="Y721" s="32" t="n">
        <v>0</v>
      </c>
      <c r="Z721" s="31" t="n">
        <v>0</v>
      </c>
      <c r="AA721" s="32" t="n">
        <v>0</v>
      </c>
      <c r="AB721" s="32" t="n">
        <v>0</v>
      </c>
      <c r="AC721" s="32" t="n">
        <v>0</v>
      </c>
      <c r="AD721" s="32" t="n">
        <v>0</v>
      </c>
      <c r="AE721" s="31" t="n">
        <v>0</v>
      </c>
      <c r="AF721" s="32" t="n">
        <v>0</v>
      </c>
      <c r="AG721" s="31" t="n">
        <v>0</v>
      </c>
      <c r="AH721" s="32" t="n">
        <v>38</v>
      </c>
      <c r="AI721" s="31" t="n">
        <v>41.1</v>
      </c>
      <c r="AJ721" s="31" t="n">
        <v>44.8</v>
      </c>
      <c r="AK721" s="31" t="n">
        <v>0</v>
      </c>
      <c r="AL721" s="30" t="inlineStr">
        <is>
          <t>T-0870</t>
        </is>
      </c>
      <c r="AM721" s="30" t="inlineStr">
        <is>
          <t>C-06-02</t>
        </is>
      </c>
      <c r="AN721" s="30" t="inlineStr">
        <is>
          <t>T-0738</t>
        </is>
      </c>
      <c r="AO721" s="30" t="inlineStr">
        <is>
          <t>C-01-03</t>
        </is>
      </c>
    </row>
    <row r="722">
      <c r="A722" s="30" t="inlineStr">
        <is>
          <t>O0721</t>
        </is>
      </c>
      <c r="B722" s="30" t="inlineStr">
        <is>
          <t>I</t>
        </is>
      </c>
      <c r="C722" s="31" t="n">
        <v>9531.799999999999</v>
      </c>
      <c r="D722" s="31" t="n">
        <v>35161.4</v>
      </c>
      <c r="E722" s="31" t="n">
        <v>35161.4</v>
      </c>
      <c r="F722" s="31" t="n">
        <v>35184.2</v>
      </c>
      <c r="G722" s="31" t="n">
        <v>35206.6</v>
      </c>
      <c r="H722" s="31" t="n">
        <v>35218.6</v>
      </c>
      <c r="I722" s="31" t="n">
        <v>35243.7</v>
      </c>
      <c r="J722" s="31" t="n">
        <v>35268.5</v>
      </c>
      <c r="K722" s="31" t="n">
        <v>25736.7</v>
      </c>
      <c r="L722" s="31" t="n">
        <v>25629.6</v>
      </c>
      <c r="M722" s="30" t="inlineStr">
        <is>
          <t>AMR1</t>
        </is>
      </c>
      <c r="N722" s="30" t="inlineStr">
        <is>
          <t>AMR2</t>
        </is>
      </c>
      <c r="O722" s="32" t="n">
        <v>0</v>
      </c>
      <c r="P722" s="32" t="n">
        <v>0</v>
      </c>
      <c r="Q722" s="32" t="n">
        <v>15</v>
      </c>
      <c r="R722" s="31" t="n">
        <v>44.3</v>
      </c>
      <c r="S722" s="31" t="n">
        <v>44.3</v>
      </c>
      <c r="T722" s="30" t="inlineStr">
        <is>
          <t>AMR1</t>
        </is>
      </c>
      <c r="U722" s="31" t="n">
        <v>50.1</v>
      </c>
      <c r="V722" s="31" t="n">
        <v>50.1</v>
      </c>
      <c r="W722" s="30" t="inlineStr">
        <is>
          <t>AMR2</t>
        </is>
      </c>
      <c r="X722" s="32" t="n">
        <v>0</v>
      </c>
      <c r="Y722" s="32" t="n">
        <v>0</v>
      </c>
      <c r="Z722" s="31" t="n">
        <v>0</v>
      </c>
      <c r="AA722" s="32" t="n">
        <v>0</v>
      </c>
      <c r="AB722" s="32" t="n">
        <v>1</v>
      </c>
      <c r="AC722" s="32" t="n">
        <v>0</v>
      </c>
      <c r="AD722" s="32" t="n">
        <v>0</v>
      </c>
      <c r="AE722" s="31" t="n">
        <v>0</v>
      </c>
      <c r="AF722" s="32" t="n">
        <v>0</v>
      </c>
      <c r="AG722" s="31" t="n">
        <v>0</v>
      </c>
      <c r="AH722" s="32" t="n">
        <v>41</v>
      </c>
      <c r="AI722" s="31" t="n">
        <v>46.5</v>
      </c>
      <c r="AJ722" s="31" t="n">
        <v>48.6</v>
      </c>
      <c r="AK722" s="31" t="n">
        <v>0</v>
      </c>
      <c r="AL722" s="30" t="inlineStr">
        <is>
          <t>T-0871</t>
        </is>
      </c>
      <c r="AM722" s="30" t="inlineStr">
        <is>
          <t>I-01-03</t>
        </is>
      </c>
      <c r="AN722" s="30" t="inlineStr">
        <is>
          <t>T-0746</t>
        </is>
      </c>
      <c r="AO722" s="30" t="inlineStr">
        <is>
          <t>I-01-01</t>
        </is>
      </c>
    </row>
    <row r="723">
      <c r="A723" s="30" t="inlineStr">
        <is>
          <t>O0722</t>
        </is>
      </c>
      <c r="B723" s="30" t="inlineStr">
        <is>
          <t>H</t>
        </is>
      </c>
      <c r="C723" s="31" t="n">
        <v>9534.9</v>
      </c>
      <c r="D723" s="31" t="n">
        <v>35225.9</v>
      </c>
      <c r="E723" s="31" t="n">
        <v>35225.9</v>
      </c>
      <c r="F723" s="31" t="n">
        <v>35241.7</v>
      </c>
      <c r="G723" s="31" t="n">
        <v>35263.5</v>
      </c>
      <c r="H723" s="31" t="n">
        <v>35268.5</v>
      </c>
      <c r="I723" s="31" t="n">
        <v>35295.4</v>
      </c>
      <c r="J723" s="31" t="n">
        <v>35319.7</v>
      </c>
      <c r="K723" s="31" t="n">
        <v>25784.8</v>
      </c>
      <c r="L723" s="31" t="n">
        <v>25691</v>
      </c>
      <c r="M723" s="30" t="inlineStr">
        <is>
          <t>AMR1</t>
        </is>
      </c>
      <c r="N723" s="30" t="inlineStr">
        <is>
          <t>AMR3</t>
        </is>
      </c>
      <c r="O723" s="32" t="n">
        <v>0</v>
      </c>
      <c r="P723" s="32" t="n">
        <v>0</v>
      </c>
      <c r="Q723" s="32" t="n">
        <v>15</v>
      </c>
      <c r="R723" s="31" t="n">
        <v>36.7</v>
      </c>
      <c r="S723" s="31" t="n">
        <v>36.7</v>
      </c>
      <c r="T723" s="30" t="inlineStr">
        <is>
          <t>AMR1</t>
        </is>
      </c>
      <c r="U723" s="31" t="n">
        <v>51.3</v>
      </c>
      <c r="V723" s="31" t="n">
        <v>51.3</v>
      </c>
      <c r="W723" s="30" t="inlineStr">
        <is>
          <t>AMR3</t>
        </is>
      </c>
      <c r="X723" s="32" t="n">
        <v>0</v>
      </c>
      <c r="Y723" s="32" t="n">
        <v>0</v>
      </c>
      <c r="Z723" s="31" t="n">
        <v>0</v>
      </c>
      <c r="AA723" s="32" t="n">
        <v>0</v>
      </c>
      <c r="AB723" s="32" t="n">
        <v>0</v>
      </c>
      <c r="AC723" s="32" t="n">
        <v>0</v>
      </c>
      <c r="AD723" s="32" t="n">
        <v>0</v>
      </c>
      <c r="AE723" s="31" t="n">
        <v>0</v>
      </c>
      <c r="AF723" s="32" t="n">
        <v>0</v>
      </c>
      <c r="AG723" s="31" t="n">
        <v>0</v>
      </c>
      <c r="AH723" s="32" t="n">
        <v>43</v>
      </c>
      <c r="AI723" s="31" t="n">
        <v>46.1</v>
      </c>
      <c r="AJ723" s="31" t="n">
        <v>42.7</v>
      </c>
      <c r="AK723" s="31" t="n">
        <v>0</v>
      </c>
      <c r="AL723" s="30" t="inlineStr">
        <is>
          <t>T-0872</t>
        </is>
      </c>
      <c r="AM723" s="30" t="inlineStr">
        <is>
          <t>H-04-01</t>
        </is>
      </c>
      <c r="AN723" s="30" t="inlineStr">
        <is>
          <t>T-0764</t>
        </is>
      </c>
      <c r="AO723" s="30" t="inlineStr">
        <is>
          <t>H-03-03</t>
        </is>
      </c>
    </row>
    <row r="724">
      <c r="A724" s="30" t="inlineStr">
        <is>
          <t>O0723</t>
        </is>
      </c>
      <c r="B724" s="30" t="inlineStr">
        <is>
          <t>H</t>
        </is>
      </c>
      <c r="C724" s="31" t="n">
        <v>9540.200000000001</v>
      </c>
      <c r="D724" s="31" t="n">
        <v>35278.3</v>
      </c>
      <c r="E724" s="31" t="n">
        <v>35278.3</v>
      </c>
      <c r="F724" s="31" t="n">
        <v>35293.7</v>
      </c>
      <c r="G724" s="31" t="n">
        <v>35318.3</v>
      </c>
      <c r="H724" s="31" t="n">
        <v>35333.1</v>
      </c>
      <c r="I724" s="31" t="n">
        <v>35366.2</v>
      </c>
      <c r="J724" s="31" t="n">
        <v>35393.5</v>
      </c>
      <c r="K724" s="31" t="n">
        <v>25853.3</v>
      </c>
      <c r="L724" s="31" t="n">
        <v>25738.1</v>
      </c>
      <c r="M724" s="30" t="inlineStr">
        <is>
          <t>AMR1</t>
        </is>
      </c>
      <c r="N724" s="30" t="inlineStr">
        <is>
          <t>AMR1</t>
        </is>
      </c>
      <c r="O724" s="32" t="n">
        <v>0</v>
      </c>
      <c r="P724" s="32" t="n">
        <v>0</v>
      </c>
      <c r="Q724" s="32" t="n">
        <v>15</v>
      </c>
      <c r="R724" s="31" t="n">
        <v>39.1</v>
      </c>
      <c r="S724" s="31" t="n">
        <v>39.1</v>
      </c>
      <c r="T724" s="30" t="inlineStr">
        <is>
          <t>AMR1</t>
        </is>
      </c>
      <c r="U724" s="31" t="n">
        <v>54.6</v>
      </c>
      <c r="V724" s="31" t="n">
        <v>54.6</v>
      </c>
      <c r="W724" s="30" t="inlineStr">
        <is>
          <t>AMR1</t>
        </is>
      </c>
      <c r="X724" s="32" t="n">
        <v>0</v>
      </c>
      <c r="Y724" s="32" t="n">
        <v>0</v>
      </c>
      <c r="Z724" s="31" t="n">
        <v>0</v>
      </c>
      <c r="AA724" s="32" t="n">
        <v>0</v>
      </c>
      <c r="AB724" s="32" t="n">
        <v>1</v>
      </c>
      <c r="AC724" s="32" t="n">
        <v>1</v>
      </c>
      <c r="AD724" s="32" t="n">
        <v>0</v>
      </c>
      <c r="AE724" s="31" t="n">
        <v>0</v>
      </c>
      <c r="AF724" s="32" t="n">
        <v>1</v>
      </c>
      <c r="AG724" s="31" t="n">
        <v>0.5</v>
      </c>
      <c r="AH724" s="32" t="n">
        <v>41</v>
      </c>
      <c r="AI724" s="31" t="n">
        <v>46.5</v>
      </c>
      <c r="AJ724" s="31" t="n">
        <v>48.4</v>
      </c>
      <c r="AK724" s="31" t="n">
        <v>5.5</v>
      </c>
      <c r="AL724" s="30" t="inlineStr">
        <is>
          <t>T-0873</t>
        </is>
      </c>
      <c r="AM724" s="30" t="inlineStr">
        <is>
          <t>H-05-03</t>
        </is>
      </c>
      <c r="AN724" s="30" t="inlineStr">
        <is>
          <t>T-0772</t>
        </is>
      </c>
      <c r="AO724" s="30" t="inlineStr">
        <is>
          <t>H-05-01</t>
        </is>
      </c>
    </row>
    <row r="725">
      <c r="A725" s="30" t="inlineStr">
        <is>
          <t>O0724</t>
        </is>
      </c>
      <c r="B725" s="30" t="inlineStr">
        <is>
          <t>I</t>
        </is>
      </c>
      <c r="C725" s="31" t="n">
        <v>9547</v>
      </c>
      <c r="D725" s="31" t="n">
        <v>35293.7</v>
      </c>
      <c r="E725" s="31" t="n">
        <v>35293.7</v>
      </c>
      <c r="F725" s="31" t="n">
        <v>35309.9</v>
      </c>
      <c r="G725" s="31" t="n">
        <v>35332.9</v>
      </c>
      <c r="H725" s="31" t="n">
        <v>35343.4</v>
      </c>
      <c r="I725" s="31" t="n">
        <v>35377.2</v>
      </c>
      <c r="J725" s="31" t="n">
        <v>35406.8</v>
      </c>
      <c r="K725" s="31" t="n">
        <v>25859.8</v>
      </c>
      <c r="L725" s="31" t="n">
        <v>25746.7</v>
      </c>
      <c r="M725" s="30" t="inlineStr">
        <is>
          <t>AMR2</t>
        </is>
      </c>
      <c r="N725" s="30" t="inlineStr">
        <is>
          <t>AMR3</t>
        </is>
      </c>
      <c r="O725" s="32" t="n">
        <v>0</v>
      </c>
      <c r="P725" s="32" t="n">
        <v>0</v>
      </c>
      <c r="Q725" s="32" t="n">
        <v>15</v>
      </c>
      <c r="R725" s="31" t="n">
        <v>38.3</v>
      </c>
      <c r="S725" s="31" t="n">
        <v>38.3</v>
      </c>
      <c r="T725" s="30" t="inlineStr">
        <is>
          <t>AMR2</t>
        </is>
      </c>
      <c r="U725" s="31" t="n">
        <v>53.4</v>
      </c>
      <c r="V725" s="31" t="n">
        <v>53.4</v>
      </c>
      <c r="W725" s="30" t="inlineStr">
        <is>
          <t>AMR3</t>
        </is>
      </c>
      <c r="X725" s="32" t="n">
        <v>0</v>
      </c>
      <c r="Y725" s="32" t="n">
        <v>0</v>
      </c>
      <c r="Z725" s="31" t="n">
        <v>0</v>
      </c>
      <c r="AA725" s="32" t="n">
        <v>0</v>
      </c>
      <c r="AB725" s="32" t="n">
        <v>0</v>
      </c>
      <c r="AC725" s="32" t="n">
        <v>1</v>
      </c>
      <c r="AD725" s="32" t="n">
        <v>1</v>
      </c>
      <c r="AE725" s="31" t="n">
        <v>4.7</v>
      </c>
      <c r="AF725" s="32" t="n">
        <v>1</v>
      </c>
      <c r="AG725" s="31" t="n">
        <v>0.5</v>
      </c>
      <c r="AH725" s="32" t="n">
        <v>41</v>
      </c>
      <c r="AI725" s="31" t="n">
        <v>46.5</v>
      </c>
      <c r="AJ725" s="31" t="n">
        <v>45.9</v>
      </c>
      <c r="AK725" s="31" t="n">
        <v>10.2</v>
      </c>
      <c r="AL725" s="30" t="inlineStr">
        <is>
          <t>T-0874</t>
        </is>
      </c>
      <c r="AM725" s="30" t="inlineStr">
        <is>
          <t>I-01-01</t>
        </is>
      </c>
      <c r="AN725" s="30" t="inlineStr">
        <is>
          <t>T-0752</t>
        </is>
      </c>
      <c r="AO725" s="30" t="inlineStr">
        <is>
          <t>I-02-01</t>
        </is>
      </c>
    </row>
    <row r="726">
      <c r="A726" s="30" t="inlineStr">
        <is>
          <t>O0725</t>
        </is>
      </c>
      <c r="B726" s="30" t="inlineStr">
        <is>
          <t>I</t>
        </is>
      </c>
      <c r="C726" s="31" t="n">
        <v>9551.200000000001</v>
      </c>
      <c r="D726" s="31" t="n">
        <v>35358.1</v>
      </c>
      <c r="E726" s="31" t="n">
        <v>35358.1</v>
      </c>
      <c r="F726" s="31" t="n">
        <v>35373.7</v>
      </c>
      <c r="G726" s="31" t="n">
        <v>35396.9</v>
      </c>
      <c r="H726" s="31" t="n">
        <v>35411.7</v>
      </c>
      <c r="I726" s="31" t="n">
        <v>35449.6</v>
      </c>
      <c r="J726" s="31" t="n">
        <v>35476</v>
      </c>
      <c r="K726" s="31" t="n">
        <v>25924.8</v>
      </c>
      <c r="L726" s="31" t="n">
        <v>25806.9</v>
      </c>
      <c r="M726" s="30" t="inlineStr">
        <is>
          <t>AMR2</t>
        </is>
      </c>
      <c r="N726" s="30" t="inlineStr">
        <is>
          <t>AMR2</t>
        </is>
      </c>
      <c r="O726" s="32" t="n">
        <v>0</v>
      </c>
      <c r="P726" s="32" t="n">
        <v>0</v>
      </c>
      <c r="Q726" s="32" t="n">
        <v>15</v>
      </c>
      <c r="R726" s="31" t="n">
        <v>37.9</v>
      </c>
      <c r="S726" s="31" t="n">
        <v>37.9</v>
      </c>
      <c r="T726" s="30" t="inlineStr">
        <is>
          <t>AMR2</t>
        </is>
      </c>
      <c r="U726" s="31" t="n">
        <v>51.4</v>
      </c>
      <c r="V726" s="31" t="n">
        <v>51.4</v>
      </c>
      <c r="W726" s="30" t="inlineStr">
        <is>
          <t>AMR2</t>
        </is>
      </c>
      <c r="X726" s="32" t="n">
        <v>0</v>
      </c>
      <c r="Y726" s="32" t="n">
        <v>0</v>
      </c>
      <c r="Z726" s="31" t="n">
        <v>0</v>
      </c>
      <c r="AA726" s="32" t="n">
        <v>0</v>
      </c>
      <c r="AB726" s="32" t="n">
        <v>0</v>
      </c>
      <c r="AC726" s="32" t="n">
        <v>2</v>
      </c>
      <c r="AD726" s="32" t="n">
        <v>0</v>
      </c>
      <c r="AE726" s="31" t="n">
        <v>0</v>
      </c>
      <c r="AF726" s="32" t="n">
        <v>2</v>
      </c>
      <c r="AG726" s="31" t="n">
        <v>1.1</v>
      </c>
      <c r="AH726" s="32" t="n">
        <v>43</v>
      </c>
      <c r="AI726" s="31" t="n">
        <v>48.5</v>
      </c>
      <c r="AJ726" s="31" t="n">
        <v>43.5</v>
      </c>
      <c r="AK726" s="31" t="n">
        <v>11.1</v>
      </c>
      <c r="AL726" s="30" t="inlineStr">
        <is>
          <t>T-0875</t>
        </is>
      </c>
      <c r="AM726" s="30" t="inlineStr">
        <is>
          <t>I-02-03</t>
        </is>
      </c>
      <c r="AN726" s="30" t="inlineStr">
        <is>
          <t>T-0756</t>
        </is>
      </c>
      <c r="AO726" s="30" t="inlineStr">
        <is>
          <t>I-03-03</t>
        </is>
      </c>
    </row>
    <row r="727">
      <c r="A727" s="30" t="inlineStr">
        <is>
          <t>O0726</t>
        </is>
      </c>
      <c r="B727" s="30" t="inlineStr">
        <is>
          <t>D</t>
        </is>
      </c>
      <c r="C727" s="31" t="n">
        <v>9557.799999999999</v>
      </c>
      <c r="D727" s="31" t="n">
        <v>35423.6</v>
      </c>
      <c r="E727" s="31" t="n">
        <v>35423.6</v>
      </c>
      <c r="F727" s="31" t="n">
        <v>35434.4</v>
      </c>
      <c r="G727" s="31" t="n">
        <v>35459.9</v>
      </c>
      <c r="H727" s="31" t="n">
        <v>35474.7</v>
      </c>
      <c r="I727" s="31" t="n">
        <v>35501.1</v>
      </c>
      <c r="J727" s="31" t="n">
        <v>35530.1</v>
      </c>
      <c r="K727" s="31" t="n">
        <v>25972.3</v>
      </c>
      <c r="L727" s="31" t="n">
        <v>25865.8</v>
      </c>
      <c r="M727" s="30" t="inlineStr">
        <is>
          <t>AMR1</t>
        </is>
      </c>
      <c r="N727" s="30" t="inlineStr">
        <is>
          <t>AMR1</t>
        </is>
      </c>
      <c r="O727" s="32" t="n">
        <v>0</v>
      </c>
      <c r="P727" s="32" t="n">
        <v>0</v>
      </c>
      <c r="Q727" s="32" t="n">
        <v>13</v>
      </c>
      <c r="R727" s="31" t="n">
        <v>33.8</v>
      </c>
      <c r="S727" s="31" t="n">
        <v>33.8</v>
      </c>
      <c r="T727" s="30" t="inlineStr">
        <is>
          <t>AMR1</t>
        </is>
      </c>
      <c r="U727" s="31" t="n">
        <v>50.6</v>
      </c>
      <c r="V727" s="31" t="n">
        <v>50.6</v>
      </c>
      <c r="W727" s="30" t="inlineStr">
        <is>
          <t>AMR1</t>
        </is>
      </c>
      <c r="X727" s="32" t="n">
        <v>0</v>
      </c>
      <c r="Y727" s="32" t="n">
        <v>0</v>
      </c>
      <c r="Z727" s="31" t="n">
        <v>0</v>
      </c>
      <c r="AA727" s="32" t="n">
        <v>0</v>
      </c>
      <c r="AB727" s="32" t="n">
        <v>0</v>
      </c>
      <c r="AC727" s="32" t="n">
        <v>0</v>
      </c>
      <c r="AD727" s="32" t="n">
        <v>0</v>
      </c>
      <c r="AE727" s="31" t="n">
        <v>0</v>
      </c>
      <c r="AF727" s="32" t="n">
        <v>0</v>
      </c>
      <c r="AG727" s="31" t="n">
        <v>0</v>
      </c>
      <c r="AH727" s="32" t="n">
        <v>47</v>
      </c>
      <c r="AI727" s="31" t="n">
        <v>50</v>
      </c>
      <c r="AJ727" s="31" t="n">
        <v>41.7</v>
      </c>
      <c r="AK727" s="31" t="n">
        <v>0</v>
      </c>
      <c r="AL727" s="30" t="inlineStr">
        <is>
          <t>T-0876</t>
        </is>
      </c>
      <c r="AM727" s="30" t="inlineStr">
        <is>
          <t>D-04-02</t>
        </is>
      </c>
      <c r="AN727" s="30" t="inlineStr">
        <is>
          <t>T-0770</t>
        </is>
      </c>
      <c r="AO727" s="30" t="inlineStr">
        <is>
          <t>D-06-02</t>
        </is>
      </c>
    </row>
    <row r="728">
      <c r="A728" s="30" t="inlineStr">
        <is>
          <t>O0727</t>
        </is>
      </c>
      <c r="B728" s="30" t="inlineStr">
        <is>
          <t>H</t>
        </is>
      </c>
      <c r="C728" s="31" t="n">
        <v>9563.700000000001</v>
      </c>
      <c r="D728" s="31" t="n">
        <v>35434.9</v>
      </c>
      <c r="E728" s="31" t="n">
        <v>35434.9</v>
      </c>
      <c r="F728" s="31" t="n">
        <v>35451.3</v>
      </c>
      <c r="G728" s="31" t="n">
        <v>35474.1</v>
      </c>
      <c r="H728" s="31" t="n">
        <v>35488.9</v>
      </c>
      <c r="I728" s="31" t="n">
        <v>35514.2</v>
      </c>
      <c r="J728" s="31" t="n">
        <v>35547.2</v>
      </c>
      <c r="K728" s="31" t="n">
        <v>25983.5</v>
      </c>
      <c r="L728" s="31" t="n">
        <v>25871.2</v>
      </c>
      <c r="M728" s="30" t="inlineStr">
        <is>
          <t>AMR3</t>
        </is>
      </c>
      <c r="N728" s="30" t="inlineStr">
        <is>
          <t>AMR3</t>
        </is>
      </c>
      <c r="O728" s="32" t="n">
        <v>0</v>
      </c>
      <c r="P728" s="32" t="n">
        <v>0</v>
      </c>
      <c r="Q728" s="32" t="n">
        <v>15</v>
      </c>
      <c r="R728" s="31" t="n">
        <v>38.3</v>
      </c>
      <c r="S728" s="31" t="n">
        <v>38.3</v>
      </c>
      <c r="T728" s="30" t="inlineStr">
        <is>
          <t>AMR3</t>
        </is>
      </c>
      <c r="U728" s="31" t="n">
        <v>53.7</v>
      </c>
      <c r="V728" s="31" t="n">
        <v>53.7</v>
      </c>
      <c r="W728" s="30" t="inlineStr">
        <is>
          <t>AMR3</t>
        </is>
      </c>
      <c r="X728" s="32" t="n">
        <v>0</v>
      </c>
      <c r="Y728" s="32" t="n">
        <v>0</v>
      </c>
      <c r="Z728" s="31" t="n">
        <v>0</v>
      </c>
      <c r="AA728" s="32" t="n">
        <v>0</v>
      </c>
      <c r="AB728" s="32" t="n">
        <v>0</v>
      </c>
      <c r="AC728" s="32" t="n">
        <v>0</v>
      </c>
      <c r="AD728" s="32" t="n">
        <v>1</v>
      </c>
      <c r="AE728" s="31" t="n">
        <v>4.3</v>
      </c>
      <c r="AF728" s="32" t="n">
        <v>0</v>
      </c>
      <c r="AG728" s="31" t="n">
        <v>0</v>
      </c>
      <c r="AH728" s="32" t="n">
        <v>41</v>
      </c>
      <c r="AI728" s="31" t="n">
        <v>46.5</v>
      </c>
      <c r="AJ728" s="31" t="n">
        <v>46.7</v>
      </c>
      <c r="AK728" s="31" t="n">
        <v>4.3</v>
      </c>
      <c r="AL728" s="30" t="inlineStr">
        <is>
          <t>T-0877</t>
        </is>
      </c>
      <c r="AM728" s="30" t="inlineStr">
        <is>
          <t>H-05-01</t>
        </is>
      </c>
      <c r="AN728" s="30" t="inlineStr">
        <is>
          <t>T-0780</t>
        </is>
      </c>
      <c r="AO728" s="30" t="inlineStr">
        <is>
          <t>H-04-03</t>
        </is>
      </c>
    </row>
    <row r="729">
      <c r="A729" s="30" t="inlineStr">
        <is>
          <t>O0728</t>
        </is>
      </c>
      <c r="B729" s="30" t="inlineStr">
        <is>
          <t>C</t>
        </is>
      </c>
      <c r="C729" s="31" t="n">
        <v>9567.1</v>
      </c>
      <c r="D729" s="31" t="n">
        <v>35499.7</v>
      </c>
      <c r="E729" s="31" t="n">
        <v>35499.7</v>
      </c>
      <c r="F729" s="31" t="n">
        <v>35510.8</v>
      </c>
      <c r="G729" s="31" t="n">
        <v>35532.2</v>
      </c>
      <c r="H729" s="31" t="n">
        <v>35544.4</v>
      </c>
      <c r="I729" s="31" t="n">
        <v>35565.2</v>
      </c>
      <c r="J729" s="31" t="n">
        <v>35595.4</v>
      </c>
      <c r="K729" s="31" t="n">
        <v>26028.3</v>
      </c>
      <c r="L729" s="31" t="n">
        <v>25932.6</v>
      </c>
      <c r="M729" s="30" t="inlineStr">
        <is>
          <t>AMR2</t>
        </is>
      </c>
      <c r="N729" s="30" t="inlineStr">
        <is>
          <t>AMR2</t>
        </is>
      </c>
      <c r="O729" s="32" t="n">
        <v>0</v>
      </c>
      <c r="P729" s="32" t="n">
        <v>0</v>
      </c>
      <c r="Q729" s="32" t="n">
        <v>13</v>
      </c>
      <c r="R729" s="31" t="n">
        <v>31.6</v>
      </c>
      <c r="S729" s="31" t="n">
        <v>31.6</v>
      </c>
      <c r="T729" s="30" t="inlineStr">
        <is>
          <t>AMR2</t>
        </is>
      </c>
      <c r="U729" s="31" t="n">
        <v>51.2</v>
      </c>
      <c r="V729" s="31" t="n">
        <v>51.2</v>
      </c>
      <c r="W729" s="30" t="inlineStr">
        <is>
          <t>AMR2</t>
        </is>
      </c>
      <c r="X729" s="32" t="n">
        <v>0</v>
      </c>
      <c r="Y729" s="32" t="n">
        <v>0</v>
      </c>
      <c r="Z729" s="31" t="n">
        <v>0</v>
      </c>
      <c r="AA729" s="32" t="n">
        <v>0</v>
      </c>
      <c r="AB729" s="32" t="n">
        <v>0</v>
      </c>
      <c r="AC729" s="32" t="n">
        <v>0</v>
      </c>
      <c r="AD729" s="32" t="n">
        <v>0</v>
      </c>
      <c r="AE729" s="31" t="n">
        <v>0</v>
      </c>
      <c r="AF729" s="32" t="n">
        <v>0</v>
      </c>
      <c r="AG729" s="31" t="n">
        <v>0</v>
      </c>
      <c r="AH729" s="32" t="n">
        <v>39</v>
      </c>
      <c r="AI729" s="31" t="n">
        <v>42.9</v>
      </c>
      <c r="AJ729" s="31" t="n">
        <v>40.6</v>
      </c>
      <c r="AK729" s="31" t="n">
        <v>0</v>
      </c>
      <c r="AL729" s="30" t="inlineStr">
        <is>
          <t>T-0878</t>
        </is>
      </c>
      <c r="AM729" s="30" t="inlineStr">
        <is>
          <t>C-01-03</t>
        </is>
      </c>
      <c r="AN729" s="30" t="inlineStr">
        <is>
          <t>T-0754</t>
        </is>
      </c>
      <c r="AO729" s="30" t="inlineStr">
        <is>
          <t>C-02-03</t>
        </is>
      </c>
    </row>
    <row r="730">
      <c r="A730" s="30" t="inlineStr">
        <is>
          <t>O0729</t>
        </is>
      </c>
      <c r="B730" s="30" t="inlineStr">
        <is>
          <t>G</t>
        </is>
      </c>
      <c r="C730" s="31" t="n">
        <v>9572.5</v>
      </c>
      <c r="D730" s="31" t="n">
        <v>35553.8</v>
      </c>
      <c r="E730" s="31" t="n">
        <v>35553.8</v>
      </c>
      <c r="F730" s="31" t="n">
        <v>35568.7</v>
      </c>
      <c r="G730" s="31" t="n">
        <v>35597.9</v>
      </c>
      <c r="H730" s="31" t="n">
        <v>35616.1</v>
      </c>
      <c r="I730" s="31" t="n">
        <v>35645.2</v>
      </c>
      <c r="J730" s="31" t="n">
        <v>35680.4</v>
      </c>
      <c r="K730" s="31" t="n">
        <v>26107.9</v>
      </c>
      <c r="L730" s="31" t="n">
        <v>25981.3</v>
      </c>
      <c r="M730" s="30" t="inlineStr">
        <is>
          <t>AMR1</t>
        </is>
      </c>
      <c r="N730" s="30" t="inlineStr">
        <is>
          <t>AMR1</t>
        </is>
      </c>
      <c r="O730" s="32" t="n">
        <v>0</v>
      </c>
      <c r="P730" s="32" t="n">
        <v>0</v>
      </c>
      <c r="Q730" s="32" t="n">
        <v>17</v>
      </c>
      <c r="R730" s="31" t="n">
        <v>41.6</v>
      </c>
      <c r="S730" s="31" t="n">
        <v>41.6</v>
      </c>
      <c r="T730" s="30" t="inlineStr">
        <is>
          <t>AMR1</t>
        </is>
      </c>
      <c r="U730" s="31" t="n">
        <v>54.2</v>
      </c>
      <c r="V730" s="31" t="n">
        <v>54.2</v>
      </c>
      <c r="W730" s="30" t="inlineStr">
        <is>
          <t>AMR1</t>
        </is>
      </c>
      <c r="X730" s="32" t="n">
        <v>0</v>
      </c>
      <c r="Y730" s="32" t="n">
        <v>0</v>
      </c>
      <c r="Z730" s="31" t="n">
        <v>0</v>
      </c>
      <c r="AA730" s="32" t="n">
        <v>0</v>
      </c>
      <c r="AB730" s="32" t="n">
        <v>0</v>
      </c>
      <c r="AC730" s="32" t="n">
        <v>0</v>
      </c>
      <c r="AD730" s="32" t="n">
        <v>1</v>
      </c>
      <c r="AE730" s="31" t="n">
        <v>9.800000000000001</v>
      </c>
      <c r="AF730" s="32" t="n">
        <v>1</v>
      </c>
      <c r="AG730" s="31" t="n">
        <v>4.8</v>
      </c>
      <c r="AH730" s="32" t="n">
        <v>49</v>
      </c>
      <c r="AI730" s="31" t="n">
        <v>53.2</v>
      </c>
      <c r="AJ730" s="31" t="n">
        <v>45.4</v>
      </c>
      <c r="AK730" s="31" t="n">
        <v>9.800000000000001</v>
      </c>
      <c r="AL730" s="30" t="inlineStr">
        <is>
          <t>T-0879</t>
        </is>
      </c>
      <c r="AM730" s="30" t="inlineStr">
        <is>
          <t>G-02-01</t>
        </is>
      </c>
      <c r="AN730" s="30" t="inlineStr">
        <is>
          <t>T-0709</t>
        </is>
      </c>
      <c r="AO730" s="30" t="inlineStr">
        <is>
          <t>G-05-02</t>
        </is>
      </c>
    </row>
    <row r="731">
      <c r="A731" s="30" t="inlineStr">
        <is>
          <t>O0730</t>
        </is>
      </c>
      <c r="B731" s="30" t="inlineStr">
        <is>
          <t>H</t>
        </is>
      </c>
      <c r="C731" s="31" t="n">
        <v>9579.4</v>
      </c>
      <c r="D731" s="31" t="n">
        <v>35570.9</v>
      </c>
      <c r="E731" s="31" t="n">
        <v>35570.9</v>
      </c>
      <c r="F731" s="31" t="n">
        <v>35586.3</v>
      </c>
      <c r="G731" s="31" t="n">
        <v>35613.9</v>
      </c>
      <c r="H731" s="31" t="n">
        <v>35619.1</v>
      </c>
      <c r="I731" s="31" t="n">
        <v>35641.7</v>
      </c>
      <c r="J731" s="31" t="n">
        <v>35668.6</v>
      </c>
      <c r="K731" s="31" t="n">
        <v>26089.2</v>
      </c>
      <c r="L731" s="31" t="n">
        <v>25991.5</v>
      </c>
      <c r="M731" s="30" t="inlineStr">
        <is>
          <t>AMR3</t>
        </is>
      </c>
      <c r="N731" s="30" t="inlineStr">
        <is>
          <t>AMR2</t>
        </is>
      </c>
      <c r="O731" s="32" t="n">
        <v>0</v>
      </c>
      <c r="P731" s="32" t="n">
        <v>0</v>
      </c>
      <c r="Q731" s="32" t="n">
        <v>15</v>
      </c>
      <c r="R731" s="31" t="n">
        <v>41.3</v>
      </c>
      <c r="S731" s="31" t="n">
        <v>41.3</v>
      </c>
      <c r="T731" s="30" t="inlineStr">
        <is>
          <t>AMR3</t>
        </is>
      </c>
      <c r="U731" s="31" t="n">
        <v>50.7</v>
      </c>
      <c r="V731" s="31" t="n">
        <v>50.7</v>
      </c>
      <c r="W731" s="30" t="inlineStr">
        <is>
          <t>AMR2</t>
        </is>
      </c>
      <c r="X731" s="32" t="n">
        <v>0</v>
      </c>
      <c r="Y731" s="32" t="n">
        <v>0</v>
      </c>
      <c r="Z731" s="31" t="n">
        <v>0</v>
      </c>
      <c r="AA731" s="32" t="n">
        <v>0</v>
      </c>
      <c r="AB731" s="32" t="n">
        <v>0</v>
      </c>
      <c r="AC731" s="32" t="n">
        <v>0</v>
      </c>
      <c r="AD731" s="32" t="n">
        <v>0</v>
      </c>
      <c r="AE731" s="31" t="n">
        <v>0</v>
      </c>
      <c r="AF731" s="32" t="n">
        <v>0</v>
      </c>
      <c r="AG731" s="31" t="n">
        <v>0</v>
      </c>
      <c r="AH731" s="32" t="n">
        <v>42</v>
      </c>
      <c r="AI731" s="31" t="n">
        <v>45.8</v>
      </c>
      <c r="AJ731" s="31" t="n">
        <v>46.7</v>
      </c>
      <c r="AK731" s="31" t="n">
        <v>0</v>
      </c>
      <c r="AL731" s="30" t="inlineStr">
        <is>
          <t>T-0880</t>
        </is>
      </c>
      <c r="AM731" s="30" t="inlineStr">
        <is>
          <t>H-03-03</t>
        </is>
      </c>
      <c r="AN731" s="30" t="inlineStr">
        <is>
          <t>T-0786</t>
        </is>
      </c>
      <c r="AO731" s="30" t="inlineStr">
        <is>
          <t>H-02-02</t>
        </is>
      </c>
    </row>
    <row r="732">
      <c r="A732" s="30" t="inlineStr">
        <is>
          <t>O0731</t>
        </is>
      </c>
      <c r="B732" s="30" t="inlineStr">
        <is>
          <t>I</t>
        </is>
      </c>
      <c r="C732" s="31" t="n">
        <v>9584.4</v>
      </c>
      <c r="D732" s="31" t="n">
        <v>35628.4</v>
      </c>
      <c r="E732" s="31" t="n">
        <v>35628.4</v>
      </c>
      <c r="F732" s="31" t="n">
        <v>35642.7</v>
      </c>
      <c r="G732" s="31" t="n">
        <v>35669.7</v>
      </c>
      <c r="H732" s="31" t="n">
        <v>35684.5</v>
      </c>
      <c r="I732" s="31" t="n">
        <v>35721.1</v>
      </c>
      <c r="J732" s="31" t="n">
        <v>35750.1</v>
      </c>
      <c r="K732" s="31" t="n">
        <v>26165.7</v>
      </c>
      <c r="L732" s="31" t="n">
        <v>26044</v>
      </c>
      <c r="M732" s="30" t="inlineStr">
        <is>
          <t>AMR3</t>
        </is>
      </c>
      <c r="N732" s="30" t="inlineStr">
        <is>
          <t>AMR3</t>
        </is>
      </c>
      <c r="O732" s="32" t="n">
        <v>0</v>
      </c>
      <c r="P732" s="32" t="n">
        <v>0</v>
      </c>
      <c r="Q732" s="32" t="n">
        <v>15</v>
      </c>
      <c r="R732" s="31" t="n">
        <v>40.4</v>
      </c>
      <c r="S732" s="31" t="n">
        <v>40.4</v>
      </c>
      <c r="T732" s="30" t="inlineStr">
        <is>
          <t>AMR3</t>
        </is>
      </c>
      <c r="U732" s="31" t="n">
        <v>50.8</v>
      </c>
      <c r="V732" s="31" t="n">
        <v>50.8</v>
      </c>
      <c r="W732" s="30" t="inlineStr">
        <is>
          <t>AMR3</t>
        </is>
      </c>
      <c r="X732" s="32" t="n">
        <v>0</v>
      </c>
      <c r="Y732" s="32" t="n">
        <v>0</v>
      </c>
      <c r="Z732" s="31" t="n">
        <v>0</v>
      </c>
      <c r="AA732" s="32" t="n">
        <v>0</v>
      </c>
      <c r="AB732" s="32" t="n">
        <v>3</v>
      </c>
      <c r="AC732" s="32" t="n">
        <v>3</v>
      </c>
      <c r="AD732" s="32" t="n">
        <v>1</v>
      </c>
      <c r="AE732" s="31" t="n">
        <v>4</v>
      </c>
      <c r="AF732" s="32" t="n">
        <v>0</v>
      </c>
      <c r="AG732" s="31" t="n">
        <v>0</v>
      </c>
      <c r="AH732" s="32" t="n">
        <v>43</v>
      </c>
      <c r="AI732" s="31" t="n">
        <v>48.5</v>
      </c>
      <c r="AJ732" s="31" t="n">
        <v>45.4</v>
      </c>
      <c r="AK732" s="31" t="n">
        <v>13</v>
      </c>
      <c r="AL732" s="30" t="inlineStr">
        <is>
          <t>T-0881</t>
        </is>
      </c>
      <c r="AM732" s="30" t="inlineStr">
        <is>
          <t>I-02-01</t>
        </is>
      </c>
      <c r="AN732" s="30" t="inlineStr">
        <is>
          <t>T-0787</t>
        </is>
      </c>
      <c r="AO732" s="30" t="inlineStr">
        <is>
          <t>I-03-01</t>
        </is>
      </c>
    </row>
    <row r="733">
      <c r="A733" s="30" t="inlineStr">
        <is>
          <t>O0732</t>
        </is>
      </c>
      <c r="B733" s="30" t="inlineStr">
        <is>
          <t>I</t>
        </is>
      </c>
      <c r="C733" s="31" t="n">
        <v>9588.1</v>
      </c>
      <c r="D733" s="31" t="n">
        <v>35696.3</v>
      </c>
      <c r="E733" s="31" t="n">
        <v>35696.3</v>
      </c>
      <c r="F733" s="31" t="n">
        <v>35709.1</v>
      </c>
      <c r="G733" s="31" t="n">
        <v>35738.3</v>
      </c>
      <c r="H733" s="31" t="n">
        <v>35754.4</v>
      </c>
      <c r="I733" s="31" t="n">
        <v>35793.2</v>
      </c>
      <c r="J733" s="31" t="n">
        <v>35822.2</v>
      </c>
      <c r="K733" s="31" t="n">
        <v>26234.1</v>
      </c>
      <c r="L733" s="31" t="n">
        <v>26108.2</v>
      </c>
      <c r="M733" s="30" t="inlineStr">
        <is>
          <t>AMR2</t>
        </is>
      </c>
      <c r="N733" s="30" t="inlineStr">
        <is>
          <t>AMR2</t>
        </is>
      </c>
      <c r="O733" s="32" t="n">
        <v>0</v>
      </c>
      <c r="P733" s="32" t="n">
        <v>0</v>
      </c>
      <c r="Q733" s="32" t="n">
        <v>15</v>
      </c>
      <c r="R733" s="31" t="n">
        <v>33.9</v>
      </c>
      <c r="S733" s="31" t="n">
        <v>33.9</v>
      </c>
      <c r="T733" s="30" t="inlineStr">
        <is>
          <t>AMR2</t>
        </is>
      </c>
      <c r="U733" s="31" t="n">
        <v>54.2</v>
      </c>
      <c r="V733" s="31" t="n">
        <v>54.2</v>
      </c>
      <c r="W733" s="30" t="inlineStr">
        <is>
          <t>AMR2</t>
        </is>
      </c>
      <c r="X733" s="32" t="n">
        <v>0</v>
      </c>
      <c r="Y733" s="32" t="n">
        <v>0</v>
      </c>
      <c r="Z733" s="31" t="n">
        <v>0</v>
      </c>
      <c r="AA733" s="32" t="n">
        <v>0</v>
      </c>
      <c r="AB733" s="32" t="n">
        <v>3</v>
      </c>
      <c r="AC733" s="32" t="n">
        <v>3</v>
      </c>
      <c r="AD733" s="32" t="n">
        <v>0</v>
      </c>
      <c r="AE733" s="31" t="n">
        <v>0</v>
      </c>
      <c r="AF733" s="32" t="n">
        <v>1</v>
      </c>
      <c r="AG733" s="31" t="n">
        <v>0.6</v>
      </c>
      <c r="AH733" s="32" t="n">
        <v>48</v>
      </c>
      <c r="AI733" s="31" t="n">
        <v>54.2</v>
      </c>
      <c r="AJ733" s="31" t="n">
        <v>42.3</v>
      </c>
      <c r="AK733" s="31" t="n">
        <v>13.3</v>
      </c>
      <c r="AL733" s="30" t="inlineStr">
        <is>
          <t>T-0882</t>
        </is>
      </c>
      <c r="AM733" s="30" t="inlineStr">
        <is>
          <t>I-03-03</t>
        </is>
      </c>
      <c r="AN733" s="30" t="inlineStr">
        <is>
          <t>T-0797</t>
        </is>
      </c>
      <c r="AO733" s="30" t="inlineStr">
        <is>
          <t>I-04-03</t>
        </is>
      </c>
    </row>
    <row r="734">
      <c r="A734" s="30" t="inlineStr">
        <is>
          <t>O0733</t>
        </is>
      </c>
      <c r="B734" s="30" t="inlineStr">
        <is>
          <t>D</t>
        </is>
      </c>
      <c r="C734" s="31" t="n">
        <v>9594.200000000001</v>
      </c>
      <c r="D734" s="31" t="n">
        <v>35709.1</v>
      </c>
      <c r="E734" s="31" t="n">
        <v>35709.1</v>
      </c>
      <c r="F734" s="31" t="n">
        <v>35720.5</v>
      </c>
      <c r="G734" s="31" t="n">
        <v>35742.9</v>
      </c>
      <c r="H734" s="31" t="n">
        <v>35764.1</v>
      </c>
      <c r="I734" s="31" t="n">
        <v>35792.6</v>
      </c>
      <c r="J734" s="31" t="n">
        <v>35838.3</v>
      </c>
      <c r="K734" s="31" t="n">
        <v>26244.1</v>
      </c>
      <c r="L734" s="31" t="n">
        <v>26114.9</v>
      </c>
      <c r="M734" s="30" t="inlineStr">
        <is>
          <t>AMR1</t>
        </is>
      </c>
      <c r="N734" s="30" t="inlineStr">
        <is>
          <t>AMR1</t>
        </is>
      </c>
      <c r="O734" s="32" t="n">
        <v>0</v>
      </c>
      <c r="P734" s="32" t="n">
        <v>0</v>
      </c>
      <c r="Q734" s="32" t="n">
        <v>13</v>
      </c>
      <c r="R734" s="31" t="n">
        <v>31.3</v>
      </c>
      <c r="S734" s="31" t="n">
        <v>31.3</v>
      </c>
      <c r="T734" s="30" t="inlineStr">
        <is>
          <t>AMR1</t>
        </is>
      </c>
      <c r="U734" s="31" t="n">
        <v>54.2</v>
      </c>
      <c r="V734" s="31" t="n">
        <v>54.2</v>
      </c>
      <c r="W734" s="30" t="inlineStr">
        <is>
          <t>AMR1</t>
        </is>
      </c>
      <c r="X734" s="32" t="n">
        <v>0</v>
      </c>
      <c r="Y734" s="32" t="n">
        <v>0</v>
      </c>
      <c r="Z734" s="31" t="n">
        <v>0</v>
      </c>
      <c r="AA734" s="32" t="n">
        <v>0</v>
      </c>
      <c r="AB734" s="32" t="n">
        <v>1</v>
      </c>
      <c r="AC734" s="32" t="n">
        <v>0</v>
      </c>
      <c r="AD734" s="32" t="n">
        <v>3</v>
      </c>
      <c r="AE734" s="31" t="n">
        <v>13.5</v>
      </c>
      <c r="AF734" s="32" t="n">
        <v>1</v>
      </c>
      <c r="AG734" s="31" t="n">
        <v>6.1</v>
      </c>
      <c r="AH734" s="32" t="n">
        <v>41</v>
      </c>
      <c r="AI734" s="31" t="n">
        <v>45</v>
      </c>
      <c r="AJ734" s="31" t="n">
        <v>42.8</v>
      </c>
      <c r="AK734" s="31" t="n">
        <v>20.2</v>
      </c>
      <c r="AL734" s="30" t="inlineStr">
        <is>
          <t>T-0883</t>
        </is>
      </c>
      <c r="AM734" s="30" t="inlineStr">
        <is>
          <t>D-05-02</t>
        </is>
      </c>
      <c r="AN734" s="30" t="inlineStr">
        <is>
          <t>T-0789</t>
        </is>
      </c>
      <c r="AO734" s="30" t="inlineStr">
        <is>
          <t>D-01-03</t>
        </is>
      </c>
    </row>
    <row r="735">
      <c r="A735" s="30" t="inlineStr">
        <is>
          <t>O0734</t>
        </is>
      </c>
      <c r="B735" s="30" t="inlineStr">
        <is>
          <t>I</t>
        </is>
      </c>
      <c r="C735" s="31" t="n">
        <v>9597.5</v>
      </c>
      <c r="D735" s="31" t="n">
        <v>35778.8</v>
      </c>
      <c r="E735" s="31" t="n">
        <v>35778.8</v>
      </c>
      <c r="F735" s="31" t="n">
        <v>35793.9</v>
      </c>
      <c r="G735" s="31" t="n">
        <v>35820.2</v>
      </c>
      <c r="H735" s="31" t="n">
        <v>35836.3</v>
      </c>
      <c r="I735" s="31" t="n">
        <v>35873.2</v>
      </c>
      <c r="J735" s="31" t="n">
        <v>35899.5</v>
      </c>
      <c r="K735" s="31" t="n">
        <v>26302</v>
      </c>
      <c r="L735" s="31" t="n">
        <v>26181.3</v>
      </c>
      <c r="M735" s="30" t="inlineStr">
        <is>
          <t>AMR3</t>
        </is>
      </c>
      <c r="N735" s="30" t="inlineStr">
        <is>
          <t>AMR3</t>
        </is>
      </c>
      <c r="O735" s="32" t="n">
        <v>0</v>
      </c>
      <c r="P735" s="32" t="n">
        <v>0</v>
      </c>
      <c r="Q735" s="32" t="n">
        <v>15</v>
      </c>
      <c r="R735" s="31" t="n">
        <v>39.7</v>
      </c>
      <c r="S735" s="31" t="n">
        <v>39.7</v>
      </c>
      <c r="T735" s="30" t="inlineStr">
        <is>
          <t>AMR3</t>
        </is>
      </c>
      <c r="U735" s="31" t="n">
        <v>53.5</v>
      </c>
      <c r="V735" s="31" t="n">
        <v>53.5</v>
      </c>
      <c r="W735" s="30" t="inlineStr">
        <is>
          <t>AMR3</t>
        </is>
      </c>
      <c r="X735" s="32" t="n">
        <v>0</v>
      </c>
      <c r="Y735" s="32" t="n">
        <v>0</v>
      </c>
      <c r="Z735" s="31" t="n">
        <v>0</v>
      </c>
      <c r="AA735" s="32" t="n">
        <v>0</v>
      </c>
      <c r="AB735" s="32" t="n">
        <v>2</v>
      </c>
      <c r="AC735" s="32" t="n">
        <v>1</v>
      </c>
      <c r="AD735" s="32" t="n">
        <v>0</v>
      </c>
      <c r="AE735" s="31" t="n">
        <v>0</v>
      </c>
      <c r="AF735" s="32" t="n">
        <v>0</v>
      </c>
      <c r="AG735" s="31" t="n">
        <v>0</v>
      </c>
      <c r="AH735" s="32" t="n">
        <v>48</v>
      </c>
      <c r="AI735" s="31" t="n">
        <v>54.2</v>
      </c>
      <c r="AJ735" s="31" t="n">
        <v>47.4</v>
      </c>
      <c r="AK735" s="31" t="n">
        <v>3</v>
      </c>
      <c r="AL735" s="30" t="inlineStr">
        <is>
          <t>T-0884</t>
        </is>
      </c>
      <c r="AM735" s="30" t="inlineStr">
        <is>
          <t>I-03-01</t>
        </is>
      </c>
      <c r="AN735" s="30" t="inlineStr">
        <is>
          <t>T-0802</t>
        </is>
      </c>
      <c r="AO735" s="30" t="inlineStr">
        <is>
          <t>I-04-01</t>
        </is>
      </c>
    </row>
    <row r="736">
      <c r="A736" s="30" t="inlineStr">
        <is>
          <t>O0735</t>
        </is>
      </c>
      <c r="B736" s="30" t="inlineStr">
        <is>
          <t>I</t>
        </is>
      </c>
      <c r="C736" s="31" t="n">
        <v>9603.6</v>
      </c>
      <c r="D736" s="31" t="n">
        <v>35851.4</v>
      </c>
      <c r="E736" s="31" t="n">
        <v>35851.4</v>
      </c>
      <c r="F736" s="31" t="n">
        <v>35865.8</v>
      </c>
      <c r="G736" s="31" t="n">
        <v>35892.8</v>
      </c>
      <c r="H736" s="31" t="n">
        <v>35909.6</v>
      </c>
      <c r="I736" s="31" t="n">
        <v>35941</v>
      </c>
      <c r="J736" s="31" t="n">
        <v>35968.7</v>
      </c>
      <c r="K736" s="31" t="n">
        <v>26365.1</v>
      </c>
      <c r="L736" s="31" t="n">
        <v>26247.8</v>
      </c>
      <c r="M736" s="30" t="inlineStr">
        <is>
          <t>AMR2</t>
        </is>
      </c>
      <c r="N736" s="30" t="inlineStr">
        <is>
          <t>AMR2</t>
        </is>
      </c>
      <c r="O736" s="32" t="n">
        <v>0</v>
      </c>
      <c r="P736" s="32" t="n">
        <v>0</v>
      </c>
      <c r="Q736" s="32" t="n">
        <v>15</v>
      </c>
      <c r="R736" s="31" t="n">
        <v>36.2</v>
      </c>
      <c r="S736" s="31" t="n">
        <v>36.2</v>
      </c>
      <c r="T736" s="30" t="inlineStr">
        <is>
          <t>AMR2</t>
        </is>
      </c>
      <c r="U736" s="31" t="n">
        <v>49.4</v>
      </c>
      <c r="V736" s="31" t="n">
        <v>49.4</v>
      </c>
      <c r="W736" s="30" t="inlineStr">
        <is>
          <t>AMR2</t>
        </is>
      </c>
      <c r="X736" s="32" t="n">
        <v>0</v>
      </c>
      <c r="Y736" s="32" t="n">
        <v>0</v>
      </c>
      <c r="Z736" s="31" t="n">
        <v>0</v>
      </c>
      <c r="AA736" s="32" t="n">
        <v>0</v>
      </c>
      <c r="AB736" s="32" t="n">
        <v>2</v>
      </c>
      <c r="AC736" s="32" t="n">
        <v>1</v>
      </c>
      <c r="AD736" s="32" t="n">
        <v>0</v>
      </c>
      <c r="AE736" s="31" t="n">
        <v>0</v>
      </c>
      <c r="AF736" s="32" t="n">
        <v>0</v>
      </c>
      <c r="AG736" s="31" t="n">
        <v>0</v>
      </c>
      <c r="AH736" s="32" t="n">
        <v>49</v>
      </c>
      <c r="AI736" s="31" t="n">
        <v>55</v>
      </c>
      <c r="AJ736" s="31" t="n">
        <v>39.8</v>
      </c>
      <c r="AK736" s="31" t="n">
        <v>5.7</v>
      </c>
      <c r="AL736" s="30" t="inlineStr">
        <is>
          <t>T-0885</t>
        </is>
      </c>
      <c r="AM736" s="30" t="inlineStr">
        <is>
          <t>I-04-03</t>
        </is>
      </c>
      <c r="AN736" s="30" t="inlineStr">
        <is>
          <t>T-0812</t>
        </is>
      </c>
      <c r="AO736" s="30" t="inlineStr">
        <is>
          <t>I-05-01</t>
        </is>
      </c>
    </row>
    <row r="737">
      <c r="A737" s="30" t="inlineStr">
        <is>
          <t>O0736</t>
        </is>
      </c>
      <c r="B737" s="30" t="inlineStr">
        <is>
          <t>H</t>
        </is>
      </c>
      <c r="C737" s="31" t="n">
        <v>9608.1</v>
      </c>
      <c r="D737" s="31" t="n">
        <v>35865.9</v>
      </c>
      <c r="E737" s="31" t="n">
        <v>35865.9</v>
      </c>
      <c r="F737" s="31" t="n">
        <v>35881.5</v>
      </c>
      <c r="G737" s="31" t="n">
        <v>35908.9</v>
      </c>
      <c r="H737" s="31" t="n">
        <v>35923.1</v>
      </c>
      <c r="I737" s="31" t="n">
        <v>35948.8</v>
      </c>
      <c r="J737" s="31" t="n">
        <v>35984.5</v>
      </c>
      <c r="K737" s="31" t="n">
        <v>26376.4</v>
      </c>
      <c r="L737" s="31" t="n">
        <v>26257.8</v>
      </c>
      <c r="M737" s="30" t="inlineStr">
        <is>
          <t>AMR1</t>
        </is>
      </c>
      <c r="N737" s="30" t="inlineStr">
        <is>
          <t>AMR1</t>
        </is>
      </c>
      <c r="O737" s="32" t="n">
        <v>0</v>
      </c>
      <c r="P737" s="32" t="n">
        <v>0</v>
      </c>
      <c r="Q737" s="32" t="n">
        <v>15</v>
      </c>
      <c r="R737" s="31" t="n">
        <v>42.1</v>
      </c>
      <c r="S737" s="31" t="n">
        <v>42.1</v>
      </c>
      <c r="T737" s="30" t="inlineStr">
        <is>
          <t>AMR1</t>
        </is>
      </c>
      <c r="U737" s="31" t="n">
        <v>53.7</v>
      </c>
      <c r="V737" s="31" t="n">
        <v>53.7</v>
      </c>
      <c r="W737" s="30" t="inlineStr">
        <is>
          <t>AMR1</t>
        </is>
      </c>
      <c r="X737" s="32" t="n">
        <v>0</v>
      </c>
      <c r="Y737" s="32" t="n">
        <v>0</v>
      </c>
      <c r="Z737" s="31" t="n">
        <v>0</v>
      </c>
      <c r="AA737" s="32" t="n">
        <v>0</v>
      </c>
      <c r="AB737" s="32" t="n">
        <v>0</v>
      </c>
      <c r="AC737" s="32" t="n">
        <v>0</v>
      </c>
      <c r="AD737" s="32" t="n">
        <v>1</v>
      </c>
      <c r="AE737" s="31" t="n">
        <v>8.4</v>
      </c>
      <c r="AF737" s="32" t="n">
        <v>1</v>
      </c>
      <c r="AG737" s="31" t="n">
        <v>3.4</v>
      </c>
      <c r="AH737" s="32" t="n">
        <v>41</v>
      </c>
      <c r="AI737" s="31" t="n">
        <v>45.5</v>
      </c>
      <c r="AJ737" s="31" t="n">
        <v>50.5</v>
      </c>
      <c r="AK737" s="31" t="n">
        <v>8.4</v>
      </c>
      <c r="AL737" s="30" t="inlineStr">
        <is>
          <t>T-0886</t>
        </is>
      </c>
      <c r="AM737" s="30" t="inlineStr">
        <is>
          <t>H-02-02</t>
        </is>
      </c>
      <c r="AN737" s="30" t="inlineStr">
        <is>
          <t>T-0790</t>
        </is>
      </c>
      <c r="AO737" s="30" t="inlineStr">
        <is>
          <t>H-04-02</t>
        </is>
      </c>
    </row>
    <row r="738">
      <c r="A738" s="30" t="inlineStr">
        <is>
          <t>O0737</t>
        </is>
      </c>
      <c r="B738" s="30" t="inlineStr">
        <is>
          <t>D</t>
        </is>
      </c>
      <c r="C738" s="31" t="n">
        <v>9612.5</v>
      </c>
      <c r="D738" s="31" t="n">
        <v>35930.3</v>
      </c>
      <c r="E738" s="31" t="n">
        <v>35930.3</v>
      </c>
      <c r="F738" s="31" t="n">
        <v>35943.9</v>
      </c>
      <c r="G738" s="31" t="n">
        <v>35967.8</v>
      </c>
      <c r="H738" s="31" t="n">
        <v>35983.3</v>
      </c>
      <c r="I738" s="31" t="n">
        <v>36020.3</v>
      </c>
      <c r="J738" s="31" t="n">
        <v>36053.8</v>
      </c>
      <c r="K738" s="31" t="n">
        <v>26441.3</v>
      </c>
      <c r="L738" s="31" t="n">
        <v>26317.8</v>
      </c>
      <c r="M738" s="30" t="inlineStr">
        <is>
          <t>AMR3</t>
        </is>
      </c>
      <c r="N738" s="30" t="inlineStr">
        <is>
          <t>AMR3</t>
        </is>
      </c>
      <c r="O738" s="32" t="n">
        <v>0</v>
      </c>
      <c r="P738" s="32" t="n">
        <v>0</v>
      </c>
      <c r="Q738" s="32" t="n">
        <v>13</v>
      </c>
      <c r="R738" s="31" t="n">
        <v>34.2</v>
      </c>
      <c r="S738" s="31" t="n">
        <v>34.2</v>
      </c>
      <c r="T738" s="30" t="inlineStr">
        <is>
          <t>AMR3</t>
        </is>
      </c>
      <c r="U738" s="31" t="n">
        <v>53.9</v>
      </c>
      <c r="V738" s="31" t="n">
        <v>53.9</v>
      </c>
      <c r="W738" s="30" t="inlineStr">
        <is>
          <t>AMR3</t>
        </is>
      </c>
      <c r="X738" s="32" t="n">
        <v>0</v>
      </c>
      <c r="Y738" s="32" t="n">
        <v>0</v>
      </c>
      <c r="Z738" s="31" t="n">
        <v>0</v>
      </c>
      <c r="AA738" s="32" t="n">
        <v>0</v>
      </c>
      <c r="AB738" s="32" t="n">
        <v>3</v>
      </c>
      <c r="AC738" s="32" t="n">
        <v>2</v>
      </c>
      <c r="AD738" s="32" t="n">
        <v>2</v>
      </c>
      <c r="AE738" s="31" t="n">
        <v>4.7</v>
      </c>
      <c r="AF738" s="32" t="n">
        <v>1</v>
      </c>
      <c r="AG738" s="31" t="n">
        <v>0.3</v>
      </c>
      <c r="AH738" s="32" t="n">
        <v>46</v>
      </c>
      <c r="AI738" s="31" t="n">
        <v>51.6</v>
      </c>
      <c r="AJ738" s="31" t="n">
        <v>45.4</v>
      </c>
      <c r="AK738" s="31" t="n">
        <v>11</v>
      </c>
      <c r="AL738" s="30" t="inlineStr">
        <is>
          <t>T-0887</t>
        </is>
      </c>
      <c r="AM738" s="30" t="inlineStr">
        <is>
          <t>D-06-02</t>
        </is>
      </c>
      <c r="AN738" s="30" t="inlineStr">
        <is>
          <t>T-0795</t>
        </is>
      </c>
      <c r="AO738" s="30" t="inlineStr">
        <is>
          <t>D-02-03</t>
        </is>
      </c>
    </row>
    <row r="739">
      <c r="A739" s="30" t="inlineStr">
        <is>
          <t>O0738</t>
        </is>
      </c>
      <c r="B739" s="30" t="inlineStr">
        <is>
          <t>I</t>
        </is>
      </c>
      <c r="C739" s="31" t="n">
        <v>9616.299999999999</v>
      </c>
      <c r="D739" s="31" t="n">
        <v>35996.4</v>
      </c>
      <c r="E739" s="31" t="n">
        <v>35996.4</v>
      </c>
      <c r="F739" s="31" t="n">
        <v>36011.3</v>
      </c>
      <c r="G739" s="31" t="n">
        <v>36040.5</v>
      </c>
      <c r="H739" s="31" t="n">
        <v>36057.3</v>
      </c>
      <c r="I739" s="31" t="n">
        <v>36089.9</v>
      </c>
      <c r="J739" s="31" t="n">
        <v>36124.6</v>
      </c>
      <c r="K739" s="31" t="n">
        <v>26508.3</v>
      </c>
      <c r="L739" s="31" t="n">
        <v>26380.1</v>
      </c>
      <c r="M739" s="30" t="inlineStr">
        <is>
          <t>AMR2</t>
        </is>
      </c>
      <c r="N739" s="30" t="inlineStr">
        <is>
          <t>AMR2</t>
        </is>
      </c>
      <c r="O739" s="32" t="n">
        <v>0</v>
      </c>
      <c r="P739" s="32" t="n">
        <v>0</v>
      </c>
      <c r="Q739" s="32" t="n">
        <v>15</v>
      </c>
      <c r="R739" s="31" t="n">
        <v>41.6</v>
      </c>
      <c r="S739" s="31" t="n">
        <v>41.6</v>
      </c>
      <c r="T739" s="30" t="inlineStr">
        <is>
          <t>AMR2</t>
        </is>
      </c>
      <c r="U739" s="31" t="n">
        <v>48.5</v>
      </c>
      <c r="V739" s="31" t="n">
        <v>48.5</v>
      </c>
      <c r="W739" s="30" t="inlineStr">
        <is>
          <t>AMR2</t>
        </is>
      </c>
      <c r="X739" s="32" t="n">
        <v>0</v>
      </c>
      <c r="Y739" s="32" t="n">
        <v>0</v>
      </c>
      <c r="Z739" s="31" t="n">
        <v>0</v>
      </c>
      <c r="AA739" s="32" t="n">
        <v>0</v>
      </c>
      <c r="AB739" s="32" t="n">
        <v>2</v>
      </c>
      <c r="AC739" s="32" t="n">
        <v>1</v>
      </c>
      <c r="AD739" s="32" t="n">
        <v>2</v>
      </c>
      <c r="AE739" s="31" t="n">
        <v>10.2</v>
      </c>
      <c r="AF739" s="32" t="n">
        <v>1</v>
      </c>
      <c r="AG739" s="31" t="n">
        <v>3.2</v>
      </c>
      <c r="AH739" s="32" t="n">
        <v>51</v>
      </c>
      <c r="AI739" s="31" t="n">
        <v>55.9</v>
      </c>
      <c r="AJ739" s="31" t="n">
        <v>44.3</v>
      </c>
      <c r="AK739" s="31" t="n">
        <v>11.2</v>
      </c>
      <c r="AL739" s="30" t="inlineStr">
        <is>
          <t>T-0888</t>
        </is>
      </c>
      <c r="AM739" s="30" t="inlineStr">
        <is>
          <t>I-04-01</t>
        </is>
      </c>
      <c r="AN739" s="30" t="inlineStr">
        <is>
          <t>T-0817</t>
        </is>
      </c>
      <c r="AO739" s="30" t="inlineStr">
        <is>
          <t>I-06-01</t>
        </is>
      </c>
    </row>
    <row r="740">
      <c r="A740" s="30" t="inlineStr">
        <is>
          <t>O0739</t>
        </is>
      </c>
      <c r="B740" s="30" t="inlineStr">
        <is>
          <t>C</t>
        </is>
      </c>
      <c r="C740" s="31" t="n">
        <v>9619.4</v>
      </c>
      <c r="D740" s="31" t="n">
        <v>36013.3</v>
      </c>
      <c r="E740" s="31" t="n">
        <v>36013.3</v>
      </c>
      <c r="F740" s="31" t="n">
        <v>36024.2</v>
      </c>
      <c r="G740" s="31" t="n">
        <v>36045.6</v>
      </c>
      <c r="H740" s="31" t="n">
        <v>36060.8</v>
      </c>
      <c r="I740" s="31" t="n">
        <v>36083</v>
      </c>
      <c r="J740" s="31" t="n">
        <v>36112.6</v>
      </c>
      <c r="K740" s="31" t="n">
        <v>26493.2</v>
      </c>
      <c r="L740" s="31" t="n">
        <v>26393.9</v>
      </c>
      <c r="M740" s="30" t="inlineStr">
        <is>
          <t>AMR1</t>
        </is>
      </c>
      <c r="N740" s="30" t="inlineStr">
        <is>
          <t>AMR1</t>
        </is>
      </c>
      <c r="O740" s="32" t="n">
        <v>0</v>
      </c>
      <c r="P740" s="32" t="n">
        <v>0</v>
      </c>
      <c r="Q740" s="32" t="n">
        <v>13</v>
      </c>
      <c r="R740" s="31" t="n">
        <v>31.4</v>
      </c>
      <c r="S740" s="31" t="n">
        <v>31.4</v>
      </c>
      <c r="T740" s="30" t="inlineStr">
        <is>
          <t>AMR1</t>
        </is>
      </c>
      <c r="U740" s="31" t="n">
        <v>52</v>
      </c>
      <c r="V740" s="31" t="n">
        <v>52</v>
      </c>
      <c r="W740" s="30" t="inlineStr">
        <is>
          <t>AMR1</t>
        </is>
      </c>
      <c r="X740" s="32" t="n">
        <v>0</v>
      </c>
      <c r="Y740" s="32" t="n">
        <v>0</v>
      </c>
      <c r="Z740" s="31" t="n">
        <v>0</v>
      </c>
      <c r="AA740" s="32" t="n">
        <v>0</v>
      </c>
      <c r="AB740" s="32" t="n">
        <v>0</v>
      </c>
      <c r="AC740" s="32" t="n">
        <v>0</v>
      </c>
      <c r="AD740" s="32" t="n">
        <v>0</v>
      </c>
      <c r="AE740" s="31" t="n">
        <v>0</v>
      </c>
      <c r="AF740" s="32" t="n">
        <v>0</v>
      </c>
      <c r="AG740" s="31" t="n">
        <v>0</v>
      </c>
      <c r="AH740" s="32" t="n">
        <v>39</v>
      </c>
      <c r="AI740" s="31" t="n">
        <v>42.9</v>
      </c>
      <c r="AJ740" s="31" t="n">
        <v>41.2</v>
      </c>
      <c r="AK740" s="31" t="n">
        <v>0</v>
      </c>
      <c r="AL740" s="30" t="inlineStr">
        <is>
          <t>T-0889</t>
        </is>
      </c>
      <c r="AM740" s="30" t="inlineStr">
        <is>
          <t>C-02-03</t>
        </is>
      </c>
      <c r="AN740" s="30" t="inlineStr">
        <is>
          <t>T-0777</t>
        </is>
      </c>
      <c r="AO740" s="30" t="inlineStr">
        <is>
          <t>C-01-01</t>
        </is>
      </c>
    </row>
    <row r="741">
      <c r="A741" s="30" t="inlineStr">
        <is>
          <t>O0740</t>
        </is>
      </c>
      <c r="B741" s="30" t="inlineStr">
        <is>
          <t>I</t>
        </is>
      </c>
      <c r="C741" s="31" t="n">
        <v>9624.799999999999</v>
      </c>
      <c r="D741" s="31" t="n">
        <v>36081.9</v>
      </c>
      <c r="E741" s="31" t="n">
        <v>36081.9</v>
      </c>
      <c r="F741" s="31" t="n">
        <v>36095.4</v>
      </c>
      <c r="G741" s="31" t="n">
        <v>36120.7</v>
      </c>
      <c r="H741" s="31" t="n">
        <v>36136.3</v>
      </c>
      <c r="I741" s="31" t="n">
        <v>36168.8</v>
      </c>
      <c r="J741" s="31" t="n">
        <v>36192.6</v>
      </c>
      <c r="K741" s="31" t="n">
        <v>26567.8</v>
      </c>
      <c r="L741" s="31" t="n">
        <v>26457.1</v>
      </c>
      <c r="M741" s="30" t="inlineStr">
        <is>
          <t>AMR3</t>
        </is>
      </c>
      <c r="N741" s="30" t="inlineStr">
        <is>
          <t>AMR1</t>
        </is>
      </c>
      <c r="O741" s="32" t="n">
        <v>0</v>
      </c>
      <c r="P741" s="32" t="n">
        <v>0</v>
      </c>
      <c r="Q741" s="32" t="n">
        <v>15</v>
      </c>
      <c r="R741" s="31" t="n">
        <v>36.3</v>
      </c>
      <c r="S741" s="31" t="n">
        <v>36.3</v>
      </c>
      <c r="T741" s="30" t="inlineStr">
        <is>
          <t>AMR3</t>
        </is>
      </c>
      <c r="U741" s="31" t="n">
        <v>52.1</v>
      </c>
      <c r="V741" s="31" t="n">
        <v>52.1</v>
      </c>
      <c r="W741" s="30" t="inlineStr">
        <is>
          <t>AMR1</t>
        </is>
      </c>
      <c r="X741" s="32" t="n">
        <v>0</v>
      </c>
      <c r="Y741" s="32" t="n">
        <v>0</v>
      </c>
      <c r="Z741" s="31" t="n">
        <v>0</v>
      </c>
      <c r="AA741" s="32" t="n">
        <v>0</v>
      </c>
      <c r="AB741" s="32" t="n">
        <v>1</v>
      </c>
      <c r="AC741" s="32" t="n">
        <v>1</v>
      </c>
      <c r="AD741" s="32" t="n">
        <v>0</v>
      </c>
      <c r="AE741" s="31" t="n">
        <v>0</v>
      </c>
      <c r="AF741" s="32" t="n">
        <v>0</v>
      </c>
      <c r="AG741" s="31" t="n">
        <v>0</v>
      </c>
      <c r="AH741" s="32" t="n">
        <v>43</v>
      </c>
      <c r="AI741" s="31" t="n">
        <v>49.5</v>
      </c>
      <c r="AJ741" s="31" t="n">
        <v>42.6</v>
      </c>
      <c r="AK741" s="31" t="n">
        <v>3</v>
      </c>
      <c r="AL741" s="30" t="inlineStr">
        <is>
          <t>T-0890</t>
        </is>
      </c>
      <c r="AM741" s="30" t="inlineStr">
        <is>
          <t>I-05-01</t>
        </is>
      </c>
      <c r="AN741" s="30" t="inlineStr">
        <is>
          <t>T-0849</t>
        </is>
      </c>
      <c r="AO741" s="30" t="inlineStr">
        <is>
          <t>I-01-02</t>
        </is>
      </c>
    </row>
    <row r="742">
      <c r="A742" s="30" t="inlineStr">
        <is>
          <t>O0741</t>
        </is>
      </c>
      <c r="B742" s="30" t="inlineStr">
        <is>
          <t>C</t>
        </is>
      </c>
      <c r="C742" s="31" t="n">
        <v>9628.9</v>
      </c>
      <c r="D742" s="31" t="n">
        <v>36146.1</v>
      </c>
      <c r="E742" s="31" t="n">
        <v>36146.1</v>
      </c>
      <c r="F742" s="31" t="n">
        <v>36162</v>
      </c>
      <c r="G742" s="31" t="n">
        <v>36186.6</v>
      </c>
      <c r="H742" s="31" t="n">
        <v>36198.8</v>
      </c>
      <c r="I742" s="31" t="n">
        <v>36220.9</v>
      </c>
      <c r="J742" s="31" t="n">
        <v>36249.8</v>
      </c>
      <c r="K742" s="31" t="n">
        <v>26620.9</v>
      </c>
      <c r="L742" s="31" t="n">
        <v>26517.2</v>
      </c>
      <c r="M742" s="30" t="inlineStr">
        <is>
          <t>AMR3</t>
        </is>
      </c>
      <c r="N742" s="30" t="inlineStr">
        <is>
          <t>AMR3</t>
        </is>
      </c>
      <c r="O742" s="32" t="n">
        <v>0</v>
      </c>
      <c r="P742" s="32" t="n">
        <v>0</v>
      </c>
      <c r="Q742" s="32" t="n">
        <v>13</v>
      </c>
      <c r="R742" s="31" t="n">
        <v>39.6</v>
      </c>
      <c r="S742" s="31" t="n">
        <v>39.6</v>
      </c>
      <c r="T742" s="30" t="inlineStr">
        <is>
          <t>AMR3</t>
        </is>
      </c>
      <c r="U742" s="31" t="n">
        <v>51.7</v>
      </c>
      <c r="V742" s="31" t="n">
        <v>51.7</v>
      </c>
      <c r="W742" s="30" t="inlineStr">
        <is>
          <t>AMR3</t>
        </is>
      </c>
      <c r="X742" s="32" t="n">
        <v>0</v>
      </c>
      <c r="Y742" s="32" t="n">
        <v>0</v>
      </c>
      <c r="Z742" s="31" t="n">
        <v>0</v>
      </c>
      <c r="AA742" s="32" t="n">
        <v>0</v>
      </c>
      <c r="AB742" s="32" t="n">
        <v>0</v>
      </c>
      <c r="AC742" s="32" t="n">
        <v>0</v>
      </c>
      <c r="AD742" s="32" t="n">
        <v>0</v>
      </c>
      <c r="AE742" s="31" t="n">
        <v>0</v>
      </c>
      <c r="AF742" s="32" t="n">
        <v>0</v>
      </c>
      <c r="AG742" s="31" t="n">
        <v>0</v>
      </c>
      <c r="AH742" s="32" t="n">
        <v>39</v>
      </c>
      <c r="AI742" s="31" t="n">
        <v>42.4</v>
      </c>
      <c r="AJ742" s="31" t="n">
        <v>49.1</v>
      </c>
      <c r="AK742" s="31" t="n">
        <v>0</v>
      </c>
      <c r="AL742" s="30" t="inlineStr">
        <is>
          <t>T-0891</t>
        </is>
      </c>
      <c r="AM742" s="30" t="inlineStr">
        <is>
          <t>C-01-01</t>
        </is>
      </c>
      <c r="AN742" s="30" t="inlineStr">
        <is>
          <t>T-0778</t>
        </is>
      </c>
      <c r="AO742" s="30" t="inlineStr">
        <is>
          <t>C-04-01</t>
        </is>
      </c>
    </row>
    <row r="743">
      <c r="A743" s="30" t="inlineStr">
        <is>
          <t>O0742</t>
        </is>
      </c>
      <c r="B743" s="30" t="inlineStr">
        <is>
          <t>B</t>
        </is>
      </c>
      <c r="C743" s="31" t="n">
        <v>9635.5</v>
      </c>
      <c r="D743" s="31" t="n">
        <v>36162.1</v>
      </c>
      <c r="E743" s="31" t="n">
        <v>36162.1</v>
      </c>
      <c r="F743" s="31" t="n">
        <v>36174.3</v>
      </c>
      <c r="G743" s="31" t="n">
        <v>36197.8</v>
      </c>
      <c r="H743" s="31" t="n">
        <v>36214</v>
      </c>
      <c r="I743" s="31" t="n">
        <v>36237.6</v>
      </c>
      <c r="J743" s="31" t="n">
        <v>36266.9</v>
      </c>
      <c r="K743" s="31" t="n">
        <v>26631.4</v>
      </c>
      <c r="L743" s="31" t="n">
        <v>26526.6</v>
      </c>
      <c r="M743" s="30" t="inlineStr">
        <is>
          <t>AMR2</t>
        </is>
      </c>
      <c r="N743" s="30" t="inlineStr">
        <is>
          <t>AMR2</t>
        </is>
      </c>
      <c r="O743" s="32" t="n">
        <v>0</v>
      </c>
      <c r="P743" s="32" t="n">
        <v>0</v>
      </c>
      <c r="Q743" s="32" t="n">
        <v>15</v>
      </c>
      <c r="R743" s="31" t="n">
        <v>33.2</v>
      </c>
      <c r="S743" s="31" t="n">
        <v>33.2</v>
      </c>
      <c r="T743" s="30" t="inlineStr">
        <is>
          <t>AMR2</t>
        </is>
      </c>
      <c r="U743" s="31" t="n">
        <v>52.6</v>
      </c>
      <c r="V743" s="31" t="n">
        <v>52.6</v>
      </c>
      <c r="W743" s="30" t="inlineStr">
        <is>
          <t>AMR2</t>
        </is>
      </c>
      <c r="X743" s="32" t="n">
        <v>0</v>
      </c>
      <c r="Y743" s="32" t="n">
        <v>0</v>
      </c>
      <c r="Z743" s="31" t="n">
        <v>0</v>
      </c>
      <c r="AA743" s="32" t="n">
        <v>0</v>
      </c>
      <c r="AB743" s="32" t="n">
        <v>0</v>
      </c>
      <c r="AC743" s="32" t="n">
        <v>0</v>
      </c>
      <c r="AD743" s="32" t="n">
        <v>0</v>
      </c>
      <c r="AE743" s="31" t="n">
        <v>0</v>
      </c>
      <c r="AF743" s="32" t="n">
        <v>0</v>
      </c>
      <c r="AG743" s="31" t="n">
        <v>0</v>
      </c>
      <c r="AH743" s="32" t="n">
        <v>47</v>
      </c>
      <c r="AI743" s="31" t="n">
        <v>50.1</v>
      </c>
      <c r="AJ743" s="31" t="n">
        <v>38.5</v>
      </c>
      <c r="AK743" s="31" t="n">
        <v>0</v>
      </c>
      <c r="AL743" s="30" t="inlineStr">
        <is>
          <t>T-0892</t>
        </is>
      </c>
      <c r="AM743" s="30" t="inlineStr">
        <is>
          <t>B-02-03</t>
        </is>
      </c>
      <c r="AN743" s="30" t="inlineStr">
        <is>
          <t>T-0675</t>
        </is>
      </c>
      <c r="AO743" s="30" t="inlineStr">
        <is>
          <t>B-04-03</t>
        </is>
      </c>
    </row>
    <row r="744">
      <c r="A744" s="30" t="inlineStr">
        <is>
          <t>O0743</t>
        </is>
      </c>
      <c r="B744" s="30" t="inlineStr">
        <is>
          <t>B</t>
        </is>
      </c>
      <c r="C744" s="31" t="n">
        <v>9640.6</v>
      </c>
      <c r="D744" s="31" t="n">
        <v>36217.5</v>
      </c>
      <c r="E744" s="31" t="n">
        <v>36217.5</v>
      </c>
      <c r="F744" s="31" t="n">
        <v>36231.7</v>
      </c>
      <c r="G744" s="31" t="n">
        <v>36255.9</v>
      </c>
      <c r="H744" s="31" t="n">
        <v>36271.4</v>
      </c>
      <c r="I744" s="31" t="n">
        <v>36298.2</v>
      </c>
      <c r="J744" s="31" t="n">
        <v>36329.4</v>
      </c>
      <c r="K744" s="31" t="n">
        <v>26688.8</v>
      </c>
      <c r="L744" s="31" t="n">
        <v>26576.9</v>
      </c>
      <c r="M744" s="30" t="inlineStr">
        <is>
          <t>AMR1</t>
        </is>
      </c>
      <c r="N744" s="30" t="inlineStr">
        <is>
          <t>AMR1</t>
        </is>
      </c>
      <c r="O744" s="32" t="n">
        <v>0</v>
      </c>
      <c r="P744" s="32" t="n">
        <v>0</v>
      </c>
      <c r="Q744" s="32" t="n">
        <v>15</v>
      </c>
      <c r="R744" s="31" t="n">
        <v>34.5</v>
      </c>
      <c r="S744" s="31" t="n">
        <v>34.5</v>
      </c>
      <c r="T744" s="30" t="inlineStr">
        <is>
          <t>AMR1</t>
        </is>
      </c>
      <c r="U744" s="31" t="n">
        <v>54.7</v>
      </c>
      <c r="V744" s="31" t="n">
        <v>54.7</v>
      </c>
      <c r="W744" s="30" t="inlineStr">
        <is>
          <t>AMR1</t>
        </is>
      </c>
      <c r="X744" s="32" t="n">
        <v>0</v>
      </c>
      <c r="Y744" s="32" t="n">
        <v>0</v>
      </c>
      <c r="Z744" s="31" t="n">
        <v>0</v>
      </c>
      <c r="AA744" s="32" t="n">
        <v>0</v>
      </c>
      <c r="AB744" s="32" t="n">
        <v>0</v>
      </c>
      <c r="AC744" s="32" t="n">
        <v>0</v>
      </c>
      <c r="AD744" s="32" t="n">
        <v>1</v>
      </c>
      <c r="AE744" s="31" t="n">
        <v>2.2</v>
      </c>
      <c r="AF744" s="32" t="n">
        <v>0</v>
      </c>
      <c r="AG744" s="31" t="n">
        <v>0</v>
      </c>
      <c r="AH744" s="32" t="n">
        <v>50</v>
      </c>
      <c r="AI744" s="31" t="n">
        <v>52.3</v>
      </c>
      <c r="AJ744" s="31" t="n">
        <v>41.9</v>
      </c>
      <c r="AK744" s="31" t="n">
        <v>2.2</v>
      </c>
      <c r="AL744" s="30" t="inlineStr">
        <is>
          <t>T-0893</t>
        </is>
      </c>
      <c r="AM744" s="30" t="inlineStr">
        <is>
          <t>B-03-03</t>
        </is>
      </c>
      <c r="AN744" s="30" t="inlineStr">
        <is>
          <t>T-0678</t>
        </is>
      </c>
      <c r="AO744" s="30" t="inlineStr">
        <is>
          <t>B-01-01</t>
        </is>
      </c>
    </row>
    <row r="745">
      <c r="A745" s="30" t="inlineStr">
        <is>
          <t>O0744</t>
        </is>
      </c>
      <c r="B745" s="30" t="inlineStr">
        <is>
          <t>D</t>
        </is>
      </c>
      <c r="C745" s="31" t="n">
        <v>9644.700000000001</v>
      </c>
      <c r="D745" s="31" t="n">
        <v>36274.8</v>
      </c>
      <c r="E745" s="31" t="n">
        <v>36274.8</v>
      </c>
      <c r="F745" s="31" t="n">
        <v>36286</v>
      </c>
      <c r="G745" s="31" t="n">
        <v>36310.1</v>
      </c>
      <c r="H745" s="31" t="n">
        <v>36322.9</v>
      </c>
      <c r="I745" s="31" t="n">
        <v>36345.7</v>
      </c>
      <c r="J745" s="31" t="n">
        <v>36376.2</v>
      </c>
      <c r="K745" s="31" t="n">
        <v>26731.5</v>
      </c>
      <c r="L745" s="31" t="n">
        <v>26630.1</v>
      </c>
      <c r="M745" s="30" t="inlineStr">
        <is>
          <t>AMR3</t>
        </is>
      </c>
      <c r="N745" s="30" t="inlineStr">
        <is>
          <t>AMR3</t>
        </is>
      </c>
      <c r="O745" s="32" t="n">
        <v>0</v>
      </c>
      <c r="P745" s="32" t="n">
        <v>0</v>
      </c>
      <c r="Q745" s="32" t="n">
        <v>13</v>
      </c>
      <c r="R745" s="31" t="n">
        <v>34.4</v>
      </c>
      <c r="S745" s="31" t="n">
        <v>34.4</v>
      </c>
      <c r="T745" s="30" t="inlineStr">
        <is>
          <t>AMR3</t>
        </is>
      </c>
      <c r="U745" s="31" t="n">
        <v>53.5</v>
      </c>
      <c r="V745" s="31" t="n">
        <v>53.5</v>
      </c>
      <c r="W745" s="30" t="inlineStr">
        <is>
          <t>AMR3</t>
        </is>
      </c>
      <c r="X745" s="32" t="n">
        <v>0</v>
      </c>
      <c r="Y745" s="32" t="n">
        <v>0</v>
      </c>
      <c r="Z745" s="31" t="n">
        <v>0</v>
      </c>
      <c r="AA745" s="32" t="n">
        <v>0</v>
      </c>
      <c r="AB745" s="32" t="n">
        <v>0</v>
      </c>
      <c r="AC745" s="32" t="n">
        <v>0</v>
      </c>
      <c r="AD745" s="32" t="n">
        <v>0</v>
      </c>
      <c r="AE745" s="31" t="n">
        <v>0</v>
      </c>
      <c r="AF745" s="32" t="n">
        <v>0</v>
      </c>
      <c r="AG745" s="31" t="n">
        <v>0</v>
      </c>
      <c r="AH745" s="32" t="n">
        <v>39</v>
      </c>
      <c r="AI745" s="31" t="n">
        <v>43.4</v>
      </c>
      <c r="AJ745" s="31" t="n">
        <v>45.2</v>
      </c>
      <c r="AK745" s="31" t="n">
        <v>0</v>
      </c>
      <c r="AL745" s="30" t="inlineStr">
        <is>
          <t>T-0894</t>
        </is>
      </c>
      <c r="AM745" s="30" t="inlineStr">
        <is>
          <t>D-01-03</t>
        </is>
      </c>
      <c r="AN745" s="30" t="inlineStr">
        <is>
          <t>T-0810</t>
        </is>
      </c>
      <c r="AO745" s="30" t="inlineStr">
        <is>
          <t>D-01-01</t>
        </is>
      </c>
    </row>
    <row r="746">
      <c r="A746" s="30" t="inlineStr">
        <is>
          <t>O0745</t>
        </is>
      </c>
      <c r="B746" s="30" t="inlineStr">
        <is>
          <t>H</t>
        </is>
      </c>
      <c r="C746" s="31" t="n">
        <v>9648.4</v>
      </c>
      <c r="D746" s="31" t="n">
        <v>36290.6</v>
      </c>
      <c r="E746" s="31" t="n">
        <v>36290.6</v>
      </c>
      <c r="F746" s="31" t="n">
        <v>36301.9</v>
      </c>
      <c r="G746" s="31" t="n">
        <v>36326.4</v>
      </c>
      <c r="H746" s="31" t="n">
        <v>36341.2</v>
      </c>
      <c r="I746" s="31" t="n">
        <v>36370</v>
      </c>
      <c r="J746" s="31" t="n">
        <v>36396.8</v>
      </c>
      <c r="K746" s="31" t="n">
        <v>26748.4</v>
      </c>
      <c r="L746" s="31" t="n">
        <v>26642.2</v>
      </c>
      <c r="M746" s="30" t="inlineStr">
        <is>
          <t>AMR2</t>
        </is>
      </c>
      <c r="N746" s="30" t="inlineStr">
        <is>
          <t>AMR2</t>
        </is>
      </c>
      <c r="O746" s="32" t="n">
        <v>0</v>
      </c>
      <c r="P746" s="32" t="n">
        <v>0</v>
      </c>
      <c r="Q746" s="32" t="n">
        <v>15</v>
      </c>
      <c r="R746" s="31" t="n">
        <v>34.9</v>
      </c>
      <c r="S746" s="31" t="n">
        <v>34.9</v>
      </c>
      <c r="T746" s="30" t="inlineStr">
        <is>
          <t>AMR2</t>
        </is>
      </c>
      <c r="U746" s="31" t="n">
        <v>55.7</v>
      </c>
      <c r="V746" s="31" t="n">
        <v>55.7</v>
      </c>
      <c r="W746" s="30" t="inlineStr">
        <is>
          <t>AMR2</t>
        </is>
      </c>
      <c r="X746" s="32" t="n">
        <v>0</v>
      </c>
      <c r="Y746" s="32" t="n">
        <v>0</v>
      </c>
      <c r="Z746" s="31" t="n">
        <v>0</v>
      </c>
      <c r="AA746" s="32" t="n">
        <v>0</v>
      </c>
      <c r="AB746" s="32" t="n">
        <v>0</v>
      </c>
      <c r="AC746" s="32" t="n">
        <v>0</v>
      </c>
      <c r="AD746" s="32" t="n">
        <v>0</v>
      </c>
      <c r="AE746" s="31" t="n">
        <v>0</v>
      </c>
      <c r="AF746" s="32" t="n">
        <v>0</v>
      </c>
      <c r="AG746" s="31" t="n">
        <v>0</v>
      </c>
      <c r="AH746" s="32" t="n">
        <v>43</v>
      </c>
      <c r="AI746" s="31" t="n">
        <v>46.1</v>
      </c>
      <c r="AJ746" s="31" t="n">
        <v>45.3</v>
      </c>
      <c r="AK746" s="31" t="n">
        <v>0</v>
      </c>
      <c r="AL746" s="30" t="inlineStr">
        <is>
          <t>T-0895</t>
        </is>
      </c>
      <c r="AM746" s="30" t="inlineStr">
        <is>
          <t>H-04-02</t>
        </is>
      </c>
      <c r="AN746" s="30" t="inlineStr">
        <is>
          <t>T-0793</t>
        </is>
      </c>
      <c r="AO746" s="30" t="inlineStr">
        <is>
          <t>H-03-01</t>
        </is>
      </c>
    </row>
    <row r="747">
      <c r="A747" s="30" t="inlineStr">
        <is>
          <t>O0746</t>
        </is>
      </c>
      <c r="B747" s="30" t="inlineStr">
        <is>
          <t>D</t>
        </is>
      </c>
      <c r="C747" s="31" t="n">
        <v>9654.5</v>
      </c>
      <c r="D747" s="31" t="n">
        <v>36353.1</v>
      </c>
      <c r="E747" s="31" t="n">
        <v>36353.1</v>
      </c>
      <c r="F747" s="31" t="n">
        <v>36366.5</v>
      </c>
      <c r="G747" s="31" t="n">
        <v>36386.7</v>
      </c>
      <c r="H747" s="31" t="n">
        <v>36399.5</v>
      </c>
      <c r="I747" s="31" t="n">
        <v>36431.3</v>
      </c>
      <c r="J747" s="31" t="n">
        <v>36464.1</v>
      </c>
      <c r="K747" s="31" t="n">
        <v>26809.6</v>
      </c>
      <c r="L747" s="31" t="n">
        <v>26698.6</v>
      </c>
      <c r="M747" s="30" t="inlineStr">
        <is>
          <t>AMR1</t>
        </is>
      </c>
      <c r="N747" s="30" t="inlineStr">
        <is>
          <t>AMR1</t>
        </is>
      </c>
      <c r="O747" s="32" t="n">
        <v>0</v>
      </c>
      <c r="P747" s="32" t="n">
        <v>0</v>
      </c>
      <c r="Q747" s="32" t="n">
        <v>13</v>
      </c>
      <c r="R747" s="31" t="n">
        <v>32.7</v>
      </c>
      <c r="S747" s="31" t="n">
        <v>32.7</v>
      </c>
      <c r="T747" s="30" t="inlineStr">
        <is>
          <t>AMR1</t>
        </is>
      </c>
      <c r="U747" s="31" t="n">
        <v>48.9</v>
      </c>
      <c r="V747" s="31" t="n">
        <v>48.9</v>
      </c>
      <c r="W747" s="30" t="inlineStr">
        <is>
          <t>AMR1</t>
        </is>
      </c>
      <c r="X747" s="32" t="n">
        <v>0</v>
      </c>
      <c r="Y747" s="32" t="n">
        <v>0</v>
      </c>
      <c r="Z747" s="31" t="n">
        <v>0</v>
      </c>
      <c r="AA747" s="32" t="n">
        <v>0</v>
      </c>
      <c r="AB747" s="32" t="n">
        <v>2</v>
      </c>
      <c r="AC747" s="32" t="n">
        <v>2</v>
      </c>
      <c r="AD747" s="32" t="n">
        <v>0</v>
      </c>
      <c r="AE747" s="31" t="n">
        <v>0</v>
      </c>
      <c r="AF747" s="32" t="n">
        <v>1</v>
      </c>
      <c r="AG747" s="31" t="n">
        <v>0.5</v>
      </c>
      <c r="AH747" s="32" t="n">
        <v>41</v>
      </c>
      <c r="AI747" s="31" t="n">
        <v>47.8</v>
      </c>
      <c r="AJ747" s="31" t="n">
        <v>38.9</v>
      </c>
      <c r="AK747" s="31" t="n">
        <v>11.5</v>
      </c>
      <c r="AL747" s="30" t="inlineStr">
        <is>
          <t>T-0896</t>
        </is>
      </c>
      <c r="AM747" s="30" t="inlineStr">
        <is>
          <t>D-01-01</t>
        </is>
      </c>
      <c r="AN747" s="30" t="inlineStr">
        <is>
          <t>T-0814</t>
        </is>
      </c>
      <c r="AO747" s="30" t="inlineStr">
        <is>
          <t>D-03-03</t>
        </is>
      </c>
    </row>
    <row r="748">
      <c r="A748" s="30" t="inlineStr">
        <is>
          <t>O0747</t>
        </is>
      </c>
      <c r="B748" s="30" t="inlineStr">
        <is>
          <t>D</t>
        </is>
      </c>
      <c r="C748" s="31" t="n">
        <v>9660</v>
      </c>
      <c r="D748" s="31" t="n">
        <v>36408.3</v>
      </c>
      <c r="E748" s="31" t="n">
        <v>36408.3</v>
      </c>
      <c r="F748" s="31" t="n">
        <v>36421.7</v>
      </c>
      <c r="G748" s="31" t="n">
        <v>36443.3</v>
      </c>
      <c r="H748" s="31" t="n">
        <v>36456.1</v>
      </c>
      <c r="I748" s="31" t="n">
        <v>36479.1</v>
      </c>
      <c r="J748" s="31" t="n">
        <v>36506.7</v>
      </c>
      <c r="K748" s="31" t="n">
        <v>26846.7</v>
      </c>
      <c r="L748" s="31" t="n">
        <v>26748.3</v>
      </c>
      <c r="M748" s="30" t="inlineStr">
        <is>
          <t>AMR3</t>
        </is>
      </c>
      <c r="N748" s="30" t="inlineStr">
        <is>
          <t>AMR3</t>
        </is>
      </c>
      <c r="O748" s="32" t="n">
        <v>0</v>
      </c>
      <c r="P748" s="32" t="n">
        <v>0</v>
      </c>
      <c r="Q748" s="32" t="n">
        <v>13</v>
      </c>
      <c r="R748" s="31" t="n">
        <v>34.1</v>
      </c>
      <c r="S748" s="31" t="n">
        <v>34.1</v>
      </c>
      <c r="T748" s="30" t="inlineStr">
        <is>
          <t>AMR3</t>
        </is>
      </c>
      <c r="U748" s="31" t="n">
        <v>47.3</v>
      </c>
      <c r="V748" s="31" t="n">
        <v>47.3</v>
      </c>
      <c r="W748" s="30" t="inlineStr">
        <is>
          <t>AMR3</t>
        </is>
      </c>
      <c r="X748" s="32" t="n">
        <v>0</v>
      </c>
      <c r="Y748" s="32" t="n">
        <v>0</v>
      </c>
      <c r="Z748" s="31" t="n">
        <v>0</v>
      </c>
      <c r="AA748" s="32" t="n">
        <v>0</v>
      </c>
      <c r="AB748" s="32" t="n">
        <v>1</v>
      </c>
      <c r="AC748" s="32" t="n">
        <v>0</v>
      </c>
      <c r="AD748" s="32" t="n">
        <v>0</v>
      </c>
      <c r="AE748" s="31" t="n">
        <v>0</v>
      </c>
      <c r="AF748" s="32" t="n">
        <v>0</v>
      </c>
      <c r="AG748" s="31" t="n">
        <v>0</v>
      </c>
      <c r="AH748" s="32" t="n">
        <v>43</v>
      </c>
      <c r="AI748" s="31" t="n">
        <v>46.9</v>
      </c>
      <c r="AJ748" s="31" t="n">
        <v>38.7</v>
      </c>
      <c r="AK748" s="31" t="n">
        <v>0</v>
      </c>
      <c r="AL748" s="30" t="inlineStr">
        <is>
          <t>T-0897</t>
        </is>
      </c>
      <c r="AM748" s="30" t="inlineStr">
        <is>
          <t>D-02-03</t>
        </is>
      </c>
      <c r="AN748" s="30" t="inlineStr">
        <is>
          <t>T-0815</t>
        </is>
      </c>
      <c r="AO748" s="30" t="inlineStr">
        <is>
          <t>D-04-03</t>
        </is>
      </c>
    </row>
    <row r="749">
      <c r="A749" s="30" t="inlineStr">
        <is>
          <t>O0748</t>
        </is>
      </c>
      <c r="B749" s="30" t="inlineStr">
        <is>
          <t>I</t>
        </is>
      </c>
      <c r="C749" s="31" t="n">
        <v>9663.4</v>
      </c>
      <c r="D749" s="31" t="n">
        <v>36425.5</v>
      </c>
      <c r="E749" s="31" t="n">
        <v>36425.5</v>
      </c>
      <c r="F749" s="31" t="n">
        <v>36441.1</v>
      </c>
      <c r="G749" s="31" t="n">
        <v>36469.6</v>
      </c>
      <c r="H749" s="31" t="n">
        <v>36487.1</v>
      </c>
      <c r="I749" s="31" t="n">
        <v>36522.6</v>
      </c>
      <c r="J749" s="31" t="n">
        <v>36550.5</v>
      </c>
      <c r="K749" s="31" t="n">
        <v>26887.1</v>
      </c>
      <c r="L749" s="31" t="n">
        <v>26762.1</v>
      </c>
      <c r="M749" s="30" t="inlineStr">
        <is>
          <t>AMR2</t>
        </is>
      </c>
      <c r="N749" s="30" t="inlineStr">
        <is>
          <t>AMR2</t>
        </is>
      </c>
      <c r="O749" s="32" t="n">
        <v>0</v>
      </c>
      <c r="P749" s="32" t="n">
        <v>0</v>
      </c>
      <c r="Q749" s="32" t="n">
        <v>15</v>
      </c>
      <c r="R749" s="31" t="n">
        <v>40.8</v>
      </c>
      <c r="S749" s="31" t="n">
        <v>40.8</v>
      </c>
      <c r="T749" s="30" t="inlineStr">
        <is>
          <t>AMR2</t>
        </is>
      </c>
      <c r="U749" s="31" t="n">
        <v>55.1</v>
      </c>
      <c r="V749" s="31" t="n">
        <v>55.1</v>
      </c>
      <c r="W749" s="30" t="inlineStr">
        <is>
          <t>AMR2</t>
        </is>
      </c>
      <c r="X749" s="32" t="n">
        <v>0</v>
      </c>
      <c r="Y749" s="32" t="n">
        <v>0</v>
      </c>
      <c r="Z749" s="31" t="n">
        <v>0</v>
      </c>
      <c r="AA749" s="32" t="n">
        <v>0</v>
      </c>
      <c r="AB749" s="32" t="n">
        <v>1</v>
      </c>
      <c r="AC749" s="32" t="n">
        <v>1</v>
      </c>
      <c r="AD749" s="32" t="n">
        <v>0</v>
      </c>
      <c r="AE749" s="31" t="n">
        <v>0</v>
      </c>
      <c r="AF749" s="32" t="n">
        <v>0</v>
      </c>
      <c r="AG749" s="31" t="n">
        <v>0</v>
      </c>
      <c r="AH749" s="32" t="n">
        <v>48</v>
      </c>
      <c r="AI749" s="31" t="n">
        <v>52.4</v>
      </c>
      <c r="AJ749" s="31" t="n">
        <v>50.1</v>
      </c>
      <c r="AK749" s="31" t="n">
        <v>5</v>
      </c>
      <c r="AL749" s="30" t="inlineStr">
        <is>
          <t>T-0898</t>
        </is>
      </c>
      <c r="AM749" s="30" t="inlineStr">
        <is>
          <t>I-06-01</t>
        </is>
      </c>
      <c r="AN749" s="30" t="inlineStr">
        <is>
          <t>T-0850</t>
        </is>
      </c>
      <c r="AO749" s="30" t="inlineStr">
        <is>
          <t>I-05-03</t>
        </is>
      </c>
    </row>
    <row r="750">
      <c r="A750" s="30" t="inlineStr">
        <is>
          <t>O0749</t>
        </is>
      </c>
      <c r="B750" s="30" t="inlineStr">
        <is>
          <t>H</t>
        </is>
      </c>
      <c r="C750" s="31" t="n">
        <v>9669.799999999999</v>
      </c>
      <c r="D750" s="31" t="n">
        <v>36497.1</v>
      </c>
      <c r="E750" s="31" t="n">
        <v>36497.1</v>
      </c>
      <c r="F750" s="31" t="n">
        <v>36511.1</v>
      </c>
      <c r="G750" s="31" t="n">
        <v>36538.3</v>
      </c>
      <c r="H750" s="31" t="n">
        <v>36552.8</v>
      </c>
      <c r="I750" s="31" t="n">
        <v>36581.4</v>
      </c>
      <c r="J750" s="31" t="n">
        <v>36610.9</v>
      </c>
      <c r="K750" s="31" t="n">
        <v>26941.1</v>
      </c>
      <c r="L750" s="31" t="n">
        <v>26827.3</v>
      </c>
      <c r="M750" s="30" t="inlineStr">
        <is>
          <t>AMR1</t>
        </is>
      </c>
      <c r="N750" s="30" t="inlineStr">
        <is>
          <t>AMR1</t>
        </is>
      </c>
      <c r="O750" s="32" t="n">
        <v>0</v>
      </c>
      <c r="P750" s="32" t="n">
        <v>0</v>
      </c>
      <c r="Q750" s="32" t="n">
        <v>15</v>
      </c>
      <c r="R750" s="31" t="n">
        <v>39.5</v>
      </c>
      <c r="S750" s="31" t="n">
        <v>39.5</v>
      </c>
      <c r="T750" s="30" t="inlineStr">
        <is>
          <t>AMR1</t>
        </is>
      </c>
      <c r="U750" s="31" t="n">
        <v>54.5</v>
      </c>
      <c r="V750" s="31" t="n">
        <v>54.5</v>
      </c>
      <c r="W750" s="30" t="inlineStr">
        <is>
          <t>AMR1</t>
        </is>
      </c>
      <c r="X750" s="32" t="n">
        <v>0</v>
      </c>
      <c r="Y750" s="32" t="n">
        <v>0</v>
      </c>
      <c r="Z750" s="31" t="n">
        <v>0</v>
      </c>
      <c r="AA750" s="32" t="n">
        <v>0</v>
      </c>
      <c r="AB750" s="32" t="n">
        <v>1</v>
      </c>
      <c r="AC750" s="32" t="n">
        <v>0</v>
      </c>
      <c r="AD750" s="32" t="n">
        <v>0</v>
      </c>
      <c r="AE750" s="31" t="n">
        <v>0</v>
      </c>
      <c r="AF750" s="32" t="n">
        <v>0</v>
      </c>
      <c r="AG750" s="31" t="n">
        <v>0</v>
      </c>
      <c r="AH750" s="32" t="n">
        <v>44</v>
      </c>
      <c r="AI750" s="31" t="n">
        <v>46.9</v>
      </c>
      <c r="AJ750" s="31" t="n">
        <v>48.7</v>
      </c>
      <c r="AK750" s="31" t="n">
        <v>3.7</v>
      </c>
      <c r="AL750" s="30" t="inlineStr">
        <is>
          <t>T-0899</t>
        </is>
      </c>
      <c r="AM750" s="30" t="inlineStr">
        <is>
          <t>H-03-01</t>
        </is>
      </c>
      <c r="AN750" s="30" t="inlineStr">
        <is>
          <t>T-0808</t>
        </is>
      </c>
      <c r="AO750" s="30" t="inlineStr">
        <is>
          <t>H-03-02</t>
        </is>
      </c>
    </row>
    <row r="751">
      <c r="A751" s="30" t="inlineStr">
        <is>
          <t>O0750</t>
        </is>
      </c>
      <c r="B751" s="30" t="inlineStr">
        <is>
          <t>J</t>
        </is>
      </c>
      <c r="C751" s="31" t="n">
        <v>9674.1</v>
      </c>
      <c r="D751" s="31" t="n">
        <v>36530.4</v>
      </c>
      <c r="E751" s="31" t="n">
        <v>36530.4</v>
      </c>
      <c r="F751" s="31" t="n">
        <v>36542.4</v>
      </c>
      <c r="G751" s="31" t="n">
        <v>36573.6</v>
      </c>
      <c r="H751" s="31" t="n">
        <v>36574.2</v>
      </c>
      <c r="I751" s="31" t="n">
        <v>36603.8</v>
      </c>
      <c r="J751" s="31" t="n">
        <v>36638.1</v>
      </c>
      <c r="K751" s="31" t="n">
        <v>26964</v>
      </c>
      <c r="L751" s="31" t="n">
        <v>26856.3</v>
      </c>
      <c r="M751" s="30" t="inlineStr">
        <is>
          <t>AMR3</t>
        </is>
      </c>
      <c r="N751" s="30" t="inlineStr">
        <is>
          <t>AMR2</t>
        </is>
      </c>
      <c r="O751" s="32" t="n">
        <v>0</v>
      </c>
      <c r="P751" s="32" t="n">
        <v>0</v>
      </c>
      <c r="Q751" s="32" t="n">
        <v>21</v>
      </c>
      <c r="R751" s="31" t="n">
        <v>40.7</v>
      </c>
      <c r="S751" s="31" t="n">
        <v>40.7</v>
      </c>
      <c r="T751" s="30" t="inlineStr">
        <is>
          <t>AMR3</t>
        </is>
      </c>
      <c r="U751" s="31" t="n">
        <v>62.1</v>
      </c>
      <c r="V751" s="31" t="n">
        <v>62.1</v>
      </c>
      <c r="W751" s="30" t="inlineStr">
        <is>
          <t>AMR2</t>
        </is>
      </c>
      <c r="X751" s="32" t="n">
        <v>0</v>
      </c>
      <c r="Y751" s="32" t="n">
        <v>0</v>
      </c>
      <c r="Z751" s="31" t="n">
        <v>0</v>
      </c>
      <c r="AA751" s="32" t="n">
        <v>0</v>
      </c>
      <c r="AB751" s="32" t="n">
        <v>0</v>
      </c>
      <c r="AC751" s="32" t="n">
        <v>0</v>
      </c>
      <c r="AD751" s="32" t="n">
        <v>0</v>
      </c>
      <c r="AE751" s="31" t="n">
        <v>0</v>
      </c>
      <c r="AF751" s="32" t="n">
        <v>0</v>
      </c>
      <c r="AG751" s="31" t="n">
        <v>0</v>
      </c>
      <c r="AH751" s="32" t="n">
        <v>63</v>
      </c>
      <c r="AI751" s="31" t="n">
        <v>64.90000000000001</v>
      </c>
      <c r="AJ751" s="31" t="n">
        <v>42.2</v>
      </c>
      <c r="AK751" s="31" t="n">
        <v>0</v>
      </c>
      <c r="AL751" s="30" t="inlineStr">
        <is>
          <t>T-0900</t>
        </is>
      </c>
      <c r="AM751" s="30" t="inlineStr">
        <is>
          <t>J-04-01</t>
        </is>
      </c>
      <c r="AN751" s="30" t="inlineStr">
        <is>
          <t>T-0727</t>
        </is>
      </c>
      <c r="AO751" s="30" t="inlineStr">
        <is>
          <t>J-03-01</t>
        </is>
      </c>
    </row>
    <row r="752">
      <c r="A752" s="30" t="inlineStr">
        <is>
          <t>O0751</t>
        </is>
      </c>
      <c r="B752" s="30" t="inlineStr">
        <is>
          <t>D</t>
        </is>
      </c>
      <c r="C752" s="31" t="n">
        <v>9677.700000000001</v>
      </c>
      <c r="D752" s="31" t="n">
        <v>36595.8</v>
      </c>
      <c r="E752" s="31" t="n">
        <v>36595.8</v>
      </c>
      <c r="F752" s="31" t="n">
        <v>36607.4</v>
      </c>
      <c r="G752" s="31" t="n">
        <v>36632.9</v>
      </c>
      <c r="H752" s="31" t="n">
        <v>36634.6</v>
      </c>
      <c r="I752" s="31" t="n">
        <v>36660.8</v>
      </c>
      <c r="J752" s="31" t="n">
        <v>36693</v>
      </c>
      <c r="K752" s="31" t="n">
        <v>27015.3</v>
      </c>
      <c r="L752" s="31" t="n">
        <v>26918.1</v>
      </c>
      <c r="M752" s="30" t="inlineStr">
        <is>
          <t>AMR3</t>
        </is>
      </c>
      <c r="N752" s="30" t="inlineStr">
        <is>
          <t>AMR1</t>
        </is>
      </c>
      <c r="O752" s="32" t="n">
        <v>0</v>
      </c>
      <c r="P752" s="32" t="n">
        <v>0</v>
      </c>
      <c r="Q752" s="32" t="n">
        <v>13</v>
      </c>
      <c r="R752" s="31" t="n">
        <v>35.4</v>
      </c>
      <c r="S752" s="31" t="n">
        <v>35.4</v>
      </c>
      <c r="T752" s="30" t="inlineStr">
        <is>
          <t>AMR3</t>
        </is>
      </c>
      <c r="U752" s="31" t="n">
        <v>56.6</v>
      </c>
      <c r="V752" s="31" t="n">
        <v>56.6</v>
      </c>
      <c r="W752" s="30" t="inlineStr">
        <is>
          <t>AMR1</t>
        </is>
      </c>
      <c r="X752" s="32" t="n">
        <v>0</v>
      </c>
      <c r="Y752" s="32" t="n">
        <v>0</v>
      </c>
      <c r="Z752" s="31" t="n">
        <v>0</v>
      </c>
      <c r="AA752" s="32" t="n">
        <v>0</v>
      </c>
      <c r="AB752" s="32" t="n">
        <v>0</v>
      </c>
      <c r="AC752" s="32" t="n">
        <v>0</v>
      </c>
      <c r="AD752" s="32" t="n">
        <v>0</v>
      </c>
      <c r="AE752" s="31" t="n">
        <v>0</v>
      </c>
      <c r="AF752" s="32" t="n">
        <v>0</v>
      </c>
      <c r="AG752" s="31" t="n">
        <v>0</v>
      </c>
      <c r="AH752" s="32" t="n">
        <v>42</v>
      </c>
      <c r="AI752" s="31" t="n">
        <v>46.2</v>
      </c>
      <c r="AJ752" s="31" t="n">
        <v>49.3</v>
      </c>
      <c r="AK752" s="31" t="n">
        <v>0</v>
      </c>
      <c r="AL752" s="30" t="inlineStr">
        <is>
          <t>T-0901</t>
        </is>
      </c>
      <c r="AM752" s="30" t="inlineStr">
        <is>
          <t>D-03-03</t>
        </is>
      </c>
      <c r="AN752" s="30" t="inlineStr">
        <is>
          <t>T-0823</t>
        </is>
      </c>
      <c r="AO752" s="30" t="inlineStr">
        <is>
          <t>D-03-01</t>
        </is>
      </c>
    </row>
    <row r="753">
      <c r="A753" s="30" t="inlineStr">
        <is>
          <t>O0752</t>
        </is>
      </c>
      <c r="B753" s="30" t="inlineStr">
        <is>
          <t>E</t>
        </is>
      </c>
      <c r="C753" s="31" t="n">
        <v>9681.9</v>
      </c>
      <c r="D753" s="31" t="n">
        <v>36647</v>
      </c>
      <c r="E753" s="31" t="n">
        <v>36647</v>
      </c>
      <c r="F753" s="31" t="n">
        <v>36662.7</v>
      </c>
      <c r="G753" s="31" t="n">
        <v>36689.6</v>
      </c>
      <c r="H753" s="31" t="n">
        <v>36710.5</v>
      </c>
      <c r="I753" s="31" t="n">
        <v>36742.6</v>
      </c>
      <c r="J753" s="31" t="n">
        <v>36786.5</v>
      </c>
      <c r="K753" s="31" t="n">
        <v>27104.6</v>
      </c>
      <c r="L753" s="31" t="n">
        <v>26965.1</v>
      </c>
      <c r="M753" s="30" t="inlineStr">
        <is>
          <t>AMR3</t>
        </is>
      </c>
      <c r="N753" s="30" t="inlineStr">
        <is>
          <t>AMR3</t>
        </is>
      </c>
      <c r="O753" s="32" t="n">
        <v>0</v>
      </c>
      <c r="P753" s="32" t="n">
        <v>0</v>
      </c>
      <c r="Q753" s="32" t="n">
        <v>19</v>
      </c>
      <c r="R753" s="31" t="n">
        <v>39.3</v>
      </c>
      <c r="S753" s="31" t="n">
        <v>39.3</v>
      </c>
      <c r="T753" s="30" t="inlineStr">
        <is>
          <t>AMR3</t>
        </is>
      </c>
      <c r="U753" s="31" t="n">
        <v>59.5</v>
      </c>
      <c r="V753" s="31" t="n">
        <v>59.5</v>
      </c>
      <c r="W753" s="30" t="inlineStr">
        <is>
          <t>AMR3</t>
        </is>
      </c>
      <c r="X753" s="32" t="n">
        <v>0</v>
      </c>
      <c r="Y753" s="32" t="n">
        <v>0</v>
      </c>
      <c r="Z753" s="31" t="n">
        <v>0</v>
      </c>
      <c r="AA753" s="32" t="n">
        <v>0</v>
      </c>
      <c r="AB753" s="32" t="n">
        <v>1</v>
      </c>
      <c r="AC753" s="32" t="n">
        <v>1</v>
      </c>
      <c r="AD753" s="32" t="n">
        <v>1</v>
      </c>
      <c r="AE753" s="31" t="n">
        <v>9</v>
      </c>
      <c r="AF753" s="32" t="n">
        <v>1</v>
      </c>
      <c r="AG753" s="31" t="n">
        <v>4</v>
      </c>
      <c r="AH753" s="32" t="n">
        <v>64</v>
      </c>
      <c r="AI753" s="31" t="n">
        <v>65.3</v>
      </c>
      <c r="AJ753" s="31" t="n">
        <v>41.3</v>
      </c>
      <c r="AK753" s="31" t="n">
        <v>12</v>
      </c>
      <c r="AL753" s="30" t="inlineStr">
        <is>
          <t>T-0902</t>
        </is>
      </c>
      <c r="AM753" s="30" t="inlineStr">
        <is>
          <t>E-06-02</t>
        </is>
      </c>
      <c r="AN753" s="30" t="inlineStr">
        <is>
          <t>T-0698</t>
        </is>
      </c>
      <c r="AO753" s="30" t="inlineStr">
        <is>
          <t>E-05-03</t>
        </is>
      </c>
    </row>
    <row r="754">
      <c r="A754" s="30" t="inlineStr">
        <is>
          <t>O0753</t>
        </is>
      </c>
      <c r="B754" s="30" t="inlineStr">
        <is>
          <t>G</t>
        </is>
      </c>
      <c r="C754" s="31" t="n">
        <v>9687.9</v>
      </c>
      <c r="D754" s="31" t="n">
        <v>36661.8</v>
      </c>
      <c r="E754" s="31" t="n">
        <v>36661.8</v>
      </c>
      <c r="F754" s="31" t="n">
        <v>36674.2</v>
      </c>
      <c r="G754" s="31" t="n">
        <v>36701.5</v>
      </c>
      <c r="H754" s="31" t="n">
        <v>36718.3</v>
      </c>
      <c r="I754" s="31" t="n">
        <v>36744.5</v>
      </c>
      <c r="J754" s="31" t="n">
        <v>36773.2</v>
      </c>
      <c r="K754" s="31" t="n">
        <v>27085.3</v>
      </c>
      <c r="L754" s="31" t="n">
        <v>26973.9</v>
      </c>
      <c r="M754" s="30" t="inlineStr">
        <is>
          <t>AMR2</t>
        </is>
      </c>
      <c r="N754" s="30" t="inlineStr">
        <is>
          <t>AMR2</t>
        </is>
      </c>
      <c r="O754" s="32" t="n">
        <v>0</v>
      </c>
      <c r="P754" s="32" t="n">
        <v>0</v>
      </c>
      <c r="Q754" s="32" t="n">
        <v>17</v>
      </c>
      <c r="R754" s="31" t="n">
        <v>38.8</v>
      </c>
      <c r="S754" s="31" t="n">
        <v>38.8</v>
      </c>
      <c r="T754" s="30" t="inlineStr">
        <is>
          <t>AMR2</t>
        </is>
      </c>
      <c r="U754" s="31" t="n">
        <v>56.6</v>
      </c>
      <c r="V754" s="31" t="n">
        <v>56.6</v>
      </c>
      <c r="W754" s="30" t="inlineStr">
        <is>
          <t>AMR2</t>
        </is>
      </c>
      <c r="X754" s="32" t="n">
        <v>0</v>
      </c>
      <c r="Y754" s="32" t="n">
        <v>0</v>
      </c>
      <c r="Z754" s="31" t="n">
        <v>0</v>
      </c>
      <c r="AA754" s="32" t="n">
        <v>0</v>
      </c>
      <c r="AB754" s="32" t="n">
        <v>0</v>
      </c>
      <c r="AC754" s="32" t="n">
        <v>0</v>
      </c>
      <c r="AD754" s="32" t="n">
        <v>0</v>
      </c>
      <c r="AE754" s="31" t="n">
        <v>0</v>
      </c>
      <c r="AF754" s="32" t="n">
        <v>0</v>
      </c>
      <c r="AG754" s="31" t="n">
        <v>0</v>
      </c>
      <c r="AH754" s="32" t="n">
        <v>45</v>
      </c>
      <c r="AI754" s="31" t="n">
        <v>49.6</v>
      </c>
      <c r="AJ754" s="31" t="n">
        <v>45</v>
      </c>
      <c r="AK754" s="31" t="n">
        <v>0</v>
      </c>
      <c r="AL754" s="30" t="inlineStr">
        <is>
          <t>T-0903</t>
        </is>
      </c>
      <c r="AM754" s="30" t="inlineStr">
        <is>
          <t>G-04-02</t>
        </is>
      </c>
      <c r="AN754" s="30" t="inlineStr">
        <is>
          <t>T-0719</t>
        </is>
      </c>
      <c r="AO754" s="30" t="inlineStr">
        <is>
          <t>G-06-02</t>
        </is>
      </c>
    </row>
    <row r="755">
      <c r="A755" s="30" t="inlineStr">
        <is>
          <t>O0754</t>
        </is>
      </c>
      <c r="B755" s="30" t="inlineStr">
        <is>
          <t>I</t>
        </is>
      </c>
      <c r="C755" s="31" t="n">
        <v>9692.200000000001</v>
      </c>
      <c r="D755" s="31" t="n">
        <v>36721.8</v>
      </c>
      <c r="E755" s="31" t="n">
        <v>36721.8</v>
      </c>
      <c r="F755" s="31" t="n">
        <v>36732.3</v>
      </c>
      <c r="G755" s="31" t="n">
        <v>36756.7</v>
      </c>
      <c r="H755" s="31" t="n">
        <v>36771.5</v>
      </c>
      <c r="I755" s="31" t="n">
        <v>36801.7</v>
      </c>
      <c r="J755" s="31" t="n">
        <v>36829.1</v>
      </c>
      <c r="K755" s="31" t="n">
        <v>27136.9</v>
      </c>
      <c r="L755" s="31" t="n">
        <v>27029.6</v>
      </c>
      <c r="M755" s="30" t="inlineStr">
        <is>
          <t>AMR1</t>
        </is>
      </c>
      <c r="N755" s="30" t="inlineStr">
        <is>
          <t>AMR1</t>
        </is>
      </c>
      <c r="O755" s="32" t="n">
        <v>0</v>
      </c>
      <c r="P755" s="32" t="n">
        <v>0</v>
      </c>
      <c r="Q755" s="32" t="n">
        <v>15</v>
      </c>
      <c r="R755" s="31" t="n">
        <v>34</v>
      </c>
      <c r="S755" s="31" t="n">
        <v>34</v>
      </c>
      <c r="T755" s="30" t="inlineStr">
        <is>
          <t>AMR1</t>
        </is>
      </c>
      <c r="U755" s="31" t="n">
        <v>54.4</v>
      </c>
      <c r="V755" s="31" t="n">
        <v>54.4</v>
      </c>
      <c r="W755" s="30" t="inlineStr">
        <is>
          <t>AMR1</t>
        </is>
      </c>
      <c r="X755" s="32" t="n">
        <v>0</v>
      </c>
      <c r="Y755" s="32" t="n">
        <v>0</v>
      </c>
      <c r="Z755" s="31" t="n">
        <v>0</v>
      </c>
      <c r="AA755" s="32" t="n">
        <v>0</v>
      </c>
      <c r="AB755" s="32" t="n">
        <v>1</v>
      </c>
      <c r="AC755" s="32" t="n">
        <v>1</v>
      </c>
      <c r="AD755" s="32" t="n">
        <v>0</v>
      </c>
      <c r="AE755" s="31" t="n">
        <v>0</v>
      </c>
      <c r="AF755" s="32" t="n">
        <v>0</v>
      </c>
      <c r="AG755" s="31" t="n">
        <v>0</v>
      </c>
      <c r="AH755" s="32" t="n">
        <v>41</v>
      </c>
      <c r="AI755" s="31" t="n">
        <v>46.9</v>
      </c>
      <c r="AJ755" s="31" t="n">
        <v>42.6</v>
      </c>
      <c r="AK755" s="31" t="n">
        <v>3</v>
      </c>
      <c r="AL755" s="30" t="inlineStr">
        <is>
          <t>T-0904</t>
        </is>
      </c>
      <c r="AM755" s="30" t="inlineStr">
        <is>
          <t>I-01-02</t>
        </is>
      </c>
      <c r="AN755" s="30" t="inlineStr">
        <is>
          <t>T-0852</t>
        </is>
      </c>
      <c r="AO755" s="30" t="inlineStr">
        <is>
          <t>I-02-02</t>
        </is>
      </c>
    </row>
    <row r="756">
      <c r="A756" s="30" t="inlineStr">
        <is>
          <t>O0755</t>
        </is>
      </c>
      <c r="B756" s="30" t="inlineStr">
        <is>
          <t>D</t>
        </is>
      </c>
      <c r="C756" s="31" t="n">
        <v>9695.6</v>
      </c>
      <c r="D756" s="31" t="n">
        <v>36801.3</v>
      </c>
      <c r="E756" s="31" t="n">
        <v>36801.3</v>
      </c>
      <c r="F756" s="31" t="n">
        <v>36814.6</v>
      </c>
      <c r="G756" s="31" t="n">
        <v>36839.3</v>
      </c>
      <c r="H756" s="31" t="n">
        <v>36853.4</v>
      </c>
      <c r="I756" s="31" t="n">
        <v>36885.6</v>
      </c>
      <c r="J756" s="31" t="n">
        <v>36916.7</v>
      </c>
      <c r="K756" s="31" t="n">
        <v>27221.1</v>
      </c>
      <c r="L756" s="31" t="n">
        <v>27105.7</v>
      </c>
      <c r="M756" s="30" t="inlineStr">
        <is>
          <t>AMR2</t>
        </is>
      </c>
      <c r="N756" s="30" t="inlineStr">
        <is>
          <t>AMR2</t>
        </is>
      </c>
      <c r="O756" s="32" t="n">
        <v>0</v>
      </c>
      <c r="P756" s="32" t="n">
        <v>0</v>
      </c>
      <c r="Q756" s="32" t="n">
        <v>13</v>
      </c>
      <c r="R756" s="31" t="n">
        <v>36.3</v>
      </c>
      <c r="S756" s="31" t="n">
        <v>36.3</v>
      </c>
      <c r="T756" s="30" t="inlineStr">
        <is>
          <t>AMR2</t>
        </is>
      </c>
      <c r="U756" s="31" t="n">
        <v>53.8</v>
      </c>
      <c r="V756" s="31" t="n">
        <v>53.8</v>
      </c>
      <c r="W756" s="30" t="inlineStr">
        <is>
          <t>AMR2</t>
        </is>
      </c>
      <c r="X756" s="32" t="n">
        <v>0</v>
      </c>
      <c r="Y756" s="32" t="n">
        <v>0</v>
      </c>
      <c r="Z756" s="31" t="n">
        <v>0</v>
      </c>
      <c r="AA756" s="32" t="n">
        <v>0</v>
      </c>
      <c r="AB756" s="32" t="n">
        <v>1</v>
      </c>
      <c r="AC756" s="32" t="n">
        <v>1</v>
      </c>
      <c r="AD756" s="32" t="n">
        <v>0</v>
      </c>
      <c r="AE756" s="31" t="n">
        <v>0</v>
      </c>
      <c r="AF756" s="32" t="n">
        <v>0</v>
      </c>
      <c r="AG756" s="31" t="n">
        <v>0</v>
      </c>
      <c r="AH756" s="32" t="n">
        <v>44</v>
      </c>
      <c r="AI756" s="31" t="n">
        <v>49.7</v>
      </c>
      <c r="AJ756" s="31" t="n">
        <v>47.4</v>
      </c>
      <c r="AK756" s="31" t="n">
        <v>4.2</v>
      </c>
      <c r="AL756" s="30" t="inlineStr">
        <is>
          <t>T-0905</t>
        </is>
      </c>
      <c r="AM756" s="30" t="inlineStr">
        <is>
          <t>D-03-01</t>
        </is>
      </c>
      <c r="AN756" s="30" t="inlineStr">
        <is>
          <t>T-0827</t>
        </is>
      </c>
      <c r="AO756" s="30" t="inlineStr">
        <is>
          <t>D-04-01</t>
        </is>
      </c>
    </row>
    <row r="757">
      <c r="A757" s="30" t="inlineStr">
        <is>
          <t>O0756</t>
        </is>
      </c>
      <c r="B757" s="30" t="inlineStr">
        <is>
          <t>I</t>
        </is>
      </c>
      <c r="C757" s="31" t="n">
        <v>9701.700000000001</v>
      </c>
      <c r="D757" s="31" t="n">
        <v>36814.6</v>
      </c>
      <c r="E757" s="31" t="n">
        <v>36814.6</v>
      </c>
      <c r="F757" s="31" t="n">
        <v>36826.8</v>
      </c>
      <c r="G757" s="31" t="n">
        <v>36850.5</v>
      </c>
      <c r="H757" s="31" t="n">
        <v>36862.3</v>
      </c>
      <c r="I757" s="31" t="n">
        <v>36896.3</v>
      </c>
      <c r="J757" s="31" t="n">
        <v>36929</v>
      </c>
      <c r="K757" s="31" t="n">
        <v>27227.3</v>
      </c>
      <c r="L757" s="31" t="n">
        <v>27112.9</v>
      </c>
      <c r="M757" s="30" t="inlineStr">
        <is>
          <t>AMR3</t>
        </is>
      </c>
      <c r="N757" s="30" t="inlineStr">
        <is>
          <t>AMR1</t>
        </is>
      </c>
      <c r="O757" s="32" t="n">
        <v>0</v>
      </c>
      <c r="P757" s="32" t="n">
        <v>0</v>
      </c>
      <c r="Q757" s="32" t="n">
        <v>15</v>
      </c>
      <c r="R757" s="31" t="n">
        <v>35</v>
      </c>
      <c r="S757" s="31" t="n">
        <v>35</v>
      </c>
      <c r="T757" s="30" t="inlineStr">
        <is>
          <t>AMR3</t>
        </is>
      </c>
      <c r="U757" s="31" t="n">
        <v>52.8</v>
      </c>
      <c r="V757" s="31" t="n">
        <v>52.8</v>
      </c>
      <c r="W757" s="30" t="inlineStr">
        <is>
          <t>AMR1</t>
        </is>
      </c>
      <c r="X757" s="32" t="n">
        <v>0</v>
      </c>
      <c r="Y757" s="32" t="n">
        <v>0</v>
      </c>
      <c r="Z757" s="31" t="n">
        <v>0</v>
      </c>
      <c r="AA757" s="32" t="n">
        <v>0</v>
      </c>
      <c r="AB757" s="32" t="n">
        <v>1</v>
      </c>
      <c r="AC757" s="32" t="n">
        <v>1</v>
      </c>
      <c r="AD757" s="32" t="n">
        <v>1</v>
      </c>
      <c r="AE757" s="31" t="n">
        <v>7.6</v>
      </c>
      <c r="AF757" s="32" t="n">
        <v>1</v>
      </c>
      <c r="AG757" s="31" t="n">
        <v>2.6</v>
      </c>
      <c r="AH757" s="32" t="n">
        <v>43</v>
      </c>
      <c r="AI757" s="31" t="n">
        <v>48.5</v>
      </c>
      <c r="AJ757" s="31" t="n">
        <v>42</v>
      </c>
      <c r="AK757" s="31" t="n">
        <v>12.1</v>
      </c>
      <c r="AL757" s="30" t="inlineStr">
        <is>
          <t>T-0906</t>
        </is>
      </c>
      <c r="AM757" s="30" t="inlineStr">
        <is>
          <t>I-02-02</t>
        </is>
      </c>
      <c r="AN757" s="30" t="inlineStr">
        <is>
          <t>T-0857</t>
        </is>
      </c>
      <c r="AO757" s="30" t="inlineStr">
        <is>
          <t>I-03-02</t>
        </is>
      </c>
    </row>
    <row r="758">
      <c r="A758" s="30" t="inlineStr">
        <is>
          <t>O0757</t>
        </is>
      </c>
      <c r="B758" s="30" t="inlineStr">
        <is>
          <t>J</t>
        </is>
      </c>
      <c r="C758" s="31" t="n">
        <v>9705.5</v>
      </c>
      <c r="D758" s="31" t="n">
        <v>36871.7</v>
      </c>
      <c r="E758" s="31" t="n">
        <v>36871.7</v>
      </c>
      <c r="F758" s="31" t="n">
        <v>36885.5</v>
      </c>
      <c r="G758" s="31" t="n">
        <v>36914.3</v>
      </c>
      <c r="H758" s="31" t="n">
        <v>36935.8</v>
      </c>
      <c r="I758" s="31" t="n">
        <v>36973.8</v>
      </c>
      <c r="J758" s="31" t="n">
        <v>37008.8</v>
      </c>
      <c r="K758" s="31" t="n">
        <v>27303.3</v>
      </c>
      <c r="L758" s="31" t="n">
        <v>27166.2</v>
      </c>
      <c r="M758" s="30" t="inlineStr">
        <is>
          <t>AMR3</t>
        </is>
      </c>
      <c r="N758" s="30" t="inlineStr">
        <is>
          <t>AMR3</t>
        </is>
      </c>
      <c r="O758" s="32" t="n">
        <v>0</v>
      </c>
      <c r="P758" s="32" t="n">
        <v>0</v>
      </c>
      <c r="Q758" s="32" t="n">
        <v>21</v>
      </c>
      <c r="R758" s="31" t="n">
        <v>40.9</v>
      </c>
      <c r="S758" s="31" t="n">
        <v>40.9</v>
      </c>
      <c r="T758" s="30" t="inlineStr">
        <is>
          <t>AMR3</t>
        </is>
      </c>
      <c r="U758" s="31" t="n">
        <v>62</v>
      </c>
      <c r="V758" s="31" t="n">
        <v>62</v>
      </c>
      <c r="W758" s="30" t="inlineStr">
        <is>
          <t>AMR3</t>
        </is>
      </c>
      <c r="X758" s="32" t="n">
        <v>0</v>
      </c>
      <c r="Y758" s="32" t="n">
        <v>0</v>
      </c>
      <c r="Z758" s="31" t="n">
        <v>0</v>
      </c>
      <c r="AA758" s="32" t="n">
        <v>0</v>
      </c>
      <c r="AB758" s="32" t="n">
        <v>2</v>
      </c>
      <c r="AC758" s="32" t="n">
        <v>1</v>
      </c>
      <c r="AD758" s="32" t="n">
        <v>0</v>
      </c>
      <c r="AE758" s="31" t="n">
        <v>0</v>
      </c>
      <c r="AF758" s="32" t="n">
        <v>0</v>
      </c>
      <c r="AG758" s="31" t="n">
        <v>0</v>
      </c>
      <c r="AH758" s="32" t="n">
        <v>66</v>
      </c>
      <c r="AI758" s="31" t="n">
        <v>70.3</v>
      </c>
      <c r="AJ758" s="31" t="n">
        <v>42.3</v>
      </c>
      <c r="AK758" s="31" t="n">
        <v>3</v>
      </c>
      <c r="AL758" s="30" t="inlineStr">
        <is>
          <t>T-0907</t>
        </is>
      </c>
      <c r="AM758" s="30" t="inlineStr">
        <is>
          <t>J-03-01</t>
        </is>
      </c>
      <c r="AN758" s="30" t="inlineStr">
        <is>
          <t>T-0735</t>
        </is>
      </c>
      <c r="AO758" s="30" t="inlineStr">
        <is>
          <t>J-06-01</t>
        </is>
      </c>
    </row>
    <row r="759">
      <c r="A759" s="30" t="inlineStr">
        <is>
          <t>O0758</t>
        </is>
      </c>
      <c r="B759" s="30" t="inlineStr">
        <is>
          <t>F</t>
        </is>
      </c>
      <c r="C759" s="31" t="n">
        <v>9711.799999999999</v>
      </c>
      <c r="D759" s="31" t="n">
        <v>36944.7</v>
      </c>
      <c r="E759" s="31" t="n">
        <v>36944.7</v>
      </c>
      <c r="F759" s="31" t="n">
        <v>36957</v>
      </c>
      <c r="G759" s="31" t="n">
        <v>36987.7</v>
      </c>
      <c r="H759" s="31" t="n">
        <v>37011.3</v>
      </c>
      <c r="I759" s="31" t="n">
        <v>37049.7</v>
      </c>
      <c r="J759" s="31" t="n">
        <v>37089.1</v>
      </c>
      <c r="K759" s="31" t="n">
        <v>27377.3</v>
      </c>
      <c r="L759" s="31" t="n">
        <v>27232.9</v>
      </c>
      <c r="M759" s="30" t="inlineStr">
        <is>
          <t>AMR2</t>
        </is>
      </c>
      <c r="N759" s="30" t="inlineStr">
        <is>
          <t>AMR2</t>
        </is>
      </c>
      <c r="O759" s="32" t="n">
        <v>0</v>
      </c>
      <c r="P759" s="32" t="n">
        <v>0</v>
      </c>
      <c r="Q759" s="32" t="n">
        <v>23</v>
      </c>
      <c r="R759" s="31" t="n">
        <v>40.5</v>
      </c>
      <c r="S759" s="31" t="n">
        <v>40.5</v>
      </c>
      <c r="T759" s="30" t="inlineStr">
        <is>
          <t>AMR2</t>
        </is>
      </c>
      <c r="U759" s="31" t="n">
        <v>65.90000000000001</v>
      </c>
      <c r="V759" s="31" t="n">
        <v>65.90000000000001</v>
      </c>
      <c r="W759" s="30" t="inlineStr">
        <is>
          <t>AMR2</t>
        </is>
      </c>
      <c r="X759" s="32" t="n">
        <v>0</v>
      </c>
      <c r="Y759" s="32" t="n">
        <v>0</v>
      </c>
      <c r="Z759" s="31" t="n">
        <v>0</v>
      </c>
      <c r="AA759" s="32" t="n">
        <v>0</v>
      </c>
      <c r="AB759" s="32" t="n">
        <v>1</v>
      </c>
      <c r="AC759" s="32" t="n">
        <v>1</v>
      </c>
      <c r="AD759" s="32" t="n">
        <v>1</v>
      </c>
      <c r="AE759" s="31" t="n">
        <v>4.8</v>
      </c>
      <c r="AF759" s="32" t="n">
        <v>0</v>
      </c>
      <c r="AG759" s="31" t="n">
        <v>0</v>
      </c>
      <c r="AH759" s="32" t="n">
        <v>67</v>
      </c>
      <c r="AI759" s="31" t="n">
        <v>71.8</v>
      </c>
      <c r="AJ759" s="31" t="n">
        <v>41.2</v>
      </c>
      <c r="AK759" s="31" t="n">
        <v>7.8</v>
      </c>
      <c r="AL759" s="30" t="inlineStr">
        <is>
          <t>T-0908</t>
        </is>
      </c>
      <c r="AM759" s="30" t="inlineStr">
        <is>
          <t>F-02-02</t>
        </is>
      </c>
      <c r="AN759" s="30" t="inlineStr">
        <is>
          <t>T-0721</t>
        </is>
      </c>
      <c r="AO759" s="30" t="inlineStr">
        <is>
          <t>F-05-02</t>
        </is>
      </c>
    </row>
    <row r="760">
      <c r="A760" s="30" t="inlineStr">
        <is>
          <t>O0759</t>
        </is>
      </c>
      <c r="B760" s="30" t="inlineStr">
        <is>
          <t>B</t>
        </is>
      </c>
      <c r="C760" s="31" t="n">
        <v>9716.799999999999</v>
      </c>
      <c r="D760" s="31" t="n">
        <v>36957.1</v>
      </c>
      <c r="E760" s="31" t="n">
        <v>36957.1</v>
      </c>
      <c r="F760" s="31" t="n">
        <v>36968.9</v>
      </c>
      <c r="G760" s="31" t="n">
        <v>36996.7</v>
      </c>
      <c r="H760" s="31" t="n">
        <v>37020.2</v>
      </c>
      <c r="I760" s="31" t="n">
        <v>37043.5</v>
      </c>
      <c r="J760" s="31" t="n">
        <v>37074</v>
      </c>
      <c r="K760" s="31" t="n">
        <v>27357.2</v>
      </c>
      <c r="L760" s="31" t="n">
        <v>27240.3</v>
      </c>
      <c r="M760" s="30" t="inlineStr">
        <is>
          <t>AMR1</t>
        </is>
      </c>
      <c r="N760" s="30" t="inlineStr">
        <is>
          <t>AMR1</t>
        </is>
      </c>
      <c r="O760" s="32" t="n">
        <v>0</v>
      </c>
      <c r="P760" s="32" t="n">
        <v>0</v>
      </c>
      <c r="Q760" s="32" t="n">
        <v>15</v>
      </c>
      <c r="R760" s="31" t="n">
        <v>37.1</v>
      </c>
      <c r="S760" s="31" t="n">
        <v>37.1</v>
      </c>
      <c r="T760" s="30" t="inlineStr">
        <is>
          <t>AMR1</t>
        </is>
      </c>
      <c r="U760" s="31" t="n">
        <v>50.5</v>
      </c>
      <c r="V760" s="31" t="n">
        <v>50.5</v>
      </c>
      <c r="W760" s="30" t="inlineStr">
        <is>
          <t>AMR1</t>
        </is>
      </c>
      <c r="X760" s="32" t="n">
        <v>0</v>
      </c>
      <c r="Y760" s="32" t="n">
        <v>0</v>
      </c>
      <c r="Z760" s="31" t="n">
        <v>0</v>
      </c>
      <c r="AA760" s="32" t="n">
        <v>0</v>
      </c>
      <c r="AB760" s="32" t="n">
        <v>0</v>
      </c>
      <c r="AC760" s="32" t="n">
        <v>0</v>
      </c>
      <c r="AD760" s="32" t="n">
        <v>0</v>
      </c>
      <c r="AE760" s="31" t="n">
        <v>0</v>
      </c>
      <c r="AF760" s="32" t="n">
        <v>0</v>
      </c>
      <c r="AG760" s="31" t="n">
        <v>0</v>
      </c>
      <c r="AH760" s="32" t="n">
        <v>51</v>
      </c>
      <c r="AI760" s="31" t="n">
        <v>53.1</v>
      </c>
      <c r="AJ760" s="31" t="n">
        <v>40.3</v>
      </c>
      <c r="AK760" s="31" t="n">
        <v>0</v>
      </c>
      <c r="AL760" s="30" t="inlineStr">
        <is>
          <t>T-0909</t>
        </is>
      </c>
      <c r="AM760" s="30" t="inlineStr">
        <is>
          <t>B-01-01</t>
        </is>
      </c>
      <c r="AN760" s="30" t="inlineStr">
        <is>
          <t>T-0681</t>
        </is>
      </c>
      <c r="AO760" s="30" t="inlineStr">
        <is>
          <t>B-02-01</t>
        </is>
      </c>
    </row>
    <row r="761">
      <c r="A761" s="30" t="inlineStr">
        <is>
          <t>O0760</t>
        </is>
      </c>
      <c r="B761" s="30" t="inlineStr">
        <is>
          <t>F</t>
        </is>
      </c>
      <c r="C761" s="31" t="n">
        <v>9722.4</v>
      </c>
      <c r="D761" s="31" t="n">
        <v>37032.5</v>
      </c>
      <c r="E761" s="31" t="n">
        <v>37032.5</v>
      </c>
      <c r="F761" s="31" t="n">
        <v>37046.3</v>
      </c>
      <c r="G761" s="31" t="n">
        <v>37076.2</v>
      </c>
      <c r="H761" s="31" t="n">
        <v>37097.7</v>
      </c>
      <c r="I761" s="31" t="n">
        <v>37136</v>
      </c>
      <c r="J761" s="31" t="n">
        <v>37169.4</v>
      </c>
      <c r="K761" s="31" t="n">
        <v>27447</v>
      </c>
      <c r="L761" s="31" t="n">
        <v>27310.1</v>
      </c>
      <c r="M761" s="30" t="inlineStr">
        <is>
          <t>AMR3</t>
        </is>
      </c>
      <c r="N761" s="30" t="inlineStr">
        <is>
          <t>AMR1</t>
        </is>
      </c>
      <c r="O761" s="32" t="n">
        <v>0</v>
      </c>
      <c r="P761" s="32" t="n">
        <v>0</v>
      </c>
      <c r="Q761" s="32" t="n">
        <v>23</v>
      </c>
      <c r="R761" s="31" t="n">
        <v>42</v>
      </c>
      <c r="S761" s="31" t="n">
        <v>42</v>
      </c>
      <c r="T761" s="30" t="inlineStr">
        <is>
          <t>AMR3</t>
        </is>
      </c>
      <c r="U761" s="31" t="n">
        <v>65.59999999999999</v>
      </c>
      <c r="V761" s="31" t="n">
        <v>65.59999999999999</v>
      </c>
      <c r="W761" s="30" t="inlineStr">
        <is>
          <t>AMR1</t>
        </is>
      </c>
      <c r="X761" s="32" t="n">
        <v>0</v>
      </c>
      <c r="Y761" s="32" t="n">
        <v>0</v>
      </c>
      <c r="Z761" s="31" t="n">
        <v>0</v>
      </c>
      <c r="AA761" s="32" t="n">
        <v>0</v>
      </c>
      <c r="AB761" s="32" t="n">
        <v>1</v>
      </c>
      <c r="AC761" s="32" t="n">
        <v>1</v>
      </c>
      <c r="AD761" s="32" t="n">
        <v>0</v>
      </c>
      <c r="AE761" s="31" t="n">
        <v>0</v>
      </c>
      <c r="AF761" s="32" t="n">
        <v>0</v>
      </c>
      <c r="AG761" s="31" t="n">
        <v>0</v>
      </c>
      <c r="AH761" s="32" t="n">
        <v>66</v>
      </c>
      <c r="AI761" s="31" t="n">
        <v>70</v>
      </c>
      <c r="AJ761" s="31" t="n">
        <v>42.4</v>
      </c>
      <c r="AK761" s="31" t="n">
        <v>3</v>
      </c>
      <c r="AL761" s="30" t="inlineStr">
        <is>
          <t>T-0910</t>
        </is>
      </c>
      <c r="AM761" s="30" t="inlineStr">
        <is>
          <t>F-03-02</t>
        </is>
      </c>
      <c r="AN761" s="30" t="inlineStr">
        <is>
          <t>T-0737</t>
        </is>
      </c>
      <c r="AO761" s="30" t="inlineStr">
        <is>
          <t>F-04-02</t>
        </is>
      </c>
    </row>
    <row r="762">
      <c r="A762" s="30" t="inlineStr">
        <is>
          <t>O0761</t>
        </is>
      </c>
      <c r="B762" s="30" t="inlineStr">
        <is>
          <t>I</t>
        </is>
      </c>
      <c r="C762" s="31" t="n">
        <v>9727.200000000001</v>
      </c>
      <c r="D762" s="31" t="n">
        <v>37104.1</v>
      </c>
      <c r="E762" s="31" t="n">
        <v>37104.1</v>
      </c>
      <c r="F762" s="31" t="n">
        <v>37115.3</v>
      </c>
      <c r="G762" s="31" t="n">
        <v>37142.8</v>
      </c>
      <c r="H762" s="31" t="n">
        <v>37158.9</v>
      </c>
      <c r="I762" s="31" t="n">
        <v>37190.5</v>
      </c>
      <c r="J762" s="31" t="n">
        <v>37218</v>
      </c>
      <c r="K762" s="31" t="n">
        <v>27490.8</v>
      </c>
      <c r="L762" s="31" t="n">
        <v>27376.9</v>
      </c>
      <c r="M762" s="30" t="inlineStr">
        <is>
          <t>AMR3</t>
        </is>
      </c>
      <c r="N762" s="30" t="inlineStr">
        <is>
          <t>AMR3</t>
        </is>
      </c>
      <c r="O762" s="32" t="n">
        <v>0</v>
      </c>
      <c r="P762" s="32" t="n">
        <v>0</v>
      </c>
      <c r="Q762" s="32" t="n">
        <v>15</v>
      </c>
      <c r="R762" s="31" t="n">
        <v>37</v>
      </c>
      <c r="S762" s="31" t="n">
        <v>37</v>
      </c>
      <c r="T762" s="30" t="inlineStr">
        <is>
          <t>AMR3</t>
        </is>
      </c>
      <c r="U762" s="31" t="n">
        <v>53.2</v>
      </c>
      <c r="V762" s="31" t="n">
        <v>53.2</v>
      </c>
      <c r="W762" s="30" t="inlineStr">
        <is>
          <t>AMR3</t>
        </is>
      </c>
      <c r="X762" s="32" t="n">
        <v>0</v>
      </c>
      <c r="Y762" s="32" t="n">
        <v>0</v>
      </c>
      <c r="Z762" s="31" t="n">
        <v>0</v>
      </c>
      <c r="AA762" s="32" t="n">
        <v>0</v>
      </c>
      <c r="AB762" s="32" t="n">
        <v>1</v>
      </c>
      <c r="AC762" s="32" t="n">
        <v>0</v>
      </c>
      <c r="AD762" s="32" t="n">
        <v>0</v>
      </c>
      <c r="AE762" s="31" t="n">
        <v>0</v>
      </c>
      <c r="AF762" s="32" t="n">
        <v>0</v>
      </c>
      <c r="AG762" s="31" t="n">
        <v>0</v>
      </c>
      <c r="AH762" s="32" t="n">
        <v>46</v>
      </c>
      <c r="AI762" s="31" t="n">
        <v>50.8</v>
      </c>
      <c r="AJ762" s="31" t="n">
        <v>44.4</v>
      </c>
      <c r="AK762" s="31" t="n">
        <v>2.6</v>
      </c>
      <c r="AL762" s="30" t="inlineStr">
        <is>
          <t>T-0911</t>
        </is>
      </c>
      <c r="AM762" s="30" t="inlineStr">
        <is>
          <t>I-03-02</t>
        </is>
      </c>
      <c r="AN762" s="30" t="inlineStr">
        <is>
          <t>T-0859</t>
        </is>
      </c>
      <c r="AO762" s="30" t="inlineStr">
        <is>
          <t>I-04-02</t>
        </is>
      </c>
    </row>
    <row r="763">
      <c r="A763" s="30" t="inlineStr">
        <is>
          <t>O0762</t>
        </is>
      </c>
      <c r="B763" s="30" t="inlineStr">
        <is>
          <t>J</t>
        </is>
      </c>
      <c r="C763" s="31" t="n">
        <v>9732.299999999999</v>
      </c>
      <c r="D763" s="31" t="n">
        <v>37115.4</v>
      </c>
      <c r="E763" s="31" t="n">
        <v>37115.4</v>
      </c>
      <c r="F763" s="31" t="n">
        <v>37129.5</v>
      </c>
      <c r="G763" s="31" t="n">
        <v>37161.6</v>
      </c>
      <c r="H763" s="31" t="n">
        <v>37184.5</v>
      </c>
      <c r="I763" s="31" t="n">
        <v>37213.5</v>
      </c>
      <c r="J763" s="31" t="n">
        <v>37248</v>
      </c>
      <c r="K763" s="31" t="n">
        <v>27515.7</v>
      </c>
      <c r="L763" s="31" t="n">
        <v>27383.1</v>
      </c>
      <c r="M763" s="30" t="inlineStr">
        <is>
          <t>AMR2</t>
        </is>
      </c>
      <c r="N763" s="30" t="inlineStr">
        <is>
          <t>AMR2</t>
        </is>
      </c>
      <c r="O763" s="32" t="n">
        <v>0</v>
      </c>
      <c r="P763" s="32" t="n">
        <v>0</v>
      </c>
      <c r="Q763" s="32" t="n">
        <v>21</v>
      </c>
      <c r="R763" s="31" t="n">
        <v>42.9</v>
      </c>
      <c r="S763" s="31" t="n">
        <v>42.9</v>
      </c>
      <c r="T763" s="30" t="inlineStr">
        <is>
          <t>AMR2</t>
        </is>
      </c>
      <c r="U763" s="31" t="n">
        <v>63.7</v>
      </c>
      <c r="V763" s="31" t="n">
        <v>63.7</v>
      </c>
      <c r="W763" s="30" t="inlineStr">
        <is>
          <t>AMR2</t>
        </is>
      </c>
      <c r="X763" s="32" t="n">
        <v>0</v>
      </c>
      <c r="Y763" s="32" t="n">
        <v>0</v>
      </c>
      <c r="Z763" s="31" t="n">
        <v>0</v>
      </c>
      <c r="AA763" s="32" t="n">
        <v>0</v>
      </c>
      <c r="AB763" s="32" t="n">
        <v>0</v>
      </c>
      <c r="AC763" s="32" t="n">
        <v>0</v>
      </c>
      <c r="AD763" s="32" t="n">
        <v>0</v>
      </c>
      <c r="AE763" s="31" t="n">
        <v>0</v>
      </c>
      <c r="AF763" s="32" t="n">
        <v>0</v>
      </c>
      <c r="AG763" s="31" t="n">
        <v>0</v>
      </c>
      <c r="AH763" s="32" t="n">
        <v>62</v>
      </c>
      <c r="AI763" s="31" t="n">
        <v>63.7</v>
      </c>
      <c r="AJ763" s="31" t="n">
        <v>46</v>
      </c>
      <c r="AK763" s="31" t="n">
        <v>0</v>
      </c>
      <c r="AL763" s="30" t="inlineStr">
        <is>
          <t>T-0912</t>
        </is>
      </c>
      <c r="AM763" s="30" t="inlineStr">
        <is>
          <t>J-06-01</t>
        </is>
      </c>
      <c r="AN763" s="30" t="inlineStr">
        <is>
          <t>T-0742</t>
        </is>
      </c>
      <c r="AO763" s="30" t="inlineStr">
        <is>
          <t>J-01-02</t>
        </is>
      </c>
    </row>
    <row r="764">
      <c r="A764" s="30" t="inlineStr">
        <is>
          <t>O0763</t>
        </is>
      </c>
      <c r="B764" s="30" t="inlineStr">
        <is>
          <t>E</t>
        </is>
      </c>
      <c r="C764" s="31" t="n">
        <v>9737.4</v>
      </c>
      <c r="D764" s="31" t="n">
        <v>37193.1</v>
      </c>
      <c r="E764" s="31" t="n">
        <v>37193.1</v>
      </c>
      <c r="F764" s="31" t="n">
        <v>37208.4</v>
      </c>
      <c r="G764" s="31" t="n">
        <v>37236.5</v>
      </c>
      <c r="H764" s="31" t="n">
        <v>37241.7</v>
      </c>
      <c r="I764" s="31" t="n">
        <v>37268.9</v>
      </c>
      <c r="J764" s="31" t="n">
        <v>37305.6</v>
      </c>
      <c r="K764" s="31" t="n">
        <v>27568.2</v>
      </c>
      <c r="L764" s="31" t="n">
        <v>27455.7</v>
      </c>
      <c r="M764" s="30" t="inlineStr">
        <is>
          <t>AMR1</t>
        </is>
      </c>
      <c r="N764" s="30" t="inlineStr">
        <is>
          <t>AMR3</t>
        </is>
      </c>
      <c r="O764" s="32" t="n">
        <v>0</v>
      </c>
      <c r="P764" s="32" t="n">
        <v>0</v>
      </c>
      <c r="Q764" s="32" t="n">
        <v>19</v>
      </c>
      <c r="R764" s="31" t="n">
        <v>40.9</v>
      </c>
      <c r="S764" s="31" t="n">
        <v>40.9</v>
      </c>
      <c r="T764" s="30" t="inlineStr">
        <is>
          <t>AMR1</t>
        </is>
      </c>
      <c r="U764" s="31" t="n">
        <v>64.09999999999999</v>
      </c>
      <c r="V764" s="31" t="n">
        <v>64.09999999999999</v>
      </c>
      <c r="W764" s="30" t="inlineStr">
        <is>
          <t>AMR3</t>
        </is>
      </c>
      <c r="X764" s="32" t="n">
        <v>0</v>
      </c>
      <c r="Y764" s="32" t="n">
        <v>0</v>
      </c>
      <c r="Z764" s="31" t="n">
        <v>0</v>
      </c>
      <c r="AA764" s="32" t="n">
        <v>0</v>
      </c>
      <c r="AB764" s="32" t="n">
        <v>0</v>
      </c>
      <c r="AC764" s="32" t="n">
        <v>0</v>
      </c>
      <c r="AD764" s="32" t="n">
        <v>0</v>
      </c>
      <c r="AE764" s="31" t="n">
        <v>0</v>
      </c>
      <c r="AF764" s="32" t="n">
        <v>0</v>
      </c>
      <c r="AG764" s="31" t="n">
        <v>0</v>
      </c>
      <c r="AH764" s="32" t="n">
        <v>59</v>
      </c>
      <c r="AI764" s="31" t="n">
        <v>59.8</v>
      </c>
      <c r="AJ764" s="31" t="n">
        <v>47.5</v>
      </c>
      <c r="AK764" s="31" t="n">
        <v>0</v>
      </c>
      <c r="AL764" s="30" t="inlineStr">
        <is>
          <t>T-0913</t>
        </is>
      </c>
      <c r="AM764" s="30" t="inlineStr">
        <is>
          <t>E-04-03</t>
        </is>
      </c>
      <c r="AN764" s="30" t="inlineStr">
        <is>
          <t>T-0708</t>
        </is>
      </c>
      <c r="AO764" s="30" t="inlineStr">
        <is>
          <t>E-02-01</t>
        </is>
      </c>
    </row>
    <row r="765">
      <c r="A765" s="30" t="inlineStr">
        <is>
          <t>O0764</t>
        </is>
      </c>
      <c r="B765" s="30" t="inlineStr">
        <is>
          <t>C</t>
        </is>
      </c>
      <c r="C765" s="31" t="n">
        <v>9744</v>
      </c>
      <c r="D765" s="31" t="n">
        <v>37256.7</v>
      </c>
      <c r="E765" s="31" t="n">
        <v>37256.7</v>
      </c>
      <c r="F765" s="31" t="n">
        <v>37272.7</v>
      </c>
      <c r="G765" s="31" t="n">
        <v>37292.9</v>
      </c>
      <c r="H765" s="31" t="n">
        <v>37305.7</v>
      </c>
      <c r="I765" s="31" t="n">
        <v>37331.3</v>
      </c>
      <c r="J765" s="31" t="n">
        <v>37356.8</v>
      </c>
      <c r="K765" s="31" t="n">
        <v>27612.8</v>
      </c>
      <c r="L765" s="31" t="n">
        <v>27512.7</v>
      </c>
      <c r="M765" s="30" t="inlineStr">
        <is>
          <t>AMR1</t>
        </is>
      </c>
      <c r="N765" s="30" t="inlineStr">
        <is>
          <t>AMR1</t>
        </is>
      </c>
      <c r="O765" s="32" t="n">
        <v>0</v>
      </c>
      <c r="P765" s="32" t="n">
        <v>0</v>
      </c>
      <c r="Q765" s="32" t="n">
        <v>13</v>
      </c>
      <c r="R765" s="31" t="n">
        <v>35.3</v>
      </c>
      <c r="S765" s="31" t="n">
        <v>35.3</v>
      </c>
      <c r="T765" s="30" t="inlineStr">
        <is>
          <t>AMR1</t>
        </is>
      </c>
      <c r="U765" s="31" t="n">
        <v>50.8</v>
      </c>
      <c r="V765" s="31" t="n">
        <v>50.8</v>
      </c>
      <c r="W765" s="30" t="inlineStr">
        <is>
          <t>AMR1</t>
        </is>
      </c>
      <c r="X765" s="32" t="n">
        <v>0</v>
      </c>
      <c r="Y765" s="32" t="n">
        <v>0</v>
      </c>
      <c r="Z765" s="31" t="n">
        <v>0</v>
      </c>
      <c r="AA765" s="32" t="n">
        <v>0</v>
      </c>
      <c r="AB765" s="32" t="n">
        <v>0</v>
      </c>
      <c r="AC765" s="32" t="n">
        <v>0</v>
      </c>
      <c r="AD765" s="32" t="n">
        <v>0</v>
      </c>
      <c r="AE765" s="31" t="n">
        <v>0</v>
      </c>
      <c r="AF765" s="32" t="n">
        <v>0</v>
      </c>
      <c r="AG765" s="31" t="n">
        <v>0</v>
      </c>
      <c r="AH765" s="32" t="n">
        <v>39</v>
      </c>
      <c r="AI765" s="31" t="n">
        <v>43.4</v>
      </c>
      <c r="AJ765" s="31" t="n">
        <v>43.9</v>
      </c>
      <c r="AK765" s="31" t="n">
        <v>0</v>
      </c>
      <c r="AL765" s="30" t="inlineStr">
        <is>
          <t>T-0914</t>
        </is>
      </c>
      <c r="AM765" s="30" t="inlineStr">
        <is>
          <t>C-04-01</t>
        </is>
      </c>
      <c r="AN765" s="30" t="inlineStr">
        <is>
          <t>T-0781</t>
        </is>
      </c>
      <c r="AO765" s="30" t="inlineStr">
        <is>
          <t>C-05-01</t>
        </is>
      </c>
    </row>
    <row r="766">
      <c r="A766" s="30" t="inlineStr">
        <is>
          <t>O0765</t>
        </is>
      </c>
      <c r="B766" s="30" t="inlineStr">
        <is>
          <t>E</t>
        </is>
      </c>
      <c r="C766" s="31" t="n">
        <v>9750.1</v>
      </c>
      <c r="D766" s="31" t="n">
        <v>37271.7</v>
      </c>
      <c r="E766" s="31" t="n">
        <v>37271.7</v>
      </c>
      <c r="F766" s="31" t="n">
        <v>37284.9</v>
      </c>
      <c r="G766" s="31" t="n">
        <v>37313.8</v>
      </c>
      <c r="H766" s="31" t="n">
        <v>37329.3</v>
      </c>
      <c r="I766" s="31" t="n">
        <v>37363.2</v>
      </c>
      <c r="J766" s="31" t="n">
        <v>37401.6</v>
      </c>
      <c r="K766" s="31" t="n">
        <v>27651.5</v>
      </c>
      <c r="L766" s="31" t="n">
        <v>27521.6</v>
      </c>
      <c r="M766" s="30" t="inlineStr">
        <is>
          <t>AMR2</t>
        </is>
      </c>
      <c r="N766" s="30" t="inlineStr">
        <is>
          <t>AMR3</t>
        </is>
      </c>
      <c r="O766" s="32" t="n">
        <v>0</v>
      </c>
      <c r="P766" s="32" t="n">
        <v>0</v>
      </c>
      <c r="Q766" s="32" t="n">
        <v>19</v>
      </c>
      <c r="R766" s="31" t="n">
        <v>41.2</v>
      </c>
      <c r="S766" s="31" t="n">
        <v>41.2</v>
      </c>
      <c r="T766" s="30" t="inlineStr">
        <is>
          <t>AMR2</t>
        </is>
      </c>
      <c r="U766" s="31" t="n">
        <v>62.4</v>
      </c>
      <c r="V766" s="31" t="n">
        <v>62.4</v>
      </c>
      <c r="W766" s="30" t="inlineStr">
        <is>
          <t>AMR3</t>
        </is>
      </c>
      <c r="X766" s="32" t="n">
        <v>0</v>
      </c>
      <c r="Y766" s="32" t="n">
        <v>0</v>
      </c>
      <c r="Z766" s="31" t="n">
        <v>0</v>
      </c>
      <c r="AA766" s="32" t="n">
        <v>0</v>
      </c>
      <c r="AB766" s="32" t="n">
        <v>2</v>
      </c>
      <c r="AC766" s="32" t="n">
        <v>1</v>
      </c>
      <c r="AD766" s="32" t="n">
        <v>1</v>
      </c>
      <c r="AE766" s="31" t="n">
        <v>1.9</v>
      </c>
      <c r="AF766" s="32" t="n">
        <v>0</v>
      </c>
      <c r="AG766" s="31" t="n">
        <v>0</v>
      </c>
      <c r="AH766" s="32" t="n">
        <v>59</v>
      </c>
      <c r="AI766" s="31" t="n">
        <v>63.4</v>
      </c>
      <c r="AJ766" s="31" t="n">
        <v>46.1</v>
      </c>
      <c r="AK766" s="31" t="n">
        <v>4.9</v>
      </c>
      <c r="AL766" s="30" t="inlineStr">
        <is>
          <t>T-0915</t>
        </is>
      </c>
      <c r="AM766" s="30" t="inlineStr">
        <is>
          <t>E-02-01</t>
        </is>
      </c>
      <c r="AN766" s="30" t="inlineStr">
        <is>
          <t>T-0717</t>
        </is>
      </c>
      <c r="AO766" s="30" t="inlineStr">
        <is>
          <t>E-03-02</t>
        </is>
      </c>
    </row>
    <row r="767">
      <c r="A767" s="30" t="inlineStr">
        <is>
          <t>O0766</t>
        </is>
      </c>
      <c r="B767" s="30" t="inlineStr">
        <is>
          <t>I</t>
        </is>
      </c>
      <c r="C767" s="31" t="n">
        <v>9755.700000000001</v>
      </c>
      <c r="D767" s="31" t="n">
        <v>37339.2</v>
      </c>
      <c r="E767" s="31" t="n">
        <v>37339.2</v>
      </c>
      <c r="F767" s="31" t="n">
        <v>37351.2</v>
      </c>
      <c r="G767" s="31" t="n">
        <v>37379.3</v>
      </c>
      <c r="H767" s="31" t="n">
        <v>37380.5</v>
      </c>
      <c r="I767" s="31" t="n">
        <v>37409.9</v>
      </c>
      <c r="J767" s="31" t="n">
        <v>37440.8</v>
      </c>
      <c r="K767" s="31" t="n">
        <v>27685.1</v>
      </c>
      <c r="L767" s="31" t="n">
        <v>27583.5</v>
      </c>
      <c r="M767" s="30" t="inlineStr">
        <is>
          <t>AMR2</t>
        </is>
      </c>
      <c r="N767" s="30" t="inlineStr">
        <is>
          <t>AMR1</t>
        </is>
      </c>
      <c r="O767" s="32" t="n">
        <v>0</v>
      </c>
      <c r="P767" s="32" t="n">
        <v>0</v>
      </c>
      <c r="Q767" s="32" t="n">
        <v>15</v>
      </c>
      <c r="R767" s="31" t="n">
        <v>37.6</v>
      </c>
      <c r="S767" s="31" t="n">
        <v>37.6</v>
      </c>
      <c r="T767" s="30" t="inlineStr">
        <is>
          <t>AMR2</t>
        </is>
      </c>
      <c r="U767" s="31" t="n">
        <v>53.9</v>
      </c>
      <c r="V767" s="31" t="n">
        <v>53.9</v>
      </c>
      <c r="W767" s="30" t="inlineStr">
        <is>
          <t>AMR1</t>
        </is>
      </c>
      <c r="X767" s="32" t="n">
        <v>0</v>
      </c>
      <c r="Y767" s="32" t="n">
        <v>0</v>
      </c>
      <c r="Z767" s="31" t="n">
        <v>0</v>
      </c>
      <c r="AA767" s="32" t="n">
        <v>0</v>
      </c>
      <c r="AB767" s="32" t="n">
        <v>1</v>
      </c>
      <c r="AC767" s="32" t="n">
        <v>0</v>
      </c>
      <c r="AD767" s="32" t="n">
        <v>1</v>
      </c>
      <c r="AE767" s="31" t="n">
        <v>3.1</v>
      </c>
      <c r="AF767" s="32" t="n">
        <v>0</v>
      </c>
      <c r="AG767" s="31" t="n">
        <v>0</v>
      </c>
      <c r="AH767" s="32" t="n">
        <v>47</v>
      </c>
      <c r="AI767" s="31" t="n">
        <v>51.6</v>
      </c>
      <c r="AJ767" s="31" t="n">
        <v>45.7</v>
      </c>
      <c r="AK767" s="31" t="n">
        <v>3.1</v>
      </c>
      <c r="AL767" s="30" t="inlineStr">
        <is>
          <t>T-0916</t>
        </is>
      </c>
      <c r="AM767" s="30" t="inlineStr">
        <is>
          <t>I-04-02</t>
        </is>
      </c>
      <c r="AN767" s="30" t="inlineStr">
        <is>
          <t>T-0867</t>
        </is>
      </c>
      <c r="AO767" s="30" t="inlineStr">
        <is>
          <t>I-05-02</t>
        </is>
      </c>
    </row>
    <row r="768">
      <c r="A768" s="30" t="inlineStr">
        <is>
          <t>O0767</t>
        </is>
      </c>
      <c r="B768" s="30" t="inlineStr">
        <is>
          <t>C</t>
        </is>
      </c>
      <c r="C768" s="31" t="n">
        <v>9762.5</v>
      </c>
      <c r="D768" s="31" t="n">
        <v>37396.1</v>
      </c>
      <c r="E768" s="31" t="n">
        <v>37396.1</v>
      </c>
      <c r="F768" s="31" t="n">
        <v>37419.1</v>
      </c>
      <c r="G768" s="31" t="n">
        <v>37440</v>
      </c>
      <c r="H768" s="31" t="n">
        <v>37452.8</v>
      </c>
      <c r="I768" s="31" t="n">
        <v>37477.3</v>
      </c>
      <c r="J768" s="31" t="n">
        <v>37504.9</v>
      </c>
      <c r="K768" s="31" t="n">
        <v>27742.4</v>
      </c>
      <c r="L768" s="31" t="n">
        <v>27633.6</v>
      </c>
      <c r="M768" s="30" t="inlineStr">
        <is>
          <t>AMR2</t>
        </is>
      </c>
      <c r="N768" s="30" t="inlineStr">
        <is>
          <t>AMR2</t>
        </is>
      </c>
      <c r="O768" s="32" t="n">
        <v>0</v>
      </c>
      <c r="P768" s="32" t="n">
        <v>0</v>
      </c>
      <c r="Q768" s="32" t="n">
        <v>13</v>
      </c>
      <c r="R768" s="31" t="n">
        <v>43</v>
      </c>
      <c r="S768" s="31" t="n">
        <v>43</v>
      </c>
      <c r="T768" s="30" t="inlineStr">
        <is>
          <t>AMR2</t>
        </is>
      </c>
      <c r="U768" s="31" t="n">
        <v>52.2</v>
      </c>
      <c r="V768" s="31" t="n">
        <v>52.2</v>
      </c>
      <c r="W768" s="30" t="inlineStr">
        <is>
          <t>AMR2</t>
        </is>
      </c>
      <c r="X768" s="32" t="n">
        <v>0</v>
      </c>
      <c r="Y768" s="32" t="n">
        <v>0</v>
      </c>
      <c r="Z768" s="31" t="n">
        <v>0</v>
      </c>
      <c r="AA768" s="32" t="n">
        <v>0</v>
      </c>
      <c r="AB768" s="32" t="n">
        <v>0</v>
      </c>
      <c r="AC768" s="32" t="n">
        <v>0</v>
      </c>
      <c r="AD768" s="32" t="n">
        <v>0</v>
      </c>
      <c r="AE768" s="31" t="n">
        <v>0</v>
      </c>
      <c r="AF768" s="32" t="n">
        <v>0</v>
      </c>
      <c r="AG768" s="31" t="n">
        <v>0</v>
      </c>
      <c r="AH768" s="32" t="n">
        <v>41</v>
      </c>
      <c r="AI768" s="31" t="n">
        <v>43</v>
      </c>
      <c r="AJ768" s="31" t="n">
        <v>53</v>
      </c>
      <c r="AK768" s="31" t="n">
        <v>0</v>
      </c>
      <c r="AL768" s="30" t="inlineStr">
        <is>
          <t>T-0917</t>
        </is>
      </c>
      <c r="AM768" s="30" t="inlineStr">
        <is>
          <t>C-05-01</t>
        </is>
      </c>
      <c r="AN768" s="30" t="inlineStr">
        <is>
          <t>T-0788</t>
        </is>
      </c>
      <c r="AO768" s="30" t="inlineStr">
        <is>
          <t>C-03-03</t>
        </is>
      </c>
    </row>
    <row r="769">
      <c r="A769" s="30" t="inlineStr">
        <is>
          <t>O0768</t>
        </is>
      </c>
      <c r="B769" s="30" t="inlineStr">
        <is>
          <t>D</t>
        </is>
      </c>
      <c r="C769" s="31" t="n">
        <v>9766.6</v>
      </c>
      <c r="D769" s="31" t="n">
        <v>37425.3</v>
      </c>
      <c r="E769" s="31" t="n">
        <v>37425.3</v>
      </c>
      <c r="F769" s="31" t="n">
        <v>37441.3</v>
      </c>
      <c r="G769" s="31" t="n">
        <v>37467.6</v>
      </c>
      <c r="H769" s="31" t="n">
        <v>37482.4</v>
      </c>
      <c r="I769" s="31" t="n">
        <v>37521.8</v>
      </c>
      <c r="J769" s="31" t="n">
        <v>37549.9</v>
      </c>
      <c r="K769" s="31" t="n">
        <v>27783.3</v>
      </c>
      <c r="L769" s="31" t="n">
        <v>27658.7</v>
      </c>
      <c r="M769" s="30" t="inlineStr">
        <is>
          <t>AMR3</t>
        </is>
      </c>
      <c r="N769" s="30" t="inlineStr">
        <is>
          <t>AMR3</t>
        </is>
      </c>
      <c r="O769" s="32" t="n">
        <v>0</v>
      </c>
      <c r="P769" s="32" t="n">
        <v>0</v>
      </c>
      <c r="Q769" s="32" t="n">
        <v>13</v>
      </c>
      <c r="R769" s="31" t="n">
        <v>39.8</v>
      </c>
      <c r="S769" s="31" t="n">
        <v>39.8</v>
      </c>
      <c r="T769" s="30" t="inlineStr">
        <is>
          <t>AMR3</t>
        </is>
      </c>
      <c r="U769" s="31" t="n">
        <v>52.2</v>
      </c>
      <c r="V769" s="31" t="n">
        <v>52.2</v>
      </c>
      <c r="W769" s="30" t="inlineStr">
        <is>
          <t>AMR3</t>
        </is>
      </c>
      <c r="X769" s="32" t="n">
        <v>0</v>
      </c>
      <c r="Y769" s="32" t="n">
        <v>0</v>
      </c>
      <c r="Z769" s="31" t="n">
        <v>0</v>
      </c>
      <c r="AA769" s="32" t="n">
        <v>0</v>
      </c>
      <c r="AB769" s="32" t="n">
        <v>0</v>
      </c>
      <c r="AC769" s="32" t="n">
        <v>1</v>
      </c>
      <c r="AD769" s="32" t="n">
        <v>0</v>
      </c>
      <c r="AE769" s="31" t="n">
        <v>0</v>
      </c>
      <c r="AF769" s="32" t="n">
        <v>1</v>
      </c>
      <c r="AG769" s="31" t="n">
        <v>7</v>
      </c>
      <c r="AH769" s="32" t="n">
        <v>45</v>
      </c>
      <c r="AI769" s="31" t="n">
        <v>48.5</v>
      </c>
      <c r="AJ769" s="31" t="n">
        <v>49.3</v>
      </c>
      <c r="AK769" s="31" t="n">
        <v>12</v>
      </c>
      <c r="AL769" s="30" t="inlineStr">
        <is>
          <t>T-0918</t>
        </is>
      </c>
      <c r="AM769" s="30" t="inlineStr">
        <is>
          <t>D-04-01</t>
        </is>
      </c>
      <c r="AN769" s="30" t="inlineStr">
        <is>
          <t>T-0828</t>
        </is>
      </c>
      <c r="AO769" s="30" t="inlineStr">
        <is>
          <t>D-05-03</t>
        </is>
      </c>
    </row>
    <row r="770">
      <c r="A770" s="30" t="inlineStr">
        <is>
          <t>O0769</t>
        </is>
      </c>
      <c r="B770" s="30" t="inlineStr">
        <is>
          <t>D</t>
        </is>
      </c>
      <c r="C770" s="31" t="n">
        <v>9771.1</v>
      </c>
      <c r="D770" s="31" t="n">
        <v>37464.5</v>
      </c>
      <c r="E770" s="31" t="n">
        <v>37464.5</v>
      </c>
      <c r="F770" s="31" t="n">
        <v>37476.3</v>
      </c>
      <c r="G770" s="31" t="n">
        <v>37502</v>
      </c>
      <c r="H770" s="31" t="n">
        <v>37522.2</v>
      </c>
      <c r="I770" s="31" t="n">
        <v>37554.4</v>
      </c>
      <c r="J770" s="31" t="n">
        <v>37582.6</v>
      </c>
      <c r="K770" s="31" t="n">
        <v>27811.5</v>
      </c>
      <c r="L770" s="31" t="n">
        <v>27693.4</v>
      </c>
      <c r="M770" s="30" t="inlineStr">
        <is>
          <t>AMR1</t>
        </is>
      </c>
      <c r="N770" s="30" t="inlineStr">
        <is>
          <t>AMR1</t>
        </is>
      </c>
      <c r="O770" s="32" t="n">
        <v>0</v>
      </c>
      <c r="P770" s="32" t="n">
        <v>0</v>
      </c>
      <c r="Q770" s="32" t="n">
        <v>13</v>
      </c>
      <c r="R770" s="31" t="n">
        <v>32.9</v>
      </c>
      <c r="S770" s="31" t="n">
        <v>32.9</v>
      </c>
      <c r="T770" s="30" t="inlineStr">
        <is>
          <t>AMR1</t>
        </is>
      </c>
      <c r="U770" s="31" t="n">
        <v>52</v>
      </c>
      <c r="V770" s="31" t="n">
        <v>52</v>
      </c>
      <c r="W770" s="30" t="inlineStr">
        <is>
          <t>AMR1</t>
        </is>
      </c>
      <c r="X770" s="32" t="n">
        <v>0</v>
      </c>
      <c r="Y770" s="32" t="n">
        <v>0</v>
      </c>
      <c r="Z770" s="31" t="n">
        <v>0</v>
      </c>
      <c r="AA770" s="32" t="n">
        <v>0</v>
      </c>
      <c r="AB770" s="32" t="n">
        <v>2</v>
      </c>
      <c r="AC770" s="32" t="n">
        <v>1</v>
      </c>
      <c r="AD770" s="32" t="n">
        <v>0</v>
      </c>
      <c r="AE770" s="31" t="n">
        <v>0</v>
      </c>
      <c r="AF770" s="32" t="n">
        <v>1</v>
      </c>
      <c r="AG770" s="31" t="n">
        <v>0.1</v>
      </c>
      <c r="AH770" s="32" t="n">
        <v>45</v>
      </c>
      <c r="AI770" s="31" t="n">
        <v>48.5</v>
      </c>
      <c r="AJ770" s="31" t="n">
        <v>42.2</v>
      </c>
      <c r="AK770" s="31" t="n">
        <v>7.2</v>
      </c>
      <c r="AL770" s="30" t="inlineStr">
        <is>
          <t>T-0919</t>
        </is>
      </c>
      <c r="AM770" s="30" t="inlineStr">
        <is>
          <t>D-04-03</t>
        </is>
      </c>
      <c r="AN770" s="30" t="inlineStr">
        <is>
          <t>T-0832</t>
        </is>
      </c>
      <c r="AO770" s="30" t="inlineStr">
        <is>
          <t>D-05-01</t>
        </is>
      </c>
    </row>
    <row r="771">
      <c r="A771" s="30" t="inlineStr">
        <is>
          <t>O0770</t>
        </is>
      </c>
      <c r="B771" s="30" t="inlineStr">
        <is>
          <t>H</t>
        </is>
      </c>
      <c r="C771" s="31" t="n">
        <v>9778.1</v>
      </c>
      <c r="D771" s="31" t="n">
        <v>37532.6</v>
      </c>
      <c r="E771" s="31" t="n">
        <v>37532.6</v>
      </c>
      <c r="F771" s="31" t="n">
        <v>37548</v>
      </c>
      <c r="G771" s="31" t="n">
        <v>37572.5</v>
      </c>
      <c r="H771" s="31" t="n">
        <v>37573.6</v>
      </c>
      <c r="I771" s="31" t="n">
        <v>37600.5</v>
      </c>
      <c r="J771" s="31" t="n">
        <v>37626.3</v>
      </c>
      <c r="K771" s="31" t="n">
        <v>27848.2</v>
      </c>
      <c r="L771" s="31" t="n">
        <v>27754.5</v>
      </c>
      <c r="M771" s="30" t="inlineStr">
        <is>
          <t>AMR2</t>
        </is>
      </c>
      <c r="N771" s="30" t="inlineStr">
        <is>
          <t>AMR3</t>
        </is>
      </c>
      <c r="O771" s="32" t="n">
        <v>0</v>
      </c>
      <c r="P771" s="32" t="n">
        <v>0</v>
      </c>
      <c r="Q771" s="32" t="n">
        <v>15</v>
      </c>
      <c r="R771" s="31" t="n">
        <v>38.2</v>
      </c>
      <c r="S771" s="31" t="n">
        <v>38.2</v>
      </c>
      <c r="T771" s="30" t="inlineStr">
        <is>
          <t>AMR2</t>
        </is>
      </c>
      <c r="U771" s="31" t="n">
        <v>53.9</v>
      </c>
      <c r="V771" s="31" t="n">
        <v>53.9</v>
      </c>
      <c r="W771" s="30" t="inlineStr">
        <is>
          <t>AMR3</t>
        </is>
      </c>
      <c r="X771" s="32" t="n">
        <v>0</v>
      </c>
      <c r="Y771" s="32" t="n">
        <v>0</v>
      </c>
      <c r="Z771" s="31" t="n">
        <v>0</v>
      </c>
      <c r="AA771" s="32" t="n">
        <v>0</v>
      </c>
      <c r="AB771" s="32" t="n">
        <v>0</v>
      </c>
      <c r="AC771" s="32" t="n">
        <v>0</v>
      </c>
      <c r="AD771" s="32" t="n">
        <v>0</v>
      </c>
      <c r="AE771" s="31" t="n">
        <v>0</v>
      </c>
      <c r="AF771" s="32" t="n">
        <v>0</v>
      </c>
      <c r="AG771" s="31" t="n">
        <v>0</v>
      </c>
      <c r="AH771" s="32" t="n">
        <v>42</v>
      </c>
      <c r="AI771" s="31" t="n">
        <v>45.8</v>
      </c>
      <c r="AJ771" s="31" t="n">
        <v>46.8</v>
      </c>
      <c r="AK771" s="31" t="n">
        <v>0</v>
      </c>
      <c r="AL771" s="30" t="inlineStr">
        <is>
          <t>T-0920</t>
        </is>
      </c>
      <c r="AM771" s="30" t="inlineStr">
        <is>
          <t>H-03-02</t>
        </is>
      </c>
      <c r="AN771" s="30" t="inlineStr">
        <is>
          <t>T-0818</t>
        </is>
      </c>
      <c r="AO771" s="30" t="inlineStr">
        <is>
          <t>H-01-01</t>
        </is>
      </c>
    </row>
    <row r="772">
      <c r="A772" s="30" t="inlineStr">
        <is>
          <t>O0771</t>
        </is>
      </c>
      <c r="B772" s="30" t="inlineStr">
        <is>
          <t>D</t>
        </is>
      </c>
      <c r="C772" s="31" t="n">
        <v>9784.799999999999</v>
      </c>
      <c r="D772" s="31" t="n">
        <v>37587</v>
      </c>
      <c r="E772" s="31" t="n">
        <v>37587</v>
      </c>
      <c r="F772" s="31" t="n">
        <v>37600.5</v>
      </c>
      <c r="G772" s="31" t="n">
        <v>37621.5</v>
      </c>
      <c r="H772" s="31" t="n">
        <v>37636.3</v>
      </c>
      <c r="I772" s="31" t="n">
        <v>37673.6</v>
      </c>
      <c r="J772" s="31" t="n">
        <v>37703.4</v>
      </c>
      <c r="K772" s="31" t="n">
        <v>27918.6</v>
      </c>
      <c r="L772" s="31" t="n">
        <v>27802.2</v>
      </c>
      <c r="M772" s="30" t="inlineStr">
        <is>
          <t>AMR2</t>
        </is>
      </c>
      <c r="N772" s="30" t="inlineStr">
        <is>
          <t>AMR2</t>
        </is>
      </c>
      <c r="O772" s="32" t="n">
        <v>0</v>
      </c>
      <c r="P772" s="32" t="n">
        <v>0</v>
      </c>
      <c r="Q772" s="32" t="n">
        <v>13</v>
      </c>
      <c r="R772" s="31" t="n">
        <v>32</v>
      </c>
      <c r="S772" s="31" t="n">
        <v>32</v>
      </c>
      <c r="T772" s="30" t="inlineStr">
        <is>
          <t>AMR2</t>
        </is>
      </c>
      <c r="U772" s="31" t="n">
        <v>55.9</v>
      </c>
      <c r="V772" s="31" t="n">
        <v>55.9</v>
      </c>
      <c r="W772" s="30" t="inlineStr">
        <is>
          <t>AMR2</t>
        </is>
      </c>
      <c r="X772" s="32" t="n">
        <v>0</v>
      </c>
      <c r="Y772" s="32" t="n">
        <v>0</v>
      </c>
      <c r="Z772" s="31" t="n">
        <v>0</v>
      </c>
      <c r="AA772" s="32" t="n">
        <v>0</v>
      </c>
      <c r="AB772" s="32" t="n">
        <v>2</v>
      </c>
      <c r="AC772" s="32" t="n">
        <v>2</v>
      </c>
      <c r="AD772" s="32" t="n">
        <v>0</v>
      </c>
      <c r="AE772" s="31" t="n">
        <v>0</v>
      </c>
      <c r="AF772" s="32" t="n">
        <v>0</v>
      </c>
      <c r="AG772" s="31" t="n">
        <v>0</v>
      </c>
      <c r="AH772" s="32" t="n">
        <v>43</v>
      </c>
      <c r="AI772" s="31" t="n">
        <v>50.4</v>
      </c>
      <c r="AJ772" s="31" t="n">
        <v>45.2</v>
      </c>
      <c r="AK772" s="31" t="n">
        <v>6</v>
      </c>
      <c r="AL772" s="30" t="inlineStr">
        <is>
          <t>T-0921</t>
        </is>
      </c>
      <c r="AM772" s="30" t="inlineStr">
        <is>
          <t>D-05-01</t>
        </is>
      </c>
      <c r="AN772" s="30" t="inlineStr">
        <is>
          <t>T-0835</t>
        </is>
      </c>
      <c r="AO772" s="30" t="inlineStr">
        <is>
          <t>D-02-01</t>
        </is>
      </c>
    </row>
    <row r="773">
      <c r="A773" s="30" t="inlineStr">
        <is>
          <t>O0772</t>
        </is>
      </c>
      <c r="B773" s="30" t="inlineStr">
        <is>
          <t>D</t>
        </is>
      </c>
      <c r="C773" s="31" t="n">
        <v>9789</v>
      </c>
      <c r="D773" s="31" t="n">
        <v>37606.3</v>
      </c>
      <c r="E773" s="31" t="n">
        <v>37606.3</v>
      </c>
      <c r="F773" s="31" t="n">
        <v>37617.9</v>
      </c>
      <c r="G773" s="31" t="n">
        <v>37641.9</v>
      </c>
      <c r="H773" s="31" t="n">
        <v>37655.3</v>
      </c>
      <c r="I773" s="31" t="n">
        <v>37689.1</v>
      </c>
      <c r="J773" s="31" t="n">
        <v>37717.2</v>
      </c>
      <c r="K773" s="31" t="n">
        <v>27928.2</v>
      </c>
      <c r="L773" s="31" t="n">
        <v>27817.3</v>
      </c>
      <c r="M773" s="30" t="inlineStr">
        <is>
          <t>AMR1</t>
        </is>
      </c>
      <c r="N773" s="30" t="inlineStr">
        <is>
          <t>AMR3</t>
        </is>
      </c>
      <c r="O773" s="32" t="n">
        <v>0</v>
      </c>
      <c r="P773" s="32" t="n">
        <v>0</v>
      </c>
      <c r="Q773" s="32" t="n">
        <v>13</v>
      </c>
      <c r="R773" s="31" t="n">
        <v>31.7</v>
      </c>
      <c r="S773" s="31" t="n">
        <v>31.7</v>
      </c>
      <c r="T773" s="30" t="inlineStr">
        <is>
          <t>AMR1</t>
        </is>
      </c>
      <c r="U773" s="31" t="n">
        <v>51.1</v>
      </c>
      <c r="V773" s="31" t="n">
        <v>51.1</v>
      </c>
      <c r="W773" s="30" t="inlineStr">
        <is>
          <t>AMR3</t>
        </is>
      </c>
      <c r="X773" s="32" t="n">
        <v>0</v>
      </c>
      <c r="Y773" s="32" t="n">
        <v>0</v>
      </c>
      <c r="Z773" s="31" t="n">
        <v>0</v>
      </c>
      <c r="AA773" s="32" t="n">
        <v>0</v>
      </c>
      <c r="AB773" s="32" t="n">
        <v>0</v>
      </c>
      <c r="AC773" s="32" t="n">
        <v>0</v>
      </c>
      <c r="AD773" s="32" t="n">
        <v>1</v>
      </c>
      <c r="AE773" s="31" t="n">
        <v>1.4</v>
      </c>
      <c r="AF773" s="32" t="n">
        <v>0</v>
      </c>
      <c r="AG773" s="31" t="n">
        <v>0</v>
      </c>
      <c r="AH773" s="32" t="n">
        <v>49</v>
      </c>
      <c r="AI773" s="31" t="n">
        <v>53</v>
      </c>
      <c r="AJ773" s="31" t="n">
        <v>40.1</v>
      </c>
      <c r="AK773" s="31" t="n">
        <v>4.4</v>
      </c>
      <c r="AL773" s="30" t="inlineStr">
        <is>
          <t>T-0922</t>
        </is>
      </c>
      <c r="AM773" s="30" t="inlineStr">
        <is>
          <t>D-05-03</t>
        </is>
      </c>
      <c r="AN773" s="30" t="inlineStr">
        <is>
          <t>T-0841</t>
        </is>
      </c>
      <c r="AO773" s="30" t="inlineStr">
        <is>
          <t>D-06-01</t>
        </is>
      </c>
    </row>
    <row r="774">
      <c r="A774" s="30" t="inlineStr">
        <is>
          <t>O0773</t>
        </is>
      </c>
      <c r="B774" s="30" t="inlineStr">
        <is>
          <t>I</t>
        </is>
      </c>
      <c r="C774" s="31" t="n">
        <v>9793.9</v>
      </c>
      <c r="D774" s="31" t="n">
        <v>37661.8</v>
      </c>
      <c r="E774" s="31" t="n">
        <v>37661.8</v>
      </c>
      <c r="F774" s="31" t="n">
        <v>37677.2</v>
      </c>
      <c r="G774" s="31" t="n">
        <v>37702.7</v>
      </c>
      <c r="H774" s="31" t="n">
        <v>37719.5</v>
      </c>
      <c r="I774" s="31" t="n">
        <v>37750</v>
      </c>
      <c r="J774" s="31" t="n">
        <v>37779.7</v>
      </c>
      <c r="K774" s="31" t="n">
        <v>27985.8</v>
      </c>
      <c r="L774" s="31" t="n">
        <v>27867.9</v>
      </c>
      <c r="M774" s="30" t="inlineStr">
        <is>
          <t>AMR1</t>
        </is>
      </c>
      <c r="N774" s="30" t="inlineStr">
        <is>
          <t>AMR1</t>
        </is>
      </c>
      <c r="O774" s="32" t="n">
        <v>0</v>
      </c>
      <c r="P774" s="32" t="n">
        <v>0</v>
      </c>
      <c r="Q774" s="32" t="n">
        <v>15</v>
      </c>
      <c r="R774" s="31" t="n">
        <v>38.4</v>
      </c>
      <c r="S774" s="31" t="n">
        <v>38.4</v>
      </c>
      <c r="T774" s="30" t="inlineStr">
        <is>
          <t>AMR1</t>
        </is>
      </c>
      <c r="U774" s="31" t="n">
        <v>51.9</v>
      </c>
      <c r="V774" s="31" t="n">
        <v>51.9</v>
      </c>
      <c r="W774" s="30" t="inlineStr">
        <is>
          <t>AMR1</t>
        </is>
      </c>
      <c r="X774" s="32" t="n">
        <v>0</v>
      </c>
      <c r="Y774" s="32" t="n">
        <v>0</v>
      </c>
      <c r="Z774" s="31" t="n">
        <v>0</v>
      </c>
      <c r="AA774" s="32" t="n">
        <v>0</v>
      </c>
      <c r="AB774" s="32" t="n">
        <v>1</v>
      </c>
      <c r="AC774" s="32" t="n">
        <v>1</v>
      </c>
      <c r="AD774" s="32" t="n">
        <v>0</v>
      </c>
      <c r="AE774" s="31" t="n">
        <v>0</v>
      </c>
      <c r="AF774" s="32" t="n">
        <v>0</v>
      </c>
      <c r="AG774" s="31" t="n">
        <v>0</v>
      </c>
      <c r="AH774" s="32" t="n">
        <v>51</v>
      </c>
      <c r="AI774" s="31" t="n">
        <v>53.6</v>
      </c>
      <c r="AJ774" s="31" t="n">
        <v>44.5</v>
      </c>
      <c r="AK774" s="31" t="n">
        <v>3</v>
      </c>
      <c r="AL774" s="30" t="inlineStr">
        <is>
          <t>T-0923</t>
        </is>
      </c>
      <c r="AM774" s="30" t="inlineStr">
        <is>
          <t>I-05-02</t>
        </is>
      </c>
      <c r="AN774" s="30" t="inlineStr">
        <is>
          <t>T-0869</t>
        </is>
      </c>
      <c r="AO774" s="30" t="inlineStr">
        <is>
          <t>I-06-02</t>
        </is>
      </c>
    </row>
    <row r="775">
      <c r="A775" s="30" t="inlineStr">
        <is>
          <t>O0774</t>
        </is>
      </c>
      <c r="B775" s="30" t="inlineStr">
        <is>
          <t>H</t>
        </is>
      </c>
      <c r="C775" s="31" t="n">
        <v>9799.700000000001</v>
      </c>
      <c r="D775" s="31" t="n">
        <v>37731.1</v>
      </c>
      <c r="E775" s="31" t="n">
        <v>37731.1</v>
      </c>
      <c r="F775" s="31" t="n">
        <v>37741.9</v>
      </c>
      <c r="G775" s="31" t="n">
        <v>37768.8</v>
      </c>
      <c r="H775" s="31" t="n">
        <v>37783</v>
      </c>
      <c r="I775" s="31" t="n">
        <v>37818.4</v>
      </c>
      <c r="J775" s="31" t="n">
        <v>37845.8</v>
      </c>
      <c r="K775" s="31" t="n">
        <v>28046.1</v>
      </c>
      <c r="L775" s="31" t="n">
        <v>27931.4</v>
      </c>
      <c r="M775" s="30" t="inlineStr">
        <is>
          <t>AMR2</t>
        </is>
      </c>
      <c r="N775" s="30" t="inlineStr">
        <is>
          <t>AMR2</t>
        </is>
      </c>
      <c r="O775" s="32" t="n">
        <v>0</v>
      </c>
      <c r="P775" s="32" t="n">
        <v>0</v>
      </c>
      <c r="Q775" s="32" t="n">
        <v>15</v>
      </c>
      <c r="R775" s="31" t="n">
        <v>36.8</v>
      </c>
      <c r="S775" s="31" t="n">
        <v>36.8</v>
      </c>
      <c r="T775" s="30" t="inlineStr">
        <is>
          <t>AMR2</t>
        </is>
      </c>
      <c r="U775" s="31" t="n">
        <v>49</v>
      </c>
      <c r="V775" s="31" t="n">
        <v>49</v>
      </c>
      <c r="W775" s="30" t="inlineStr">
        <is>
          <t>AMR2</t>
        </is>
      </c>
      <c r="X775" s="32" t="n">
        <v>0</v>
      </c>
      <c r="Y775" s="32" t="n">
        <v>0</v>
      </c>
      <c r="Z775" s="31" t="n">
        <v>0</v>
      </c>
      <c r="AA775" s="32" t="n">
        <v>0</v>
      </c>
      <c r="AB775" s="32" t="n">
        <v>2</v>
      </c>
      <c r="AC775" s="32" t="n">
        <v>2</v>
      </c>
      <c r="AD775" s="32" t="n">
        <v>0</v>
      </c>
      <c r="AE775" s="31" t="n">
        <v>0</v>
      </c>
      <c r="AF775" s="32" t="n">
        <v>0</v>
      </c>
      <c r="AG775" s="31" t="n">
        <v>0</v>
      </c>
      <c r="AH775" s="32" t="n">
        <v>45</v>
      </c>
      <c r="AI775" s="31" t="n">
        <v>49</v>
      </c>
      <c r="AJ775" s="31" t="n">
        <v>40.5</v>
      </c>
      <c r="AK775" s="31" t="n">
        <v>11</v>
      </c>
      <c r="AL775" s="30" t="inlineStr">
        <is>
          <t>T-0924</t>
        </is>
      </c>
      <c r="AM775" s="30" t="inlineStr">
        <is>
          <t>H-01-01</t>
        </is>
      </c>
      <c r="AN775" s="30" t="inlineStr">
        <is>
          <t>T-0825</t>
        </is>
      </c>
      <c r="AO775" s="30" t="inlineStr">
        <is>
          <t>H-05-02</t>
        </is>
      </c>
    </row>
    <row r="776">
      <c r="A776" s="30" t="inlineStr">
        <is>
          <t>O0775</t>
        </is>
      </c>
      <c r="B776" s="30" t="inlineStr">
        <is>
          <t>H</t>
        </is>
      </c>
      <c r="C776" s="31" t="n">
        <v>9806</v>
      </c>
      <c r="D776" s="31" t="n">
        <v>37740.9</v>
      </c>
      <c r="E776" s="31" t="n">
        <v>37740.9</v>
      </c>
      <c r="F776" s="31" t="n">
        <v>37753.9</v>
      </c>
      <c r="G776" s="31" t="n">
        <v>37777.8</v>
      </c>
      <c r="H776" s="31" t="n">
        <v>37797</v>
      </c>
      <c r="I776" s="31" t="n">
        <v>37826.2</v>
      </c>
      <c r="J776" s="31" t="n">
        <v>37859.1</v>
      </c>
      <c r="K776" s="31" t="n">
        <v>28053.1</v>
      </c>
      <c r="L776" s="31" t="n">
        <v>27934.9</v>
      </c>
      <c r="M776" s="30" t="inlineStr">
        <is>
          <t>AMR3</t>
        </is>
      </c>
      <c r="N776" s="30" t="inlineStr">
        <is>
          <t>AMR3</t>
        </is>
      </c>
      <c r="O776" s="32" t="n">
        <v>0</v>
      </c>
      <c r="P776" s="32" t="n">
        <v>0</v>
      </c>
      <c r="Q776" s="32" t="n">
        <v>15</v>
      </c>
      <c r="R776" s="31" t="n">
        <v>36</v>
      </c>
      <c r="S776" s="31" t="n">
        <v>36</v>
      </c>
      <c r="T776" s="30" t="inlineStr">
        <is>
          <t>AMR3</t>
        </is>
      </c>
      <c r="U776" s="31" t="n">
        <v>49.5</v>
      </c>
      <c r="V776" s="31" t="n">
        <v>49.5</v>
      </c>
      <c r="W776" s="30" t="inlineStr">
        <is>
          <t>AMR3</t>
        </is>
      </c>
      <c r="X776" s="32" t="n">
        <v>0</v>
      </c>
      <c r="Y776" s="32" t="n">
        <v>0</v>
      </c>
      <c r="Z776" s="31" t="n">
        <v>0</v>
      </c>
      <c r="AA776" s="32" t="n">
        <v>0</v>
      </c>
      <c r="AB776" s="32" t="n">
        <v>1</v>
      </c>
      <c r="AC776" s="32" t="n">
        <v>1</v>
      </c>
      <c r="AD776" s="32" t="n">
        <v>2</v>
      </c>
      <c r="AE776" s="31" t="n">
        <v>9.300000000000001</v>
      </c>
      <c r="AF776" s="32" t="n">
        <v>1</v>
      </c>
      <c r="AG776" s="31" t="n">
        <v>2.9</v>
      </c>
      <c r="AH776" s="32" t="n">
        <v>39</v>
      </c>
      <c r="AI776" s="31" t="n">
        <v>44.5</v>
      </c>
      <c r="AJ776" s="31" t="n">
        <v>40.2</v>
      </c>
      <c r="AK776" s="31" t="n">
        <v>14.3</v>
      </c>
      <c r="AL776" s="30" t="inlineStr">
        <is>
          <t>T-0925</t>
        </is>
      </c>
      <c r="AM776" s="30" t="inlineStr">
        <is>
          <t>H-04-03</t>
        </is>
      </c>
      <c r="AN776" s="30" t="inlineStr">
        <is>
          <t>T-0831</t>
        </is>
      </c>
      <c r="AO776" s="30" t="inlineStr">
        <is>
          <t>H-06-02</t>
        </is>
      </c>
    </row>
    <row r="777">
      <c r="A777" s="30" t="inlineStr">
        <is>
          <t>O0776</t>
        </is>
      </c>
      <c r="B777" s="30" t="inlineStr">
        <is>
          <t>J</t>
        </is>
      </c>
      <c r="C777" s="31" t="n">
        <v>9809.4</v>
      </c>
      <c r="D777" s="31" t="n">
        <v>37814.2</v>
      </c>
      <c r="E777" s="31" t="n">
        <v>37814.2</v>
      </c>
      <c r="F777" s="31" t="n">
        <v>37827.8</v>
      </c>
      <c r="G777" s="31" t="n">
        <v>37860.3</v>
      </c>
      <c r="H777" s="31" t="n">
        <v>37869.5</v>
      </c>
      <c r="I777" s="31" t="n">
        <v>37900.7</v>
      </c>
      <c r="J777" s="31" t="n">
        <v>37933.6</v>
      </c>
      <c r="K777" s="31" t="n">
        <v>28124.2</v>
      </c>
      <c r="L777" s="31" t="n">
        <v>28004.8</v>
      </c>
      <c r="M777" s="30" t="inlineStr">
        <is>
          <t>AMR1</t>
        </is>
      </c>
      <c r="N777" s="30" t="inlineStr">
        <is>
          <t>AMR2</t>
        </is>
      </c>
      <c r="O777" s="32" t="n">
        <v>0</v>
      </c>
      <c r="P777" s="32" t="n">
        <v>0</v>
      </c>
      <c r="Q777" s="32" t="n">
        <v>21</v>
      </c>
      <c r="R777" s="31" t="n">
        <v>45.2</v>
      </c>
      <c r="S777" s="31" t="n">
        <v>45.2</v>
      </c>
      <c r="T777" s="30" t="inlineStr">
        <is>
          <t>AMR1</t>
        </is>
      </c>
      <c r="U777" s="31" t="n">
        <v>62.9</v>
      </c>
      <c r="V777" s="31" t="n">
        <v>62.9</v>
      </c>
      <c r="W777" s="30" t="inlineStr">
        <is>
          <t>AMR2</t>
        </is>
      </c>
      <c r="X777" s="32" t="n">
        <v>0</v>
      </c>
      <c r="Y777" s="32" t="n">
        <v>0</v>
      </c>
      <c r="Z777" s="31" t="n">
        <v>0</v>
      </c>
      <c r="AA777" s="32" t="n">
        <v>0</v>
      </c>
      <c r="AB777" s="32" t="n">
        <v>0</v>
      </c>
      <c r="AC777" s="32" t="n">
        <v>0</v>
      </c>
      <c r="AD777" s="32" t="n">
        <v>0</v>
      </c>
      <c r="AE777" s="31" t="n">
        <v>0</v>
      </c>
      <c r="AF777" s="32" t="n">
        <v>0</v>
      </c>
      <c r="AG777" s="31" t="n">
        <v>0</v>
      </c>
      <c r="AH777" s="32" t="n">
        <v>59</v>
      </c>
      <c r="AI777" s="31" t="n">
        <v>61.3</v>
      </c>
      <c r="AJ777" s="31" t="n">
        <v>47.5</v>
      </c>
      <c r="AK777" s="31" t="n">
        <v>1.4</v>
      </c>
      <c r="AL777" s="30" t="inlineStr">
        <is>
          <t>T-0926</t>
        </is>
      </c>
      <c r="AM777" s="30" t="inlineStr">
        <is>
          <t>J-01-02</t>
        </is>
      </c>
      <c r="AN777" s="30" t="inlineStr">
        <is>
          <t>T-0743</t>
        </is>
      </c>
      <c r="AO777" s="30" t="inlineStr">
        <is>
          <t>J-02-02</t>
        </is>
      </c>
    </row>
    <row r="778">
      <c r="A778" s="30" t="inlineStr">
        <is>
          <t>O0777</t>
        </is>
      </c>
      <c r="B778" s="30" t="inlineStr">
        <is>
          <t>H</t>
        </is>
      </c>
      <c r="C778" s="31" t="n">
        <v>9814.5</v>
      </c>
      <c r="D778" s="31" t="n">
        <v>37880.5</v>
      </c>
      <c r="E778" s="31" t="n">
        <v>37880.5</v>
      </c>
      <c r="F778" s="31" t="n">
        <v>37895.7</v>
      </c>
      <c r="G778" s="31" t="n">
        <v>37922.4</v>
      </c>
      <c r="H778" s="31" t="n">
        <v>37937.2</v>
      </c>
      <c r="I778" s="31" t="n">
        <v>37965.1</v>
      </c>
      <c r="J778" s="31" t="n">
        <v>37992.5</v>
      </c>
      <c r="K778" s="31" t="n">
        <v>28178</v>
      </c>
      <c r="L778" s="31" t="n">
        <v>28066</v>
      </c>
      <c r="M778" s="30" t="inlineStr">
        <is>
          <t>AMR1</t>
        </is>
      </c>
      <c r="N778" s="30" t="inlineStr">
        <is>
          <t>AMR1</t>
        </is>
      </c>
      <c r="O778" s="32" t="n">
        <v>0</v>
      </c>
      <c r="P778" s="32" t="n">
        <v>0</v>
      </c>
      <c r="Q778" s="32" t="n">
        <v>15</v>
      </c>
      <c r="R778" s="31" t="n">
        <v>41</v>
      </c>
      <c r="S778" s="31" t="n">
        <v>41</v>
      </c>
      <c r="T778" s="30" t="inlineStr">
        <is>
          <t>AMR1</t>
        </is>
      </c>
      <c r="U778" s="31" t="n">
        <v>51.6</v>
      </c>
      <c r="V778" s="31" t="n">
        <v>51.6</v>
      </c>
      <c r="W778" s="30" t="inlineStr">
        <is>
          <t>AMR1</t>
        </is>
      </c>
      <c r="X778" s="32" t="n">
        <v>0</v>
      </c>
      <c r="Y778" s="32" t="n">
        <v>0</v>
      </c>
      <c r="Z778" s="31" t="n">
        <v>0</v>
      </c>
      <c r="AA778" s="32" t="n">
        <v>0</v>
      </c>
      <c r="AB778" s="32" t="n">
        <v>1</v>
      </c>
      <c r="AC778" s="32" t="n">
        <v>1</v>
      </c>
      <c r="AD778" s="32" t="n">
        <v>1</v>
      </c>
      <c r="AE778" s="31" t="n">
        <v>5.4</v>
      </c>
      <c r="AF778" s="32" t="n">
        <v>1</v>
      </c>
      <c r="AG778" s="31" t="n">
        <v>0.4</v>
      </c>
      <c r="AH778" s="32" t="n">
        <v>39</v>
      </c>
      <c r="AI778" s="31" t="n">
        <v>44.5</v>
      </c>
      <c r="AJ778" s="31" t="n">
        <v>47.3</v>
      </c>
      <c r="AK778" s="31" t="n">
        <v>5.4</v>
      </c>
      <c r="AL778" s="30" t="inlineStr">
        <is>
          <t>T-0927</t>
        </is>
      </c>
      <c r="AM778" s="30" t="inlineStr">
        <is>
          <t>H-05-02</t>
        </is>
      </c>
      <c r="AN778" s="30" t="inlineStr">
        <is>
          <t>T-0840</t>
        </is>
      </c>
      <c r="AO778" s="30" t="inlineStr">
        <is>
          <t>H-06-01</t>
        </is>
      </c>
    </row>
    <row r="779">
      <c r="A779" s="30" t="inlineStr">
        <is>
          <t>O0778</t>
        </is>
      </c>
      <c r="B779" s="30" t="inlineStr">
        <is>
          <t>I</t>
        </is>
      </c>
      <c r="C779" s="31" t="n">
        <v>9819.200000000001</v>
      </c>
      <c r="D779" s="31" t="n">
        <v>37895.7</v>
      </c>
      <c r="E779" s="31" t="n">
        <v>37895.7</v>
      </c>
      <c r="F779" s="31" t="n">
        <v>37911.2</v>
      </c>
      <c r="G779" s="31" t="n">
        <v>37937</v>
      </c>
      <c r="H779" s="31" t="n">
        <v>37957.3</v>
      </c>
      <c r="I779" s="31" t="n">
        <v>37980.7</v>
      </c>
      <c r="J779" s="31" t="n">
        <v>38009</v>
      </c>
      <c r="K779" s="31" t="n">
        <v>28189.8</v>
      </c>
      <c r="L779" s="31" t="n">
        <v>28076.5</v>
      </c>
      <c r="M779" s="30" t="inlineStr">
        <is>
          <t>AMR3</t>
        </is>
      </c>
      <c r="N779" s="30" t="inlineStr">
        <is>
          <t>AMR2</t>
        </is>
      </c>
      <c r="O779" s="32" t="n">
        <v>0</v>
      </c>
      <c r="P779" s="32" t="n">
        <v>0</v>
      </c>
      <c r="Q779" s="32" t="n">
        <v>15</v>
      </c>
      <c r="R779" s="31" t="n">
        <v>38</v>
      </c>
      <c r="S779" s="31" t="n">
        <v>38</v>
      </c>
      <c r="T779" s="30" t="inlineStr">
        <is>
          <t>AMR3</t>
        </is>
      </c>
      <c r="U779" s="31" t="n">
        <v>51.9</v>
      </c>
      <c r="V779" s="31" t="n">
        <v>51.9</v>
      </c>
      <c r="W779" s="30" t="inlineStr">
        <is>
          <t>AMR2</t>
        </is>
      </c>
      <c r="X779" s="32" t="n">
        <v>0</v>
      </c>
      <c r="Y779" s="32" t="n">
        <v>0</v>
      </c>
      <c r="Z779" s="31" t="n">
        <v>0</v>
      </c>
      <c r="AA779" s="32" t="n">
        <v>0</v>
      </c>
      <c r="AB779" s="32" t="n">
        <v>0</v>
      </c>
      <c r="AC779" s="32" t="n">
        <v>0</v>
      </c>
      <c r="AD779" s="32" t="n">
        <v>0</v>
      </c>
      <c r="AE779" s="31" t="n">
        <v>0</v>
      </c>
      <c r="AF779" s="32" t="n">
        <v>0</v>
      </c>
      <c r="AG779" s="31" t="n">
        <v>0</v>
      </c>
      <c r="AH779" s="32" t="n">
        <v>44</v>
      </c>
      <c r="AI779" s="31" t="n">
        <v>48.9</v>
      </c>
      <c r="AJ779" s="31" t="n">
        <v>44.1</v>
      </c>
      <c r="AK779" s="31" t="n">
        <v>0</v>
      </c>
      <c r="AL779" s="30" t="inlineStr">
        <is>
          <t>T-0928</t>
        </is>
      </c>
      <c r="AM779" s="30" t="inlineStr">
        <is>
          <t>I-06-02</t>
        </is>
      </c>
      <c r="AN779" s="30" t="inlineStr">
        <is>
          <t>T-0871</t>
        </is>
      </c>
      <c r="AO779" s="30" t="inlineStr">
        <is>
          <t>I-01-03</t>
        </is>
      </c>
    </row>
    <row r="780">
      <c r="A780" s="30" t="inlineStr">
        <is>
          <t>O0779</t>
        </is>
      </c>
      <c r="B780" s="30" t="inlineStr">
        <is>
          <t>F</t>
        </is>
      </c>
      <c r="C780" s="31" t="n">
        <v>9822.9</v>
      </c>
      <c r="D780" s="31" t="n">
        <v>37964.3</v>
      </c>
      <c r="E780" s="31" t="n">
        <v>37964.3</v>
      </c>
      <c r="F780" s="31" t="n">
        <v>37978.7</v>
      </c>
      <c r="G780" s="31" t="n">
        <v>38011.6</v>
      </c>
      <c r="H780" s="31" t="n">
        <v>38016.2</v>
      </c>
      <c r="I780" s="31" t="n">
        <v>38046.1</v>
      </c>
      <c r="J780" s="31" t="n">
        <v>38078.9</v>
      </c>
      <c r="K780" s="31" t="n">
        <v>28256</v>
      </c>
      <c r="L780" s="31" t="n">
        <v>28141.4</v>
      </c>
      <c r="M780" s="30" t="inlineStr">
        <is>
          <t>AMR3</t>
        </is>
      </c>
      <c r="N780" s="30" t="inlineStr">
        <is>
          <t>AMR1</t>
        </is>
      </c>
      <c r="O780" s="32" t="n">
        <v>0</v>
      </c>
      <c r="P780" s="32" t="n">
        <v>0</v>
      </c>
      <c r="Q780" s="32" t="n">
        <v>23</v>
      </c>
      <c r="R780" s="31" t="n">
        <v>46.4</v>
      </c>
      <c r="S780" s="31" t="n">
        <v>46.4</v>
      </c>
      <c r="T780" s="30" t="inlineStr">
        <is>
          <t>AMR3</t>
        </is>
      </c>
      <c r="U780" s="31" t="n">
        <v>65.40000000000001</v>
      </c>
      <c r="V780" s="31" t="n">
        <v>65.40000000000001</v>
      </c>
      <c r="W780" s="30" t="inlineStr">
        <is>
          <t>AMR1</t>
        </is>
      </c>
      <c r="X780" s="32" t="n">
        <v>0</v>
      </c>
      <c r="Y780" s="32" t="n">
        <v>0</v>
      </c>
      <c r="Z780" s="31" t="n">
        <v>0</v>
      </c>
      <c r="AA780" s="32" t="n">
        <v>0</v>
      </c>
      <c r="AB780" s="32" t="n">
        <v>0</v>
      </c>
      <c r="AC780" s="32" t="n">
        <v>0</v>
      </c>
      <c r="AD780" s="32" t="n">
        <v>0</v>
      </c>
      <c r="AE780" s="31" t="n">
        <v>0</v>
      </c>
      <c r="AF780" s="32" t="n">
        <v>0</v>
      </c>
      <c r="AG780" s="31" t="n">
        <v>0</v>
      </c>
      <c r="AH780" s="32" t="n">
        <v>63</v>
      </c>
      <c r="AI780" s="31" t="n">
        <v>63.4</v>
      </c>
      <c r="AJ780" s="31" t="n">
        <v>46.6</v>
      </c>
      <c r="AK780" s="31" t="n">
        <v>0</v>
      </c>
      <c r="AL780" s="30" t="inlineStr">
        <is>
          <t>T-0929</t>
        </is>
      </c>
      <c r="AM780" s="30" t="inlineStr">
        <is>
          <t>F-04-02</t>
        </is>
      </c>
      <c r="AN780" s="30" t="inlineStr">
        <is>
          <t>T-0753</t>
        </is>
      </c>
      <c r="AO780" s="30" t="inlineStr">
        <is>
          <t>F-06-02</t>
        </is>
      </c>
    </row>
    <row r="781">
      <c r="A781" s="30" t="inlineStr">
        <is>
          <t>O0780</t>
        </is>
      </c>
      <c r="B781" s="30" t="inlineStr">
        <is>
          <t>B</t>
        </is>
      </c>
      <c r="C781" s="31" t="n">
        <v>9826</v>
      </c>
      <c r="D781" s="31" t="n">
        <v>38032.7</v>
      </c>
      <c r="E781" s="31" t="n">
        <v>38032.7</v>
      </c>
      <c r="F781" s="31" t="n">
        <v>38043.9</v>
      </c>
      <c r="G781" s="31" t="n">
        <v>38069</v>
      </c>
      <c r="H781" s="31" t="n">
        <v>38085.2</v>
      </c>
      <c r="I781" s="31" t="n">
        <v>38110</v>
      </c>
      <c r="J781" s="31" t="n">
        <v>38140.2</v>
      </c>
      <c r="K781" s="31" t="n">
        <v>28314.2</v>
      </c>
      <c r="L781" s="31" t="n">
        <v>28206.7</v>
      </c>
      <c r="M781" s="30" t="inlineStr">
        <is>
          <t>AMR2</t>
        </is>
      </c>
      <c r="N781" s="30" t="inlineStr">
        <is>
          <t>AMR2</t>
        </is>
      </c>
      <c r="O781" s="32" t="n">
        <v>0</v>
      </c>
      <c r="P781" s="32" t="n">
        <v>0</v>
      </c>
      <c r="Q781" s="32" t="n">
        <v>15</v>
      </c>
      <c r="R781" s="31" t="n">
        <v>33.8</v>
      </c>
      <c r="S781" s="31" t="n">
        <v>33.8</v>
      </c>
      <c r="T781" s="30" t="inlineStr">
        <is>
          <t>AMR2</t>
        </is>
      </c>
      <c r="U781" s="31" t="n">
        <v>54.7</v>
      </c>
      <c r="V781" s="31" t="n">
        <v>54.7</v>
      </c>
      <c r="W781" s="30" t="inlineStr">
        <is>
          <t>AMR2</t>
        </is>
      </c>
      <c r="X781" s="32" t="n">
        <v>0</v>
      </c>
      <c r="Y781" s="32" t="n">
        <v>0</v>
      </c>
      <c r="Z781" s="31" t="n">
        <v>0</v>
      </c>
      <c r="AA781" s="32" t="n">
        <v>0</v>
      </c>
      <c r="AB781" s="32" t="n">
        <v>0</v>
      </c>
      <c r="AC781" s="32" t="n">
        <v>0</v>
      </c>
      <c r="AD781" s="32" t="n">
        <v>0</v>
      </c>
      <c r="AE781" s="31" t="n">
        <v>0</v>
      </c>
      <c r="AF781" s="32" t="n">
        <v>0</v>
      </c>
      <c r="AG781" s="31" t="n">
        <v>0</v>
      </c>
      <c r="AH781" s="32" t="n">
        <v>47</v>
      </c>
      <c r="AI781" s="31" t="n">
        <v>50.1</v>
      </c>
      <c r="AJ781" s="31" t="n">
        <v>41.2</v>
      </c>
      <c r="AK781" s="31" t="n">
        <v>0</v>
      </c>
      <c r="AL781" s="30" t="inlineStr">
        <is>
          <t>T-0930</t>
        </is>
      </c>
      <c r="AM781" s="30" t="inlineStr">
        <is>
          <t>B-02-01</t>
        </is>
      </c>
      <c r="AN781" s="30" t="inlineStr">
        <is>
          <t>T-0685</t>
        </is>
      </c>
      <c r="AO781" s="30" t="inlineStr">
        <is>
          <t>B-04-01</t>
        </is>
      </c>
    </row>
    <row r="782">
      <c r="A782" s="30" t="inlineStr">
        <is>
          <t>O0781</t>
        </is>
      </c>
      <c r="B782" s="30" t="inlineStr">
        <is>
          <t>D</t>
        </is>
      </c>
      <c r="C782" s="31" t="n">
        <v>9831.4</v>
      </c>
      <c r="D782" s="31" t="n">
        <v>38043.9</v>
      </c>
      <c r="E782" s="31" t="n">
        <v>38043.9</v>
      </c>
      <c r="F782" s="31" t="n">
        <v>38058.6</v>
      </c>
      <c r="G782" s="31" t="n">
        <v>38079.3</v>
      </c>
      <c r="H782" s="31" t="n">
        <v>38092.1</v>
      </c>
      <c r="I782" s="31" t="n">
        <v>38119.9</v>
      </c>
      <c r="J782" s="31" t="n">
        <v>38152.9</v>
      </c>
      <c r="K782" s="31" t="n">
        <v>28321.5</v>
      </c>
      <c r="L782" s="31" t="n">
        <v>28212.5</v>
      </c>
      <c r="M782" s="30" t="inlineStr">
        <is>
          <t>AMR3</t>
        </is>
      </c>
      <c r="N782" s="30" t="inlineStr">
        <is>
          <t>AMR3</t>
        </is>
      </c>
      <c r="O782" s="32" t="n">
        <v>0</v>
      </c>
      <c r="P782" s="32" t="n">
        <v>0</v>
      </c>
      <c r="Q782" s="32" t="n">
        <v>13</v>
      </c>
      <c r="R782" s="31" t="n">
        <v>34.5</v>
      </c>
      <c r="S782" s="31" t="n">
        <v>34.5</v>
      </c>
      <c r="T782" s="30" t="inlineStr">
        <is>
          <t>AMR3</t>
        </is>
      </c>
      <c r="U782" s="31" t="n">
        <v>49.1</v>
      </c>
      <c r="V782" s="31" t="n">
        <v>49.1</v>
      </c>
      <c r="W782" s="30" t="inlineStr">
        <is>
          <t>AMR3</t>
        </is>
      </c>
      <c r="X782" s="32" t="n">
        <v>0</v>
      </c>
      <c r="Y782" s="32" t="n">
        <v>0</v>
      </c>
      <c r="Z782" s="31" t="n">
        <v>0</v>
      </c>
      <c r="AA782" s="32" t="n">
        <v>0</v>
      </c>
      <c r="AB782" s="32" t="n">
        <v>1</v>
      </c>
      <c r="AC782" s="32" t="n">
        <v>1</v>
      </c>
      <c r="AD782" s="32" t="n">
        <v>1</v>
      </c>
      <c r="AE782" s="31" t="n">
        <v>6.6</v>
      </c>
      <c r="AF782" s="32" t="n">
        <v>2</v>
      </c>
      <c r="AG782" s="31" t="n">
        <v>1.9</v>
      </c>
      <c r="AH782" s="32" t="n">
        <v>39</v>
      </c>
      <c r="AI782" s="31" t="n">
        <v>43.4</v>
      </c>
      <c r="AJ782" s="31" t="n">
        <v>40.9</v>
      </c>
      <c r="AK782" s="31" t="n">
        <v>11.9</v>
      </c>
      <c r="AL782" s="30" t="inlineStr">
        <is>
          <t>T-0931</t>
        </is>
      </c>
      <c r="AM782" s="30" t="inlineStr">
        <is>
          <t>D-02-01</t>
        </is>
      </c>
      <c r="AN782" s="30" t="inlineStr">
        <is>
          <t>T-0848</t>
        </is>
      </c>
      <c r="AO782" s="30" t="inlineStr">
        <is>
          <t>D-01-02</t>
        </is>
      </c>
    </row>
    <row r="783">
      <c r="A783" s="30" t="inlineStr">
        <is>
          <t>O0782</t>
        </is>
      </c>
      <c r="B783" s="30" t="inlineStr">
        <is>
          <t>A</t>
        </is>
      </c>
      <c r="C783" s="31" t="n">
        <v>9835.5</v>
      </c>
      <c r="D783" s="31" t="n">
        <v>38106.6</v>
      </c>
      <c r="E783" s="31" t="n">
        <v>38106.6</v>
      </c>
      <c r="F783" s="31" t="n">
        <v>38117.3</v>
      </c>
      <c r="G783" s="31" t="n">
        <v>38148.1</v>
      </c>
      <c r="H783" s="31" t="n">
        <v>38163.9</v>
      </c>
      <c r="I783" s="31" t="n">
        <v>38192.2</v>
      </c>
      <c r="J783" s="31" t="n">
        <v>38228.2</v>
      </c>
      <c r="K783" s="31" t="n">
        <v>28392.7</v>
      </c>
      <c r="L783" s="31" t="n">
        <v>28271.1</v>
      </c>
      <c r="M783" s="30" t="inlineStr">
        <is>
          <t>AMR1</t>
        </is>
      </c>
      <c r="N783" s="30" t="inlineStr">
        <is>
          <t>AMR2</t>
        </is>
      </c>
      <c r="O783" s="32" t="n">
        <v>0</v>
      </c>
      <c r="P783" s="32" t="n">
        <v>0</v>
      </c>
      <c r="Q783" s="32" t="n">
        <v>21</v>
      </c>
      <c r="R783" s="31" t="n">
        <v>39</v>
      </c>
      <c r="S783" s="31" t="n">
        <v>39</v>
      </c>
      <c r="T783" s="30" t="inlineStr">
        <is>
          <t>AMR1</t>
        </is>
      </c>
      <c r="U783" s="31" t="n">
        <v>65</v>
      </c>
      <c r="V783" s="31" t="n">
        <v>65</v>
      </c>
      <c r="W783" s="30" t="inlineStr">
        <is>
          <t>AMR2</t>
        </is>
      </c>
      <c r="X783" s="32" t="n">
        <v>0</v>
      </c>
      <c r="Y783" s="32" t="n">
        <v>0</v>
      </c>
      <c r="Z783" s="31" t="n">
        <v>0</v>
      </c>
      <c r="AA783" s="32" t="n">
        <v>0</v>
      </c>
      <c r="AB783" s="32" t="n">
        <v>1</v>
      </c>
      <c r="AC783" s="32" t="n">
        <v>0</v>
      </c>
      <c r="AD783" s="32" t="n">
        <v>0</v>
      </c>
      <c r="AE783" s="31" t="n">
        <v>0</v>
      </c>
      <c r="AF783" s="32" t="n">
        <v>0</v>
      </c>
      <c r="AG783" s="31" t="n">
        <v>0</v>
      </c>
      <c r="AH783" s="32" t="n">
        <v>65</v>
      </c>
      <c r="AI783" s="31" t="n">
        <v>63.9</v>
      </c>
      <c r="AJ783" s="31" t="n">
        <v>41.9</v>
      </c>
      <c r="AK783" s="31" t="n">
        <v>0</v>
      </c>
      <c r="AL783" s="30" t="inlineStr">
        <is>
          <t>T-0932</t>
        </is>
      </c>
      <c r="AM783" s="30" t="inlineStr">
        <is>
          <t>A-01-01</t>
        </is>
      </c>
      <c r="AN783" s="30" t="inlineStr">
        <is>
          <t>T-0740</t>
        </is>
      </c>
      <c r="AO783" s="30" t="inlineStr">
        <is>
          <t>A-04-02</t>
        </is>
      </c>
    </row>
    <row r="784">
      <c r="A784" s="30" t="inlineStr">
        <is>
          <t>O0783</t>
        </is>
      </c>
      <c r="B784" s="30" t="inlineStr">
        <is>
          <t>H</t>
        </is>
      </c>
      <c r="C784" s="31" t="n">
        <v>9841.700000000001</v>
      </c>
      <c r="D784" s="31" t="n">
        <v>38171.6</v>
      </c>
      <c r="E784" s="31" t="n">
        <v>38171.6</v>
      </c>
      <c r="F784" s="31" t="n">
        <v>38183</v>
      </c>
      <c r="G784" s="31" t="n">
        <v>38208.6</v>
      </c>
      <c r="H784" s="31" t="n">
        <v>38222.1</v>
      </c>
      <c r="I784" s="31" t="n">
        <v>38248.3</v>
      </c>
      <c r="J784" s="31" t="n">
        <v>38275.1</v>
      </c>
      <c r="K784" s="31" t="n">
        <v>28433.4</v>
      </c>
      <c r="L784" s="31" t="n">
        <v>28329.9</v>
      </c>
      <c r="M784" s="30" t="inlineStr">
        <is>
          <t>AMR1</t>
        </is>
      </c>
      <c r="N784" s="30" t="inlineStr">
        <is>
          <t>AMR1</t>
        </is>
      </c>
      <c r="O784" s="32" t="n">
        <v>0</v>
      </c>
      <c r="P784" s="32" t="n">
        <v>0</v>
      </c>
      <c r="Q784" s="32" t="n">
        <v>15</v>
      </c>
      <c r="R784" s="31" t="n">
        <v>36.9</v>
      </c>
      <c r="S784" s="31" t="n">
        <v>36.9</v>
      </c>
      <c r="T784" s="30" t="inlineStr">
        <is>
          <t>AMR1</t>
        </is>
      </c>
      <c r="U784" s="31" t="n">
        <v>54.2</v>
      </c>
      <c r="V784" s="31" t="n">
        <v>54.2</v>
      </c>
      <c r="W784" s="30" t="inlineStr">
        <is>
          <t>AMR1</t>
        </is>
      </c>
      <c r="X784" s="32" t="n">
        <v>0</v>
      </c>
      <c r="Y784" s="32" t="n">
        <v>0</v>
      </c>
      <c r="Z784" s="31" t="n">
        <v>0</v>
      </c>
      <c r="AA784" s="32" t="n">
        <v>0</v>
      </c>
      <c r="AB784" s="32" t="n">
        <v>0</v>
      </c>
      <c r="AC784" s="32" t="n">
        <v>0</v>
      </c>
      <c r="AD784" s="32" t="n">
        <v>0</v>
      </c>
      <c r="AE784" s="31" t="n">
        <v>0</v>
      </c>
      <c r="AF784" s="32" t="n">
        <v>0</v>
      </c>
      <c r="AG784" s="31" t="n">
        <v>0</v>
      </c>
      <c r="AH784" s="32" t="n">
        <v>40</v>
      </c>
      <c r="AI784" s="31" t="n">
        <v>44.2</v>
      </c>
      <c r="AJ784" s="31" t="n">
        <v>45.8</v>
      </c>
      <c r="AK784" s="31" t="n">
        <v>0</v>
      </c>
      <c r="AL784" s="30" t="inlineStr">
        <is>
          <t>T-0933</t>
        </is>
      </c>
      <c r="AM784" s="30" t="inlineStr">
        <is>
          <t>H-06-01</t>
        </is>
      </c>
      <c r="AN784" s="30" t="inlineStr">
        <is>
          <t>T-0845</t>
        </is>
      </c>
      <c r="AO784" s="30" t="inlineStr">
        <is>
          <t>H-01-03</t>
        </is>
      </c>
    </row>
    <row r="785">
      <c r="A785" s="30" t="inlineStr">
        <is>
          <t>O0784</t>
        </is>
      </c>
      <c r="B785" s="30" t="inlineStr">
        <is>
          <t>I</t>
        </is>
      </c>
      <c r="C785" s="31" t="n">
        <v>9845.5</v>
      </c>
      <c r="D785" s="31" t="n">
        <v>38183</v>
      </c>
      <c r="E785" s="31" t="n">
        <v>38183</v>
      </c>
      <c r="F785" s="31" t="n">
        <v>38197.3</v>
      </c>
      <c r="G785" s="31" t="n">
        <v>38225</v>
      </c>
      <c r="H785" s="31" t="n">
        <v>38239.8</v>
      </c>
      <c r="I785" s="31" t="n">
        <v>38271.4</v>
      </c>
      <c r="J785" s="31" t="n">
        <v>38297.9</v>
      </c>
      <c r="K785" s="31" t="n">
        <v>28452.4</v>
      </c>
      <c r="L785" s="31" t="n">
        <v>28337.5</v>
      </c>
      <c r="M785" s="30" t="inlineStr">
        <is>
          <t>AMR3</t>
        </is>
      </c>
      <c r="N785" s="30" t="inlineStr">
        <is>
          <t>AMR3</t>
        </is>
      </c>
      <c r="O785" s="32" t="n">
        <v>0</v>
      </c>
      <c r="P785" s="32" t="n">
        <v>0</v>
      </c>
      <c r="Q785" s="32" t="n">
        <v>15</v>
      </c>
      <c r="R785" s="31" t="n">
        <v>41.1</v>
      </c>
      <c r="S785" s="31" t="n">
        <v>41.1</v>
      </c>
      <c r="T785" s="30" t="inlineStr">
        <is>
          <t>AMR3</t>
        </is>
      </c>
      <c r="U785" s="31" t="n">
        <v>52.5</v>
      </c>
      <c r="V785" s="31" t="n">
        <v>52.5</v>
      </c>
      <c r="W785" s="30" t="inlineStr">
        <is>
          <t>AMR3</t>
        </is>
      </c>
      <c r="X785" s="32" t="n">
        <v>0</v>
      </c>
      <c r="Y785" s="32" t="n">
        <v>0</v>
      </c>
      <c r="Z785" s="31" t="n">
        <v>0</v>
      </c>
      <c r="AA785" s="32" t="n">
        <v>0</v>
      </c>
      <c r="AB785" s="32" t="n">
        <v>1</v>
      </c>
      <c r="AC785" s="32" t="n">
        <v>1</v>
      </c>
      <c r="AD785" s="32" t="n">
        <v>0</v>
      </c>
      <c r="AE785" s="31" t="n">
        <v>0</v>
      </c>
      <c r="AF785" s="32" t="n">
        <v>0</v>
      </c>
      <c r="AG785" s="31" t="n">
        <v>0</v>
      </c>
      <c r="AH785" s="32" t="n">
        <v>43</v>
      </c>
      <c r="AI785" s="31" t="n">
        <v>49.3</v>
      </c>
      <c r="AJ785" s="31" t="n">
        <v>47.8</v>
      </c>
      <c r="AK785" s="31" t="n">
        <v>3</v>
      </c>
      <c r="AL785" s="30" t="inlineStr">
        <is>
          <t>T-0934</t>
        </is>
      </c>
      <c r="AM785" s="30" t="inlineStr">
        <is>
          <t>I-01-03</t>
        </is>
      </c>
      <c r="AN785" s="30" t="inlineStr">
        <is>
          <t>T-0874</t>
        </is>
      </c>
      <c r="AO785" s="30" t="inlineStr">
        <is>
          <t>I-01-01</t>
        </is>
      </c>
    </row>
    <row r="786">
      <c r="A786" s="30" t="inlineStr">
        <is>
          <t>O0785</t>
        </is>
      </c>
      <c r="B786" s="30" t="inlineStr">
        <is>
          <t>I</t>
        </is>
      </c>
      <c r="C786" s="31" t="n">
        <v>9852.4</v>
      </c>
      <c r="D786" s="31" t="n">
        <v>38256.3</v>
      </c>
      <c r="E786" s="31" t="n">
        <v>38256.3</v>
      </c>
      <c r="F786" s="31" t="n">
        <v>38269.4</v>
      </c>
      <c r="G786" s="31" t="n">
        <v>38297.7</v>
      </c>
      <c r="H786" s="31" t="n">
        <v>38298.8</v>
      </c>
      <c r="I786" s="31" t="n">
        <v>38328</v>
      </c>
      <c r="J786" s="31" t="n">
        <v>38353.9</v>
      </c>
      <c r="K786" s="31" t="n">
        <v>28501.5</v>
      </c>
      <c r="L786" s="31" t="n">
        <v>28403.9</v>
      </c>
      <c r="M786" s="30" t="inlineStr">
        <is>
          <t>AMR2</t>
        </is>
      </c>
      <c r="N786" s="30" t="inlineStr">
        <is>
          <t>AMR1</t>
        </is>
      </c>
      <c r="O786" s="32" t="n">
        <v>0</v>
      </c>
      <c r="P786" s="32" t="n">
        <v>0</v>
      </c>
      <c r="Q786" s="32" t="n">
        <v>15</v>
      </c>
      <c r="R786" s="31" t="n">
        <v>38.9</v>
      </c>
      <c r="S786" s="31" t="n">
        <v>38.9</v>
      </c>
      <c r="T786" s="30" t="inlineStr">
        <is>
          <t>AMR2</t>
        </is>
      </c>
      <c r="U786" s="31" t="n">
        <v>52.5</v>
      </c>
      <c r="V786" s="31" t="n">
        <v>52.5</v>
      </c>
      <c r="W786" s="30" t="inlineStr">
        <is>
          <t>AMR1</t>
        </is>
      </c>
      <c r="X786" s="32" t="n">
        <v>0</v>
      </c>
      <c r="Y786" s="32" t="n">
        <v>0</v>
      </c>
      <c r="Z786" s="31" t="n">
        <v>0</v>
      </c>
      <c r="AA786" s="32" t="n">
        <v>0</v>
      </c>
      <c r="AB786" s="32" t="n">
        <v>1</v>
      </c>
      <c r="AC786" s="32" t="n">
        <v>1</v>
      </c>
      <c r="AD786" s="32" t="n">
        <v>0</v>
      </c>
      <c r="AE786" s="31" t="n">
        <v>0</v>
      </c>
      <c r="AF786" s="32" t="n">
        <v>0</v>
      </c>
      <c r="AG786" s="31" t="n">
        <v>0</v>
      </c>
      <c r="AH786" s="32" t="n">
        <v>43</v>
      </c>
      <c r="AI786" s="31" t="n">
        <v>47.9</v>
      </c>
      <c r="AJ786" s="31" t="n">
        <v>45.6</v>
      </c>
      <c r="AK786" s="31" t="n">
        <v>3</v>
      </c>
      <c r="AL786" s="30" t="inlineStr">
        <is>
          <t>T-0935</t>
        </is>
      </c>
      <c r="AM786" s="30" t="inlineStr">
        <is>
          <t>I-05-03</t>
        </is>
      </c>
      <c r="AN786" s="30" t="inlineStr">
        <is>
          <t>T-0875</t>
        </is>
      </c>
      <c r="AO786" s="30" t="inlineStr">
        <is>
          <t>I-02-03</t>
        </is>
      </c>
    </row>
    <row r="787">
      <c r="A787" s="30" t="inlineStr">
        <is>
          <t>O0786</t>
        </is>
      </c>
      <c r="B787" s="30" t="inlineStr">
        <is>
          <t>H</t>
        </is>
      </c>
      <c r="C787" s="31" t="n">
        <v>9856.9</v>
      </c>
      <c r="D787" s="31" t="n">
        <v>38314.5</v>
      </c>
      <c r="E787" s="31" t="n">
        <v>38314.5</v>
      </c>
      <c r="F787" s="31" t="n">
        <v>38326.1</v>
      </c>
      <c r="G787" s="31" t="n">
        <v>38348.1</v>
      </c>
      <c r="H787" s="31" t="n">
        <v>38361.6</v>
      </c>
      <c r="I787" s="31" t="n">
        <v>38385.7</v>
      </c>
      <c r="J787" s="31" t="n">
        <v>38411</v>
      </c>
      <c r="K787" s="31" t="n">
        <v>28554.1</v>
      </c>
      <c r="L787" s="31" t="n">
        <v>28457.6</v>
      </c>
      <c r="M787" s="30" t="inlineStr">
        <is>
          <t>AMR2</t>
        </is>
      </c>
      <c r="N787" s="30" t="inlineStr">
        <is>
          <t>AMR2</t>
        </is>
      </c>
      <c r="O787" s="32" t="n">
        <v>0</v>
      </c>
      <c r="P787" s="32" t="n">
        <v>0</v>
      </c>
      <c r="Q787" s="32" t="n">
        <v>15</v>
      </c>
      <c r="R787" s="31" t="n">
        <v>33.5</v>
      </c>
      <c r="S787" s="31" t="n">
        <v>33.5</v>
      </c>
      <c r="T787" s="30" t="inlineStr">
        <is>
          <t>AMR2</t>
        </is>
      </c>
      <c r="U787" s="31" t="n">
        <v>50.6</v>
      </c>
      <c r="V787" s="31" t="n">
        <v>50.6</v>
      </c>
      <c r="W787" s="30" t="inlineStr">
        <is>
          <t>AMR2</t>
        </is>
      </c>
      <c r="X787" s="32" t="n">
        <v>0</v>
      </c>
      <c r="Y787" s="32" t="n">
        <v>0</v>
      </c>
      <c r="Z787" s="31" t="n">
        <v>0</v>
      </c>
      <c r="AA787" s="32" t="n">
        <v>0</v>
      </c>
      <c r="AB787" s="32" t="n">
        <v>0</v>
      </c>
      <c r="AC787" s="32" t="n">
        <v>0</v>
      </c>
      <c r="AD787" s="32" t="n">
        <v>0</v>
      </c>
      <c r="AE787" s="31" t="n">
        <v>0</v>
      </c>
      <c r="AF787" s="32" t="n">
        <v>0</v>
      </c>
      <c r="AG787" s="31" t="n">
        <v>0</v>
      </c>
      <c r="AH787" s="32" t="n">
        <v>40</v>
      </c>
      <c r="AI787" s="31" t="n">
        <v>44.2</v>
      </c>
      <c r="AJ787" s="31" t="n">
        <v>38.8</v>
      </c>
      <c r="AK787" s="31" t="n">
        <v>0</v>
      </c>
      <c r="AL787" s="30" t="inlineStr">
        <is>
          <t>T-0936</t>
        </is>
      </c>
      <c r="AM787" s="30" t="inlineStr">
        <is>
          <t>H-06-02</t>
        </is>
      </c>
      <c r="AN787" s="30" t="inlineStr">
        <is>
          <t>T-0851</t>
        </is>
      </c>
      <c r="AO787" s="30" t="inlineStr">
        <is>
          <t>H-01-02</t>
        </is>
      </c>
    </row>
    <row r="788">
      <c r="A788" s="30" t="inlineStr">
        <is>
          <t>O0787</t>
        </is>
      </c>
      <c r="B788" s="30" t="inlineStr">
        <is>
          <t>J</t>
        </is>
      </c>
      <c r="C788" s="31" t="n">
        <v>9862.4</v>
      </c>
      <c r="D788" s="31" t="n">
        <v>38326</v>
      </c>
      <c r="E788" s="31" t="n">
        <v>38326</v>
      </c>
      <c r="F788" s="31" t="n">
        <v>38339.3</v>
      </c>
      <c r="G788" s="31" t="n">
        <v>38368.9</v>
      </c>
      <c r="H788" s="31" t="n">
        <v>38377.6</v>
      </c>
      <c r="I788" s="31" t="n">
        <v>38410.8</v>
      </c>
      <c r="J788" s="31" t="n">
        <v>38445.3</v>
      </c>
      <c r="K788" s="31" t="n">
        <v>28582.9</v>
      </c>
      <c r="L788" s="31" t="n">
        <v>28463.6</v>
      </c>
      <c r="M788" s="30" t="inlineStr">
        <is>
          <t>AMR3</t>
        </is>
      </c>
      <c r="N788" s="30" t="inlineStr">
        <is>
          <t>AMR1</t>
        </is>
      </c>
      <c r="O788" s="32" t="n">
        <v>0</v>
      </c>
      <c r="P788" s="32" t="n">
        <v>0</v>
      </c>
      <c r="Q788" s="32" t="n">
        <v>21</v>
      </c>
      <c r="R788" s="31" t="n">
        <v>42</v>
      </c>
      <c r="S788" s="31" t="n">
        <v>42</v>
      </c>
      <c r="T788" s="30" t="inlineStr">
        <is>
          <t>AMR3</t>
        </is>
      </c>
      <c r="U788" s="31" t="n">
        <v>65.90000000000001</v>
      </c>
      <c r="V788" s="31" t="n">
        <v>65.90000000000001</v>
      </c>
      <c r="W788" s="30" t="inlineStr">
        <is>
          <t>AMR1</t>
        </is>
      </c>
      <c r="X788" s="32" t="n">
        <v>0</v>
      </c>
      <c r="Y788" s="32" t="n">
        <v>0</v>
      </c>
      <c r="Z788" s="31" t="n">
        <v>0</v>
      </c>
      <c r="AA788" s="32" t="n">
        <v>0</v>
      </c>
      <c r="AB788" s="32" t="n">
        <v>0</v>
      </c>
      <c r="AC788" s="32" t="n">
        <v>0</v>
      </c>
      <c r="AD788" s="32" t="n">
        <v>0</v>
      </c>
      <c r="AE788" s="31" t="n">
        <v>0</v>
      </c>
      <c r="AF788" s="32" t="n">
        <v>0</v>
      </c>
      <c r="AG788" s="31" t="n">
        <v>0</v>
      </c>
      <c r="AH788" s="32" t="n">
        <v>61</v>
      </c>
      <c r="AI788" s="31" t="n">
        <v>63.3</v>
      </c>
      <c r="AJ788" s="31" t="n">
        <v>47.3</v>
      </c>
      <c r="AK788" s="31" t="n">
        <v>0</v>
      </c>
      <c r="AL788" s="30" t="inlineStr">
        <is>
          <t>T-0937</t>
        </is>
      </c>
      <c r="AM788" s="30" t="inlineStr">
        <is>
          <t>J-02-02</t>
        </is>
      </c>
      <c r="AN788" s="30" t="inlineStr">
        <is>
          <t>T-0744</t>
        </is>
      </c>
      <c r="AO788" s="30" t="inlineStr">
        <is>
          <t>J-03-02</t>
        </is>
      </c>
    </row>
    <row r="789">
      <c r="A789" s="30" t="inlineStr">
        <is>
          <t>O0788</t>
        </is>
      </c>
      <c r="B789" s="30" t="inlineStr">
        <is>
          <t>D</t>
        </is>
      </c>
      <c r="C789" s="31" t="n">
        <v>9869.1</v>
      </c>
      <c r="D789" s="31" t="n">
        <v>38389.1</v>
      </c>
      <c r="E789" s="31" t="n">
        <v>38389.1</v>
      </c>
      <c r="F789" s="31" t="n">
        <v>38400.1</v>
      </c>
      <c r="G789" s="31" t="n">
        <v>38422.8</v>
      </c>
      <c r="H789" s="31" t="n">
        <v>38434.7</v>
      </c>
      <c r="I789" s="31" t="n">
        <v>38463</v>
      </c>
      <c r="J789" s="31" t="n">
        <v>38490.9</v>
      </c>
      <c r="K789" s="31" t="n">
        <v>28621.8</v>
      </c>
      <c r="L789" s="31" t="n">
        <v>28520</v>
      </c>
      <c r="M789" s="30" t="inlineStr">
        <is>
          <t>AMR3</t>
        </is>
      </c>
      <c r="N789" s="30" t="inlineStr">
        <is>
          <t>AMR2</t>
        </is>
      </c>
      <c r="O789" s="32" t="n">
        <v>0</v>
      </c>
      <c r="P789" s="32" t="n">
        <v>0</v>
      </c>
      <c r="Q789" s="32" t="n">
        <v>13</v>
      </c>
      <c r="R789" s="31" t="n">
        <v>30.4</v>
      </c>
      <c r="S789" s="31" t="n">
        <v>30.4</v>
      </c>
      <c r="T789" s="30" t="inlineStr">
        <is>
          <t>AMR3</t>
        </is>
      </c>
      <c r="U789" s="31" t="n">
        <v>51.3</v>
      </c>
      <c r="V789" s="31" t="n">
        <v>51.3</v>
      </c>
      <c r="W789" s="30" t="inlineStr">
        <is>
          <t>AMR2</t>
        </is>
      </c>
      <c r="X789" s="32" t="n">
        <v>0</v>
      </c>
      <c r="Y789" s="32" t="n">
        <v>0</v>
      </c>
      <c r="Z789" s="31" t="n">
        <v>0</v>
      </c>
      <c r="AA789" s="32" t="n">
        <v>0</v>
      </c>
      <c r="AB789" s="32" t="n">
        <v>1</v>
      </c>
      <c r="AC789" s="32" t="n">
        <v>1</v>
      </c>
      <c r="AD789" s="32" t="n">
        <v>0</v>
      </c>
      <c r="AE789" s="31" t="n">
        <v>0</v>
      </c>
      <c r="AF789" s="32" t="n">
        <v>1</v>
      </c>
      <c r="AG789" s="31" t="n">
        <v>0.1</v>
      </c>
      <c r="AH789" s="32" t="n">
        <v>42</v>
      </c>
      <c r="AI789" s="31" t="n">
        <v>45.8</v>
      </c>
      <c r="AJ789" s="31" t="n">
        <v>39</v>
      </c>
      <c r="AK789" s="31" t="n">
        <v>5.1</v>
      </c>
      <c r="AL789" s="30" t="inlineStr">
        <is>
          <t>T-0938</t>
        </is>
      </c>
      <c r="AM789" s="30" t="inlineStr">
        <is>
          <t>D-06-01</t>
        </is>
      </c>
      <c r="AN789" s="30" t="inlineStr">
        <is>
          <t>T-0856</t>
        </is>
      </c>
      <c r="AO789" s="30" t="inlineStr">
        <is>
          <t>D-02-02</t>
        </is>
      </c>
    </row>
    <row r="790">
      <c r="A790" s="30" t="inlineStr">
        <is>
          <t>O0789</t>
        </is>
      </c>
      <c r="B790" s="30" t="inlineStr">
        <is>
          <t>D</t>
        </is>
      </c>
      <c r="C790" s="31" t="n">
        <v>9872.5</v>
      </c>
      <c r="D790" s="31" t="n">
        <v>38444.7</v>
      </c>
      <c r="E790" s="31" t="n">
        <v>38444.7</v>
      </c>
      <c r="F790" s="31" t="n">
        <v>38459.8</v>
      </c>
      <c r="G790" s="31" t="n">
        <v>38488.7</v>
      </c>
      <c r="H790" s="31" t="n">
        <v>38501.1</v>
      </c>
      <c r="I790" s="31" t="n">
        <v>38532</v>
      </c>
      <c r="J790" s="31" t="n">
        <v>38563.8</v>
      </c>
      <c r="K790" s="31" t="n">
        <v>28691.3</v>
      </c>
      <c r="L790" s="31" t="n">
        <v>28572.2</v>
      </c>
      <c r="M790" s="30" t="inlineStr">
        <is>
          <t>AMR3</t>
        </is>
      </c>
      <c r="N790" s="30" t="inlineStr">
        <is>
          <t>AMR3</t>
        </is>
      </c>
      <c r="O790" s="32" t="n">
        <v>0</v>
      </c>
      <c r="P790" s="32" t="n">
        <v>0</v>
      </c>
      <c r="Q790" s="32" t="n">
        <v>13</v>
      </c>
      <c r="R790" s="31" t="n">
        <v>33.7</v>
      </c>
      <c r="S790" s="31" t="n">
        <v>33.7</v>
      </c>
      <c r="T790" s="30" t="inlineStr">
        <is>
          <t>AMR3</t>
        </is>
      </c>
      <c r="U790" s="31" t="n">
        <v>54.3</v>
      </c>
      <c r="V790" s="31" t="n">
        <v>54.3</v>
      </c>
      <c r="W790" s="30" t="inlineStr">
        <is>
          <t>AMR3</t>
        </is>
      </c>
      <c r="X790" s="32" t="n">
        <v>0</v>
      </c>
      <c r="Y790" s="32" t="n">
        <v>0</v>
      </c>
      <c r="Z790" s="31" t="n">
        <v>0</v>
      </c>
      <c r="AA790" s="32" t="n">
        <v>0</v>
      </c>
      <c r="AB790" s="32" t="n">
        <v>2</v>
      </c>
      <c r="AC790" s="32" t="n">
        <v>2</v>
      </c>
      <c r="AD790" s="32" t="n">
        <v>1</v>
      </c>
      <c r="AE790" s="31" t="n">
        <v>1.3</v>
      </c>
      <c r="AF790" s="32" t="n">
        <v>1</v>
      </c>
      <c r="AG790" s="31" t="n">
        <v>0.3</v>
      </c>
      <c r="AH790" s="32" t="n">
        <v>49</v>
      </c>
      <c r="AI790" s="31" t="n">
        <v>51.8</v>
      </c>
      <c r="AJ790" s="31" t="n">
        <v>45.3</v>
      </c>
      <c r="AK790" s="31" t="n">
        <v>9.6</v>
      </c>
      <c r="AL790" s="30" t="inlineStr">
        <is>
          <t>T-0939</t>
        </is>
      </c>
      <c r="AM790" s="30" t="inlineStr">
        <is>
          <t>D-01-02</t>
        </is>
      </c>
      <c r="AN790" s="30" t="inlineStr">
        <is>
          <t>T-0865</t>
        </is>
      </c>
      <c r="AO790" s="30" t="inlineStr">
        <is>
          <t>D-03-02</t>
        </is>
      </c>
    </row>
    <row r="791">
      <c r="A791" s="30" t="inlineStr">
        <is>
          <t>O0790</t>
        </is>
      </c>
      <c r="B791" s="30" t="inlineStr">
        <is>
          <t>I</t>
        </is>
      </c>
      <c r="C791" s="31" t="n">
        <v>9878.299999999999</v>
      </c>
      <c r="D791" s="31" t="n">
        <v>38473.3</v>
      </c>
      <c r="E791" s="31" t="n">
        <v>38473.3</v>
      </c>
      <c r="F791" s="31" t="n">
        <v>38488.9</v>
      </c>
      <c r="G791" s="31" t="n">
        <v>38516.5</v>
      </c>
      <c r="H791" s="31" t="n">
        <v>38522</v>
      </c>
      <c r="I791" s="31" t="n">
        <v>38551.1</v>
      </c>
      <c r="J791" s="31" t="n">
        <v>38579.3</v>
      </c>
      <c r="K791" s="31" t="n">
        <v>28701</v>
      </c>
      <c r="L791" s="31" t="n">
        <v>28595</v>
      </c>
      <c r="M791" s="30" t="inlineStr">
        <is>
          <t>AMR1</t>
        </is>
      </c>
      <c r="N791" s="30" t="inlineStr">
        <is>
          <t>AMR2</t>
        </is>
      </c>
      <c r="O791" s="32" t="n">
        <v>0</v>
      </c>
      <c r="P791" s="32" t="n">
        <v>0</v>
      </c>
      <c r="Q791" s="32" t="n">
        <v>15</v>
      </c>
      <c r="R791" s="31" t="n">
        <v>42.3</v>
      </c>
      <c r="S791" s="31" t="n">
        <v>42.3</v>
      </c>
      <c r="T791" s="30" t="inlineStr">
        <is>
          <t>AMR1</t>
        </is>
      </c>
      <c r="U791" s="31" t="n">
        <v>56.3</v>
      </c>
      <c r="V791" s="31" t="n">
        <v>56.3</v>
      </c>
      <c r="W791" s="30" t="inlineStr">
        <is>
          <t>AMR2</t>
        </is>
      </c>
      <c r="X791" s="32" t="n">
        <v>0</v>
      </c>
      <c r="Y791" s="32" t="n">
        <v>0</v>
      </c>
      <c r="Z791" s="31" t="n">
        <v>0</v>
      </c>
      <c r="AA791" s="32" t="n">
        <v>0</v>
      </c>
      <c r="AB791" s="32" t="n">
        <v>0</v>
      </c>
      <c r="AC791" s="32" t="n">
        <v>0</v>
      </c>
      <c r="AD791" s="32" t="n">
        <v>1</v>
      </c>
      <c r="AE791" s="31" t="n">
        <v>1.2</v>
      </c>
      <c r="AF791" s="32" t="n">
        <v>0</v>
      </c>
      <c r="AG791" s="31" t="n">
        <v>0</v>
      </c>
      <c r="AH791" s="32" t="n">
        <v>41</v>
      </c>
      <c r="AI791" s="31" t="n">
        <v>46.5</v>
      </c>
      <c r="AJ791" s="31" t="n">
        <v>52.8</v>
      </c>
      <c r="AK791" s="31" t="n">
        <v>1.2</v>
      </c>
      <c r="AL791" s="30" t="inlineStr">
        <is>
          <t>T-0940</t>
        </is>
      </c>
      <c r="AM791" s="30" t="inlineStr">
        <is>
          <t>I-01-01</t>
        </is>
      </c>
      <c r="AN791" s="30" t="inlineStr">
        <is>
          <t>T-0881</t>
        </is>
      </c>
      <c r="AO791" s="30" t="inlineStr">
        <is>
          <t>I-02-01</t>
        </is>
      </c>
    </row>
    <row r="792">
      <c r="A792" s="30" t="inlineStr">
        <is>
          <t>O0791</t>
        </is>
      </c>
      <c r="B792" s="30" t="inlineStr">
        <is>
          <t>D</t>
        </is>
      </c>
      <c r="C792" s="31" t="n">
        <v>9881.9</v>
      </c>
      <c r="D792" s="31" t="n">
        <v>38531.3</v>
      </c>
      <c r="E792" s="31" t="n">
        <v>38531.3</v>
      </c>
      <c r="F792" s="31" t="n">
        <v>38541.9</v>
      </c>
      <c r="G792" s="31" t="n">
        <v>38564.1</v>
      </c>
      <c r="H792" s="31" t="n">
        <v>38576.9</v>
      </c>
      <c r="I792" s="31" t="n">
        <v>38604.9</v>
      </c>
      <c r="J792" s="31" t="n">
        <v>38635</v>
      </c>
      <c r="K792" s="31" t="n">
        <v>28753.1</v>
      </c>
      <c r="L792" s="31" t="n">
        <v>28649.4</v>
      </c>
      <c r="M792" s="30" t="inlineStr">
        <is>
          <t>AMR1</t>
        </is>
      </c>
      <c r="N792" s="30" t="inlineStr">
        <is>
          <t>AMR1</t>
        </is>
      </c>
      <c r="O792" s="32" t="n">
        <v>0</v>
      </c>
      <c r="P792" s="32" t="n">
        <v>0</v>
      </c>
      <c r="Q792" s="32" t="n">
        <v>13</v>
      </c>
      <c r="R792" s="31" t="n">
        <v>31.9</v>
      </c>
      <c r="S792" s="31" t="n">
        <v>31.9</v>
      </c>
      <c r="T792" s="30" t="inlineStr">
        <is>
          <t>AMR1</t>
        </is>
      </c>
      <c r="U792" s="31" t="n">
        <v>49.3</v>
      </c>
      <c r="V792" s="31" t="n">
        <v>49.3</v>
      </c>
      <c r="W792" s="30" t="inlineStr">
        <is>
          <t>AMR1</t>
        </is>
      </c>
      <c r="X792" s="32" t="n">
        <v>0</v>
      </c>
      <c r="Y792" s="32" t="n">
        <v>0</v>
      </c>
      <c r="Z792" s="31" t="n">
        <v>0</v>
      </c>
      <c r="AA792" s="32" t="n">
        <v>0</v>
      </c>
      <c r="AB792" s="32" t="n">
        <v>2</v>
      </c>
      <c r="AC792" s="32" t="n">
        <v>1</v>
      </c>
      <c r="AD792" s="32" t="n">
        <v>0</v>
      </c>
      <c r="AE792" s="31" t="n">
        <v>0</v>
      </c>
      <c r="AF792" s="32" t="n">
        <v>1</v>
      </c>
      <c r="AG792" s="31" t="n">
        <v>0.5</v>
      </c>
      <c r="AH792" s="32" t="n">
        <v>43</v>
      </c>
      <c r="AI792" s="31" t="n">
        <v>46.9</v>
      </c>
      <c r="AJ792" s="31" t="n">
        <v>38.5</v>
      </c>
      <c r="AK792" s="31" t="n">
        <v>5.5</v>
      </c>
      <c r="AL792" s="30" t="inlineStr">
        <is>
          <t>T-0941</t>
        </is>
      </c>
      <c r="AM792" s="30" t="inlineStr">
        <is>
          <t>D-02-02</t>
        </is>
      </c>
      <c r="AN792" s="30" t="inlineStr">
        <is>
          <t>T-0876</t>
        </is>
      </c>
      <c r="AO792" s="30" t="inlineStr">
        <is>
          <t>D-04-02</t>
        </is>
      </c>
    </row>
    <row r="793">
      <c r="A793" s="30" t="inlineStr">
        <is>
          <t>O0792</t>
        </is>
      </c>
      <c r="B793" s="30" t="inlineStr">
        <is>
          <t>J</t>
        </is>
      </c>
      <c r="C793" s="31" t="n">
        <v>9887.4</v>
      </c>
      <c r="D793" s="31" t="n">
        <v>38591.5</v>
      </c>
      <c r="E793" s="31" t="n">
        <v>38591.5</v>
      </c>
      <c r="F793" s="31" t="n">
        <v>38603.7</v>
      </c>
      <c r="G793" s="31" t="n">
        <v>38632.9</v>
      </c>
      <c r="H793" s="31" t="n">
        <v>38654.4</v>
      </c>
      <c r="I793" s="31" t="n">
        <v>38692.1</v>
      </c>
      <c r="J793" s="31" t="n">
        <v>38740</v>
      </c>
      <c r="K793" s="31" t="n">
        <v>28852.6</v>
      </c>
      <c r="L793" s="31" t="n">
        <v>28704.1</v>
      </c>
      <c r="M793" s="30" t="inlineStr">
        <is>
          <t>AMR3</t>
        </is>
      </c>
      <c r="N793" s="30" t="inlineStr">
        <is>
          <t>AMR3</t>
        </is>
      </c>
      <c r="O793" s="32" t="n">
        <v>0</v>
      </c>
      <c r="P793" s="32" t="n">
        <v>0</v>
      </c>
      <c r="Q793" s="32" t="n">
        <v>21</v>
      </c>
      <c r="R793" s="31" t="n">
        <v>39.7</v>
      </c>
      <c r="S793" s="31" t="n">
        <v>39.7</v>
      </c>
      <c r="T793" s="30" t="inlineStr">
        <is>
          <t>AMR3</t>
        </is>
      </c>
      <c r="U793" s="31" t="n">
        <v>64.5</v>
      </c>
      <c r="V793" s="31" t="n">
        <v>64.5</v>
      </c>
      <c r="W793" s="30" t="inlineStr">
        <is>
          <t>AMR3</t>
        </is>
      </c>
      <c r="X793" s="32" t="n">
        <v>0</v>
      </c>
      <c r="Y793" s="32" t="n">
        <v>0</v>
      </c>
      <c r="Z793" s="31" t="n">
        <v>0</v>
      </c>
      <c r="AA793" s="32" t="n">
        <v>0</v>
      </c>
      <c r="AB793" s="32" t="n">
        <v>1</v>
      </c>
      <c r="AC793" s="32" t="n">
        <v>1</v>
      </c>
      <c r="AD793" s="32" t="n">
        <v>1</v>
      </c>
      <c r="AE793" s="31" t="n">
        <v>11.9</v>
      </c>
      <c r="AF793" s="32" t="n">
        <v>1</v>
      </c>
      <c r="AG793" s="31" t="n">
        <v>6.9</v>
      </c>
      <c r="AH793" s="32" t="n">
        <v>66</v>
      </c>
      <c r="AI793" s="31" t="n">
        <v>68.5</v>
      </c>
      <c r="AJ793" s="31" t="n">
        <v>43.6</v>
      </c>
      <c r="AK793" s="31" t="n">
        <v>14.9</v>
      </c>
      <c r="AL793" s="30" t="inlineStr">
        <is>
          <t>T-0942</t>
        </is>
      </c>
      <c r="AM793" s="30" t="inlineStr">
        <is>
          <t>J-03-02</t>
        </is>
      </c>
      <c r="AN793" s="30" t="inlineStr">
        <is>
          <t>T-0745</t>
        </is>
      </c>
      <c r="AO793" s="30" t="inlineStr">
        <is>
          <t>J-06-03</t>
        </is>
      </c>
    </row>
    <row r="794">
      <c r="A794" s="30" t="inlineStr">
        <is>
          <t>O0793</t>
        </is>
      </c>
      <c r="B794" s="30" t="inlineStr">
        <is>
          <t>D</t>
        </is>
      </c>
      <c r="C794" s="31" t="n">
        <v>9892.6</v>
      </c>
      <c r="D794" s="31" t="n">
        <v>38606.6</v>
      </c>
      <c r="E794" s="31" t="n">
        <v>38606.6</v>
      </c>
      <c r="F794" s="31" t="n">
        <v>38621.1</v>
      </c>
      <c r="G794" s="31" t="n">
        <v>38646.4</v>
      </c>
      <c r="H794" s="31" t="n">
        <v>38663.3</v>
      </c>
      <c r="I794" s="31" t="n">
        <v>38692.4</v>
      </c>
      <c r="J794" s="31" t="n">
        <v>38724.3</v>
      </c>
      <c r="K794" s="31" t="n">
        <v>28831.7</v>
      </c>
      <c r="L794" s="31" t="n">
        <v>28714</v>
      </c>
      <c r="M794" s="30" t="inlineStr">
        <is>
          <t>AMR2</t>
        </is>
      </c>
      <c r="N794" s="30" t="inlineStr">
        <is>
          <t>AMR1</t>
        </is>
      </c>
      <c r="O794" s="32" t="n">
        <v>0</v>
      </c>
      <c r="P794" s="32" t="n">
        <v>0</v>
      </c>
      <c r="Q794" s="32" t="n">
        <v>13</v>
      </c>
      <c r="R794" s="31" t="n">
        <v>38.1</v>
      </c>
      <c r="S794" s="31" t="n">
        <v>38.1</v>
      </c>
      <c r="T794" s="30" t="inlineStr">
        <is>
          <t>AMR2</t>
        </is>
      </c>
      <c r="U794" s="31" t="n">
        <v>52.9</v>
      </c>
      <c r="V794" s="31" t="n">
        <v>52.9</v>
      </c>
      <c r="W794" s="30" t="inlineStr">
        <is>
          <t>AMR1</t>
        </is>
      </c>
      <c r="X794" s="32" t="n">
        <v>0</v>
      </c>
      <c r="Y794" s="32" t="n">
        <v>0</v>
      </c>
      <c r="Z794" s="31" t="n">
        <v>0</v>
      </c>
      <c r="AA794" s="32" t="n">
        <v>0</v>
      </c>
      <c r="AB794" s="32" t="n">
        <v>1</v>
      </c>
      <c r="AC794" s="32" t="n">
        <v>1</v>
      </c>
      <c r="AD794" s="32" t="n">
        <v>0</v>
      </c>
      <c r="AE794" s="31" t="n">
        <v>0</v>
      </c>
      <c r="AF794" s="32" t="n">
        <v>0</v>
      </c>
      <c r="AG794" s="31" t="n">
        <v>0</v>
      </c>
      <c r="AH794" s="32" t="n">
        <v>44</v>
      </c>
      <c r="AI794" s="31" t="n">
        <v>47.7</v>
      </c>
      <c r="AJ794" s="31" t="n">
        <v>48.3</v>
      </c>
      <c r="AK794" s="31" t="n">
        <v>4.8</v>
      </c>
      <c r="AL794" s="30" t="inlineStr">
        <is>
          <t>T-0943</t>
        </is>
      </c>
      <c r="AM794" s="30" t="inlineStr">
        <is>
          <t>D-03-02</t>
        </is>
      </c>
      <c r="AN794" s="30" t="inlineStr">
        <is>
          <t>T-0883</t>
        </is>
      </c>
      <c r="AO794" s="30" t="inlineStr">
        <is>
          <t>D-05-02</t>
        </is>
      </c>
    </row>
    <row r="795">
      <c r="A795" s="30" t="inlineStr">
        <is>
          <t>O0794</t>
        </is>
      </c>
      <c r="B795" s="30" t="inlineStr">
        <is>
          <t>C</t>
        </is>
      </c>
      <c r="C795" s="31" t="n">
        <v>9896.9</v>
      </c>
      <c r="D795" s="31" t="n">
        <v>38673</v>
      </c>
      <c r="E795" s="31" t="n">
        <v>38673</v>
      </c>
      <c r="F795" s="31" t="n">
        <v>38683.5</v>
      </c>
      <c r="G795" s="31" t="n">
        <v>38704.8</v>
      </c>
      <c r="H795" s="31" t="n">
        <v>38717.3</v>
      </c>
      <c r="I795" s="31" t="n">
        <v>38740</v>
      </c>
      <c r="J795" s="31" t="n">
        <v>38766.5</v>
      </c>
      <c r="K795" s="31" t="n">
        <v>28869.6</v>
      </c>
      <c r="L795" s="31" t="n">
        <v>28776.1</v>
      </c>
      <c r="M795" s="30" t="inlineStr">
        <is>
          <t>AMR2</t>
        </is>
      </c>
      <c r="N795" s="30" t="inlineStr">
        <is>
          <t>AMR2</t>
        </is>
      </c>
      <c r="O795" s="32" t="n">
        <v>0</v>
      </c>
      <c r="P795" s="32" t="n">
        <v>0</v>
      </c>
      <c r="Q795" s="32" t="n">
        <v>13</v>
      </c>
      <c r="R795" s="31" t="n">
        <v>30.1</v>
      </c>
      <c r="S795" s="31" t="n">
        <v>30.1</v>
      </c>
      <c r="T795" s="30" t="inlineStr">
        <is>
          <t>AMR2</t>
        </is>
      </c>
      <c r="U795" s="31" t="n">
        <v>49.3</v>
      </c>
      <c r="V795" s="31" t="n">
        <v>49.3</v>
      </c>
      <c r="W795" s="30" t="inlineStr">
        <is>
          <t>AMR2</t>
        </is>
      </c>
      <c r="X795" s="32" t="n">
        <v>0</v>
      </c>
      <c r="Y795" s="32" t="n">
        <v>0</v>
      </c>
      <c r="Z795" s="31" t="n">
        <v>0</v>
      </c>
      <c r="AA795" s="32" t="n">
        <v>0</v>
      </c>
      <c r="AB795" s="32" t="n">
        <v>0</v>
      </c>
      <c r="AC795" s="32" t="n">
        <v>0</v>
      </c>
      <c r="AD795" s="32" t="n">
        <v>0</v>
      </c>
      <c r="AE795" s="31" t="n">
        <v>0</v>
      </c>
      <c r="AF795" s="32" t="n">
        <v>0</v>
      </c>
      <c r="AG795" s="31" t="n">
        <v>0</v>
      </c>
      <c r="AH795" s="32" t="n">
        <v>42</v>
      </c>
      <c r="AI795" s="31" t="n">
        <v>43.8</v>
      </c>
      <c r="AJ795" s="31" t="n">
        <v>37.2</v>
      </c>
      <c r="AK795" s="31" t="n">
        <v>0</v>
      </c>
      <c r="AL795" s="30" t="inlineStr">
        <is>
          <t>T-0944</t>
        </is>
      </c>
      <c r="AM795" s="30" t="inlineStr">
        <is>
          <t>C-03-03</t>
        </is>
      </c>
      <c r="AN795" s="30" t="inlineStr">
        <is>
          <t>T-0800</t>
        </is>
      </c>
      <c r="AO795" s="30" t="inlineStr">
        <is>
          <t>C-03-01</t>
        </is>
      </c>
    </row>
    <row r="796">
      <c r="A796" s="30" t="inlineStr">
        <is>
          <t>O0795</t>
        </is>
      </c>
      <c r="B796" s="30" t="inlineStr">
        <is>
          <t>D</t>
        </is>
      </c>
      <c r="C796" s="31" t="n">
        <v>9903.700000000001</v>
      </c>
      <c r="D796" s="31" t="n">
        <v>38748</v>
      </c>
      <c r="E796" s="31" t="n">
        <v>38748</v>
      </c>
      <c r="F796" s="31" t="n">
        <v>38762.5</v>
      </c>
      <c r="G796" s="31" t="n">
        <v>38788</v>
      </c>
      <c r="H796" s="31" t="n">
        <v>38795.2</v>
      </c>
      <c r="I796" s="31" t="n">
        <v>38822</v>
      </c>
      <c r="J796" s="31" t="n">
        <v>38854.1</v>
      </c>
      <c r="K796" s="31" t="n">
        <v>28950.4</v>
      </c>
      <c r="L796" s="31" t="n">
        <v>28844.3</v>
      </c>
      <c r="M796" s="30" t="inlineStr">
        <is>
          <t>AMR1</t>
        </is>
      </c>
      <c r="N796" s="30" t="inlineStr">
        <is>
          <t>AMR2</t>
        </is>
      </c>
      <c r="O796" s="32" t="n">
        <v>0</v>
      </c>
      <c r="P796" s="32" t="n">
        <v>0</v>
      </c>
      <c r="Q796" s="32" t="n">
        <v>13</v>
      </c>
      <c r="R796" s="31" t="n">
        <v>37.5</v>
      </c>
      <c r="S796" s="31" t="n">
        <v>37.5</v>
      </c>
      <c r="T796" s="30" t="inlineStr">
        <is>
          <t>AMR1</t>
        </is>
      </c>
      <c r="U796" s="31" t="n">
        <v>54.1</v>
      </c>
      <c r="V796" s="31" t="n">
        <v>54.1</v>
      </c>
      <c r="W796" s="30" t="inlineStr">
        <is>
          <t>AMR2</t>
        </is>
      </c>
      <c r="X796" s="32" t="n">
        <v>0</v>
      </c>
      <c r="Y796" s="32" t="n">
        <v>0</v>
      </c>
      <c r="Z796" s="31" t="n">
        <v>0</v>
      </c>
      <c r="AA796" s="32" t="n">
        <v>0</v>
      </c>
      <c r="AB796" s="32" t="n">
        <v>0</v>
      </c>
      <c r="AC796" s="32" t="n">
        <v>0</v>
      </c>
      <c r="AD796" s="32" t="n">
        <v>0</v>
      </c>
      <c r="AE796" s="31" t="n">
        <v>0</v>
      </c>
      <c r="AF796" s="32" t="n">
        <v>0</v>
      </c>
      <c r="AG796" s="31" t="n">
        <v>0</v>
      </c>
      <c r="AH796" s="32" t="n">
        <v>47</v>
      </c>
      <c r="AI796" s="31" t="n">
        <v>50</v>
      </c>
      <c r="AJ796" s="31" t="n">
        <v>48.9</v>
      </c>
      <c r="AK796" s="31" t="n">
        <v>0</v>
      </c>
      <c r="AL796" s="30" t="inlineStr">
        <is>
          <t>T-0945</t>
        </is>
      </c>
      <c r="AM796" s="30" t="inlineStr">
        <is>
          <t>D-04-02</t>
        </is>
      </c>
      <c r="AN796" s="30" t="inlineStr">
        <is>
          <t>T-0887</t>
        </is>
      </c>
      <c r="AO796" s="30" t="inlineStr">
        <is>
          <t>D-06-02</t>
        </is>
      </c>
    </row>
    <row r="797">
      <c r="A797" s="30" t="inlineStr">
        <is>
          <t>O0796</t>
        </is>
      </c>
      <c r="B797" s="30" t="inlineStr">
        <is>
          <t>I</t>
        </is>
      </c>
      <c r="C797" s="31" t="n">
        <v>9910.5</v>
      </c>
      <c r="D797" s="31" t="n">
        <v>38763.7</v>
      </c>
      <c r="E797" s="31" t="n">
        <v>38763.7</v>
      </c>
      <c r="F797" s="31" t="n">
        <v>38776.3</v>
      </c>
      <c r="G797" s="31" t="n">
        <v>38806.9</v>
      </c>
      <c r="H797" s="31" t="n">
        <v>38821.7</v>
      </c>
      <c r="I797" s="31" t="n">
        <v>38858.4</v>
      </c>
      <c r="J797" s="31" t="n">
        <v>38883.2</v>
      </c>
      <c r="K797" s="31" t="n">
        <v>28972.7</v>
      </c>
      <c r="L797" s="31" t="n">
        <v>28853.2</v>
      </c>
      <c r="M797" s="30" t="inlineStr">
        <is>
          <t>AMR3</t>
        </is>
      </c>
      <c r="N797" s="30" t="inlineStr">
        <is>
          <t>AMR3</t>
        </is>
      </c>
      <c r="O797" s="32" t="n">
        <v>0</v>
      </c>
      <c r="P797" s="32" t="n">
        <v>0</v>
      </c>
      <c r="Q797" s="32" t="n">
        <v>15</v>
      </c>
      <c r="R797" s="31" t="n">
        <v>35.9</v>
      </c>
      <c r="S797" s="31" t="n">
        <v>35.9</v>
      </c>
      <c r="T797" s="30" t="inlineStr">
        <is>
          <t>AMR3</t>
        </is>
      </c>
      <c r="U797" s="31" t="n">
        <v>52.1</v>
      </c>
      <c r="V797" s="31" t="n">
        <v>52.1</v>
      </c>
      <c r="W797" s="30" t="inlineStr">
        <is>
          <t>AMR3</t>
        </is>
      </c>
      <c r="X797" s="32" t="n">
        <v>0</v>
      </c>
      <c r="Y797" s="32" t="n">
        <v>0</v>
      </c>
      <c r="Z797" s="31" t="n">
        <v>0</v>
      </c>
      <c r="AA797" s="32" t="n">
        <v>0</v>
      </c>
      <c r="AB797" s="32" t="n">
        <v>1</v>
      </c>
      <c r="AC797" s="32" t="n">
        <v>1</v>
      </c>
      <c r="AD797" s="32" t="n">
        <v>1</v>
      </c>
      <c r="AE797" s="31" t="n">
        <v>1.2</v>
      </c>
      <c r="AF797" s="32" t="n">
        <v>0</v>
      </c>
      <c r="AG797" s="31" t="n">
        <v>0</v>
      </c>
      <c r="AH797" s="32" t="n">
        <v>47</v>
      </c>
      <c r="AI797" s="31" t="n">
        <v>55.3</v>
      </c>
      <c r="AJ797" s="31" t="n">
        <v>42.2</v>
      </c>
      <c r="AK797" s="31" t="n">
        <v>7.2</v>
      </c>
      <c r="AL797" s="30" t="inlineStr">
        <is>
          <t>T-0946</t>
        </is>
      </c>
      <c r="AM797" s="30" t="inlineStr">
        <is>
          <t>I-02-01</t>
        </is>
      </c>
      <c r="AN797" s="30" t="inlineStr">
        <is>
          <t>T-0882</t>
        </is>
      </c>
      <c r="AO797" s="30" t="inlineStr">
        <is>
          <t>I-03-03</t>
        </is>
      </c>
    </row>
    <row r="798">
      <c r="A798" s="30" t="inlineStr">
        <is>
          <t>O0797</t>
        </is>
      </c>
      <c r="B798" s="30" t="inlineStr">
        <is>
          <t>I</t>
        </is>
      </c>
      <c r="C798" s="31" t="n">
        <v>9916.299999999999</v>
      </c>
      <c r="D798" s="31" t="n">
        <v>38804.8</v>
      </c>
      <c r="E798" s="31" t="n">
        <v>38804.8</v>
      </c>
      <c r="F798" s="31" t="n">
        <v>38819.3</v>
      </c>
      <c r="G798" s="31" t="n">
        <v>38846.9</v>
      </c>
      <c r="H798" s="31" t="n">
        <v>38861.7</v>
      </c>
      <c r="I798" s="31" t="n">
        <v>38896.9</v>
      </c>
      <c r="J798" s="31" t="n">
        <v>38923.3</v>
      </c>
      <c r="K798" s="31" t="n">
        <v>29007</v>
      </c>
      <c r="L798" s="31" t="n">
        <v>28888.5</v>
      </c>
      <c r="M798" s="30" t="inlineStr">
        <is>
          <t>AMR1</t>
        </is>
      </c>
      <c r="N798" s="30" t="inlineStr">
        <is>
          <t>AMR1</t>
        </is>
      </c>
      <c r="O798" s="32" t="n">
        <v>0</v>
      </c>
      <c r="P798" s="32" t="n">
        <v>0</v>
      </c>
      <c r="Q798" s="32" t="n">
        <v>15</v>
      </c>
      <c r="R798" s="31" t="n">
        <v>39.8</v>
      </c>
      <c r="S798" s="31" t="n">
        <v>39.8</v>
      </c>
      <c r="T798" s="30" t="inlineStr">
        <is>
          <t>AMR1</t>
        </is>
      </c>
      <c r="U798" s="31" t="n">
        <v>54.2</v>
      </c>
      <c r="V798" s="31" t="n">
        <v>54.2</v>
      </c>
      <c r="W798" s="30" t="inlineStr">
        <is>
          <t>AMR1</t>
        </is>
      </c>
      <c r="X798" s="32" t="n">
        <v>0</v>
      </c>
      <c r="Y798" s="32" t="n">
        <v>0</v>
      </c>
      <c r="Z798" s="31" t="n">
        <v>0</v>
      </c>
      <c r="AA798" s="32" t="n">
        <v>0</v>
      </c>
      <c r="AB798" s="32" t="n">
        <v>0</v>
      </c>
      <c r="AC798" s="32" t="n">
        <v>1</v>
      </c>
      <c r="AD798" s="32" t="n">
        <v>1</v>
      </c>
      <c r="AE798" s="31" t="n">
        <v>1.4</v>
      </c>
      <c r="AF798" s="32" t="n">
        <v>1</v>
      </c>
      <c r="AG798" s="31" t="n">
        <v>0.6</v>
      </c>
      <c r="AH798" s="32" t="n">
        <v>43</v>
      </c>
      <c r="AI798" s="31" t="n">
        <v>48.5</v>
      </c>
      <c r="AJ798" s="31" t="n">
        <v>48.2</v>
      </c>
      <c r="AK798" s="31" t="n">
        <v>7</v>
      </c>
      <c r="AL798" s="30" t="inlineStr">
        <is>
          <t>T-0947</t>
        </is>
      </c>
      <c r="AM798" s="30" t="inlineStr">
        <is>
          <t>I-02-03</t>
        </is>
      </c>
      <c r="AN798" s="30" t="inlineStr">
        <is>
          <t>T-0884</t>
        </is>
      </c>
      <c r="AO798" s="30" t="inlineStr">
        <is>
          <t>I-03-01</t>
        </is>
      </c>
    </row>
    <row r="799">
      <c r="A799" s="30" t="inlineStr">
        <is>
          <t>O0798</t>
        </is>
      </c>
      <c r="B799" s="30" t="inlineStr">
        <is>
          <t>D</t>
        </is>
      </c>
      <c r="C799" s="31" t="n">
        <v>9920</v>
      </c>
      <c r="D799" s="31" t="n">
        <v>38882.8</v>
      </c>
      <c r="E799" s="31" t="n">
        <v>38882.8</v>
      </c>
      <c r="F799" s="31" t="n">
        <v>38897.4</v>
      </c>
      <c r="G799" s="31" t="n">
        <v>38924.3</v>
      </c>
      <c r="H799" s="31" t="n">
        <v>38939.1</v>
      </c>
      <c r="I799" s="31" t="n">
        <v>38964.5</v>
      </c>
      <c r="J799" s="31" t="n">
        <v>38993.6</v>
      </c>
      <c r="K799" s="31" t="n">
        <v>29073.6</v>
      </c>
      <c r="L799" s="31" t="n">
        <v>28962.8</v>
      </c>
      <c r="M799" s="30" t="inlineStr">
        <is>
          <t>AMR2</t>
        </is>
      </c>
      <c r="N799" s="30" t="inlineStr">
        <is>
          <t>AMR2</t>
        </is>
      </c>
      <c r="O799" s="32" t="n">
        <v>0</v>
      </c>
      <c r="P799" s="32" t="n">
        <v>0</v>
      </c>
      <c r="Q799" s="32" t="n">
        <v>13</v>
      </c>
      <c r="R799" s="31" t="n">
        <v>33.5</v>
      </c>
      <c r="S799" s="31" t="n">
        <v>33.5</v>
      </c>
      <c r="T799" s="30" t="inlineStr">
        <is>
          <t>AMR2</t>
        </is>
      </c>
      <c r="U799" s="31" t="n">
        <v>50.6</v>
      </c>
      <c r="V799" s="31" t="n">
        <v>50.6</v>
      </c>
      <c r="W799" s="30" t="inlineStr">
        <is>
          <t>AMR2</t>
        </is>
      </c>
      <c r="X799" s="32" t="n">
        <v>0</v>
      </c>
      <c r="Y799" s="32" t="n">
        <v>0</v>
      </c>
      <c r="Z799" s="31" t="n">
        <v>0</v>
      </c>
      <c r="AA799" s="32" t="n">
        <v>0</v>
      </c>
      <c r="AB799" s="32" t="n">
        <v>2</v>
      </c>
      <c r="AC799" s="32" t="n">
        <v>2</v>
      </c>
      <c r="AD799" s="32" t="n">
        <v>0</v>
      </c>
      <c r="AE799" s="31" t="n">
        <v>0</v>
      </c>
      <c r="AF799" s="32" t="n">
        <v>0</v>
      </c>
      <c r="AG799" s="31" t="n">
        <v>0</v>
      </c>
      <c r="AH799" s="32" t="n">
        <v>43</v>
      </c>
      <c r="AI799" s="31" t="n">
        <v>47.5</v>
      </c>
      <c r="AJ799" s="31" t="n">
        <v>41.4</v>
      </c>
      <c r="AK799" s="31" t="n">
        <v>7.1</v>
      </c>
      <c r="AL799" s="30" t="inlineStr">
        <is>
          <t>T-0948</t>
        </is>
      </c>
      <c r="AM799" s="30" t="inlineStr">
        <is>
          <t>D-05-02</t>
        </is>
      </c>
      <c r="AN799" s="30" t="inlineStr">
        <is>
          <t>T-0894</t>
        </is>
      </c>
      <c r="AO799" s="30" t="inlineStr">
        <is>
          <t>D-01-03</t>
        </is>
      </c>
    </row>
    <row r="800">
      <c r="A800" s="30" t="inlineStr">
        <is>
          <t>O0799</t>
        </is>
      </c>
      <c r="B800" s="30" t="inlineStr">
        <is>
          <t>H</t>
        </is>
      </c>
      <c r="C800" s="31" t="n">
        <v>9923.1</v>
      </c>
      <c r="D800" s="31" t="n">
        <v>38911.7</v>
      </c>
      <c r="E800" s="31" t="n">
        <v>38911.7</v>
      </c>
      <c r="F800" s="31" t="n">
        <v>38923.5</v>
      </c>
      <c r="G800" s="31" t="n">
        <v>38945.6</v>
      </c>
      <c r="H800" s="31" t="n">
        <v>38951</v>
      </c>
      <c r="I800" s="31" t="n">
        <v>38983.3</v>
      </c>
      <c r="J800" s="31" t="n">
        <v>39011.7</v>
      </c>
      <c r="K800" s="31" t="n">
        <v>29088.6</v>
      </c>
      <c r="L800" s="31" t="n">
        <v>28988.6</v>
      </c>
      <c r="M800" s="30" t="inlineStr">
        <is>
          <t>AMR3</t>
        </is>
      </c>
      <c r="N800" s="30" t="inlineStr">
        <is>
          <t>AMR1</t>
        </is>
      </c>
      <c r="O800" s="32" t="n">
        <v>0</v>
      </c>
      <c r="P800" s="32" t="n">
        <v>0</v>
      </c>
      <c r="Q800" s="32" t="n">
        <v>15</v>
      </c>
      <c r="R800" s="31" t="n">
        <v>33</v>
      </c>
      <c r="S800" s="31" t="n">
        <v>33</v>
      </c>
      <c r="T800" s="30" t="inlineStr">
        <is>
          <t>AMR3</t>
        </is>
      </c>
      <c r="U800" s="31" t="n">
        <v>55.8</v>
      </c>
      <c r="V800" s="31" t="n">
        <v>55.8</v>
      </c>
      <c r="W800" s="30" t="inlineStr">
        <is>
          <t>AMR1</t>
        </is>
      </c>
      <c r="X800" s="32" t="n">
        <v>0</v>
      </c>
      <c r="Y800" s="32" t="n">
        <v>0</v>
      </c>
      <c r="Z800" s="31" t="n">
        <v>0</v>
      </c>
      <c r="AA800" s="32" t="n">
        <v>0</v>
      </c>
      <c r="AB800" s="32" t="n">
        <v>1</v>
      </c>
      <c r="AC800" s="32" t="n">
        <v>1</v>
      </c>
      <c r="AD800" s="32" t="n">
        <v>0</v>
      </c>
      <c r="AE800" s="31" t="n">
        <v>0</v>
      </c>
      <c r="AF800" s="32" t="n">
        <v>1</v>
      </c>
      <c r="AG800" s="31" t="n">
        <v>0.1</v>
      </c>
      <c r="AH800" s="32" t="n">
        <v>41</v>
      </c>
      <c r="AI800" s="31" t="n">
        <v>46</v>
      </c>
      <c r="AJ800" s="31" t="n">
        <v>43.5</v>
      </c>
      <c r="AK800" s="31" t="n">
        <v>5.1</v>
      </c>
      <c r="AL800" s="30" t="inlineStr">
        <is>
          <t>T-0949</t>
        </is>
      </c>
      <c r="AM800" s="30" t="inlineStr">
        <is>
          <t>H-01-02</t>
        </is>
      </c>
      <c r="AN800" s="30" t="inlineStr">
        <is>
          <t>T-0863</t>
        </is>
      </c>
      <c r="AO800" s="30" t="inlineStr">
        <is>
          <t>H-02-03</t>
        </is>
      </c>
    </row>
    <row r="801">
      <c r="A801" s="30" t="inlineStr">
        <is>
          <t>O0800</t>
        </is>
      </c>
      <c r="B801" s="30" t="inlineStr">
        <is>
          <t>I</t>
        </is>
      </c>
      <c r="C801" s="31" t="n">
        <v>9929.200000000001</v>
      </c>
      <c r="D801" s="31" t="n">
        <v>38963.8</v>
      </c>
      <c r="E801" s="31" t="n">
        <v>38963.8</v>
      </c>
      <c r="F801" s="31" t="n">
        <v>38975.8</v>
      </c>
      <c r="G801" s="31" t="n">
        <v>38999.3</v>
      </c>
      <c r="H801" s="31" t="n">
        <v>39015.4</v>
      </c>
      <c r="I801" s="31" t="n">
        <v>39053.5</v>
      </c>
      <c r="J801" s="31" t="n">
        <v>39084.4</v>
      </c>
      <c r="K801" s="31" t="n">
        <v>29155.2</v>
      </c>
      <c r="L801" s="31" t="n">
        <v>29034.6</v>
      </c>
      <c r="M801" s="30" t="inlineStr">
        <is>
          <t>AMR3</t>
        </is>
      </c>
      <c r="N801" s="30" t="inlineStr">
        <is>
          <t>AMR3</t>
        </is>
      </c>
      <c r="O801" s="32" t="n">
        <v>0</v>
      </c>
      <c r="P801" s="32" t="n">
        <v>0</v>
      </c>
      <c r="Q801" s="32" t="n">
        <v>15</v>
      </c>
      <c r="R801" s="31" t="n">
        <v>33.8</v>
      </c>
      <c r="S801" s="31" t="n">
        <v>33.8</v>
      </c>
      <c r="T801" s="30" t="inlineStr">
        <is>
          <t>AMR3</t>
        </is>
      </c>
      <c r="U801" s="31" t="n">
        <v>54.3</v>
      </c>
      <c r="V801" s="31" t="n">
        <v>54.3</v>
      </c>
      <c r="W801" s="30" t="inlineStr">
        <is>
          <t>AMR3</t>
        </is>
      </c>
      <c r="X801" s="32" t="n">
        <v>0</v>
      </c>
      <c r="Y801" s="32" t="n">
        <v>0</v>
      </c>
      <c r="Z801" s="31" t="n">
        <v>0</v>
      </c>
      <c r="AA801" s="32" t="n">
        <v>0</v>
      </c>
      <c r="AB801" s="32" t="n">
        <v>2</v>
      </c>
      <c r="AC801" s="32" t="n">
        <v>2</v>
      </c>
      <c r="AD801" s="32" t="n">
        <v>0</v>
      </c>
      <c r="AE801" s="31" t="n">
        <v>0</v>
      </c>
      <c r="AF801" s="32" t="n">
        <v>0</v>
      </c>
      <c r="AG801" s="31" t="n">
        <v>0</v>
      </c>
      <c r="AH801" s="32" t="n">
        <v>48</v>
      </c>
      <c r="AI801" s="31" t="n">
        <v>56.2</v>
      </c>
      <c r="AJ801" s="31" t="n">
        <v>42.3</v>
      </c>
      <c r="AK801" s="31" t="n">
        <v>6</v>
      </c>
      <c r="AL801" s="30" t="inlineStr">
        <is>
          <t>T-0950</t>
        </is>
      </c>
      <c r="AM801" s="30" t="inlineStr">
        <is>
          <t>I-03-01</t>
        </is>
      </c>
      <c r="AN801" s="30" t="inlineStr">
        <is>
          <t>T-0885</t>
        </is>
      </c>
      <c r="AO801" s="30" t="inlineStr">
        <is>
          <t>I-04-03</t>
        </is>
      </c>
    </row>
    <row r="802">
      <c r="A802" s="30" t="inlineStr">
        <is>
          <t>O0801</t>
        </is>
      </c>
      <c r="B802" s="30" t="inlineStr">
        <is>
          <t>J</t>
        </is>
      </c>
      <c r="C802" s="31" t="n">
        <v>9949.299999999999</v>
      </c>
      <c r="D802" s="31" t="n">
        <v>39024.3</v>
      </c>
      <c r="E802" s="31" t="n">
        <v>39024.3</v>
      </c>
      <c r="F802" s="31" t="n">
        <v>39039.3</v>
      </c>
      <c r="G802" s="31" t="n">
        <v>39069.3</v>
      </c>
      <c r="H802" s="31" t="n">
        <v>39095.9</v>
      </c>
      <c r="I802" s="31" t="n">
        <v>39133</v>
      </c>
      <c r="J802" s="31" t="n">
        <v>39181.2</v>
      </c>
      <c r="K802" s="31" t="n">
        <v>29231.9</v>
      </c>
      <c r="L802" s="31" t="n">
        <v>29075</v>
      </c>
      <c r="M802" s="30" t="inlineStr">
        <is>
          <t>AMR2</t>
        </is>
      </c>
      <c r="N802" s="30" t="inlineStr">
        <is>
          <t>AMR2</t>
        </is>
      </c>
      <c r="O802" s="32" t="n">
        <v>0</v>
      </c>
      <c r="P802" s="32" t="n">
        <v>0</v>
      </c>
      <c r="Q802" s="32" t="n">
        <v>21</v>
      </c>
      <c r="R802" s="31" t="n">
        <v>42.5</v>
      </c>
      <c r="S802" s="31" t="n">
        <v>42.5</v>
      </c>
      <c r="T802" s="30" t="inlineStr">
        <is>
          <t>AMR2</t>
        </is>
      </c>
      <c r="U802" s="31" t="n">
        <v>65.3</v>
      </c>
      <c r="V802" s="31" t="n">
        <v>65.3</v>
      </c>
      <c r="W802" s="30" t="inlineStr">
        <is>
          <t>AMR2</t>
        </is>
      </c>
      <c r="X802" s="32" t="n">
        <v>0</v>
      </c>
      <c r="Y802" s="32" t="n">
        <v>0</v>
      </c>
      <c r="Z802" s="31" t="n">
        <v>0</v>
      </c>
      <c r="AA802" s="32" t="n">
        <v>0</v>
      </c>
      <c r="AB802" s="32" t="n">
        <v>1</v>
      </c>
      <c r="AC802" s="32" t="n">
        <v>1</v>
      </c>
      <c r="AD802" s="32" t="n">
        <v>1</v>
      </c>
      <c r="AE802" s="31" t="n">
        <v>8.199999999999999</v>
      </c>
      <c r="AF802" s="32" t="n">
        <v>1</v>
      </c>
      <c r="AG802" s="31" t="n">
        <v>3.2</v>
      </c>
      <c r="AH802" s="32" t="n">
        <v>65</v>
      </c>
      <c r="AI802" s="31" t="n">
        <v>66.40000000000001</v>
      </c>
      <c r="AJ802" s="31" t="n">
        <v>47.2</v>
      </c>
      <c r="AK802" s="31" t="n">
        <v>16.7</v>
      </c>
      <c r="AL802" s="30" t="inlineStr">
        <is>
          <t>T-0951</t>
        </is>
      </c>
      <c r="AM802" s="30" t="inlineStr">
        <is>
          <t>J-04-03</t>
        </is>
      </c>
      <c r="AN802" s="30" t="inlineStr">
        <is>
          <t>T-0747</t>
        </is>
      </c>
      <c r="AO802" s="30" t="inlineStr">
        <is>
          <t>J-05-01</t>
        </is>
      </c>
    </row>
    <row r="803">
      <c r="A803" s="30" t="inlineStr">
        <is>
          <t>O0802</t>
        </is>
      </c>
      <c r="B803" s="30" t="inlineStr">
        <is>
          <t>I</t>
        </is>
      </c>
      <c r="C803" s="31" t="n">
        <v>9967</v>
      </c>
      <c r="D803" s="31" t="n">
        <v>39040.9</v>
      </c>
      <c r="E803" s="31" t="n">
        <v>39040.9</v>
      </c>
      <c r="F803" s="31" t="n">
        <v>39053.3</v>
      </c>
      <c r="G803" s="31" t="n">
        <v>39079.1</v>
      </c>
      <c r="H803" s="31" t="n">
        <v>39105.3</v>
      </c>
      <c r="I803" s="31" t="n">
        <v>39139</v>
      </c>
      <c r="J803" s="31" t="n">
        <v>39164.8</v>
      </c>
      <c r="K803" s="31" t="n">
        <v>29197.8</v>
      </c>
      <c r="L803" s="31" t="n">
        <v>29073.9</v>
      </c>
      <c r="M803" s="30" t="inlineStr">
        <is>
          <t>AMR1</t>
        </is>
      </c>
      <c r="N803" s="30" t="inlineStr">
        <is>
          <t>AMR1</t>
        </is>
      </c>
      <c r="O803" s="32" t="n">
        <v>0</v>
      </c>
      <c r="P803" s="32" t="n">
        <v>0</v>
      </c>
      <c r="Q803" s="32" t="n">
        <v>15</v>
      </c>
      <c r="R803" s="31" t="n">
        <v>36.5</v>
      </c>
      <c r="S803" s="31" t="n">
        <v>36.5</v>
      </c>
      <c r="T803" s="30" t="inlineStr">
        <is>
          <t>AMR1</t>
        </is>
      </c>
      <c r="U803" s="31" t="n">
        <v>50.9</v>
      </c>
      <c r="V803" s="31" t="n">
        <v>50.9</v>
      </c>
      <c r="W803" s="30" t="inlineStr">
        <is>
          <t>AMR1</t>
        </is>
      </c>
      <c r="X803" s="32" t="n">
        <v>0</v>
      </c>
      <c r="Y803" s="32" t="n">
        <v>0</v>
      </c>
      <c r="Z803" s="31" t="n">
        <v>0</v>
      </c>
      <c r="AA803" s="32" t="n">
        <v>0</v>
      </c>
      <c r="AB803" s="32" t="n">
        <v>1</v>
      </c>
      <c r="AC803" s="32" t="n">
        <v>1</v>
      </c>
      <c r="AD803" s="32" t="n">
        <v>0</v>
      </c>
      <c r="AE803" s="31" t="n">
        <v>0</v>
      </c>
      <c r="AF803" s="32" t="n">
        <v>1</v>
      </c>
      <c r="AG803" s="31" t="n">
        <v>0.3</v>
      </c>
      <c r="AH803" s="32" t="n">
        <v>46</v>
      </c>
      <c r="AI803" s="31" t="n">
        <v>50.8</v>
      </c>
      <c r="AJ803" s="31" t="n">
        <v>41.6</v>
      </c>
      <c r="AK803" s="31" t="n">
        <v>5.3</v>
      </c>
      <c r="AL803" s="30" t="inlineStr">
        <is>
          <t>T-0952</t>
        </is>
      </c>
      <c r="AM803" s="30" t="inlineStr">
        <is>
          <t>I-03-03</t>
        </is>
      </c>
      <c r="AN803" s="30" t="inlineStr">
        <is>
          <t>T-0888</t>
        </is>
      </c>
      <c r="AO803" s="30" t="inlineStr">
        <is>
          <t>I-04-01</t>
        </is>
      </c>
    </row>
    <row r="804">
      <c r="A804" s="30" t="inlineStr">
        <is>
          <t>O0803</t>
        </is>
      </c>
      <c r="B804" s="30" t="inlineStr">
        <is>
          <t>A</t>
        </is>
      </c>
      <c r="C804" s="31" t="n">
        <v>9987.4</v>
      </c>
      <c r="D804" s="31" t="n">
        <v>39115.5</v>
      </c>
      <c r="E804" s="31" t="n">
        <v>39115.5</v>
      </c>
      <c r="F804" s="31" t="n">
        <v>39127.9</v>
      </c>
      <c r="G804" s="31" t="n">
        <v>39155.6</v>
      </c>
      <c r="H804" s="31" t="n">
        <v>39177.2</v>
      </c>
      <c r="I804" s="31" t="n">
        <v>39204</v>
      </c>
      <c r="J804" s="31" t="n">
        <v>39244.9</v>
      </c>
      <c r="K804" s="31" t="n">
        <v>29257.5</v>
      </c>
      <c r="L804" s="31" t="n">
        <v>29128.1</v>
      </c>
      <c r="M804" s="30" t="inlineStr">
        <is>
          <t>AMR3</t>
        </is>
      </c>
      <c r="N804" s="30" t="inlineStr">
        <is>
          <t>AMR3</t>
        </is>
      </c>
      <c r="O804" s="32" t="n">
        <v>0</v>
      </c>
      <c r="P804" s="32" t="n">
        <v>0</v>
      </c>
      <c r="Q804" s="32" t="n">
        <v>21</v>
      </c>
      <c r="R804" s="31" t="n">
        <v>37.6</v>
      </c>
      <c r="S804" s="31" t="n">
        <v>37.6</v>
      </c>
      <c r="T804" s="30" t="inlineStr">
        <is>
          <t>AMR3</t>
        </is>
      </c>
      <c r="U804" s="31" t="n">
        <v>66.09999999999999</v>
      </c>
      <c r="V804" s="31" t="n">
        <v>66.09999999999999</v>
      </c>
      <c r="W804" s="30" t="inlineStr">
        <is>
          <t>AMR3</t>
        </is>
      </c>
      <c r="X804" s="32" t="n">
        <v>0</v>
      </c>
      <c r="Y804" s="32" t="n">
        <v>0</v>
      </c>
      <c r="Z804" s="31" t="n">
        <v>0</v>
      </c>
      <c r="AA804" s="32" t="n">
        <v>0</v>
      </c>
      <c r="AB804" s="32" t="n">
        <v>1</v>
      </c>
      <c r="AC804" s="32" t="n">
        <v>0</v>
      </c>
      <c r="AD804" s="32" t="n">
        <v>1</v>
      </c>
      <c r="AE804" s="31" t="n">
        <v>3.3</v>
      </c>
      <c r="AF804" s="32" t="n">
        <v>0</v>
      </c>
      <c r="AG804" s="31" t="n">
        <v>0</v>
      </c>
      <c r="AH804" s="32" t="n">
        <v>63</v>
      </c>
      <c r="AI804" s="31" t="n">
        <v>62.9</v>
      </c>
      <c r="AJ804" s="31" t="n">
        <v>41.6</v>
      </c>
      <c r="AK804" s="31" t="n">
        <v>3.3</v>
      </c>
      <c r="AL804" s="30" t="inlineStr">
        <is>
          <t>T-0953</t>
        </is>
      </c>
      <c r="AM804" s="30" t="inlineStr">
        <is>
          <t>A-02-02</t>
        </is>
      </c>
      <c r="AN804" s="30" t="inlineStr">
        <is>
          <t>T-0748</t>
        </is>
      </c>
      <c r="AO804" s="30" t="inlineStr">
        <is>
          <t>A-06-02</t>
        </is>
      </c>
    </row>
    <row r="805">
      <c r="A805" s="30" t="inlineStr">
        <is>
          <t>O0804</t>
        </is>
      </c>
      <c r="B805" s="30" t="inlineStr">
        <is>
          <t>G</t>
        </is>
      </c>
      <c r="C805" s="31" t="n">
        <v>10007.9</v>
      </c>
      <c r="D805" s="31" t="n">
        <v>39188.5</v>
      </c>
      <c r="E805" s="31" t="n">
        <v>39188.5</v>
      </c>
      <c r="F805" s="31" t="n">
        <v>39201</v>
      </c>
      <c r="G805" s="31" t="n">
        <v>39228.5</v>
      </c>
      <c r="H805" s="31" t="n">
        <v>39245.3</v>
      </c>
      <c r="I805" s="31" t="n">
        <v>39275</v>
      </c>
      <c r="J805" s="31" t="n">
        <v>39306.9</v>
      </c>
      <c r="K805" s="31" t="n">
        <v>29299</v>
      </c>
      <c r="L805" s="31" t="n">
        <v>29180.6</v>
      </c>
      <c r="M805" s="30" t="inlineStr">
        <is>
          <t>AMR1</t>
        </is>
      </c>
      <c r="N805" s="30" t="inlineStr">
        <is>
          <t>AMR1</t>
        </is>
      </c>
      <c r="O805" s="32" t="n">
        <v>0</v>
      </c>
      <c r="P805" s="32" t="n">
        <v>0</v>
      </c>
      <c r="Q805" s="32" t="n">
        <v>17</v>
      </c>
      <c r="R805" s="31" t="n">
        <v>39.1</v>
      </c>
      <c r="S805" s="31" t="n">
        <v>39.1</v>
      </c>
      <c r="T805" s="30" t="inlineStr">
        <is>
          <t>AMR1</t>
        </is>
      </c>
      <c r="U805" s="31" t="n">
        <v>58.3</v>
      </c>
      <c r="V805" s="31" t="n">
        <v>58.3</v>
      </c>
      <c r="W805" s="30" t="inlineStr">
        <is>
          <t>AMR1</t>
        </is>
      </c>
      <c r="X805" s="32" t="n">
        <v>0</v>
      </c>
      <c r="Y805" s="32" t="n">
        <v>0</v>
      </c>
      <c r="Z805" s="31" t="n">
        <v>0</v>
      </c>
      <c r="AA805" s="32" t="n">
        <v>0</v>
      </c>
      <c r="AB805" s="32" t="n">
        <v>1</v>
      </c>
      <c r="AC805" s="32" t="n">
        <v>0</v>
      </c>
      <c r="AD805" s="32" t="n">
        <v>0</v>
      </c>
      <c r="AE805" s="31" t="n">
        <v>0</v>
      </c>
      <c r="AF805" s="32" t="n">
        <v>0</v>
      </c>
      <c r="AG805" s="31" t="n">
        <v>0</v>
      </c>
      <c r="AH805" s="32" t="n">
        <v>51</v>
      </c>
      <c r="AI805" s="31" t="n">
        <v>54.6</v>
      </c>
      <c r="AJ805" s="31" t="n">
        <v>47</v>
      </c>
      <c r="AK805" s="31" t="n">
        <v>0</v>
      </c>
      <c r="AL805" s="30" t="inlineStr">
        <is>
          <t>T-0954</t>
        </is>
      </c>
      <c r="AM805" s="30" t="inlineStr">
        <is>
          <t>G-05-02</t>
        </is>
      </c>
      <c r="AN805" s="30" t="inlineStr">
        <is>
          <t>T-0724</t>
        </is>
      </c>
      <c r="AO805" s="30" t="inlineStr">
        <is>
          <t>G-01-03</t>
        </is>
      </c>
    </row>
    <row r="806">
      <c r="A806" s="30" t="inlineStr">
        <is>
          <t>O0805</t>
        </is>
      </c>
      <c r="B806" s="30" t="inlineStr">
        <is>
          <t>D</t>
        </is>
      </c>
      <c r="C806" s="31" t="n">
        <v>10030.2</v>
      </c>
      <c r="D806" s="31" t="n">
        <v>39204.9</v>
      </c>
      <c r="E806" s="31" t="n">
        <v>39204.9</v>
      </c>
      <c r="F806" s="31" t="n">
        <v>39216.9</v>
      </c>
      <c r="G806" s="31" t="n">
        <v>39240.4</v>
      </c>
      <c r="H806" s="31" t="n">
        <v>39255.9</v>
      </c>
      <c r="I806" s="31" t="n">
        <v>39284.9</v>
      </c>
      <c r="J806" s="31" t="n">
        <v>39319.5</v>
      </c>
      <c r="K806" s="31" t="n">
        <v>29289.3</v>
      </c>
      <c r="L806" s="31" t="n">
        <v>29174.7</v>
      </c>
      <c r="M806" s="30" t="inlineStr">
        <is>
          <t>AMR2</t>
        </is>
      </c>
      <c r="N806" s="30" t="inlineStr">
        <is>
          <t>AMR2</t>
        </is>
      </c>
      <c r="O806" s="32" t="n">
        <v>0</v>
      </c>
      <c r="P806" s="32" t="n">
        <v>0</v>
      </c>
      <c r="Q806" s="32" t="n">
        <v>13</v>
      </c>
      <c r="R806" s="31" t="n">
        <v>32.2</v>
      </c>
      <c r="S806" s="31" t="n">
        <v>32.2</v>
      </c>
      <c r="T806" s="30" t="inlineStr">
        <is>
          <t>AMR2</t>
        </is>
      </c>
      <c r="U806" s="31" t="n">
        <v>50.5</v>
      </c>
      <c r="V806" s="31" t="n">
        <v>50.5</v>
      </c>
      <c r="W806" s="30" t="inlineStr">
        <is>
          <t>AMR2</t>
        </is>
      </c>
      <c r="X806" s="32" t="n">
        <v>0</v>
      </c>
      <c r="Y806" s="32" t="n">
        <v>0</v>
      </c>
      <c r="Z806" s="31" t="n">
        <v>0</v>
      </c>
      <c r="AA806" s="32" t="n">
        <v>0</v>
      </c>
      <c r="AB806" s="32" t="n">
        <v>1</v>
      </c>
      <c r="AC806" s="32" t="n">
        <v>1</v>
      </c>
      <c r="AD806" s="32" t="n">
        <v>1</v>
      </c>
      <c r="AE806" s="31" t="n">
        <v>8.300000000000001</v>
      </c>
      <c r="AF806" s="32" t="n">
        <v>1</v>
      </c>
      <c r="AG806" s="31" t="n">
        <v>3.3</v>
      </c>
      <c r="AH806" s="32" t="n">
        <v>42</v>
      </c>
      <c r="AI806" s="31" t="n">
        <v>45.8</v>
      </c>
      <c r="AJ806" s="31" t="n">
        <v>40</v>
      </c>
      <c r="AK806" s="31" t="n">
        <v>13.3</v>
      </c>
      <c r="AL806" s="30" t="inlineStr">
        <is>
          <t>T-0955</t>
        </is>
      </c>
      <c r="AM806" s="30" t="inlineStr">
        <is>
          <t>D-06-02</t>
        </is>
      </c>
      <c r="AN806" s="30" t="inlineStr">
        <is>
          <t>T-0896</t>
        </is>
      </c>
      <c r="AO806" s="30" t="inlineStr">
        <is>
          <t>D-01-01</t>
        </is>
      </c>
    </row>
    <row r="807">
      <c r="A807" s="30" t="inlineStr">
        <is>
          <t>O0806</t>
        </is>
      </c>
      <c r="B807" s="30" t="inlineStr">
        <is>
          <t>A</t>
        </is>
      </c>
      <c r="C807" s="31" t="n">
        <v>10054</v>
      </c>
      <c r="D807" s="31" t="n">
        <v>39273</v>
      </c>
      <c r="E807" s="31" t="n">
        <v>39273</v>
      </c>
      <c r="F807" s="31" t="n">
        <v>39285.5</v>
      </c>
      <c r="G807" s="31" t="n">
        <v>39314.3</v>
      </c>
      <c r="H807" s="31" t="n">
        <v>39330.6</v>
      </c>
      <c r="I807" s="31" t="n">
        <v>39362.2</v>
      </c>
      <c r="J807" s="31" t="n">
        <v>39405.3</v>
      </c>
      <c r="K807" s="31" t="n">
        <v>29351.3</v>
      </c>
      <c r="L807" s="31" t="n">
        <v>29219</v>
      </c>
      <c r="M807" s="30" t="inlineStr">
        <is>
          <t>AMR3</t>
        </is>
      </c>
      <c r="N807" s="30" t="inlineStr">
        <is>
          <t>AMR1</t>
        </is>
      </c>
      <c r="O807" s="32" t="n">
        <v>0</v>
      </c>
      <c r="P807" s="32" t="n">
        <v>0</v>
      </c>
      <c r="Q807" s="32" t="n">
        <v>21</v>
      </c>
      <c r="R807" s="31" t="n">
        <v>40.4</v>
      </c>
      <c r="S807" s="31" t="n">
        <v>40.4</v>
      </c>
      <c r="T807" s="30" t="inlineStr">
        <is>
          <t>AMR3</t>
        </is>
      </c>
      <c r="U807" s="31" t="n">
        <v>63.1</v>
      </c>
      <c r="V807" s="31" t="n">
        <v>63.1</v>
      </c>
      <c r="W807" s="30" t="inlineStr">
        <is>
          <t>AMR1</t>
        </is>
      </c>
      <c r="X807" s="32" t="n">
        <v>0</v>
      </c>
      <c r="Y807" s="32" t="n">
        <v>0</v>
      </c>
      <c r="Z807" s="31" t="n">
        <v>0</v>
      </c>
      <c r="AA807" s="32" t="n">
        <v>0</v>
      </c>
      <c r="AB807" s="32" t="n">
        <v>1</v>
      </c>
      <c r="AC807" s="32" t="n">
        <v>1</v>
      </c>
      <c r="AD807" s="32" t="n">
        <v>0</v>
      </c>
      <c r="AE807" s="31" t="n">
        <v>0</v>
      </c>
      <c r="AF807" s="32" t="n">
        <v>0</v>
      </c>
      <c r="AG807" s="31" t="n">
        <v>0</v>
      </c>
      <c r="AH807" s="32" t="n">
        <v>67</v>
      </c>
      <c r="AI807" s="31" t="n">
        <v>66.59999999999999</v>
      </c>
      <c r="AJ807" s="31" t="n">
        <v>41.4</v>
      </c>
      <c r="AK807" s="31" t="n">
        <v>8</v>
      </c>
      <c r="AL807" s="30" t="inlineStr">
        <is>
          <t>T-0956</t>
        </is>
      </c>
      <c r="AM807" s="30" t="inlineStr">
        <is>
          <t>A-04-02</t>
        </is>
      </c>
      <c r="AN807" s="30" t="inlineStr">
        <is>
          <t>T-0750</t>
        </is>
      </c>
      <c r="AO807" s="30" t="inlineStr">
        <is>
          <t>A-01-03</t>
        </is>
      </c>
    </row>
    <row r="808">
      <c r="A808" s="30" t="inlineStr">
        <is>
          <t>O0807</t>
        </is>
      </c>
      <c r="B808" s="30" t="inlineStr">
        <is>
          <t>B</t>
        </is>
      </c>
      <c r="C808" s="31" t="n">
        <v>10071.6</v>
      </c>
      <c r="D808" s="31" t="n">
        <v>39340.9</v>
      </c>
      <c r="E808" s="31" t="n">
        <v>39340.9</v>
      </c>
      <c r="F808" s="31" t="n">
        <v>39351.9</v>
      </c>
      <c r="G808" s="31" t="n">
        <v>39373.1</v>
      </c>
      <c r="H808" s="31" t="n">
        <v>39387.9</v>
      </c>
      <c r="I808" s="31" t="n">
        <v>39416.7</v>
      </c>
      <c r="J808" s="31" t="n">
        <v>39447.7</v>
      </c>
      <c r="K808" s="31" t="n">
        <v>29376.1</v>
      </c>
      <c r="L808" s="31" t="n">
        <v>29269.3</v>
      </c>
      <c r="M808" s="30" t="inlineStr">
        <is>
          <t>AMR3</t>
        </is>
      </c>
      <c r="N808" s="30" t="inlineStr">
        <is>
          <t>AMR3</t>
        </is>
      </c>
      <c r="O808" s="32" t="n">
        <v>0</v>
      </c>
      <c r="P808" s="32" t="n">
        <v>0</v>
      </c>
      <c r="Q808" s="32" t="n">
        <v>15</v>
      </c>
      <c r="R808" s="31" t="n">
        <v>31.3</v>
      </c>
      <c r="S808" s="31" t="n">
        <v>31.3</v>
      </c>
      <c r="T808" s="30" t="inlineStr">
        <is>
          <t>AMR3</t>
        </is>
      </c>
      <c r="U808" s="31" t="n">
        <v>57.1</v>
      </c>
      <c r="V808" s="31" t="n">
        <v>57.1</v>
      </c>
      <c r="W808" s="30" t="inlineStr">
        <is>
          <t>AMR3</t>
        </is>
      </c>
      <c r="X808" s="32" t="n">
        <v>0</v>
      </c>
      <c r="Y808" s="32" t="n">
        <v>0</v>
      </c>
      <c r="Z808" s="31" t="n">
        <v>0</v>
      </c>
      <c r="AA808" s="32" t="n">
        <v>0</v>
      </c>
      <c r="AB808" s="32" t="n">
        <v>1</v>
      </c>
      <c r="AC808" s="32" t="n">
        <v>0</v>
      </c>
      <c r="AD808" s="32" t="n">
        <v>1</v>
      </c>
      <c r="AE808" s="31" t="n">
        <v>2.4</v>
      </c>
      <c r="AF808" s="32" t="n">
        <v>0</v>
      </c>
      <c r="AG808" s="31" t="n">
        <v>0</v>
      </c>
      <c r="AH808" s="32" t="n">
        <v>45</v>
      </c>
      <c r="AI808" s="31" t="n">
        <v>48.5</v>
      </c>
      <c r="AJ808" s="31" t="n">
        <v>41.1</v>
      </c>
      <c r="AK808" s="31" t="n">
        <v>2.4</v>
      </c>
      <c r="AL808" s="30" t="inlineStr">
        <is>
          <t>T-0957</t>
        </is>
      </c>
      <c r="AM808" s="30" t="inlineStr">
        <is>
          <t>B-04-01</t>
        </is>
      </c>
      <c r="AN808" s="30" t="inlineStr">
        <is>
          <t>T-0718</t>
        </is>
      </c>
      <c r="AO808" s="30" t="inlineStr">
        <is>
          <t>B-05-01</t>
        </is>
      </c>
    </row>
    <row r="809">
      <c r="A809" s="30" t="inlineStr">
        <is>
          <t>O0808</t>
        </is>
      </c>
      <c r="B809" s="30" t="inlineStr">
        <is>
          <t>B</t>
        </is>
      </c>
      <c r="C809" s="31" t="n">
        <v>10095.3</v>
      </c>
      <c r="D809" s="31" t="n">
        <v>39352</v>
      </c>
      <c r="E809" s="31" t="n">
        <v>39352</v>
      </c>
      <c r="F809" s="31" t="n">
        <v>39366.3</v>
      </c>
      <c r="G809" s="31" t="n">
        <v>39395.3</v>
      </c>
      <c r="H809" s="31" t="n">
        <v>39410.1</v>
      </c>
      <c r="I809" s="31" t="n">
        <v>39435.8</v>
      </c>
      <c r="J809" s="31" t="n">
        <v>39461.8</v>
      </c>
      <c r="K809" s="31" t="n">
        <v>29366.5</v>
      </c>
      <c r="L809" s="31" t="n">
        <v>29256.7</v>
      </c>
      <c r="M809" s="30" t="inlineStr">
        <is>
          <t>AMR2</t>
        </is>
      </c>
      <c r="N809" s="30" t="inlineStr">
        <is>
          <t>AMR2</t>
        </is>
      </c>
      <c r="O809" s="32" t="n">
        <v>0</v>
      </c>
      <c r="P809" s="32" t="n">
        <v>0</v>
      </c>
      <c r="Q809" s="32" t="n">
        <v>15</v>
      </c>
      <c r="R809" s="31" t="n">
        <v>39.3</v>
      </c>
      <c r="S809" s="31" t="n">
        <v>39.3</v>
      </c>
      <c r="T809" s="30" t="inlineStr">
        <is>
          <t>AMR2</t>
        </is>
      </c>
      <c r="U809" s="31" t="n">
        <v>51.7</v>
      </c>
      <c r="V809" s="31" t="n">
        <v>51.7</v>
      </c>
      <c r="W809" s="30" t="inlineStr">
        <is>
          <t>AMR2</t>
        </is>
      </c>
      <c r="X809" s="32" t="n">
        <v>0</v>
      </c>
      <c r="Y809" s="32" t="n">
        <v>0</v>
      </c>
      <c r="Z809" s="31" t="n">
        <v>0</v>
      </c>
      <c r="AA809" s="32" t="n">
        <v>0</v>
      </c>
      <c r="AB809" s="32" t="n">
        <v>1</v>
      </c>
      <c r="AC809" s="32" t="n">
        <v>0</v>
      </c>
      <c r="AD809" s="32" t="n">
        <v>2</v>
      </c>
      <c r="AE809" s="31" t="n">
        <v>4.8</v>
      </c>
      <c r="AF809" s="32" t="n">
        <v>0</v>
      </c>
      <c r="AG809" s="31" t="n">
        <v>0</v>
      </c>
      <c r="AH809" s="32" t="n">
        <v>43</v>
      </c>
      <c r="AI809" s="31" t="n">
        <v>46.5</v>
      </c>
      <c r="AJ809" s="31" t="n">
        <v>43.7</v>
      </c>
      <c r="AK809" s="31" t="n">
        <v>4.8</v>
      </c>
      <c r="AL809" s="30" t="inlineStr">
        <is>
          <t>T-0958</t>
        </is>
      </c>
      <c r="AM809" s="30" t="inlineStr">
        <is>
          <t>B-04-03</t>
        </is>
      </c>
      <c r="AN809" s="30" t="inlineStr">
        <is>
          <t>T-0729</t>
        </is>
      </c>
      <c r="AO809" s="30" t="inlineStr">
        <is>
          <t>B-06-01</t>
        </is>
      </c>
    </row>
    <row r="810">
      <c r="A810" s="30" t="inlineStr">
        <is>
          <t>O0809</t>
        </is>
      </c>
      <c r="B810" s="30" t="inlineStr">
        <is>
          <t>J</t>
        </is>
      </c>
      <c r="C810" s="31" t="n">
        <v>10112.4</v>
      </c>
      <c r="D810" s="31" t="n">
        <v>39429</v>
      </c>
      <c r="E810" s="31" t="n">
        <v>39429</v>
      </c>
      <c r="F810" s="31" t="n">
        <v>39444.8</v>
      </c>
      <c r="G810" s="31" t="n">
        <v>39475.6</v>
      </c>
      <c r="H810" s="31" t="n">
        <v>39485.5</v>
      </c>
      <c r="I810" s="31" t="n">
        <v>39529</v>
      </c>
      <c r="J810" s="31" t="n">
        <v>39566.9</v>
      </c>
      <c r="K810" s="31" t="n">
        <v>29454.5</v>
      </c>
      <c r="L810" s="31" t="n">
        <v>29316.6</v>
      </c>
      <c r="M810" s="30" t="inlineStr">
        <is>
          <t>AMR1</t>
        </is>
      </c>
      <c r="N810" s="30" t="inlineStr">
        <is>
          <t>AMR2</t>
        </is>
      </c>
      <c r="O810" s="32" t="n">
        <v>0</v>
      </c>
      <c r="P810" s="32" t="n">
        <v>0</v>
      </c>
      <c r="Q810" s="32" t="n">
        <v>21</v>
      </c>
      <c r="R810" s="31" t="n">
        <v>44.1</v>
      </c>
      <c r="S810" s="31" t="n">
        <v>44.1</v>
      </c>
      <c r="T810" s="30" t="inlineStr">
        <is>
          <t>AMR1</t>
        </is>
      </c>
      <c r="U810" s="31" t="n">
        <v>59.8</v>
      </c>
      <c r="V810" s="31" t="n">
        <v>59.8</v>
      </c>
      <c r="W810" s="30" t="inlineStr">
        <is>
          <t>AMR2</t>
        </is>
      </c>
      <c r="X810" s="32" t="n">
        <v>0</v>
      </c>
      <c r="Y810" s="32" t="n">
        <v>0</v>
      </c>
      <c r="Z810" s="31" t="n">
        <v>0</v>
      </c>
      <c r="AA810" s="32" t="n">
        <v>0</v>
      </c>
      <c r="AB810" s="32" t="n">
        <v>1</v>
      </c>
      <c r="AC810" s="32" t="n">
        <v>2</v>
      </c>
      <c r="AD810" s="32" t="n">
        <v>0</v>
      </c>
      <c r="AE810" s="31" t="n">
        <v>0</v>
      </c>
      <c r="AF810" s="32" t="n">
        <v>1</v>
      </c>
      <c r="AG810" s="31" t="n">
        <v>7.1</v>
      </c>
      <c r="AH810" s="32" t="n">
        <v>65</v>
      </c>
      <c r="AI810" s="31" t="n">
        <v>66.40000000000001</v>
      </c>
      <c r="AJ810" s="31" t="n">
        <v>43.3</v>
      </c>
      <c r="AK810" s="31" t="n">
        <v>18.3</v>
      </c>
      <c r="AL810" s="30" t="inlineStr">
        <is>
          <t>T-0959</t>
        </is>
      </c>
      <c r="AM810" s="30" t="inlineStr">
        <is>
          <t>J-05-01</t>
        </is>
      </c>
      <c r="AN810" s="30" t="inlineStr">
        <is>
          <t>T-0768</t>
        </is>
      </c>
      <c r="AO810" s="30" t="inlineStr">
        <is>
          <t>J-04-02</t>
        </is>
      </c>
    </row>
    <row r="811">
      <c r="A811" s="30" t="inlineStr">
        <is>
          <t>O0810</t>
        </is>
      </c>
      <c r="B811" s="30" t="inlineStr">
        <is>
          <t>J</t>
        </is>
      </c>
      <c r="C811" s="31" t="n">
        <v>10130.9</v>
      </c>
      <c r="D811" s="31" t="n">
        <v>39471.4</v>
      </c>
      <c r="E811" s="31" t="n">
        <v>39471.4</v>
      </c>
      <c r="F811" s="31" t="n">
        <v>39483.4</v>
      </c>
      <c r="G811" s="31" t="n">
        <v>39513.1</v>
      </c>
      <c r="H811" s="31" t="n">
        <v>39538.7</v>
      </c>
      <c r="I811" s="31" t="n">
        <v>39571.9</v>
      </c>
      <c r="J811" s="31" t="n">
        <v>39606.1</v>
      </c>
      <c r="K811" s="31" t="n">
        <v>29475.2</v>
      </c>
      <c r="L811" s="31" t="n">
        <v>29340.5</v>
      </c>
      <c r="M811" s="30" t="inlineStr">
        <is>
          <t>AMR3</t>
        </is>
      </c>
      <c r="N811" s="30" t="inlineStr">
        <is>
          <t>AMR3</t>
        </is>
      </c>
      <c r="O811" s="32" t="n">
        <v>0</v>
      </c>
      <c r="P811" s="32" t="n">
        <v>0</v>
      </c>
      <c r="Q811" s="32" t="n">
        <v>21</v>
      </c>
      <c r="R811" s="31" t="n">
        <v>39.2</v>
      </c>
      <c r="S811" s="31" t="n">
        <v>39.2</v>
      </c>
      <c r="T811" s="30" t="inlineStr">
        <is>
          <t>AMR3</t>
        </is>
      </c>
      <c r="U811" s="31" t="n">
        <v>64.09999999999999</v>
      </c>
      <c r="V811" s="31" t="n">
        <v>64.09999999999999</v>
      </c>
      <c r="W811" s="30" t="inlineStr">
        <is>
          <t>AMR3</t>
        </is>
      </c>
      <c r="X811" s="32" t="n">
        <v>0</v>
      </c>
      <c r="Y811" s="32" t="n">
        <v>0</v>
      </c>
      <c r="Z811" s="31" t="n">
        <v>0</v>
      </c>
      <c r="AA811" s="32" t="n">
        <v>0</v>
      </c>
      <c r="AB811" s="32" t="n">
        <v>0</v>
      </c>
      <c r="AC811" s="32" t="n">
        <v>0</v>
      </c>
      <c r="AD811" s="32" t="n">
        <v>0</v>
      </c>
      <c r="AE811" s="31" t="n">
        <v>0</v>
      </c>
      <c r="AF811" s="32" t="n">
        <v>0</v>
      </c>
      <c r="AG811" s="31" t="n">
        <v>0</v>
      </c>
      <c r="AH811" s="32" t="n">
        <v>65</v>
      </c>
      <c r="AI811" s="31" t="n">
        <v>66.40000000000001</v>
      </c>
      <c r="AJ811" s="31" t="n">
        <v>42.7</v>
      </c>
      <c r="AK811" s="31" t="n">
        <v>0</v>
      </c>
      <c r="AL811" s="30" t="inlineStr">
        <is>
          <t>T-0960</t>
        </is>
      </c>
      <c r="AM811" s="30" t="inlineStr">
        <is>
          <t>J-05-03</t>
        </is>
      </c>
      <c r="AN811" s="30" t="inlineStr">
        <is>
          <t>T-0785</t>
        </is>
      </c>
      <c r="AO811" s="30" t="inlineStr">
        <is>
          <t>J-05-02</t>
        </is>
      </c>
    </row>
    <row r="812">
      <c r="A812" s="30" t="inlineStr">
        <is>
          <t>O0811</t>
        </is>
      </c>
      <c r="B812" s="30" t="inlineStr">
        <is>
          <t>J</t>
        </is>
      </c>
      <c r="C812" s="31" t="n">
        <v>10150.2</v>
      </c>
      <c r="D812" s="31" t="n">
        <v>39497.8</v>
      </c>
      <c r="E812" s="31" t="n">
        <v>39497.8</v>
      </c>
      <c r="F812" s="31" t="n">
        <v>39509.4</v>
      </c>
      <c r="G812" s="31" t="n">
        <v>39548.6</v>
      </c>
      <c r="H812" s="31" t="n">
        <v>39571.5</v>
      </c>
      <c r="I812" s="31" t="n">
        <v>39603.5</v>
      </c>
      <c r="J812" s="31" t="n">
        <v>39637.7</v>
      </c>
      <c r="K812" s="31" t="n">
        <v>29487.5</v>
      </c>
      <c r="L812" s="31" t="n">
        <v>29347.6</v>
      </c>
      <c r="M812" s="30" t="inlineStr">
        <is>
          <t>AMR1</t>
        </is>
      </c>
      <c r="N812" s="30" t="inlineStr">
        <is>
          <t>AMR1</t>
        </is>
      </c>
      <c r="O812" s="32" t="n">
        <v>0</v>
      </c>
      <c r="P812" s="32" t="n">
        <v>0</v>
      </c>
      <c r="Q812" s="32" t="n">
        <v>21</v>
      </c>
      <c r="R812" s="31" t="n">
        <v>38.1</v>
      </c>
      <c r="S812" s="31" t="n">
        <v>38.1</v>
      </c>
      <c r="T812" s="30" t="inlineStr">
        <is>
          <t>AMR1</t>
        </is>
      </c>
      <c r="U812" s="31" t="n">
        <v>66.40000000000001</v>
      </c>
      <c r="V812" s="31" t="n">
        <v>66.40000000000001</v>
      </c>
      <c r="W812" s="30" t="inlineStr">
        <is>
          <t>AMR1</t>
        </is>
      </c>
      <c r="X812" s="32" t="n">
        <v>0</v>
      </c>
      <c r="Y812" s="32" t="n">
        <v>0</v>
      </c>
      <c r="Z812" s="31" t="n">
        <v>0</v>
      </c>
      <c r="AA812" s="32" t="n">
        <v>0</v>
      </c>
      <c r="AB812" s="32" t="n">
        <v>1</v>
      </c>
      <c r="AC812" s="32" t="n">
        <v>1</v>
      </c>
      <c r="AD812" s="32" t="n">
        <v>0</v>
      </c>
      <c r="AE812" s="31" t="n">
        <v>0</v>
      </c>
      <c r="AF812" s="32" t="n">
        <v>0</v>
      </c>
      <c r="AG812" s="31" t="n">
        <v>0</v>
      </c>
      <c r="AH812" s="32" t="n">
        <v>64</v>
      </c>
      <c r="AI812" s="31" t="n">
        <v>68</v>
      </c>
      <c r="AJ812" s="31" t="n">
        <v>43.9</v>
      </c>
      <c r="AK812" s="31" t="n">
        <v>5.1</v>
      </c>
      <c r="AL812" s="30" t="inlineStr">
        <is>
          <t>T-0961</t>
        </is>
      </c>
      <c r="AM812" s="30" t="inlineStr">
        <is>
          <t>J-06-03</t>
        </is>
      </c>
      <c r="AN812" s="30" t="inlineStr">
        <is>
          <t>T-0806</t>
        </is>
      </c>
      <c r="AO812" s="30" t="inlineStr">
        <is>
          <t>J-01-03</t>
        </is>
      </c>
    </row>
    <row r="813">
      <c r="A813" s="30" t="inlineStr">
        <is>
          <t>O0812</t>
        </is>
      </c>
      <c r="B813" s="30" t="inlineStr">
        <is>
          <t>D</t>
        </is>
      </c>
      <c r="C813" s="31" t="n">
        <v>10173</v>
      </c>
      <c r="D813" s="31" t="n">
        <v>39590.6</v>
      </c>
      <c r="E813" s="31" t="n">
        <v>39590.6</v>
      </c>
      <c r="F813" s="31" t="n">
        <v>39601.9</v>
      </c>
      <c r="G813" s="31" t="n">
        <v>39622.2</v>
      </c>
      <c r="H813" s="31" t="n">
        <v>39629.8</v>
      </c>
      <c r="I813" s="31" t="n">
        <v>39656</v>
      </c>
      <c r="J813" s="31" t="n">
        <v>39685.3</v>
      </c>
      <c r="K813" s="31" t="n">
        <v>29512.3</v>
      </c>
      <c r="L813" s="31" t="n">
        <v>29417.6</v>
      </c>
      <c r="M813" s="30" t="inlineStr">
        <is>
          <t>AMR2</t>
        </is>
      </c>
      <c r="N813" s="30" t="inlineStr">
        <is>
          <t>AMR3</t>
        </is>
      </c>
      <c r="O813" s="32" t="n">
        <v>0</v>
      </c>
      <c r="P813" s="32" t="n">
        <v>0</v>
      </c>
      <c r="Q813" s="32" t="n">
        <v>13</v>
      </c>
      <c r="R813" s="31" t="n">
        <v>30.7</v>
      </c>
      <c r="S813" s="31" t="n">
        <v>30.7</v>
      </c>
      <c r="T813" s="30" t="inlineStr">
        <is>
          <t>AMR2</t>
        </is>
      </c>
      <c r="U813" s="31" t="n">
        <v>55.7</v>
      </c>
      <c r="V813" s="31" t="n">
        <v>55.7</v>
      </c>
      <c r="W813" s="30" t="inlineStr">
        <is>
          <t>AMR3</t>
        </is>
      </c>
      <c r="X813" s="32" t="n">
        <v>0</v>
      </c>
      <c r="Y813" s="32" t="n">
        <v>0</v>
      </c>
      <c r="Z813" s="31" t="n">
        <v>0</v>
      </c>
      <c r="AA813" s="32" t="n">
        <v>0</v>
      </c>
      <c r="AB813" s="32" t="n">
        <v>1</v>
      </c>
      <c r="AC813" s="32" t="n">
        <v>0</v>
      </c>
      <c r="AD813" s="32" t="n">
        <v>0</v>
      </c>
      <c r="AE813" s="31" t="n">
        <v>0</v>
      </c>
      <c r="AF813" s="32" t="n">
        <v>0</v>
      </c>
      <c r="AG813" s="31" t="n">
        <v>0</v>
      </c>
      <c r="AH813" s="32" t="n">
        <v>39</v>
      </c>
      <c r="AI813" s="31" t="n">
        <v>43.4</v>
      </c>
      <c r="AJ813" s="31" t="n">
        <v>43.7</v>
      </c>
      <c r="AK813" s="31" t="n">
        <v>0</v>
      </c>
      <c r="AL813" s="30" t="inlineStr">
        <is>
          <t>T-0962</t>
        </is>
      </c>
      <c r="AM813" s="30" t="inlineStr">
        <is>
          <t>D-01-01</t>
        </is>
      </c>
      <c r="AN813" s="30" t="inlineStr">
        <is>
          <t>T-0897</t>
        </is>
      </c>
      <c r="AO813" s="30" t="inlineStr">
        <is>
          <t>D-02-03</t>
        </is>
      </c>
    </row>
    <row r="814">
      <c r="A814" s="30" t="inlineStr">
        <is>
          <t>O0813</t>
        </is>
      </c>
      <c r="B814" s="30" t="inlineStr">
        <is>
          <t>I</t>
        </is>
      </c>
      <c r="C814" s="31" t="n">
        <v>10193.7</v>
      </c>
      <c r="D814" s="31" t="n">
        <v>39637.1</v>
      </c>
      <c r="E814" s="31" t="n">
        <v>39637.1</v>
      </c>
      <c r="F814" s="31" t="n">
        <v>39648.7</v>
      </c>
      <c r="G814" s="31" t="n">
        <v>39682.4</v>
      </c>
      <c r="H814" s="31" t="n">
        <v>39699.2</v>
      </c>
      <c r="I814" s="31" t="n">
        <v>39735.9</v>
      </c>
      <c r="J814" s="31" t="n">
        <v>39765</v>
      </c>
      <c r="K814" s="31" t="n">
        <v>29571.3</v>
      </c>
      <c r="L814" s="31" t="n">
        <v>29443.4</v>
      </c>
      <c r="M814" s="30" t="inlineStr">
        <is>
          <t>AMR2</t>
        </is>
      </c>
      <c r="N814" s="30" t="inlineStr">
        <is>
          <t>AMR2</t>
        </is>
      </c>
      <c r="O814" s="32" t="n">
        <v>0</v>
      </c>
      <c r="P814" s="32" t="n">
        <v>0</v>
      </c>
      <c r="Q814" s="32" t="n">
        <v>15</v>
      </c>
      <c r="R814" s="31" t="n">
        <v>37.7</v>
      </c>
      <c r="S814" s="31" t="n">
        <v>37.7</v>
      </c>
      <c r="T814" s="30" t="inlineStr">
        <is>
          <t>AMR2</t>
        </is>
      </c>
      <c r="U814" s="31" t="n">
        <v>51.1</v>
      </c>
      <c r="V814" s="31" t="n">
        <v>51.1</v>
      </c>
      <c r="W814" s="30" t="inlineStr">
        <is>
          <t>AMR2</t>
        </is>
      </c>
      <c r="X814" s="32" t="n">
        <v>0</v>
      </c>
      <c r="Y814" s="32" t="n">
        <v>0</v>
      </c>
      <c r="Z814" s="31" t="n">
        <v>0</v>
      </c>
      <c r="AA814" s="32" t="n">
        <v>0</v>
      </c>
      <c r="AB814" s="32" t="n">
        <v>3</v>
      </c>
      <c r="AC814" s="32" t="n">
        <v>3</v>
      </c>
      <c r="AD814" s="32" t="n">
        <v>0</v>
      </c>
      <c r="AE814" s="31" t="n">
        <v>0</v>
      </c>
      <c r="AF814" s="32" t="n">
        <v>1</v>
      </c>
      <c r="AG814" s="31" t="n">
        <v>0.1</v>
      </c>
      <c r="AH814" s="32" t="n">
        <v>49</v>
      </c>
      <c r="AI814" s="31" t="n">
        <v>57</v>
      </c>
      <c r="AJ814" s="31" t="n">
        <v>43</v>
      </c>
      <c r="AK814" s="31" t="n">
        <v>11.1</v>
      </c>
      <c r="AL814" s="30" t="inlineStr">
        <is>
          <t>T-0963</t>
        </is>
      </c>
      <c r="AM814" s="30" t="inlineStr">
        <is>
          <t>I-04-01</t>
        </is>
      </c>
      <c r="AN814" s="30" t="inlineStr">
        <is>
          <t>T-0890</t>
        </is>
      </c>
      <c r="AO814" s="30" t="inlineStr">
        <is>
          <t>I-05-01</t>
        </is>
      </c>
    </row>
    <row r="815">
      <c r="A815" s="30" t="inlineStr">
        <is>
          <t>O0814</t>
        </is>
      </c>
      <c r="B815" s="30" t="inlineStr">
        <is>
          <t>C</t>
        </is>
      </c>
      <c r="C815" s="31" t="n">
        <v>10214.7</v>
      </c>
      <c r="D815" s="31" t="n">
        <v>39666.4</v>
      </c>
      <c r="E815" s="31" t="n">
        <v>39666.4</v>
      </c>
      <c r="F815" s="31" t="n">
        <v>39682.2</v>
      </c>
      <c r="G815" s="31" t="n">
        <v>39705.7</v>
      </c>
      <c r="H815" s="31" t="n">
        <v>39714.2</v>
      </c>
      <c r="I815" s="31" t="n">
        <v>39743.5</v>
      </c>
      <c r="J815" s="31" t="n">
        <v>39780.5</v>
      </c>
      <c r="K815" s="31" t="n">
        <v>29565.8</v>
      </c>
      <c r="L815" s="31" t="n">
        <v>29451.7</v>
      </c>
      <c r="M815" s="30" t="inlineStr">
        <is>
          <t>AMR1</t>
        </is>
      </c>
      <c r="N815" s="30" t="inlineStr">
        <is>
          <t>AMR3</t>
        </is>
      </c>
      <c r="O815" s="32" t="n">
        <v>0</v>
      </c>
      <c r="P815" s="32" t="n">
        <v>0</v>
      </c>
      <c r="Q815" s="32" t="n">
        <v>13</v>
      </c>
      <c r="R815" s="31" t="n">
        <v>37.6</v>
      </c>
      <c r="S815" s="31" t="n">
        <v>37.6</v>
      </c>
      <c r="T815" s="30" t="inlineStr">
        <is>
          <t>AMR1</t>
        </is>
      </c>
      <c r="U815" s="31" t="n">
        <v>53.6</v>
      </c>
      <c r="V815" s="31" t="n">
        <v>53.6</v>
      </c>
      <c r="W815" s="30" t="inlineStr">
        <is>
          <t>AMR3</t>
        </is>
      </c>
      <c r="X815" s="32" t="n">
        <v>0</v>
      </c>
      <c r="Y815" s="32" t="n">
        <v>0</v>
      </c>
      <c r="Z815" s="31" t="n">
        <v>0</v>
      </c>
      <c r="AA815" s="32" t="n">
        <v>0</v>
      </c>
      <c r="AB815" s="32" t="n">
        <v>1</v>
      </c>
      <c r="AC815" s="32" t="n">
        <v>1</v>
      </c>
      <c r="AD815" s="32" t="n">
        <v>1</v>
      </c>
      <c r="AE815" s="31" t="n">
        <v>9.1</v>
      </c>
      <c r="AF815" s="32" t="n">
        <v>2</v>
      </c>
      <c r="AG815" s="31" t="n">
        <v>4.4</v>
      </c>
      <c r="AH815" s="32" t="n">
        <v>38</v>
      </c>
      <c r="AI815" s="31" t="n">
        <v>42.2</v>
      </c>
      <c r="AJ815" s="31" t="n">
        <v>49</v>
      </c>
      <c r="AK815" s="31" t="n">
        <v>14.4</v>
      </c>
      <c r="AL815" s="30" t="inlineStr">
        <is>
          <t>T-0964</t>
        </is>
      </c>
      <c r="AM815" s="30" t="inlineStr">
        <is>
          <t>C-03-01</t>
        </is>
      </c>
      <c r="AN815" s="30" t="inlineStr">
        <is>
          <t>T-0804</t>
        </is>
      </c>
      <c r="AO815" s="30" t="inlineStr">
        <is>
          <t>C-06-01</t>
        </is>
      </c>
    </row>
    <row r="816">
      <c r="A816" s="30" t="inlineStr">
        <is>
          <t>O0815</t>
        </is>
      </c>
      <c r="B816" s="30" t="inlineStr">
        <is>
          <t>E</t>
        </is>
      </c>
      <c r="C816" s="31" t="n">
        <v>10239.5</v>
      </c>
      <c r="D816" s="31" t="n">
        <v>39727.3</v>
      </c>
      <c r="E816" s="31" t="n">
        <v>39727.3</v>
      </c>
      <c r="F816" s="31" t="n">
        <v>39738.4</v>
      </c>
      <c r="G816" s="31" t="n">
        <v>39763.9</v>
      </c>
      <c r="H816" s="31" t="n">
        <v>39783.4</v>
      </c>
      <c r="I816" s="31" t="n">
        <v>39817.8</v>
      </c>
      <c r="J816" s="31" t="n">
        <v>39855.4</v>
      </c>
      <c r="K816" s="31" t="n">
        <v>29615.9</v>
      </c>
      <c r="L816" s="31" t="n">
        <v>29487.8</v>
      </c>
      <c r="M816" s="30" t="inlineStr">
        <is>
          <t>AMR1</t>
        </is>
      </c>
      <c r="N816" s="30" t="inlineStr">
        <is>
          <t>AMR1</t>
        </is>
      </c>
      <c r="O816" s="32" t="n">
        <v>0</v>
      </c>
      <c r="P816" s="32" t="n">
        <v>0</v>
      </c>
      <c r="Q816" s="32" t="n">
        <v>19</v>
      </c>
      <c r="R816" s="31" t="n">
        <v>34.9</v>
      </c>
      <c r="S816" s="31" t="n">
        <v>34.9</v>
      </c>
      <c r="T816" s="30" t="inlineStr">
        <is>
          <t>AMR1</t>
        </is>
      </c>
      <c r="U816" s="31" t="n">
        <v>64.09999999999999</v>
      </c>
      <c r="V816" s="31" t="n">
        <v>64.09999999999999</v>
      </c>
      <c r="W816" s="30" t="inlineStr">
        <is>
          <t>AMR1</t>
        </is>
      </c>
      <c r="X816" s="32" t="n">
        <v>0</v>
      </c>
      <c r="Y816" s="32" t="n">
        <v>0</v>
      </c>
      <c r="Z816" s="31" t="n">
        <v>0</v>
      </c>
      <c r="AA816" s="32" t="n">
        <v>0</v>
      </c>
      <c r="AB816" s="32" t="n">
        <v>1</v>
      </c>
      <c r="AC816" s="32" t="n">
        <v>1</v>
      </c>
      <c r="AD816" s="32" t="n">
        <v>0</v>
      </c>
      <c r="AE816" s="31" t="n">
        <v>0</v>
      </c>
      <c r="AF816" s="32" t="n">
        <v>1</v>
      </c>
      <c r="AG816" s="31" t="n">
        <v>0.4</v>
      </c>
      <c r="AH816" s="32" t="n">
        <v>58</v>
      </c>
      <c r="AI816" s="31" t="n">
        <v>59</v>
      </c>
      <c r="AJ816" s="31" t="n">
        <v>41.5</v>
      </c>
      <c r="AK816" s="31" t="n">
        <v>8.1</v>
      </c>
      <c r="AL816" s="30" t="inlineStr">
        <is>
          <t>T-0965</t>
        </is>
      </c>
      <c r="AM816" s="30" t="inlineStr">
        <is>
          <t>E-03-02</t>
        </is>
      </c>
      <c r="AN816" s="30" t="inlineStr">
        <is>
          <t>T-0723</t>
        </is>
      </c>
      <c r="AO816" s="30" t="inlineStr">
        <is>
          <t>E-02-03</t>
        </is>
      </c>
    </row>
    <row r="817">
      <c r="A817" s="30" t="inlineStr">
        <is>
          <t>O0816</t>
        </is>
      </c>
      <c r="B817" s="30" t="inlineStr">
        <is>
          <t>I</t>
        </is>
      </c>
      <c r="C817" s="31" t="n">
        <v>10260.2</v>
      </c>
      <c r="D817" s="31" t="n">
        <v>39795.1</v>
      </c>
      <c r="E817" s="31" t="n">
        <v>39795.1</v>
      </c>
      <c r="F817" s="31" t="n">
        <v>39805.7</v>
      </c>
      <c r="G817" s="31" t="n">
        <v>39833.1</v>
      </c>
      <c r="H817" s="31" t="n">
        <v>39847.1</v>
      </c>
      <c r="I817" s="31" t="n">
        <v>39882.3</v>
      </c>
      <c r="J817" s="31" t="n">
        <v>39921</v>
      </c>
      <c r="K817" s="31" t="n">
        <v>29660.8</v>
      </c>
      <c r="L817" s="31" t="n">
        <v>29534.9</v>
      </c>
      <c r="M817" s="30" t="inlineStr">
        <is>
          <t>AMR2</t>
        </is>
      </c>
      <c r="N817" s="30" t="inlineStr">
        <is>
          <t>AMR3</t>
        </is>
      </c>
      <c r="O817" s="32" t="n">
        <v>0</v>
      </c>
      <c r="P817" s="32" t="n">
        <v>0</v>
      </c>
      <c r="Q817" s="32" t="n">
        <v>15</v>
      </c>
      <c r="R817" s="31" t="n">
        <v>35.5</v>
      </c>
      <c r="S817" s="31" t="n">
        <v>35.5</v>
      </c>
      <c r="T817" s="30" t="inlineStr">
        <is>
          <t>AMR2</t>
        </is>
      </c>
      <c r="U817" s="31" t="n">
        <v>54.8</v>
      </c>
      <c r="V817" s="31" t="n">
        <v>54.8</v>
      </c>
      <c r="W817" s="30" t="inlineStr">
        <is>
          <t>AMR3</t>
        </is>
      </c>
      <c r="X817" s="32" t="n">
        <v>0</v>
      </c>
      <c r="Y817" s="32" t="n">
        <v>0</v>
      </c>
      <c r="Z817" s="31" t="n">
        <v>0</v>
      </c>
      <c r="AA817" s="32" t="n">
        <v>0</v>
      </c>
      <c r="AB817" s="32" t="n">
        <v>1</v>
      </c>
      <c r="AC817" s="32" t="n">
        <v>1</v>
      </c>
      <c r="AD817" s="32" t="n">
        <v>2</v>
      </c>
      <c r="AE817" s="31" t="n">
        <v>10.1</v>
      </c>
      <c r="AF817" s="32" t="n">
        <v>1</v>
      </c>
      <c r="AG817" s="31" t="n">
        <v>3.4</v>
      </c>
      <c r="AH817" s="32" t="n">
        <v>49</v>
      </c>
      <c r="AI817" s="31" t="n">
        <v>53.1</v>
      </c>
      <c r="AJ817" s="31" t="n">
        <v>44.5</v>
      </c>
      <c r="AK817" s="31" t="n">
        <v>14.3</v>
      </c>
      <c r="AL817" s="30" t="inlineStr">
        <is>
          <t>T-0966</t>
        </is>
      </c>
      <c r="AM817" s="30" t="inlineStr">
        <is>
          <t>I-05-01</t>
        </is>
      </c>
      <c r="AN817" s="30" t="inlineStr">
        <is>
          <t>T-0898</t>
        </is>
      </c>
      <c r="AO817" s="30" t="inlineStr">
        <is>
          <t>I-06-01</t>
        </is>
      </c>
    </row>
    <row r="818">
      <c r="A818" s="30" t="inlineStr">
        <is>
          <t>O0817</t>
        </is>
      </c>
      <c r="B818" s="30" t="inlineStr">
        <is>
          <t>C</t>
        </is>
      </c>
      <c r="C818" s="31" t="n">
        <v>10283.3</v>
      </c>
      <c r="D818" s="31" t="n">
        <v>39805.7</v>
      </c>
      <c r="E818" s="31" t="n">
        <v>39805.7</v>
      </c>
      <c r="F818" s="31" t="n">
        <v>39816.6</v>
      </c>
      <c r="G818" s="31" t="n">
        <v>39835.6</v>
      </c>
      <c r="H818" s="31" t="n">
        <v>39856.3</v>
      </c>
      <c r="I818" s="31" t="n">
        <v>39881.1</v>
      </c>
      <c r="J818" s="31" t="n">
        <v>39906.9</v>
      </c>
      <c r="K818" s="31" t="n">
        <v>29623.6</v>
      </c>
      <c r="L818" s="31" t="n">
        <v>29522.4</v>
      </c>
      <c r="M818" s="30" t="inlineStr">
        <is>
          <t>AMR3</t>
        </is>
      </c>
      <c r="N818" s="30" t="inlineStr">
        <is>
          <t>AMR2</t>
        </is>
      </c>
      <c r="O818" s="32" t="n">
        <v>0</v>
      </c>
      <c r="P818" s="32" t="n">
        <v>0</v>
      </c>
      <c r="Q818" s="32" t="n">
        <v>13</v>
      </c>
      <c r="R818" s="31" t="n">
        <v>29.8</v>
      </c>
      <c r="S818" s="31" t="n">
        <v>29.8</v>
      </c>
      <c r="T818" s="30" t="inlineStr">
        <is>
          <t>AMR3</t>
        </is>
      </c>
      <c r="U818" s="31" t="n">
        <v>50.8</v>
      </c>
      <c r="V818" s="31" t="n">
        <v>50.8</v>
      </c>
      <c r="W818" s="30" t="inlineStr">
        <is>
          <t>AMR2</t>
        </is>
      </c>
      <c r="X818" s="32" t="n">
        <v>0</v>
      </c>
      <c r="Y818" s="32" t="n">
        <v>0</v>
      </c>
      <c r="Z818" s="31" t="n">
        <v>0</v>
      </c>
      <c r="AA818" s="32" t="n">
        <v>0</v>
      </c>
      <c r="AB818" s="32" t="n">
        <v>0</v>
      </c>
      <c r="AC818" s="32" t="n">
        <v>0</v>
      </c>
      <c r="AD818" s="32" t="n">
        <v>0</v>
      </c>
      <c r="AE818" s="31" t="n">
        <v>0</v>
      </c>
      <c r="AF818" s="32" t="n">
        <v>0</v>
      </c>
      <c r="AG818" s="31" t="n">
        <v>0</v>
      </c>
      <c r="AH818" s="32" t="n">
        <v>38</v>
      </c>
      <c r="AI818" s="31" t="n">
        <v>42.1</v>
      </c>
      <c r="AJ818" s="31" t="n">
        <v>38.4</v>
      </c>
      <c r="AK818" s="31" t="n">
        <v>0</v>
      </c>
      <c r="AL818" s="30" t="inlineStr">
        <is>
          <t>T-0967</t>
        </is>
      </c>
      <c r="AM818" s="30" t="inlineStr">
        <is>
          <t>C-06-01</t>
        </is>
      </c>
      <c r="AN818" s="30" t="inlineStr">
        <is>
          <t>T-0805</t>
        </is>
      </c>
      <c r="AO818" s="30" t="inlineStr">
        <is>
          <t>C-01-02</t>
        </is>
      </c>
    </row>
    <row r="819">
      <c r="A819" s="30" t="inlineStr">
        <is>
          <t>O0818</t>
        </is>
      </c>
      <c r="B819" s="30" t="inlineStr">
        <is>
          <t>E</t>
        </is>
      </c>
      <c r="C819" s="31" t="n">
        <v>10307.5</v>
      </c>
      <c r="D819" s="31" t="n">
        <v>39880.8</v>
      </c>
      <c r="E819" s="31" t="n">
        <v>39880.8</v>
      </c>
      <c r="F819" s="31" t="n">
        <v>39891.7</v>
      </c>
      <c r="G819" s="31" t="n">
        <v>39916</v>
      </c>
      <c r="H819" s="31" t="n">
        <v>39930.6</v>
      </c>
      <c r="I819" s="31" t="n">
        <v>39962.5</v>
      </c>
      <c r="J819" s="31" t="n">
        <v>39996.3</v>
      </c>
      <c r="K819" s="31" t="n">
        <v>29688.8</v>
      </c>
      <c r="L819" s="31" t="n">
        <v>29573.3</v>
      </c>
      <c r="M819" s="30" t="inlineStr">
        <is>
          <t>AMR1</t>
        </is>
      </c>
      <c r="N819" s="30" t="inlineStr">
        <is>
          <t>AMR2</t>
        </is>
      </c>
      <c r="O819" s="32" t="n">
        <v>0</v>
      </c>
      <c r="P819" s="32" t="n">
        <v>0</v>
      </c>
      <c r="Q819" s="32" t="n">
        <v>19</v>
      </c>
      <c r="R819" s="31" t="n">
        <v>34.3</v>
      </c>
      <c r="S819" s="31" t="n">
        <v>34.3</v>
      </c>
      <c r="T819" s="30" t="inlineStr">
        <is>
          <t>AMR1</t>
        </is>
      </c>
      <c r="U819" s="31" t="n">
        <v>60.9</v>
      </c>
      <c r="V819" s="31" t="n">
        <v>60.9</v>
      </c>
      <c r="W819" s="30" t="inlineStr">
        <is>
          <t>AMR2</t>
        </is>
      </c>
      <c r="X819" s="32" t="n">
        <v>0</v>
      </c>
      <c r="Y819" s="32" t="n">
        <v>0</v>
      </c>
      <c r="Z819" s="31" t="n">
        <v>0</v>
      </c>
      <c r="AA819" s="32" t="n">
        <v>0</v>
      </c>
      <c r="AB819" s="32" t="n">
        <v>1</v>
      </c>
      <c r="AC819" s="32" t="n">
        <v>1</v>
      </c>
      <c r="AD819" s="32" t="n">
        <v>0</v>
      </c>
      <c r="AE819" s="31" t="n">
        <v>0</v>
      </c>
      <c r="AF819" s="32" t="n">
        <v>0</v>
      </c>
      <c r="AG819" s="31" t="n">
        <v>0</v>
      </c>
      <c r="AH819" s="32" t="n">
        <v>57</v>
      </c>
      <c r="AI819" s="31" t="n">
        <v>58.2</v>
      </c>
      <c r="AJ819" s="31" t="n">
        <v>37.7</v>
      </c>
      <c r="AK819" s="31" t="n">
        <v>5</v>
      </c>
      <c r="AL819" s="30" t="inlineStr">
        <is>
          <t>T-0968</t>
        </is>
      </c>
      <c r="AM819" s="30" t="inlineStr">
        <is>
          <t>E-02-03</t>
        </is>
      </c>
      <c r="AN819" s="30" t="inlineStr">
        <is>
          <t>T-0728</t>
        </is>
      </c>
      <c r="AO819" s="30" t="inlineStr">
        <is>
          <t>E-01-01</t>
        </is>
      </c>
    </row>
    <row r="820">
      <c r="A820" s="30" t="inlineStr">
        <is>
          <t>O0819</t>
        </is>
      </c>
      <c r="B820" s="30" t="inlineStr">
        <is>
          <t>C</t>
        </is>
      </c>
      <c r="C820" s="31" t="n">
        <v>10323.8</v>
      </c>
      <c r="D820" s="31" t="n">
        <v>39940.6</v>
      </c>
      <c r="E820" s="31" t="n">
        <v>39940.6</v>
      </c>
      <c r="F820" s="31" t="n">
        <v>39954.8</v>
      </c>
      <c r="G820" s="31" t="n">
        <v>39974</v>
      </c>
      <c r="H820" s="31" t="n">
        <v>39986.2</v>
      </c>
      <c r="I820" s="31" t="n">
        <v>40008.6</v>
      </c>
      <c r="J820" s="31" t="n">
        <v>40039.9</v>
      </c>
      <c r="K820" s="31" t="n">
        <v>29716.1</v>
      </c>
      <c r="L820" s="31" t="n">
        <v>29616.8</v>
      </c>
      <c r="M820" s="30" t="inlineStr">
        <is>
          <t>AMR1</t>
        </is>
      </c>
      <c r="N820" s="30" t="inlineStr">
        <is>
          <t>AMR1</t>
        </is>
      </c>
      <c r="O820" s="32" t="n">
        <v>0</v>
      </c>
      <c r="P820" s="32" t="n">
        <v>0</v>
      </c>
      <c r="Q820" s="32" t="n">
        <v>13</v>
      </c>
      <c r="R820" s="31" t="n">
        <v>32.5</v>
      </c>
      <c r="S820" s="31" t="n">
        <v>32.5</v>
      </c>
      <c r="T820" s="30" t="inlineStr">
        <is>
          <t>AMR1</t>
        </is>
      </c>
      <c r="U820" s="31" t="n">
        <v>49.3</v>
      </c>
      <c r="V820" s="31" t="n">
        <v>49.3</v>
      </c>
      <c r="W820" s="30" t="inlineStr">
        <is>
          <t>AMR1</t>
        </is>
      </c>
      <c r="X820" s="32" t="n">
        <v>0</v>
      </c>
      <c r="Y820" s="32" t="n">
        <v>0</v>
      </c>
      <c r="Z820" s="31" t="n">
        <v>0</v>
      </c>
      <c r="AA820" s="32" t="n">
        <v>0</v>
      </c>
      <c r="AB820" s="32" t="n">
        <v>1</v>
      </c>
      <c r="AC820" s="32" t="n">
        <v>1</v>
      </c>
      <c r="AD820" s="32" t="n">
        <v>0</v>
      </c>
      <c r="AE820" s="31" t="n">
        <v>0</v>
      </c>
      <c r="AF820" s="32" t="n">
        <v>0</v>
      </c>
      <c r="AG820" s="31" t="n">
        <v>0</v>
      </c>
      <c r="AH820" s="32" t="n">
        <v>39</v>
      </c>
      <c r="AI820" s="31" t="n">
        <v>42.9</v>
      </c>
      <c r="AJ820" s="31" t="n">
        <v>39.6</v>
      </c>
      <c r="AK820" s="31" t="n">
        <v>4.6</v>
      </c>
      <c r="AL820" s="30" t="inlineStr">
        <is>
          <t>T-0969</t>
        </is>
      </c>
      <c r="AM820" s="30" t="inlineStr">
        <is>
          <t>C-01-02</t>
        </is>
      </c>
      <c r="AN820" s="30" t="inlineStr">
        <is>
          <t>T-0820</t>
        </is>
      </c>
      <c r="AO820" s="30" t="inlineStr">
        <is>
          <t>C-02-02</t>
        </is>
      </c>
    </row>
    <row r="821">
      <c r="A821" s="30" t="inlineStr">
        <is>
          <t>O0820</t>
        </is>
      </c>
      <c r="B821" s="30" t="inlineStr">
        <is>
          <t>F</t>
        </is>
      </c>
      <c r="C821" s="31" t="n">
        <v>10340.3</v>
      </c>
      <c r="D821" s="31" t="n">
        <v>39954.8</v>
      </c>
      <c r="E821" s="31" t="n">
        <v>39954.8</v>
      </c>
      <c r="F821" s="31" t="n">
        <v>39966.4</v>
      </c>
      <c r="G821" s="31" t="n">
        <v>39997.8</v>
      </c>
      <c r="H821" s="31" t="n">
        <v>40020</v>
      </c>
      <c r="I821" s="31" t="n">
        <v>40057.8</v>
      </c>
      <c r="J821" s="31" t="n">
        <v>40101.3</v>
      </c>
      <c r="K821" s="31" t="n">
        <v>29761</v>
      </c>
      <c r="L821" s="31" t="n">
        <v>29614.5</v>
      </c>
      <c r="M821" s="30" t="inlineStr">
        <is>
          <t>AMR3</t>
        </is>
      </c>
      <c r="N821" s="30" t="inlineStr">
        <is>
          <t>AMR2</t>
        </is>
      </c>
      <c r="O821" s="32" t="n">
        <v>0</v>
      </c>
      <c r="P821" s="32" t="n">
        <v>0</v>
      </c>
      <c r="Q821" s="32" t="n">
        <v>23</v>
      </c>
      <c r="R821" s="31" t="n">
        <v>42.1</v>
      </c>
      <c r="S821" s="31" t="n">
        <v>42.1</v>
      </c>
      <c r="T821" s="30" t="inlineStr">
        <is>
          <t>AMR3</t>
        </is>
      </c>
      <c r="U821" s="31" t="n">
        <v>63.4</v>
      </c>
      <c r="V821" s="31" t="n">
        <v>63.4</v>
      </c>
      <c r="W821" s="30" t="inlineStr">
        <is>
          <t>AMR2</t>
        </is>
      </c>
      <c r="X821" s="32" t="n">
        <v>0</v>
      </c>
      <c r="Y821" s="32" t="n">
        <v>0</v>
      </c>
      <c r="Z821" s="31" t="n">
        <v>0</v>
      </c>
      <c r="AA821" s="32" t="n">
        <v>0</v>
      </c>
      <c r="AB821" s="32" t="n">
        <v>2</v>
      </c>
      <c r="AC821" s="32" t="n">
        <v>1</v>
      </c>
      <c r="AD821" s="32" t="n">
        <v>0</v>
      </c>
      <c r="AE821" s="31" t="n">
        <v>0</v>
      </c>
      <c r="AF821" s="32" t="n">
        <v>1</v>
      </c>
      <c r="AG821" s="31" t="n">
        <v>0.5</v>
      </c>
      <c r="AH821" s="32" t="n">
        <v>71</v>
      </c>
      <c r="AI821" s="31" t="n">
        <v>71.8</v>
      </c>
      <c r="AJ821" s="31" t="n">
        <v>40.3</v>
      </c>
      <c r="AK821" s="31" t="n">
        <v>12.2</v>
      </c>
      <c r="AL821" s="30" t="inlineStr">
        <is>
          <t>T-0970</t>
        </is>
      </c>
      <c r="AM821" s="30" t="inlineStr">
        <is>
          <t>F-05-02</t>
        </is>
      </c>
      <c r="AN821" s="30" t="inlineStr">
        <is>
          <t>T-0758</t>
        </is>
      </c>
      <c r="AO821" s="30" t="inlineStr">
        <is>
          <t>F-01-02</t>
        </is>
      </c>
    </row>
    <row r="822">
      <c r="A822" s="30" t="inlineStr">
        <is>
          <t>O0821</t>
        </is>
      </c>
      <c r="B822" s="30" t="inlineStr">
        <is>
          <t>G</t>
        </is>
      </c>
      <c r="C822" s="31" t="n">
        <v>10362.9</v>
      </c>
      <c r="D822" s="31" t="n">
        <v>40032.2</v>
      </c>
      <c r="E822" s="31" t="n">
        <v>40032.2</v>
      </c>
      <c r="F822" s="31" t="n">
        <v>40046.6</v>
      </c>
      <c r="G822" s="31" t="n">
        <v>40070.5</v>
      </c>
      <c r="H822" s="31" t="n">
        <v>40086</v>
      </c>
      <c r="I822" s="31" t="n">
        <v>40115.8</v>
      </c>
      <c r="J822" s="31" t="n">
        <v>40148.4</v>
      </c>
      <c r="K822" s="31" t="n">
        <v>29785.5</v>
      </c>
      <c r="L822" s="31" t="n">
        <v>29669.3</v>
      </c>
      <c r="M822" s="30" t="inlineStr">
        <is>
          <t>AMR3</t>
        </is>
      </c>
      <c r="N822" s="30" t="inlineStr">
        <is>
          <t>AMR3</t>
        </is>
      </c>
      <c r="O822" s="32" t="n">
        <v>0</v>
      </c>
      <c r="P822" s="32" t="n">
        <v>0</v>
      </c>
      <c r="Q822" s="32" t="n">
        <v>17</v>
      </c>
      <c r="R822" s="31" t="n">
        <v>38.2</v>
      </c>
      <c r="S822" s="31" t="n">
        <v>38.2</v>
      </c>
      <c r="T822" s="30" t="inlineStr">
        <is>
          <t>AMR3</t>
        </is>
      </c>
      <c r="U822" s="31" t="n">
        <v>59.1</v>
      </c>
      <c r="V822" s="31" t="n">
        <v>59.1</v>
      </c>
      <c r="W822" s="30" t="inlineStr">
        <is>
          <t>AMR3</t>
        </is>
      </c>
      <c r="X822" s="32" t="n">
        <v>0</v>
      </c>
      <c r="Y822" s="32" t="n">
        <v>0</v>
      </c>
      <c r="Z822" s="31" t="n">
        <v>0</v>
      </c>
      <c r="AA822" s="32" t="n">
        <v>0</v>
      </c>
      <c r="AB822" s="32" t="n">
        <v>0</v>
      </c>
      <c r="AC822" s="32" t="n">
        <v>0</v>
      </c>
      <c r="AD822" s="32" t="n">
        <v>0</v>
      </c>
      <c r="AE822" s="31" t="n">
        <v>0</v>
      </c>
      <c r="AF822" s="32" t="n">
        <v>0</v>
      </c>
      <c r="AG822" s="31" t="n">
        <v>0</v>
      </c>
      <c r="AH822" s="32" t="n">
        <v>50</v>
      </c>
      <c r="AI822" s="31" t="n">
        <v>53.8</v>
      </c>
      <c r="AJ822" s="31" t="n">
        <v>46.9</v>
      </c>
      <c r="AK822" s="31" t="n">
        <v>0</v>
      </c>
      <c r="AL822" s="30" t="inlineStr">
        <is>
          <t>T-0971</t>
        </is>
      </c>
      <c r="AM822" s="30" t="inlineStr">
        <is>
          <t>G-06-02</t>
        </is>
      </c>
      <c r="AN822" s="30" t="inlineStr">
        <is>
          <t>T-0731</t>
        </is>
      </c>
      <c r="AO822" s="30" t="inlineStr">
        <is>
          <t>G-02-03</t>
        </is>
      </c>
    </row>
    <row r="823">
      <c r="A823" s="30" t="inlineStr">
        <is>
          <t>O0822</t>
        </is>
      </c>
      <c r="B823" s="30" t="inlineStr">
        <is>
          <t>E</t>
        </is>
      </c>
      <c r="C823" s="31" t="n">
        <v>10379.3</v>
      </c>
      <c r="D823" s="31" t="n">
        <v>40063.6</v>
      </c>
      <c r="E823" s="31" t="n">
        <v>40063.6</v>
      </c>
      <c r="F823" s="31" t="n">
        <v>40076.6</v>
      </c>
      <c r="G823" s="31" t="n">
        <v>40102</v>
      </c>
      <c r="H823" s="31" t="n">
        <v>40120.2</v>
      </c>
      <c r="I823" s="31" t="n">
        <v>40158.4</v>
      </c>
      <c r="J823" s="31" t="n">
        <v>40197</v>
      </c>
      <c r="K823" s="31" t="n">
        <v>29817.7</v>
      </c>
      <c r="L823" s="31" t="n">
        <v>29684.3</v>
      </c>
      <c r="M823" s="30" t="inlineStr">
        <is>
          <t>AMR1</t>
        </is>
      </c>
      <c r="N823" s="30" t="inlineStr">
        <is>
          <t>AMR1</t>
        </is>
      </c>
      <c r="O823" s="32" t="n">
        <v>0</v>
      </c>
      <c r="P823" s="32" t="n">
        <v>0</v>
      </c>
      <c r="Q823" s="32" t="n">
        <v>19</v>
      </c>
      <c r="R823" s="31" t="n">
        <v>37.5</v>
      </c>
      <c r="S823" s="31" t="n">
        <v>37.5</v>
      </c>
      <c r="T823" s="30" t="inlineStr">
        <is>
          <t>AMR1</t>
        </is>
      </c>
      <c r="U823" s="31" t="n">
        <v>65.8</v>
      </c>
      <c r="V823" s="31" t="n">
        <v>65.8</v>
      </c>
      <c r="W823" s="30" t="inlineStr">
        <is>
          <t>AMR1</t>
        </is>
      </c>
      <c r="X823" s="32" t="n">
        <v>0</v>
      </c>
      <c r="Y823" s="32" t="n">
        <v>0</v>
      </c>
      <c r="Z823" s="31" t="n">
        <v>0</v>
      </c>
      <c r="AA823" s="32" t="n">
        <v>0</v>
      </c>
      <c r="AB823" s="32" t="n">
        <v>1</v>
      </c>
      <c r="AC823" s="32" t="n">
        <v>1</v>
      </c>
      <c r="AD823" s="32" t="n">
        <v>0</v>
      </c>
      <c r="AE823" s="31" t="n">
        <v>0</v>
      </c>
      <c r="AF823" s="32" t="n">
        <v>0</v>
      </c>
      <c r="AG823" s="31" t="n">
        <v>0</v>
      </c>
      <c r="AH823" s="32" t="n">
        <v>63</v>
      </c>
      <c r="AI823" s="31" t="n">
        <v>66.40000000000001</v>
      </c>
      <c r="AJ823" s="31" t="n">
        <v>45.8</v>
      </c>
      <c r="AK823" s="31" t="n">
        <v>3</v>
      </c>
      <c r="AL823" s="30" t="inlineStr">
        <is>
          <t>T-0972</t>
        </is>
      </c>
      <c r="AM823" s="30" t="inlineStr">
        <is>
          <t>E-01-01</t>
        </is>
      </c>
      <c r="AN823" s="30" t="inlineStr">
        <is>
          <t>T-0730</t>
        </is>
      </c>
      <c r="AO823" s="30" t="inlineStr">
        <is>
          <t>E-06-01</t>
        </is>
      </c>
    </row>
    <row r="824">
      <c r="A824" s="30" t="inlineStr">
        <is>
          <t>O0823</t>
        </is>
      </c>
      <c r="B824" s="30" t="inlineStr">
        <is>
          <t>H</t>
        </is>
      </c>
      <c r="C824" s="31" t="n">
        <v>10398.4</v>
      </c>
      <c r="D824" s="31" t="n">
        <v>40129</v>
      </c>
      <c r="E824" s="31" t="n">
        <v>40129</v>
      </c>
      <c r="F824" s="31" t="n">
        <v>40141.9</v>
      </c>
      <c r="G824" s="31" t="n">
        <v>40164.2</v>
      </c>
      <c r="H824" s="31" t="n">
        <v>40172.1</v>
      </c>
      <c r="I824" s="31" t="n">
        <v>40203.1</v>
      </c>
      <c r="J824" s="31" t="n">
        <v>40228.8</v>
      </c>
      <c r="K824" s="31" t="n">
        <v>29830.4</v>
      </c>
      <c r="L824" s="31" t="n">
        <v>29730.6</v>
      </c>
      <c r="M824" s="30" t="inlineStr">
        <is>
          <t>AMR2</t>
        </is>
      </c>
      <c r="N824" s="30" t="inlineStr">
        <is>
          <t>AMR3</t>
        </is>
      </c>
      <c r="O824" s="32" t="n">
        <v>0</v>
      </c>
      <c r="P824" s="32" t="n">
        <v>0</v>
      </c>
      <c r="Q824" s="32" t="n">
        <v>15</v>
      </c>
      <c r="R824" s="31" t="n">
        <v>34.3</v>
      </c>
      <c r="S824" s="31" t="n">
        <v>34.3</v>
      </c>
      <c r="T824" s="30" t="inlineStr">
        <is>
          <t>AMR2</t>
        </is>
      </c>
      <c r="U824" s="31" t="n">
        <v>53.5</v>
      </c>
      <c r="V824" s="31" t="n">
        <v>53.5</v>
      </c>
      <c r="W824" s="30" t="inlineStr">
        <is>
          <t>AMR3</t>
        </is>
      </c>
      <c r="X824" s="32" t="n">
        <v>0</v>
      </c>
      <c r="Y824" s="32" t="n">
        <v>0</v>
      </c>
      <c r="Z824" s="31" t="n">
        <v>0</v>
      </c>
      <c r="AA824" s="32" t="n">
        <v>0</v>
      </c>
      <c r="AB824" s="32" t="n">
        <v>1</v>
      </c>
      <c r="AC824" s="32" t="n">
        <v>1</v>
      </c>
      <c r="AD824" s="32" t="n">
        <v>0</v>
      </c>
      <c r="AE824" s="31" t="n">
        <v>0</v>
      </c>
      <c r="AF824" s="32" t="n">
        <v>0</v>
      </c>
      <c r="AG824" s="31" t="n">
        <v>0</v>
      </c>
      <c r="AH824" s="32" t="n">
        <v>43</v>
      </c>
      <c r="AI824" s="31" t="n">
        <v>46.4</v>
      </c>
      <c r="AJ824" s="31" t="n">
        <v>42.5</v>
      </c>
      <c r="AK824" s="31" t="n">
        <v>3</v>
      </c>
      <c r="AL824" s="30" t="inlineStr">
        <is>
          <t>T-0973</t>
        </is>
      </c>
      <c r="AM824" s="30" t="inlineStr">
        <is>
          <t>H-01-03</t>
        </is>
      </c>
      <c r="AN824" s="30" t="inlineStr">
        <is>
          <t>T-0864</t>
        </is>
      </c>
      <c r="AO824" s="30" t="inlineStr">
        <is>
          <t>H-02-01</t>
        </is>
      </c>
    </row>
    <row r="825">
      <c r="A825" s="30" t="inlineStr">
        <is>
          <t>O0824</t>
        </is>
      </c>
      <c r="B825" s="30" t="inlineStr">
        <is>
          <t>B</t>
        </is>
      </c>
      <c r="C825" s="31" t="n">
        <v>10419.8</v>
      </c>
      <c r="D825" s="31" t="n">
        <v>40182.8</v>
      </c>
      <c r="E825" s="31" t="n">
        <v>40182.8</v>
      </c>
      <c r="F825" s="31" t="n">
        <v>40194.3</v>
      </c>
      <c r="G825" s="31" t="n">
        <v>40218</v>
      </c>
      <c r="H825" s="31" t="n">
        <v>40220.7</v>
      </c>
      <c r="I825" s="31" t="n">
        <v>40248.6</v>
      </c>
      <c r="J825" s="31" t="n">
        <v>40280.8</v>
      </c>
      <c r="K825" s="31" t="n">
        <v>29861</v>
      </c>
      <c r="L825" s="31" t="n">
        <v>29763</v>
      </c>
      <c r="M825" s="30" t="inlineStr">
        <is>
          <t>AMR2</t>
        </is>
      </c>
      <c r="N825" s="30" t="inlineStr">
        <is>
          <t>AMR1</t>
        </is>
      </c>
      <c r="O825" s="32" t="n">
        <v>0</v>
      </c>
      <c r="P825" s="32" t="n">
        <v>0</v>
      </c>
      <c r="Q825" s="32" t="n">
        <v>15</v>
      </c>
      <c r="R825" s="31" t="n">
        <v>34.3</v>
      </c>
      <c r="S825" s="31" t="n">
        <v>34.3</v>
      </c>
      <c r="T825" s="30" t="inlineStr">
        <is>
          <t>AMR2</t>
        </is>
      </c>
      <c r="U825" s="31" t="n">
        <v>57.8</v>
      </c>
      <c r="V825" s="31" t="n">
        <v>57.8</v>
      </c>
      <c r="W825" s="30" t="inlineStr">
        <is>
          <t>AMR1</t>
        </is>
      </c>
      <c r="X825" s="32" t="n">
        <v>0</v>
      </c>
      <c r="Y825" s="32" t="n">
        <v>0</v>
      </c>
      <c r="Z825" s="31" t="n">
        <v>0</v>
      </c>
      <c r="AA825" s="32" t="n">
        <v>0</v>
      </c>
      <c r="AB825" s="32" t="n">
        <v>0</v>
      </c>
      <c r="AC825" s="32" t="n">
        <v>0</v>
      </c>
      <c r="AD825" s="32" t="n">
        <v>0</v>
      </c>
      <c r="AE825" s="31" t="n">
        <v>0</v>
      </c>
      <c r="AF825" s="32" t="n">
        <v>0</v>
      </c>
      <c r="AG825" s="31" t="n">
        <v>0</v>
      </c>
      <c r="AH825" s="32" t="n">
        <v>49</v>
      </c>
      <c r="AI825" s="31" t="n">
        <v>50.5</v>
      </c>
      <c r="AJ825" s="31" t="n">
        <v>44.8</v>
      </c>
      <c r="AK825" s="31" t="n">
        <v>0</v>
      </c>
      <c r="AL825" s="30" t="inlineStr">
        <is>
          <t>T-0974</t>
        </is>
      </c>
      <c r="AM825" s="30" t="inlineStr">
        <is>
          <t>B-05-01</t>
        </is>
      </c>
      <c r="AN825" s="30" t="inlineStr">
        <is>
          <t>T-0749</t>
        </is>
      </c>
      <c r="AO825" s="30" t="inlineStr">
        <is>
          <t>B-01-02</t>
        </is>
      </c>
    </row>
    <row r="826">
      <c r="A826" s="30" t="inlineStr">
        <is>
          <t>O0825</t>
        </is>
      </c>
      <c r="B826" s="30" t="inlineStr">
        <is>
          <t>E</t>
        </is>
      </c>
      <c r="C826" s="31" t="n">
        <v>10439.9</v>
      </c>
      <c r="D826" s="31" t="n">
        <v>40232.8</v>
      </c>
      <c r="E826" s="31" t="n">
        <v>40232.8</v>
      </c>
      <c r="F826" s="31" t="n">
        <v>40244.6</v>
      </c>
      <c r="G826" s="31" t="n">
        <v>40274.5</v>
      </c>
      <c r="H826" s="31" t="n">
        <v>40295.4</v>
      </c>
      <c r="I826" s="31" t="n">
        <v>40324.2</v>
      </c>
      <c r="J826" s="31" t="n">
        <v>40361.9</v>
      </c>
      <c r="K826" s="31" t="n">
        <v>29922</v>
      </c>
      <c r="L826" s="31" t="n">
        <v>29792.9</v>
      </c>
      <c r="M826" s="30" t="inlineStr">
        <is>
          <t>AMR2</t>
        </is>
      </c>
      <c r="N826" s="30" t="inlineStr">
        <is>
          <t>AMR2</t>
        </is>
      </c>
      <c r="O826" s="32" t="n">
        <v>0</v>
      </c>
      <c r="P826" s="32" t="n">
        <v>0</v>
      </c>
      <c r="Q826" s="32" t="n">
        <v>19</v>
      </c>
      <c r="R826" s="31" t="n">
        <v>38.4</v>
      </c>
      <c r="S826" s="31" t="n">
        <v>38.4</v>
      </c>
      <c r="T826" s="30" t="inlineStr">
        <is>
          <t>AMR2</t>
        </is>
      </c>
      <c r="U826" s="31" t="n">
        <v>64.7</v>
      </c>
      <c r="V826" s="31" t="n">
        <v>64.7</v>
      </c>
      <c r="W826" s="30" t="inlineStr">
        <is>
          <t>AMR2</t>
        </is>
      </c>
      <c r="X826" s="32" t="n">
        <v>0</v>
      </c>
      <c r="Y826" s="32" t="n">
        <v>0</v>
      </c>
      <c r="Z826" s="31" t="n">
        <v>0</v>
      </c>
      <c r="AA826" s="32" t="n">
        <v>0</v>
      </c>
      <c r="AB826" s="32" t="n">
        <v>1</v>
      </c>
      <c r="AC826" s="32" t="n">
        <v>0</v>
      </c>
      <c r="AD826" s="32" t="n">
        <v>0</v>
      </c>
      <c r="AE826" s="31" t="n">
        <v>0</v>
      </c>
      <c r="AF826" s="32" t="n">
        <v>0</v>
      </c>
      <c r="AG826" s="31" t="n">
        <v>0</v>
      </c>
      <c r="AH826" s="32" t="n">
        <v>62</v>
      </c>
      <c r="AI826" s="31" t="n">
        <v>62.6</v>
      </c>
      <c r="AJ826" s="31" t="n">
        <v>45.6</v>
      </c>
      <c r="AK826" s="31" t="n">
        <v>0</v>
      </c>
      <c r="AL826" s="30" t="inlineStr">
        <is>
          <t>T-0975</t>
        </is>
      </c>
      <c r="AM826" s="30" t="inlineStr">
        <is>
          <t>E-06-01</t>
        </is>
      </c>
      <c r="AN826" s="30" t="inlineStr">
        <is>
          <t>T-0733</t>
        </is>
      </c>
      <c r="AO826" s="30" t="inlineStr">
        <is>
          <t>E-03-01</t>
        </is>
      </c>
    </row>
    <row r="827">
      <c r="A827" s="30" t="inlineStr">
        <is>
          <t>O0826</t>
        </is>
      </c>
      <c r="B827" s="30" t="inlineStr">
        <is>
          <t>F</t>
        </is>
      </c>
      <c r="C827" s="31" t="n">
        <v>10464.3</v>
      </c>
      <c r="D827" s="31" t="n">
        <v>40255</v>
      </c>
      <c r="E827" s="31" t="n">
        <v>40255</v>
      </c>
      <c r="F827" s="31" t="n">
        <v>40265.7</v>
      </c>
      <c r="G827" s="31" t="n">
        <v>40296.6</v>
      </c>
      <c r="H827" s="31" t="n">
        <v>40304.5</v>
      </c>
      <c r="I827" s="31" t="n">
        <v>40335.3</v>
      </c>
      <c r="J827" s="31" t="n">
        <v>40373.6</v>
      </c>
      <c r="K827" s="31" t="n">
        <v>29909.3</v>
      </c>
      <c r="L827" s="31" t="n">
        <v>29790.7</v>
      </c>
      <c r="M827" s="30" t="inlineStr">
        <is>
          <t>AMR3</t>
        </is>
      </c>
      <c r="N827" s="30" t="inlineStr">
        <is>
          <t>AMR1</t>
        </is>
      </c>
      <c r="O827" s="32" t="n">
        <v>0</v>
      </c>
      <c r="P827" s="32" t="n">
        <v>0</v>
      </c>
      <c r="Q827" s="32" t="n">
        <v>23</v>
      </c>
      <c r="R827" s="31" t="n">
        <v>39.1</v>
      </c>
      <c r="S827" s="31" t="n">
        <v>39.1</v>
      </c>
      <c r="T827" s="30" t="inlineStr">
        <is>
          <t>AMR3</t>
        </is>
      </c>
      <c r="U827" s="31" t="n">
        <v>61.2</v>
      </c>
      <c r="V827" s="31" t="n">
        <v>61.2</v>
      </c>
      <c r="W827" s="30" t="inlineStr">
        <is>
          <t>AMR1</t>
        </is>
      </c>
      <c r="X827" s="32" t="n">
        <v>0</v>
      </c>
      <c r="Y827" s="32" t="n">
        <v>0</v>
      </c>
      <c r="Z827" s="31" t="n">
        <v>0</v>
      </c>
      <c r="AA827" s="32" t="n">
        <v>0</v>
      </c>
      <c r="AB827" s="32" t="n">
        <v>0</v>
      </c>
      <c r="AC827" s="32" t="n">
        <v>0</v>
      </c>
      <c r="AD827" s="32" t="n">
        <v>1</v>
      </c>
      <c r="AE827" s="31" t="n">
        <v>5.6</v>
      </c>
      <c r="AF827" s="32" t="n">
        <v>1</v>
      </c>
      <c r="AG827" s="31" t="n">
        <v>0.6</v>
      </c>
      <c r="AH827" s="32" t="n">
        <v>71</v>
      </c>
      <c r="AI827" s="31" t="n">
        <v>70</v>
      </c>
      <c r="AJ827" s="31" t="n">
        <v>35.1</v>
      </c>
      <c r="AK827" s="31" t="n">
        <v>5.6</v>
      </c>
      <c r="AL827" s="30" t="inlineStr">
        <is>
          <t>T-0976</t>
        </is>
      </c>
      <c r="AM827" s="30" t="inlineStr">
        <is>
          <t>F-01-02</t>
        </is>
      </c>
      <c r="AN827" s="30" t="inlineStr">
        <is>
          <t>T-0759</t>
        </is>
      </c>
      <c r="AO827" s="30" t="inlineStr">
        <is>
          <t>F-02-03</t>
        </is>
      </c>
    </row>
    <row r="828">
      <c r="A828" s="30" t="inlineStr">
        <is>
          <t>O0827</t>
        </is>
      </c>
      <c r="B828" s="30" t="inlineStr">
        <is>
          <t>F</t>
        </is>
      </c>
      <c r="C828" s="31" t="n">
        <v>10488.8</v>
      </c>
      <c r="D828" s="31" t="n">
        <v>40320.2</v>
      </c>
      <c r="E828" s="31" t="n">
        <v>40320.2</v>
      </c>
      <c r="F828" s="31" t="n">
        <v>40334.6</v>
      </c>
      <c r="G828" s="31" t="n">
        <v>40362.7</v>
      </c>
      <c r="H828" s="31" t="n">
        <v>40383.6</v>
      </c>
      <c r="I828" s="31" t="n">
        <v>40416.2</v>
      </c>
      <c r="J828" s="31" t="n">
        <v>40449.6</v>
      </c>
      <c r="K828" s="31" t="n">
        <v>29960.8</v>
      </c>
      <c r="L828" s="31" t="n">
        <v>29831.4</v>
      </c>
      <c r="M828" s="30" t="inlineStr">
        <is>
          <t>AMR3</t>
        </is>
      </c>
      <c r="N828" s="30" t="inlineStr">
        <is>
          <t>AMR3</t>
        </is>
      </c>
      <c r="O828" s="32" t="n">
        <v>0</v>
      </c>
      <c r="P828" s="32" t="n">
        <v>0</v>
      </c>
      <c r="Q828" s="32" t="n">
        <v>23</v>
      </c>
      <c r="R828" s="31" t="n">
        <v>42.4</v>
      </c>
      <c r="S828" s="31" t="n">
        <v>42.4</v>
      </c>
      <c r="T828" s="30" t="inlineStr">
        <is>
          <t>AMR3</t>
        </is>
      </c>
      <c r="U828" s="31" t="n">
        <v>65.7</v>
      </c>
      <c r="V828" s="31" t="n">
        <v>65.7</v>
      </c>
      <c r="W828" s="30" t="inlineStr">
        <is>
          <t>AMR3</t>
        </is>
      </c>
      <c r="X828" s="32" t="n">
        <v>0</v>
      </c>
      <c r="Y828" s="32" t="n">
        <v>0</v>
      </c>
      <c r="Z828" s="31" t="n">
        <v>0</v>
      </c>
      <c r="AA828" s="32" t="n">
        <v>0</v>
      </c>
      <c r="AB828" s="32" t="n">
        <v>0</v>
      </c>
      <c r="AC828" s="32" t="n">
        <v>0</v>
      </c>
      <c r="AD828" s="32" t="n">
        <v>0</v>
      </c>
      <c r="AE828" s="31" t="n">
        <v>0</v>
      </c>
      <c r="AF828" s="32" t="n">
        <v>0</v>
      </c>
      <c r="AG828" s="31" t="n">
        <v>0</v>
      </c>
      <c r="AH828" s="32" t="n">
        <v>64</v>
      </c>
      <c r="AI828" s="31" t="n">
        <v>65.59999999999999</v>
      </c>
      <c r="AJ828" s="31" t="n">
        <v>42.9</v>
      </c>
      <c r="AK828" s="31" t="n">
        <v>0</v>
      </c>
      <c r="AL828" s="30" t="inlineStr">
        <is>
          <t>T-0977</t>
        </is>
      </c>
      <c r="AM828" s="30" t="inlineStr">
        <is>
          <t>F-06-02</t>
        </is>
      </c>
      <c r="AN828" s="30" t="inlineStr">
        <is>
          <t>T-0763</t>
        </is>
      </c>
      <c r="AO828" s="30" t="inlineStr">
        <is>
          <t>F-04-01</t>
        </is>
      </c>
    </row>
    <row r="829">
      <c r="A829" s="30" t="inlineStr">
        <is>
          <t>O0828</t>
        </is>
      </c>
      <c r="B829" s="30" t="inlineStr">
        <is>
          <t>B</t>
        </is>
      </c>
      <c r="C829" s="31" t="n">
        <v>10503.8</v>
      </c>
      <c r="D829" s="31" t="n">
        <v>40387.1</v>
      </c>
      <c r="E829" s="31" t="n">
        <v>40387.1</v>
      </c>
      <c r="F829" s="31" t="n">
        <v>40400.5</v>
      </c>
      <c r="G829" s="31" t="n">
        <v>40420.9</v>
      </c>
      <c r="H829" s="31" t="n">
        <v>40434.4</v>
      </c>
      <c r="I829" s="31" t="n">
        <v>40458.7</v>
      </c>
      <c r="J829" s="31" t="n">
        <v>40490.6</v>
      </c>
      <c r="K829" s="31" t="n">
        <v>29986.8</v>
      </c>
      <c r="L829" s="31" t="n">
        <v>29883.3</v>
      </c>
      <c r="M829" s="30" t="inlineStr">
        <is>
          <t>AMR2</t>
        </is>
      </c>
      <c r="N829" s="30" t="inlineStr">
        <is>
          <t>AMR2</t>
        </is>
      </c>
      <c r="O829" s="32" t="n">
        <v>0</v>
      </c>
      <c r="P829" s="32" t="n">
        <v>0</v>
      </c>
      <c r="Q829" s="32" t="n">
        <v>15</v>
      </c>
      <c r="R829" s="31" t="n">
        <v>33.7</v>
      </c>
      <c r="S829" s="31" t="n">
        <v>33.7</v>
      </c>
      <c r="T829" s="30" t="inlineStr">
        <is>
          <t>AMR2</t>
        </is>
      </c>
      <c r="U829" s="31" t="n">
        <v>52.9</v>
      </c>
      <c r="V829" s="31" t="n">
        <v>52.9</v>
      </c>
      <c r="W829" s="30" t="inlineStr">
        <is>
          <t>AMR2</t>
        </is>
      </c>
      <c r="X829" s="32" t="n">
        <v>0</v>
      </c>
      <c r="Y829" s="32" t="n">
        <v>0</v>
      </c>
      <c r="Z829" s="31" t="n">
        <v>0</v>
      </c>
      <c r="AA829" s="32" t="n">
        <v>0</v>
      </c>
      <c r="AB829" s="32" t="n">
        <v>0</v>
      </c>
      <c r="AC829" s="32" t="n">
        <v>0</v>
      </c>
      <c r="AD829" s="32" t="n">
        <v>0</v>
      </c>
      <c r="AE829" s="31" t="n">
        <v>0</v>
      </c>
      <c r="AF829" s="32" t="n">
        <v>0</v>
      </c>
      <c r="AG829" s="31" t="n">
        <v>0</v>
      </c>
      <c r="AH829" s="32" t="n">
        <v>48</v>
      </c>
      <c r="AI829" s="31" t="n">
        <v>50.7</v>
      </c>
      <c r="AJ829" s="31" t="n">
        <v>39.3</v>
      </c>
      <c r="AK829" s="31" t="n">
        <v>0</v>
      </c>
      <c r="AL829" s="30" t="inlineStr">
        <is>
          <t>T-0978</t>
        </is>
      </c>
      <c r="AM829" s="30" t="inlineStr">
        <is>
          <t>B-06-01</t>
        </is>
      </c>
      <c r="AN829" s="30" t="inlineStr">
        <is>
          <t>T-0766</t>
        </is>
      </c>
      <c r="AO829" s="30" t="inlineStr">
        <is>
          <t>B-02-02</t>
        </is>
      </c>
    </row>
    <row r="830">
      <c r="A830" s="30" t="inlineStr">
        <is>
          <t>O0829</t>
        </is>
      </c>
      <c r="B830" s="30" t="inlineStr">
        <is>
          <t>F</t>
        </is>
      </c>
      <c r="C830" s="31" t="n">
        <v>10528.5</v>
      </c>
      <c r="D830" s="31" t="n">
        <v>40400.6</v>
      </c>
      <c r="E830" s="31" t="n">
        <v>40400.6</v>
      </c>
      <c r="F830" s="31" t="n">
        <v>40416.8</v>
      </c>
      <c r="G830" s="31" t="n">
        <v>40448.9</v>
      </c>
      <c r="H830" s="31" t="n">
        <v>40471.1</v>
      </c>
      <c r="I830" s="31" t="n">
        <v>40501.7</v>
      </c>
      <c r="J830" s="31" t="n">
        <v>40541.9</v>
      </c>
      <c r="K830" s="31" t="n">
        <v>30013.4</v>
      </c>
      <c r="L830" s="31" t="n">
        <v>29872.1</v>
      </c>
      <c r="M830" s="30" t="inlineStr">
        <is>
          <t>AMR1</t>
        </is>
      </c>
      <c r="N830" s="30" t="inlineStr">
        <is>
          <t>AMR1</t>
        </is>
      </c>
      <c r="O830" s="32" t="n">
        <v>0</v>
      </c>
      <c r="P830" s="32" t="n">
        <v>0</v>
      </c>
      <c r="Q830" s="32" t="n">
        <v>23</v>
      </c>
      <c r="R830" s="31" t="n">
        <v>47.4</v>
      </c>
      <c r="S830" s="31" t="n">
        <v>47.4</v>
      </c>
      <c r="T830" s="30" t="inlineStr">
        <is>
          <t>AMR1</t>
        </is>
      </c>
      <c r="U830" s="31" t="n">
        <v>65.5</v>
      </c>
      <c r="V830" s="31" t="n">
        <v>65.5</v>
      </c>
      <c r="W830" s="30" t="inlineStr">
        <is>
          <t>AMR1</t>
        </is>
      </c>
      <c r="X830" s="32" t="n">
        <v>0</v>
      </c>
      <c r="Y830" s="32" t="n">
        <v>0</v>
      </c>
      <c r="Z830" s="31" t="n">
        <v>0</v>
      </c>
      <c r="AA830" s="32" t="n">
        <v>0</v>
      </c>
      <c r="AB830" s="32" t="n">
        <v>0</v>
      </c>
      <c r="AC830" s="32" t="n">
        <v>0</v>
      </c>
      <c r="AD830" s="32" t="n">
        <v>0</v>
      </c>
      <c r="AE830" s="31" t="n">
        <v>0</v>
      </c>
      <c r="AF830" s="32" t="n">
        <v>0</v>
      </c>
      <c r="AG830" s="31" t="n">
        <v>0</v>
      </c>
      <c r="AH830" s="32" t="n">
        <v>69</v>
      </c>
      <c r="AI830" s="31" t="n">
        <v>68.40000000000001</v>
      </c>
      <c r="AJ830" s="31" t="n">
        <v>47.7</v>
      </c>
      <c r="AK830" s="31" t="n">
        <v>3</v>
      </c>
      <c r="AL830" s="30" t="inlineStr">
        <is>
          <t>T-0979</t>
        </is>
      </c>
      <c r="AM830" s="30" t="inlineStr">
        <is>
          <t>F-04-01</t>
        </is>
      </c>
      <c r="AN830" s="30" t="inlineStr">
        <is>
          <t>T-0765</t>
        </is>
      </c>
      <c r="AO830" s="30" t="inlineStr">
        <is>
          <t>F-01-03</t>
        </is>
      </c>
    </row>
    <row r="831">
      <c r="A831" s="30" t="inlineStr">
        <is>
          <t>O0830</t>
        </is>
      </c>
      <c r="B831" s="30" t="inlineStr">
        <is>
          <t>G</t>
        </is>
      </c>
      <c r="C831" s="31" t="n">
        <v>10551.5</v>
      </c>
      <c r="D831" s="31" t="n">
        <v>40474.5</v>
      </c>
      <c r="E831" s="31" t="n">
        <v>40474.5</v>
      </c>
      <c r="F831" s="31" t="n">
        <v>40485.4</v>
      </c>
      <c r="G831" s="31" t="n">
        <v>40512.5</v>
      </c>
      <c r="H831" s="31" t="n">
        <v>40514.3</v>
      </c>
      <c r="I831" s="31" t="n">
        <v>40543.2</v>
      </c>
      <c r="J831" s="31" t="n">
        <v>40573.9</v>
      </c>
      <c r="K831" s="31" t="n">
        <v>30022.4</v>
      </c>
      <c r="L831" s="31" t="n">
        <v>29923</v>
      </c>
      <c r="M831" s="30" t="inlineStr">
        <is>
          <t>AMR3</t>
        </is>
      </c>
      <c r="N831" s="30" t="inlineStr">
        <is>
          <t>AMR2</t>
        </is>
      </c>
      <c r="O831" s="32" t="n">
        <v>0</v>
      </c>
      <c r="P831" s="32" t="n">
        <v>0</v>
      </c>
      <c r="Q831" s="32" t="n">
        <v>17</v>
      </c>
      <c r="R831" s="31" t="n">
        <v>35.5</v>
      </c>
      <c r="S831" s="31" t="n">
        <v>35.5</v>
      </c>
      <c r="T831" s="30" t="inlineStr">
        <is>
          <t>AMR3</t>
        </is>
      </c>
      <c r="U831" s="31" t="n">
        <v>58.8</v>
      </c>
      <c r="V831" s="31" t="n">
        <v>58.8</v>
      </c>
      <c r="W831" s="30" t="inlineStr">
        <is>
          <t>AMR2</t>
        </is>
      </c>
      <c r="X831" s="32" t="n">
        <v>0</v>
      </c>
      <c r="Y831" s="32" t="n">
        <v>0</v>
      </c>
      <c r="Z831" s="31" t="n">
        <v>0</v>
      </c>
      <c r="AA831" s="32" t="n">
        <v>0</v>
      </c>
      <c r="AB831" s="32" t="n">
        <v>0</v>
      </c>
      <c r="AC831" s="32" t="n">
        <v>0</v>
      </c>
      <c r="AD831" s="32" t="n">
        <v>0</v>
      </c>
      <c r="AE831" s="31" t="n">
        <v>0</v>
      </c>
      <c r="AF831" s="32" t="n">
        <v>0</v>
      </c>
      <c r="AG831" s="31" t="n">
        <v>0</v>
      </c>
      <c r="AH831" s="32" t="n">
        <v>51</v>
      </c>
      <c r="AI831" s="31" t="n">
        <v>53.7</v>
      </c>
      <c r="AJ831" s="31" t="n">
        <v>43.9</v>
      </c>
      <c r="AK831" s="31" t="n">
        <v>0</v>
      </c>
      <c r="AL831" s="30" t="inlineStr">
        <is>
          <t>T-0980</t>
        </is>
      </c>
      <c r="AM831" s="30" t="inlineStr">
        <is>
          <t>G-01-03</t>
        </is>
      </c>
      <c r="AN831" s="30" t="inlineStr">
        <is>
          <t>T-0739</t>
        </is>
      </c>
      <c r="AO831" s="30" t="inlineStr">
        <is>
          <t>G-03-03</t>
        </is>
      </c>
    </row>
    <row r="832">
      <c r="A832" s="30" t="inlineStr">
        <is>
          <t>O0831</t>
        </is>
      </c>
      <c r="B832" s="30" t="inlineStr">
        <is>
          <t>D</t>
        </is>
      </c>
      <c r="C832" s="31" t="n">
        <v>10576.2</v>
      </c>
      <c r="D832" s="31" t="n">
        <v>40530.7</v>
      </c>
      <c r="E832" s="31" t="n">
        <v>40530.7</v>
      </c>
      <c r="F832" s="31" t="n">
        <v>40546.5</v>
      </c>
      <c r="G832" s="31" t="n">
        <v>40570.1</v>
      </c>
      <c r="H832" s="31" t="n">
        <v>40585.8</v>
      </c>
      <c r="I832" s="31" t="n">
        <v>40615.8</v>
      </c>
      <c r="J832" s="31" t="n">
        <v>40642.6</v>
      </c>
      <c r="K832" s="31" t="n">
        <v>30066.4</v>
      </c>
      <c r="L832" s="31" t="n">
        <v>29954.5</v>
      </c>
      <c r="M832" s="30" t="inlineStr">
        <is>
          <t>AMR3</t>
        </is>
      </c>
      <c r="N832" s="30" t="inlineStr">
        <is>
          <t>AMR3</t>
        </is>
      </c>
      <c r="O832" s="32" t="n">
        <v>0</v>
      </c>
      <c r="P832" s="32" t="n">
        <v>0</v>
      </c>
      <c r="Q832" s="32" t="n">
        <v>13</v>
      </c>
      <c r="R832" s="31" t="n">
        <v>38.5</v>
      </c>
      <c r="S832" s="31" t="n">
        <v>38.5</v>
      </c>
      <c r="T832" s="30" t="inlineStr">
        <is>
          <t>AMR3</t>
        </is>
      </c>
      <c r="U832" s="31" t="n">
        <v>49.2</v>
      </c>
      <c r="V832" s="31" t="n">
        <v>49.2</v>
      </c>
      <c r="W832" s="30" t="inlineStr">
        <is>
          <t>AMR3</t>
        </is>
      </c>
      <c r="X832" s="32" t="n">
        <v>0</v>
      </c>
      <c r="Y832" s="32" t="n">
        <v>0</v>
      </c>
      <c r="Z832" s="31" t="n">
        <v>0</v>
      </c>
      <c r="AA832" s="32" t="n">
        <v>0</v>
      </c>
      <c r="AB832" s="32" t="n">
        <v>2</v>
      </c>
      <c r="AC832" s="32" t="n">
        <v>1</v>
      </c>
      <c r="AD832" s="32" t="n">
        <v>0</v>
      </c>
      <c r="AE832" s="31" t="n">
        <v>0</v>
      </c>
      <c r="AF832" s="32" t="n">
        <v>0</v>
      </c>
      <c r="AG832" s="31" t="n">
        <v>0</v>
      </c>
      <c r="AH832" s="32" t="n">
        <v>43</v>
      </c>
      <c r="AI832" s="31" t="n">
        <v>48.2</v>
      </c>
      <c r="AJ832" s="31" t="n">
        <v>45</v>
      </c>
      <c r="AK832" s="31" t="n">
        <v>3</v>
      </c>
      <c r="AL832" s="30" t="inlineStr">
        <is>
          <t>T-0981</t>
        </is>
      </c>
      <c r="AM832" s="30" t="inlineStr">
        <is>
          <t>D-01-03</t>
        </is>
      </c>
      <c r="AN832" s="30" t="inlineStr">
        <is>
          <t>T-0901</t>
        </is>
      </c>
      <c r="AO832" s="30" t="inlineStr">
        <is>
          <t>D-03-03</t>
        </is>
      </c>
    </row>
    <row r="833">
      <c r="A833" s="30" t="inlineStr">
        <is>
          <t>O0832</t>
        </is>
      </c>
      <c r="B833" s="30" t="inlineStr">
        <is>
          <t>E</t>
        </is>
      </c>
      <c r="C833" s="31" t="n">
        <v>10593.9</v>
      </c>
      <c r="D833" s="31" t="n">
        <v>40569.5</v>
      </c>
      <c r="E833" s="31" t="n">
        <v>40569.5</v>
      </c>
      <c r="F833" s="31" t="n">
        <v>40595.8</v>
      </c>
      <c r="G833" s="31" t="n">
        <v>40622.8</v>
      </c>
      <c r="H833" s="31" t="n">
        <v>40642.3</v>
      </c>
      <c r="I833" s="31" t="n">
        <v>40670.7</v>
      </c>
      <c r="J833" s="31" t="n">
        <v>40720</v>
      </c>
      <c r="K833" s="31" t="n">
        <v>30126.1</v>
      </c>
      <c r="L833" s="31" t="n">
        <v>29975.6</v>
      </c>
      <c r="M833" s="30" t="inlineStr">
        <is>
          <t>AMR1</t>
        </is>
      </c>
      <c r="N833" s="30" t="inlineStr">
        <is>
          <t>AMR1</t>
        </is>
      </c>
      <c r="O833" s="32" t="n">
        <v>0</v>
      </c>
      <c r="P833" s="32" t="n">
        <v>0</v>
      </c>
      <c r="Q833" s="32" t="n">
        <v>19</v>
      </c>
      <c r="R833" s="31" t="n">
        <v>50.5</v>
      </c>
      <c r="S833" s="31" t="n">
        <v>50.5</v>
      </c>
      <c r="T833" s="30" t="inlineStr">
        <is>
          <t>AMR1</t>
        </is>
      </c>
      <c r="U833" s="31" t="n">
        <v>61.5</v>
      </c>
      <c r="V833" s="31" t="n">
        <v>61.5</v>
      </c>
      <c r="W833" s="30" t="inlineStr">
        <is>
          <t>AMR1</t>
        </is>
      </c>
      <c r="X833" s="32" t="n">
        <v>0</v>
      </c>
      <c r="Y833" s="32" t="n">
        <v>0</v>
      </c>
      <c r="Z833" s="31" t="n">
        <v>0</v>
      </c>
      <c r="AA833" s="32" t="n">
        <v>0</v>
      </c>
      <c r="AB833" s="32" t="n">
        <v>1</v>
      </c>
      <c r="AC833" s="32" t="n">
        <v>0</v>
      </c>
      <c r="AD833" s="32" t="n">
        <v>1</v>
      </c>
      <c r="AE833" s="31" t="n">
        <v>9.5</v>
      </c>
      <c r="AF833" s="32" t="n">
        <v>1</v>
      </c>
      <c r="AG833" s="31" t="n">
        <v>4.5</v>
      </c>
      <c r="AH833" s="32" t="n">
        <v>62</v>
      </c>
      <c r="AI833" s="31" t="n">
        <v>62.5</v>
      </c>
      <c r="AJ833" s="31" t="n">
        <v>54.5</v>
      </c>
      <c r="AK833" s="31" t="n">
        <v>14</v>
      </c>
      <c r="AL833" s="30" t="inlineStr">
        <is>
          <t>T-0982</t>
        </is>
      </c>
      <c r="AM833" s="30" t="inlineStr">
        <is>
          <t>E-03-01</t>
        </is>
      </c>
      <c r="AN833" s="30" t="inlineStr">
        <is>
          <t>T-0761</t>
        </is>
      </c>
      <c r="AO833" s="30" t="inlineStr">
        <is>
          <t>E-04-01</t>
        </is>
      </c>
    </row>
    <row r="834">
      <c r="A834" s="30" t="inlineStr">
        <is>
          <t>O0833</t>
        </is>
      </c>
      <c r="B834" s="30" t="inlineStr">
        <is>
          <t>C</t>
        </is>
      </c>
      <c r="C834" s="31" t="n">
        <v>10614.3</v>
      </c>
      <c r="D834" s="31" t="n">
        <v>40602.3</v>
      </c>
      <c r="E834" s="31" t="n">
        <v>40602.3</v>
      </c>
      <c r="F834" s="31" t="n">
        <v>40617.1</v>
      </c>
      <c r="G834" s="31" t="n">
        <v>40641.9</v>
      </c>
      <c r="H834" s="31" t="n">
        <v>40654.1</v>
      </c>
      <c r="I834" s="31" t="n">
        <v>40678</v>
      </c>
      <c r="J834" s="31" t="n">
        <v>40705.1</v>
      </c>
      <c r="K834" s="31" t="n">
        <v>30090.8</v>
      </c>
      <c r="L834" s="31" t="n">
        <v>29988</v>
      </c>
      <c r="M834" s="30" t="inlineStr">
        <is>
          <t>AMR2</t>
        </is>
      </c>
      <c r="N834" s="30" t="inlineStr">
        <is>
          <t>AMR2</t>
        </is>
      </c>
      <c r="O834" s="32" t="n">
        <v>0</v>
      </c>
      <c r="P834" s="32" t="n">
        <v>0</v>
      </c>
      <c r="Q834" s="32" t="n">
        <v>13</v>
      </c>
      <c r="R834" s="31" t="n">
        <v>38.7</v>
      </c>
      <c r="S834" s="31" t="n">
        <v>38.7</v>
      </c>
      <c r="T834" s="30" t="inlineStr">
        <is>
          <t>AMR2</t>
        </is>
      </c>
      <c r="U834" s="31" t="n">
        <v>51.7</v>
      </c>
      <c r="V834" s="31" t="n">
        <v>51.7</v>
      </c>
      <c r="W834" s="30" t="inlineStr">
        <is>
          <t>AMR2</t>
        </is>
      </c>
      <c r="X834" s="32" t="n">
        <v>0</v>
      </c>
      <c r="Y834" s="32" t="n">
        <v>0</v>
      </c>
      <c r="Z834" s="31" t="n">
        <v>0</v>
      </c>
      <c r="AA834" s="32" t="n">
        <v>0</v>
      </c>
      <c r="AB834" s="32" t="n">
        <v>1</v>
      </c>
      <c r="AC834" s="32" t="n">
        <v>0</v>
      </c>
      <c r="AD834" s="32" t="n">
        <v>0</v>
      </c>
      <c r="AE834" s="31" t="n">
        <v>0</v>
      </c>
      <c r="AF834" s="32" t="n">
        <v>0</v>
      </c>
      <c r="AG834" s="31" t="n">
        <v>0</v>
      </c>
      <c r="AH834" s="32" t="n">
        <v>39</v>
      </c>
      <c r="AI834" s="31" t="n">
        <v>42.4</v>
      </c>
      <c r="AJ834" s="31" t="n">
        <v>48.2</v>
      </c>
      <c r="AK834" s="31" t="n">
        <v>0</v>
      </c>
      <c r="AL834" s="30" t="inlineStr">
        <is>
          <t>T-0983</t>
        </is>
      </c>
      <c r="AM834" s="30" t="inlineStr">
        <is>
          <t>C-02-02</t>
        </is>
      </c>
      <c r="AN834" s="30" t="inlineStr">
        <is>
          <t>T-0821</t>
        </is>
      </c>
      <c r="AO834" s="30" t="inlineStr">
        <is>
          <t>C-04-03</t>
        </is>
      </c>
    </row>
    <row r="835">
      <c r="A835" s="30" t="inlineStr">
        <is>
          <t>O0834</t>
        </is>
      </c>
      <c r="B835" s="30" t="inlineStr">
        <is>
          <t>F</t>
        </is>
      </c>
      <c r="C835" s="31" t="n">
        <v>10637.9</v>
      </c>
      <c r="D835" s="31" t="n">
        <v>40666.3</v>
      </c>
      <c r="E835" s="31" t="n">
        <v>40666.3</v>
      </c>
      <c r="F835" s="31" t="n">
        <v>40680.1</v>
      </c>
      <c r="G835" s="31" t="n">
        <v>40715.9</v>
      </c>
      <c r="H835" s="31" t="n">
        <v>40728.8</v>
      </c>
      <c r="I835" s="31" t="n">
        <v>40761.8</v>
      </c>
      <c r="J835" s="31" t="n">
        <v>40798</v>
      </c>
      <c r="K835" s="31" t="n">
        <v>30160.1</v>
      </c>
      <c r="L835" s="31" t="n">
        <v>30028.4</v>
      </c>
      <c r="M835" s="30" t="inlineStr">
        <is>
          <t>AMR3</t>
        </is>
      </c>
      <c r="N835" s="30" t="inlineStr">
        <is>
          <t>AMR2</t>
        </is>
      </c>
      <c r="O835" s="32" t="n">
        <v>0</v>
      </c>
      <c r="P835" s="32" t="n">
        <v>0</v>
      </c>
      <c r="Q835" s="32" t="n">
        <v>23</v>
      </c>
      <c r="R835" s="31" t="n">
        <v>47.1</v>
      </c>
      <c r="S835" s="31" t="n">
        <v>47.1</v>
      </c>
      <c r="T835" s="30" t="inlineStr">
        <is>
          <t>AMR3</t>
        </is>
      </c>
      <c r="U835" s="31" t="n">
        <v>66.90000000000001</v>
      </c>
      <c r="V835" s="31" t="n">
        <v>66.90000000000001</v>
      </c>
      <c r="W835" s="30" t="inlineStr">
        <is>
          <t>AMR2</t>
        </is>
      </c>
      <c r="X835" s="32" t="n">
        <v>0</v>
      </c>
      <c r="Y835" s="32" t="n">
        <v>0</v>
      </c>
      <c r="Z835" s="31" t="n">
        <v>0</v>
      </c>
      <c r="AA835" s="32" t="n">
        <v>0</v>
      </c>
      <c r="AB835" s="32" t="n">
        <v>0</v>
      </c>
      <c r="AC835" s="32" t="n">
        <v>0</v>
      </c>
      <c r="AD835" s="32" t="n">
        <v>0</v>
      </c>
      <c r="AE835" s="31" t="n">
        <v>0</v>
      </c>
      <c r="AF835" s="32" t="n">
        <v>0</v>
      </c>
      <c r="AG835" s="31" t="n">
        <v>0</v>
      </c>
      <c r="AH835" s="32" t="n">
        <v>71</v>
      </c>
      <c r="AI835" s="31" t="n">
        <v>70</v>
      </c>
      <c r="AJ835" s="31" t="n">
        <v>48.8</v>
      </c>
      <c r="AK835" s="31" t="n">
        <v>0</v>
      </c>
      <c r="AL835" s="30" t="inlineStr">
        <is>
          <t>T-0984</t>
        </is>
      </c>
      <c r="AM835" s="30" t="inlineStr">
        <is>
          <t>F-01-03</t>
        </is>
      </c>
      <c r="AN835" s="30" t="inlineStr">
        <is>
          <t>T-0775</t>
        </is>
      </c>
      <c r="AO835" s="30" t="inlineStr">
        <is>
          <t>F-02-01</t>
        </is>
      </c>
    </row>
    <row r="836">
      <c r="A836" s="30" t="inlineStr">
        <is>
          <t>O0835</t>
        </is>
      </c>
      <c r="B836" s="30" t="inlineStr">
        <is>
          <t>A</t>
        </is>
      </c>
      <c r="C836" s="31" t="n">
        <v>10660.5</v>
      </c>
      <c r="D836" s="31" t="n">
        <v>40739.5</v>
      </c>
      <c r="E836" s="31" t="n">
        <v>40739.5</v>
      </c>
      <c r="F836" s="31" t="n">
        <v>40755.9</v>
      </c>
      <c r="G836" s="31" t="n">
        <v>40781.2</v>
      </c>
      <c r="H836" s="31" t="n">
        <v>40800.1</v>
      </c>
      <c r="I836" s="31" t="n">
        <v>40827.7</v>
      </c>
      <c r="J836" s="31" t="n">
        <v>40876.4</v>
      </c>
      <c r="K836" s="31" t="n">
        <v>30215.9</v>
      </c>
      <c r="L836" s="31" t="n">
        <v>30079</v>
      </c>
      <c r="M836" s="30" t="inlineStr">
        <is>
          <t>AMR3</t>
        </is>
      </c>
      <c r="N836" s="30" t="inlineStr">
        <is>
          <t>AMR3</t>
        </is>
      </c>
      <c r="O836" s="32" t="n">
        <v>0</v>
      </c>
      <c r="P836" s="32" t="n">
        <v>0</v>
      </c>
      <c r="Q836" s="32" t="n">
        <v>21</v>
      </c>
      <c r="R836" s="31" t="n">
        <v>41.6</v>
      </c>
      <c r="S836" s="31" t="n">
        <v>41.6</v>
      </c>
      <c r="T836" s="30" t="inlineStr">
        <is>
          <t>AMR3</t>
        </is>
      </c>
      <c r="U836" s="31" t="n">
        <v>61.8</v>
      </c>
      <c r="V836" s="31" t="n">
        <v>61.8</v>
      </c>
      <c r="W836" s="30" t="inlineStr">
        <is>
          <t>AMR3</t>
        </is>
      </c>
      <c r="X836" s="32" t="n">
        <v>0</v>
      </c>
      <c r="Y836" s="32" t="n">
        <v>0</v>
      </c>
      <c r="Z836" s="31" t="n">
        <v>0</v>
      </c>
      <c r="AA836" s="32" t="n">
        <v>0</v>
      </c>
      <c r="AB836" s="32" t="n">
        <v>0</v>
      </c>
      <c r="AC836" s="32" t="n">
        <v>0</v>
      </c>
      <c r="AD836" s="32" t="n">
        <v>1</v>
      </c>
      <c r="AE836" s="31" t="n">
        <v>11.2</v>
      </c>
      <c r="AF836" s="32" t="n">
        <v>1</v>
      </c>
      <c r="AG836" s="31" t="n">
        <v>6.2</v>
      </c>
      <c r="AH836" s="32" t="n">
        <v>66</v>
      </c>
      <c r="AI836" s="31" t="n">
        <v>65.5</v>
      </c>
      <c r="AJ836" s="31" t="n">
        <v>41.3</v>
      </c>
      <c r="AK836" s="31" t="n">
        <v>11.2</v>
      </c>
      <c r="AL836" s="30" t="inlineStr">
        <is>
          <t>T-0985</t>
        </is>
      </c>
      <c r="AM836" s="30" t="inlineStr">
        <is>
          <t>A-06-02</t>
        </is>
      </c>
      <c r="AN836" s="30" t="inlineStr">
        <is>
          <t>T-0767</t>
        </is>
      </c>
      <c r="AO836" s="30" t="inlineStr">
        <is>
          <t>A-02-03</t>
        </is>
      </c>
    </row>
    <row r="837">
      <c r="A837" s="30" t="inlineStr">
        <is>
          <t>O0836</t>
        </is>
      </c>
      <c r="B837" s="30" t="inlineStr">
        <is>
          <t>H</t>
        </is>
      </c>
      <c r="C837" s="31" t="n">
        <v>10681.8</v>
      </c>
      <c r="D837" s="31" t="n">
        <v>40756</v>
      </c>
      <c r="E837" s="31" t="n">
        <v>40756</v>
      </c>
      <c r="F837" s="31" t="n">
        <v>40771.9</v>
      </c>
      <c r="G837" s="31" t="n">
        <v>40796.5</v>
      </c>
      <c r="H837" s="31" t="n">
        <v>40810.7</v>
      </c>
      <c r="I837" s="31" t="n">
        <v>40834.5</v>
      </c>
      <c r="J837" s="31" t="n">
        <v>40862.1</v>
      </c>
      <c r="K837" s="31" t="n">
        <v>30180.3</v>
      </c>
      <c r="L837" s="31" t="n">
        <v>30074.2</v>
      </c>
      <c r="M837" s="30" t="inlineStr">
        <is>
          <t>AMR1</t>
        </is>
      </c>
      <c r="N837" s="30" t="inlineStr">
        <is>
          <t>AMR1</t>
        </is>
      </c>
      <c r="O837" s="32" t="n">
        <v>0</v>
      </c>
      <c r="P837" s="32" t="n">
        <v>0</v>
      </c>
      <c r="Q837" s="32" t="n">
        <v>15</v>
      </c>
      <c r="R837" s="31" t="n">
        <v>39.6</v>
      </c>
      <c r="S837" s="31" t="n">
        <v>39.6</v>
      </c>
      <c r="T837" s="30" t="inlineStr">
        <is>
          <t>AMR1</t>
        </is>
      </c>
      <c r="U837" s="31" t="n">
        <v>52.1</v>
      </c>
      <c r="V837" s="31" t="n">
        <v>52.1</v>
      </c>
      <c r="W837" s="30" t="inlineStr">
        <is>
          <t>AMR1</t>
        </is>
      </c>
      <c r="X837" s="32" t="n">
        <v>0</v>
      </c>
      <c r="Y837" s="32" t="n">
        <v>0</v>
      </c>
      <c r="Z837" s="31" t="n">
        <v>0</v>
      </c>
      <c r="AA837" s="32" t="n">
        <v>0</v>
      </c>
      <c r="AB837" s="32" t="n">
        <v>0</v>
      </c>
      <c r="AC837" s="32" t="n">
        <v>0</v>
      </c>
      <c r="AD837" s="32" t="n">
        <v>0</v>
      </c>
      <c r="AE837" s="31" t="n">
        <v>0</v>
      </c>
      <c r="AF837" s="32" t="n">
        <v>0</v>
      </c>
      <c r="AG837" s="31" t="n">
        <v>0</v>
      </c>
      <c r="AH837" s="32" t="n">
        <v>41</v>
      </c>
      <c r="AI837" s="31" t="n">
        <v>45.5</v>
      </c>
      <c r="AJ837" s="31" t="n">
        <v>46.4</v>
      </c>
      <c r="AK837" s="31" t="n">
        <v>0</v>
      </c>
      <c r="AL837" s="30" t="inlineStr">
        <is>
          <t>T-0986</t>
        </is>
      </c>
      <c r="AM837" s="30" t="inlineStr">
        <is>
          <t>H-02-01</t>
        </is>
      </c>
      <c r="AN837" s="30" t="inlineStr">
        <is>
          <t>T-0872</t>
        </is>
      </c>
      <c r="AO837" s="30" t="inlineStr">
        <is>
          <t>H-04-01</t>
        </is>
      </c>
    </row>
    <row r="838">
      <c r="A838" s="30" t="inlineStr">
        <is>
          <t>O0837</t>
        </is>
      </c>
      <c r="B838" s="30" t="inlineStr">
        <is>
          <t>C</t>
        </is>
      </c>
      <c r="C838" s="31" t="n">
        <v>10698</v>
      </c>
      <c r="D838" s="31" t="n">
        <v>40821.7</v>
      </c>
      <c r="E838" s="31" t="n">
        <v>40821.7</v>
      </c>
      <c r="F838" s="31" t="n">
        <v>40836</v>
      </c>
      <c r="G838" s="31" t="n">
        <v>40856.9</v>
      </c>
      <c r="H838" s="31" t="n">
        <v>40869.7</v>
      </c>
      <c r="I838" s="31" t="n">
        <v>40892.4</v>
      </c>
      <c r="J838" s="31" t="n">
        <v>40921.9</v>
      </c>
      <c r="K838" s="31" t="n">
        <v>30223.9</v>
      </c>
      <c r="L838" s="31" t="n">
        <v>30123.7</v>
      </c>
      <c r="M838" s="30" t="inlineStr">
        <is>
          <t>AMR2</t>
        </is>
      </c>
      <c r="N838" s="30" t="inlineStr">
        <is>
          <t>AMR2</t>
        </is>
      </c>
      <c r="O838" s="32" t="n">
        <v>0</v>
      </c>
      <c r="P838" s="32" t="n">
        <v>0</v>
      </c>
      <c r="Q838" s="32" t="n">
        <v>13</v>
      </c>
      <c r="R838" s="31" t="n">
        <v>34.3</v>
      </c>
      <c r="S838" s="31" t="n">
        <v>34.3</v>
      </c>
      <c r="T838" s="30" t="inlineStr">
        <is>
          <t>AMR2</t>
        </is>
      </c>
      <c r="U838" s="31" t="n">
        <v>52.3</v>
      </c>
      <c r="V838" s="31" t="n">
        <v>52.3</v>
      </c>
      <c r="W838" s="30" t="inlineStr">
        <is>
          <t>AMR2</t>
        </is>
      </c>
      <c r="X838" s="32" t="n">
        <v>0</v>
      </c>
      <c r="Y838" s="32" t="n">
        <v>0</v>
      </c>
      <c r="Z838" s="31" t="n">
        <v>0</v>
      </c>
      <c r="AA838" s="32" t="n">
        <v>0</v>
      </c>
      <c r="AB838" s="32" t="n">
        <v>0</v>
      </c>
      <c r="AC838" s="32" t="n">
        <v>0</v>
      </c>
      <c r="AD838" s="32" t="n">
        <v>0</v>
      </c>
      <c r="AE838" s="31" t="n">
        <v>0</v>
      </c>
      <c r="AF838" s="32" t="n">
        <v>0</v>
      </c>
      <c r="AG838" s="31" t="n">
        <v>0</v>
      </c>
      <c r="AH838" s="32" t="n">
        <v>41</v>
      </c>
      <c r="AI838" s="31" t="n">
        <v>43</v>
      </c>
      <c r="AJ838" s="31" t="n">
        <v>44.4</v>
      </c>
      <c r="AK838" s="31" t="n">
        <v>0</v>
      </c>
      <c r="AL838" s="30" t="inlineStr">
        <is>
          <t>T-0987</t>
        </is>
      </c>
      <c r="AM838" s="30" t="inlineStr">
        <is>
          <t>C-04-03</t>
        </is>
      </c>
      <c r="AN838" s="30" t="inlineStr">
        <is>
          <t>T-0829</t>
        </is>
      </c>
      <c r="AO838" s="30" t="inlineStr">
        <is>
          <t>C-03-02</t>
        </is>
      </c>
    </row>
    <row r="839">
      <c r="A839" s="30" t="inlineStr">
        <is>
          <t>O0838</t>
        </is>
      </c>
      <c r="B839" s="30" t="inlineStr">
        <is>
          <t>G</t>
        </is>
      </c>
      <c r="C839" s="31" t="n">
        <v>10717.6</v>
      </c>
      <c r="D839" s="31" t="n">
        <v>40885.8</v>
      </c>
      <c r="E839" s="31" t="n">
        <v>40885.8</v>
      </c>
      <c r="F839" s="31" t="n">
        <v>40899.6</v>
      </c>
      <c r="G839" s="31" t="n">
        <v>40929.9</v>
      </c>
      <c r="H839" s="31" t="n">
        <v>40945.6</v>
      </c>
      <c r="I839" s="31" t="n">
        <v>40977.1</v>
      </c>
      <c r="J839" s="31" t="n">
        <v>41017.4</v>
      </c>
      <c r="K839" s="31" t="n">
        <v>30299.8</v>
      </c>
      <c r="L839" s="31" t="n">
        <v>30168.2</v>
      </c>
      <c r="M839" s="30" t="inlineStr">
        <is>
          <t>AMR1</t>
        </is>
      </c>
      <c r="N839" s="30" t="inlineStr">
        <is>
          <t>AMR2</t>
        </is>
      </c>
      <c r="O839" s="32" t="n">
        <v>0</v>
      </c>
      <c r="P839" s="32" t="n">
        <v>0</v>
      </c>
      <c r="Q839" s="32" t="n">
        <v>17</v>
      </c>
      <c r="R839" s="31" t="n">
        <v>41.6</v>
      </c>
      <c r="S839" s="31" t="n">
        <v>41.6</v>
      </c>
      <c r="T839" s="30" t="inlineStr">
        <is>
          <t>AMR1</t>
        </is>
      </c>
      <c r="U839" s="31" t="n">
        <v>52.1</v>
      </c>
      <c r="V839" s="31" t="n">
        <v>52.1</v>
      </c>
      <c r="W839" s="30" t="inlineStr">
        <is>
          <t>AMR2</t>
        </is>
      </c>
      <c r="X839" s="32" t="n">
        <v>0</v>
      </c>
      <c r="Y839" s="32" t="n">
        <v>0</v>
      </c>
      <c r="Z839" s="31" t="n">
        <v>0</v>
      </c>
      <c r="AA839" s="32" t="n">
        <v>0</v>
      </c>
      <c r="AB839" s="32" t="n">
        <v>1</v>
      </c>
      <c r="AC839" s="32" t="n">
        <v>1</v>
      </c>
      <c r="AD839" s="32" t="n">
        <v>1</v>
      </c>
      <c r="AE839" s="31" t="n">
        <v>13.6</v>
      </c>
      <c r="AF839" s="32" t="n">
        <v>1</v>
      </c>
      <c r="AG839" s="31" t="n">
        <v>8.6</v>
      </c>
      <c r="AH839" s="32" t="n">
        <v>49</v>
      </c>
      <c r="AI839" s="31" t="n">
        <v>54.8</v>
      </c>
      <c r="AJ839" s="31" t="n">
        <v>43.3</v>
      </c>
      <c r="AK839" s="31" t="n">
        <v>17.8</v>
      </c>
      <c r="AL839" s="30" t="inlineStr">
        <is>
          <t>T-0988</t>
        </is>
      </c>
      <c r="AM839" s="30" t="inlineStr">
        <is>
          <t>G-02-03</t>
        </is>
      </c>
      <c r="AN839" s="30" t="inlineStr">
        <is>
          <t>T-0751</t>
        </is>
      </c>
      <c r="AO839" s="30" t="inlineStr">
        <is>
          <t>G-04-03</t>
        </is>
      </c>
    </row>
    <row r="840">
      <c r="A840" s="30" t="inlineStr">
        <is>
          <t>O0839</t>
        </is>
      </c>
      <c r="B840" s="30" t="inlineStr">
        <is>
          <t>C</t>
        </is>
      </c>
      <c r="C840" s="31" t="n">
        <v>10742.5</v>
      </c>
      <c r="D840" s="31" t="n">
        <v>40900.1</v>
      </c>
      <c r="E840" s="31" t="n">
        <v>40900.1</v>
      </c>
      <c r="F840" s="31" t="n">
        <v>40913.6</v>
      </c>
      <c r="G840" s="31" t="n">
        <v>40938.9</v>
      </c>
      <c r="H840" s="31" t="n">
        <v>40951.4</v>
      </c>
      <c r="I840" s="31" t="n">
        <v>40974.8</v>
      </c>
      <c r="J840" s="31" t="n">
        <v>41005.5</v>
      </c>
      <c r="K840" s="31" t="n">
        <v>30263</v>
      </c>
      <c r="L840" s="31" t="n">
        <v>30157.6</v>
      </c>
      <c r="M840" s="30" t="inlineStr">
        <is>
          <t>AMR3</t>
        </is>
      </c>
      <c r="N840" s="30" t="inlineStr">
        <is>
          <t>AMR3</t>
        </is>
      </c>
      <c r="O840" s="32" t="n">
        <v>0</v>
      </c>
      <c r="P840" s="32" t="n">
        <v>0</v>
      </c>
      <c r="Q840" s="32" t="n">
        <v>13</v>
      </c>
      <c r="R840" s="31" t="n">
        <v>37.1</v>
      </c>
      <c r="S840" s="31" t="n">
        <v>37.1</v>
      </c>
      <c r="T840" s="30" t="inlineStr">
        <is>
          <t>AMR3</t>
        </is>
      </c>
      <c r="U840" s="31" t="n">
        <v>53.8</v>
      </c>
      <c r="V840" s="31" t="n">
        <v>53.8</v>
      </c>
      <c r="W840" s="30" t="inlineStr">
        <is>
          <t>AMR3</t>
        </is>
      </c>
      <c r="X840" s="32" t="n">
        <v>0</v>
      </c>
      <c r="Y840" s="32" t="n">
        <v>0</v>
      </c>
      <c r="Z840" s="31" t="n">
        <v>0</v>
      </c>
      <c r="AA840" s="32" t="n">
        <v>0</v>
      </c>
      <c r="AB840" s="32" t="n">
        <v>0</v>
      </c>
      <c r="AC840" s="32" t="n">
        <v>0</v>
      </c>
      <c r="AD840" s="32" t="n">
        <v>0</v>
      </c>
      <c r="AE840" s="31" t="n">
        <v>0</v>
      </c>
      <c r="AF840" s="32" t="n">
        <v>0</v>
      </c>
      <c r="AG840" s="31" t="n">
        <v>0</v>
      </c>
      <c r="AH840" s="32" t="n">
        <v>40</v>
      </c>
      <c r="AI840" s="31" t="n">
        <v>44.2</v>
      </c>
      <c r="AJ840" s="31" t="n">
        <v>48.7</v>
      </c>
      <c r="AK840" s="31" t="n">
        <v>0</v>
      </c>
      <c r="AL840" s="30" t="inlineStr">
        <is>
          <t>T-0989</t>
        </is>
      </c>
      <c r="AM840" s="30" t="inlineStr">
        <is>
          <t>C-03-02</t>
        </is>
      </c>
      <c r="AN840" s="30" t="inlineStr">
        <is>
          <t>T-0846</t>
        </is>
      </c>
      <c r="AO840" s="30" t="inlineStr">
        <is>
          <t>C-04-02</t>
        </is>
      </c>
    </row>
    <row r="841">
      <c r="A841" s="30" t="inlineStr">
        <is>
          <t>O0840</t>
        </is>
      </c>
      <c r="B841" s="30" t="inlineStr">
        <is>
          <t>E</t>
        </is>
      </c>
      <c r="C841" s="31" t="n">
        <v>10760.5</v>
      </c>
      <c r="D841" s="31" t="n">
        <v>40954.9</v>
      </c>
      <c r="E841" s="31" t="n">
        <v>40954.9</v>
      </c>
      <c r="F841" s="31" t="n">
        <v>40969.9</v>
      </c>
      <c r="G841" s="31" t="n">
        <v>40996.5</v>
      </c>
      <c r="H841" s="31" t="n">
        <v>41016.7</v>
      </c>
      <c r="I841" s="31" t="n">
        <v>41043.4</v>
      </c>
      <c r="J841" s="31" t="n">
        <v>41077</v>
      </c>
      <c r="K841" s="31" t="n">
        <v>30316.5</v>
      </c>
      <c r="L841" s="31" t="n">
        <v>30194.4</v>
      </c>
      <c r="M841" s="30" t="inlineStr">
        <is>
          <t>AMR1</t>
        </is>
      </c>
      <c r="N841" s="30" t="inlineStr">
        <is>
          <t>AMR1</t>
        </is>
      </c>
      <c r="O841" s="32" t="n">
        <v>0</v>
      </c>
      <c r="P841" s="32" t="n">
        <v>0</v>
      </c>
      <c r="Q841" s="32" t="n">
        <v>19</v>
      </c>
      <c r="R841" s="31" t="n">
        <v>39.1</v>
      </c>
      <c r="S841" s="31" t="n">
        <v>39.1</v>
      </c>
      <c r="T841" s="30" t="inlineStr">
        <is>
          <t>AMR1</t>
        </is>
      </c>
      <c r="U841" s="31" t="n">
        <v>58.5</v>
      </c>
      <c r="V841" s="31" t="n">
        <v>58.5</v>
      </c>
      <c r="W841" s="30" t="inlineStr">
        <is>
          <t>AMR1</t>
        </is>
      </c>
      <c r="X841" s="32" t="n">
        <v>0</v>
      </c>
      <c r="Y841" s="32" t="n">
        <v>0</v>
      </c>
      <c r="Z841" s="31" t="n">
        <v>0</v>
      </c>
      <c r="AA841" s="32" t="n">
        <v>0</v>
      </c>
      <c r="AB841" s="32" t="n">
        <v>0</v>
      </c>
      <c r="AC841" s="32" t="n">
        <v>0</v>
      </c>
      <c r="AD841" s="32" t="n">
        <v>0</v>
      </c>
      <c r="AE841" s="31" t="n">
        <v>0</v>
      </c>
      <c r="AF841" s="32" t="n">
        <v>0</v>
      </c>
      <c r="AG841" s="31" t="n">
        <v>0</v>
      </c>
      <c r="AH841" s="32" t="n">
        <v>61</v>
      </c>
      <c r="AI841" s="31" t="n">
        <v>61.8</v>
      </c>
      <c r="AJ841" s="31" t="n">
        <v>40.1</v>
      </c>
      <c r="AK841" s="31" t="n">
        <v>0</v>
      </c>
      <c r="AL841" s="30" t="inlineStr">
        <is>
          <t>T-0990</t>
        </is>
      </c>
      <c r="AM841" s="30" t="inlineStr">
        <is>
          <t>E-04-01</t>
        </is>
      </c>
      <c r="AN841" s="30" t="inlineStr">
        <is>
          <t>T-0762</t>
        </is>
      </c>
      <c r="AO841" s="30" t="inlineStr">
        <is>
          <t>E-03-03</t>
        </is>
      </c>
    </row>
    <row r="842">
      <c r="A842" s="30" t="inlineStr">
        <is>
          <t>O0841</t>
        </is>
      </c>
      <c r="B842" s="30" t="inlineStr">
        <is>
          <t>E</t>
        </is>
      </c>
      <c r="C842" s="31" t="n">
        <v>10782.1</v>
      </c>
      <c r="D842" s="31" t="n">
        <v>41029.2</v>
      </c>
      <c r="E842" s="31" t="n">
        <v>41029.2</v>
      </c>
      <c r="F842" s="31" t="n">
        <v>41044.6</v>
      </c>
      <c r="G842" s="31" t="n">
        <v>41074.3</v>
      </c>
      <c r="H842" s="31" t="n">
        <v>41092.6</v>
      </c>
      <c r="I842" s="31" t="n">
        <v>41131.5</v>
      </c>
      <c r="J842" s="31" t="n">
        <v>41177.8</v>
      </c>
      <c r="K842" s="31" t="n">
        <v>30395.7</v>
      </c>
      <c r="L842" s="31" t="n">
        <v>30247.1</v>
      </c>
      <c r="M842" s="30" t="inlineStr">
        <is>
          <t>AMR3</t>
        </is>
      </c>
      <c r="N842" s="30" t="inlineStr">
        <is>
          <t>AMR2</t>
        </is>
      </c>
      <c r="O842" s="32" t="n">
        <v>0</v>
      </c>
      <c r="P842" s="32" t="n">
        <v>0</v>
      </c>
      <c r="Q842" s="32" t="n">
        <v>19</v>
      </c>
      <c r="R842" s="31" t="n">
        <v>43.4</v>
      </c>
      <c r="S842" s="31" t="n">
        <v>43.4</v>
      </c>
      <c r="T842" s="30" t="inlineStr">
        <is>
          <t>AMR3</t>
        </is>
      </c>
      <c r="U842" s="31" t="n">
        <v>61</v>
      </c>
      <c r="V842" s="31" t="n">
        <v>61</v>
      </c>
      <c r="W842" s="30" t="inlineStr">
        <is>
          <t>AMR2</t>
        </is>
      </c>
      <c r="X842" s="32" t="n">
        <v>0</v>
      </c>
      <c r="Y842" s="32" t="n">
        <v>0</v>
      </c>
      <c r="Z842" s="31" t="n">
        <v>0</v>
      </c>
      <c r="AA842" s="32" t="n">
        <v>0</v>
      </c>
      <c r="AB842" s="32" t="n">
        <v>2</v>
      </c>
      <c r="AC842" s="32" t="n">
        <v>1</v>
      </c>
      <c r="AD842" s="32" t="n">
        <v>2</v>
      </c>
      <c r="AE842" s="31" t="n">
        <v>13.2</v>
      </c>
      <c r="AF842" s="32" t="n">
        <v>2</v>
      </c>
      <c r="AG842" s="31" t="n">
        <v>9.9</v>
      </c>
      <c r="AH842" s="32" t="n">
        <v>58</v>
      </c>
      <c r="AI842" s="31" t="n">
        <v>62.2</v>
      </c>
      <c r="AJ842" s="31" t="n">
        <v>46.9</v>
      </c>
      <c r="AK842" s="31" t="n">
        <v>21.2</v>
      </c>
      <c r="AL842" s="30" t="inlineStr">
        <is>
          <t>T-0991</t>
        </is>
      </c>
      <c r="AM842" s="30" t="inlineStr">
        <is>
          <t>E-03-03</t>
        </is>
      </c>
      <c r="AN842" s="30" t="inlineStr">
        <is>
          <t>T-0769</t>
        </is>
      </c>
      <c r="AO842" s="30" t="inlineStr">
        <is>
          <t>E-01-02</t>
        </is>
      </c>
    </row>
    <row r="843">
      <c r="A843" s="30" t="inlineStr">
        <is>
          <t>O0842</t>
        </is>
      </c>
      <c r="B843" s="30" t="inlineStr">
        <is>
          <t>C</t>
        </is>
      </c>
      <c r="C843" s="31" t="n">
        <v>10800.8</v>
      </c>
      <c r="D843" s="31" t="n">
        <v>41044.7</v>
      </c>
      <c r="E843" s="31" t="n">
        <v>41044.7</v>
      </c>
      <c r="F843" s="31" t="n">
        <v>41056</v>
      </c>
      <c r="G843" s="31" t="n">
        <v>41079.8</v>
      </c>
      <c r="H843" s="31" t="n">
        <v>41102.9</v>
      </c>
      <c r="I843" s="31" t="n">
        <v>41134.3</v>
      </c>
      <c r="J843" s="31" t="n">
        <v>41164.1</v>
      </c>
      <c r="K843" s="31" t="n">
        <v>30363.3</v>
      </c>
      <c r="L843" s="31" t="n">
        <v>30243.9</v>
      </c>
      <c r="M843" s="30" t="inlineStr">
        <is>
          <t>AMR2</t>
        </is>
      </c>
      <c r="N843" s="30" t="inlineStr">
        <is>
          <t>AMR3</t>
        </is>
      </c>
      <c r="O843" s="32" t="n">
        <v>0</v>
      </c>
      <c r="P843" s="32" t="n">
        <v>0</v>
      </c>
      <c r="Q843" s="32" t="n">
        <v>13</v>
      </c>
      <c r="R843" s="31" t="n">
        <v>34.2</v>
      </c>
      <c r="S843" s="31" t="n">
        <v>34.2</v>
      </c>
      <c r="T843" s="30" t="inlineStr">
        <is>
          <t>AMR2</t>
        </is>
      </c>
      <c r="U843" s="31" t="n">
        <v>55.3</v>
      </c>
      <c r="V843" s="31" t="n">
        <v>55.3</v>
      </c>
      <c r="W843" s="30" t="inlineStr">
        <is>
          <t>AMR3</t>
        </is>
      </c>
      <c r="X843" s="32" t="n">
        <v>0</v>
      </c>
      <c r="Y843" s="32" t="n">
        <v>0</v>
      </c>
      <c r="Z843" s="31" t="n">
        <v>0</v>
      </c>
      <c r="AA843" s="32" t="n">
        <v>0</v>
      </c>
      <c r="AB843" s="32" t="n">
        <v>1</v>
      </c>
      <c r="AC843" s="32" t="n">
        <v>0</v>
      </c>
      <c r="AD843" s="32" t="n">
        <v>0</v>
      </c>
      <c r="AE843" s="31" t="n">
        <v>0</v>
      </c>
      <c r="AF843" s="32" t="n">
        <v>0</v>
      </c>
      <c r="AG843" s="31" t="n">
        <v>0</v>
      </c>
      <c r="AH843" s="32" t="n">
        <v>39</v>
      </c>
      <c r="AI843" s="31" t="n">
        <v>43.4</v>
      </c>
      <c r="AJ843" s="31" t="n">
        <v>47.3</v>
      </c>
      <c r="AK843" s="31" t="n">
        <v>5.6</v>
      </c>
      <c r="AL843" s="30" t="inlineStr">
        <is>
          <t>T-0992</t>
        </is>
      </c>
      <c r="AM843" s="30" t="inlineStr">
        <is>
          <t>C-04-02</t>
        </is>
      </c>
      <c r="AN843" s="30" t="inlineStr">
        <is>
          <t>T-0854</t>
        </is>
      </c>
      <c r="AO843" s="30" t="inlineStr">
        <is>
          <t>C-05-02</t>
        </is>
      </c>
    </row>
    <row r="844">
      <c r="A844" s="30" t="inlineStr">
        <is>
          <t>O0843</t>
        </is>
      </c>
      <c r="B844" s="30" t="inlineStr">
        <is>
          <t>E</t>
        </is>
      </c>
      <c r="C844" s="31" t="n">
        <v>10819.8</v>
      </c>
      <c r="D844" s="31" t="n">
        <v>41113.5</v>
      </c>
      <c r="E844" s="31" t="n">
        <v>41113.5</v>
      </c>
      <c r="F844" s="31" t="n">
        <v>41129</v>
      </c>
      <c r="G844" s="31" t="n">
        <v>41159</v>
      </c>
      <c r="H844" s="31" t="n">
        <v>41179.2</v>
      </c>
      <c r="I844" s="31" t="n">
        <v>41208.8</v>
      </c>
      <c r="J844" s="31" t="n">
        <v>41247.1</v>
      </c>
      <c r="K844" s="31" t="n">
        <v>30427.3</v>
      </c>
      <c r="L844" s="31" t="n">
        <v>30293.7</v>
      </c>
      <c r="M844" s="30" t="inlineStr">
        <is>
          <t>AMR1</t>
        </is>
      </c>
      <c r="N844" s="30" t="inlineStr">
        <is>
          <t>AMR1</t>
        </is>
      </c>
      <c r="O844" s="32" t="n">
        <v>0</v>
      </c>
      <c r="P844" s="32" t="n">
        <v>0</v>
      </c>
      <c r="Q844" s="32" t="n">
        <v>19</v>
      </c>
      <c r="R844" s="31" t="n">
        <v>43</v>
      </c>
      <c r="S844" s="31" t="n">
        <v>43</v>
      </c>
      <c r="T844" s="30" t="inlineStr">
        <is>
          <t>AMR1</t>
        </is>
      </c>
      <c r="U844" s="31" t="n">
        <v>60.3</v>
      </c>
      <c r="V844" s="31" t="n">
        <v>60.3</v>
      </c>
      <c r="W844" s="30" t="inlineStr">
        <is>
          <t>AMR1</t>
        </is>
      </c>
      <c r="X844" s="32" t="n">
        <v>0</v>
      </c>
      <c r="Y844" s="32" t="n">
        <v>0</v>
      </c>
      <c r="Z844" s="31" t="n">
        <v>0</v>
      </c>
      <c r="AA844" s="32" t="n">
        <v>0</v>
      </c>
      <c r="AB844" s="32" t="n">
        <v>0</v>
      </c>
      <c r="AC844" s="32" t="n">
        <v>0</v>
      </c>
      <c r="AD844" s="32" t="n">
        <v>0</v>
      </c>
      <c r="AE844" s="31" t="n">
        <v>0</v>
      </c>
      <c r="AF844" s="32" t="n">
        <v>0</v>
      </c>
      <c r="AG844" s="31" t="n">
        <v>0</v>
      </c>
      <c r="AH844" s="32" t="n">
        <v>63</v>
      </c>
      <c r="AI844" s="31" t="n">
        <v>64.59999999999999</v>
      </c>
      <c r="AJ844" s="31" t="n">
        <v>45.8</v>
      </c>
      <c r="AK844" s="31" t="n">
        <v>3</v>
      </c>
      <c r="AL844" s="30" t="inlineStr">
        <is>
          <t>T-0993</t>
        </is>
      </c>
      <c r="AM844" s="30" t="inlineStr">
        <is>
          <t>E-05-03</t>
        </is>
      </c>
      <c r="AN844" s="30" t="inlineStr">
        <is>
          <t>T-0776</t>
        </is>
      </c>
      <c r="AO844" s="30" t="inlineStr">
        <is>
          <t>E-05-01</t>
        </is>
      </c>
    </row>
    <row r="845">
      <c r="A845" s="30" t="inlineStr">
        <is>
          <t>O0844</t>
        </is>
      </c>
      <c r="B845" s="30" t="inlineStr">
        <is>
          <t>D</t>
        </is>
      </c>
      <c r="C845" s="31" t="n">
        <v>10841.8</v>
      </c>
      <c r="D845" s="31" t="n">
        <v>41187.8</v>
      </c>
      <c r="E845" s="31" t="n">
        <v>41187.8</v>
      </c>
      <c r="F845" s="31" t="n">
        <v>41199.8</v>
      </c>
      <c r="G845" s="31" t="n">
        <v>41220.7</v>
      </c>
      <c r="H845" s="31" t="n">
        <v>41233.5</v>
      </c>
      <c r="I845" s="31" t="n">
        <v>41260.1</v>
      </c>
      <c r="J845" s="31" t="n">
        <v>41288.8</v>
      </c>
      <c r="K845" s="31" t="n">
        <v>30447</v>
      </c>
      <c r="L845" s="31" t="n">
        <v>30346</v>
      </c>
      <c r="M845" s="30" t="inlineStr">
        <is>
          <t>AMR3</t>
        </is>
      </c>
      <c r="N845" s="30" t="inlineStr">
        <is>
          <t>AMR3</t>
        </is>
      </c>
      <c r="O845" s="32" t="n">
        <v>0</v>
      </c>
      <c r="P845" s="32" t="n">
        <v>0</v>
      </c>
      <c r="Q845" s="32" t="n">
        <v>13</v>
      </c>
      <c r="R845" s="31" t="n">
        <v>32</v>
      </c>
      <c r="S845" s="31" t="n">
        <v>32</v>
      </c>
      <c r="T845" s="30" t="inlineStr">
        <is>
          <t>AMR3</t>
        </is>
      </c>
      <c r="U845" s="31" t="n">
        <v>52.4</v>
      </c>
      <c r="V845" s="31" t="n">
        <v>52.4</v>
      </c>
      <c r="W845" s="30" t="inlineStr">
        <is>
          <t>AMR3</t>
        </is>
      </c>
      <c r="X845" s="32" t="n">
        <v>0</v>
      </c>
      <c r="Y845" s="32" t="n">
        <v>0</v>
      </c>
      <c r="Z845" s="31" t="n">
        <v>0</v>
      </c>
      <c r="AA845" s="32" t="n">
        <v>0</v>
      </c>
      <c r="AB845" s="32" t="n">
        <v>0</v>
      </c>
      <c r="AC845" s="32" t="n">
        <v>0</v>
      </c>
      <c r="AD845" s="32" t="n">
        <v>1</v>
      </c>
      <c r="AE845" s="31" t="n">
        <v>1.1</v>
      </c>
      <c r="AF845" s="32" t="n">
        <v>0</v>
      </c>
      <c r="AG845" s="31" t="n">
        <v>0</v>
      </c>
      <c r="AH845" s="32" t="n">
        <v>41</v>
      </c>
      <c r="AI845" s="31" t="n">
        <v>45.4</v>
      </c>
      <c r="AJ845" s="31" t="n">
        <v>41.7</v>
      </c>
      <c r="AK845" s="31" t="n">
        <v>1.1</v>
      </c>
      <c r="AL845" s="30" t="inlineStr">
        <is>
          <t>T-0994</t>
        </is>
      </c>
      <c r="AM845" s="30" t="inlineStr">
        <is>
          <t>D-02-03</t>
        </is>
      </c>
      <c r="AN845" s="30" t="inlineStr">
        <is>
          <t>T-0905</t>
        </is>
      </c>
      <c r="AO845" s="30" t="inlineStr">
        <is>
          <t>D-03-01</t>
        </is>
      </c>
    </row>
    <row r="846">
      <c r="A846" s="30" t="inlineStr">
        <is>
          <t>O0845</t>
        </is>
      </c>
      <c r="B846" s="30" t="inlineStr">
        <is>
          <t>B</t>
        </is>
      </c>
      <c r="C846" s="31" t="n">
        <v>10863.3</v>
      </c>
      <c r="D846" s="31" t="n">
        <v>41201.5</v>
      </c>
      <c r="E846" s="31" t="n">
        <v>41201.5</v>
      </c>
      <c r="F846" s="31" t="n">
        <v>41217.8</v>
      </c>
      <c r="G846" s="31" t="n">
        <v>41241.5</v>
      </c>
      <c r="H846" s="31" t="n">
        <v>41257.7</v>
      </c>
      <c r="I846" s="31" t="n">
        <v>41281</v>
      </c>
      <c r="J846" s="31" t="n">
        <v>41312</v>
      </c>
      <c r="K846" s="31" t="n">
        <v>30448.7</v>
      </c>
      <c r="L846" s="31" t="n">
        <v>30338.2</v>
      </c>
      <c r="M846" s="30" t="inlineStr">
        <is>
          <t>AMR2</t>
        </is>
      </c>
      <c r="N846" s="30" t="inlineStr">
        <is>
          <t>AMR2</t>
        </is>
      </c>
      <c r="O846" s="32" t="n">
        <v>0</v>
      </c>
      <c r="P846" s="32" t="n">
        <v>0</v>
      </c>
      <c r="Q846" s="32" t="n">
        <v>15</v>
      </c>
      <c r="R846" s="31" t="n">
        <v>37.5</v>
      </c>
      <c r="S846" s="31" t="n">
        <v>37.5</v>
      </c>
      <c r="T846" s="30" t="inlineStr">
        <is>
          <t>AMR2</t>
        </is>
      </c>
      <c r="U846" s="31" t="n">
        <v>52.5</v>
      </c>
      <c r="V846" s="31" t="n">
        <v>52.5</v>
      </c>
      <c r="W846" s="30" t="inlineStr">
        <is>
          <t>AMR2</t>
        </is>
      </c>
      <c r="X846" s="32" t="n">
        <v>0</v>
      </c>
      <c r="Y846" s="32" t="n">
        <v>0</v>
      </c>
      <c r="Z846" s="31" t="n">
        <v>0</v>
      </c>
      <c r="AA846" s="32" t="n">
        <v>0</v>
      </c>
      <c r="AB846" s="32" t="n">
        <v>0</v>
      </c>
      <c r="AC846" s="32" t="n">
        <v>0</v>
      </c>
      <c r="AD846" s="32" t="n">
        <v>0</v>
      </c>
      <c r="AE846" s="31" t="n">
        <v>0</v>
      </c>
      <c r="AF846" s="32" t="n">
        <v>0</v>
      </c>
      <c r="AG846" s="31" t="n">
        <v>0</v>
      </c>
      <c r="AH846" s="32" t="n">
        <v>49</v>
      </c>
      <c r="AI846" s="31" t="n">
        <v>51.6</v>
      </c>
      <c r="AJ846" s="31" t="n">
        <v>42.7</v>
      </c>
      <c r="AK846" s="31" t="n">
        <v>0</v>
      </c>
      <c r="AL846" s="30" t="inlineStr">
        <is>
          <t>T-0995</t>
        </is>
      </c>
      <c r="AM846" s="30" t="inlineStr">
        <is>
          <t>B-01-02</t>
        </is>
      </c>
      <c r="AN846" s="30" t="inlineStr">
        <is>
          <t>T-0771</t>
        </is>
      </c>
      <c r="AO846" s="30" t="inlineStr">
        <is>
          <t>B-03-02</t>
        </is>
      </c>
    </row>
    <row r="847">
      <c r="A847" s="30" t="inlineStr">
        <is>
          <t>O0846</t>
        </is>
      </c>
      <c r="B847" s="30" t="inlineStr">
        <is>
          <t>B</t>
        </is>
      </c>
      <c r="C847" s="31" t="n">
        <v>10880.5</v>
      </c>
      <c r="D847" s="31" t="n">
        <v>41270.8</v>
      </c>
      <c r="E847" s="31" t="n">
        <v>41270.8</v>
      </c>
      <c r="F847" s="31" t="n">
        <v>41281.5</v>
      </c>
      <c r="G847" s="31" t="n">
        <v>41308.8</v>
      </c>
      <c r="H847" s="31" t="n">
        <v>41312.5</v>
      </c>
      <c r="I847" s="31" t="n">
        <v>41334.8</v>
      </c>
      <c r="J847" s="31" t="n">
        <v>41367.4</v>
      </c>
      <c r="K847" s="31" t="n">
        <v>30486.9</v>
      </c>
      <c r="L847" s="31" t="n">
        <v>30390.3</v>
      </c>
      <c r="M847" s="30" t="inlineStr">
        <is>
          <t>AMR1</t>
        </is>
      </c>
      <c r="N847" s="30" t="inlineStr">
        <is>
          <t>AMR3</t>
        </is>
      </c>
      <c r="O847" s="32" t="n">
        <v>0</v>
      </c>
      <c r="P847" s="32" t="n">
        <v>0</v>
      </c>
      <c r="Q847" s="32" t="n">
        <v>15</v>
      </c>
      <c r="R847" s="31" t="n">
        <v>35.5</v>
      </c>
      <c r="S847" s="31" t="n">
        <v>35.5</v>
      </c>
      <c r="T847" s="30" t="inlineStr">
        <is>
          <t>AMR1</t>
        </is>
      </c>
      <c r="U847" s="31" t="n">
        <v>55.6</v>
      </c>
      <c r="V847" s="31" t="n">
        <v>55.6</v>
      </c>
      <c r="W847" s="30" t="inlineStr">
        <is>
          <t>AMR3</t>
        </is>
      </c>
      <c r="X847" s="32" t="n">
        <v>0</v>
      </c>
      <c r="Y847" s="32" t="n">
        <v>0</v>
      </c>
      <c r="Z847" s="31" t="n">
        <v>0</v>
      </c>
      <c r="AA847" s="32" t="n">
        <v>0</v>
      </c>
      <c r="AB847" s="32" t="n">
        <v>0</v>
      </c>
      <c r="AC847" s="32" t="n">
        <v>0</v>
      </c>
      <c r="AD847" s="32" t="n">
        <v>0</v>
      </c>
      <c r="AE847" s="31" t="n">
        <v>0</v>
      </c>
      <c r="AF847" s="32" t="n">
        <v>0</v>
      </c>
      <c r="AG847" s="31" t="n">
        <v>0</v>
      </c>
      <c r="AH847" s="32" t="n">
        <v>47</v>
      </c>
      <c r="AI847" s="31" t="n">
        <v>49.1</v>
      </c>
      <c r="AJ847" s="31" t="n">
        <v>43.8</v>
      </c>
      <c r="AK847" s="31" t="n">
        <v>0</v>
      </c>
      <c r="AL847" s="30" t="inlineStr">
        <is>
          <t>T-0996</t>
        </is>
      </c>
      <c r="AM847" s="30" t="inlineStr">
        <is>
          <t>B-02-02</t>
        </is>
      </c>
      <c r="AN847" s="30" t="inlineStr">
        <is>
          <t>T-0773</t>
        </is>
      </c>
      <c r="AO847" s="30" t="inlineStr">
        <is>
          <t>B-04-02</t>
        </is>
      </c>
    </row>
    <row r="848">
      <c r="A848" s="30" t="inlineStr">
        <is>
          <t>O0847</t>
        </is>
      </c>
      <c r="B848" s="30" t="inlineStr">
        <is>
          <t>I</t>
        </is>
      </c>
      <c r="C848" s="31" t="n">
        <v>10901.4</v>
      </c>
      <c r="D848" s="31" t="n">
        <v>41325</v>
      </c>
      <c r="E848" s="31" t="n">
        <v>41325</v>
      </c>
      <c r="F848" s="31" t="n">
        <v>41340.9</v>
      </c>
      <c r="G848" s="31" t="n">
        <v>41367.4</v>
      </c>
      <c r="H848" s="31" t="n">
        <v>41384.9</v>
      </c>
      <c r="I848" s="31" t="n">
        <v>41416.2</v>
      </c>
      <c r="J848" s="31" t="n">
        <v>41439.4</v>
      </c>
      <c r="K848" s="31" t="n">
        <v>30538</v>
      </c>
      <c r="L848" s="31" t="n">
        <v>30423.6</v>
      </c>
      <c r="M848" s="30" t="inlineStr">
        <is>
          <t>AMR1</t>
        </is>
      </c>
      <c r="N848" s="30" t="inlineStr">
        <is>
          <t>AMR1</t>
        </is>
      </c>
      <c r="O848" s="32" t="n">
        <v>0</v>
      </c>
      <c r="P848" s="32" t="n">
        <v>0</v>
      </c>
      <c r="Q848" s="32" t="n">
        <v>15</v>
      </c>
      <c r="R848" s="31" t="n">
        <v>39.1</v>
      </c>
      <c r="S848" s="31" t="n">
        <v>39.1</v>
      </c>
      <c r="T848" s="30" t="inlineStr">
        <is>
          <t>AMR1</t>
        </is>
      </c>
      <c r="U848" s="31" t="n">
        <v>51.7</v>
      </c>
      <c r="V848" s="31" t="n">
        <v>51.7</v>
      </c>
      <c r="W848" s="30" t="inlineStr">
        <is>
          <t>AMR1</t>
        </is>
      </c>
      <c r="X848" s="32" t="n">
        <v>0</v>
      </c>
      <c r="Y848" s="32" t="n">
        <v>0</v>
      </c>
      <c r="Z848" s="31" t="n">
        <v>0</v>
      </c>
      <c r="AA848" s="32" t="n">
        <v>0</v>
      </c>
      <c r="AB848" s="32" t="n">
        <v>1</v>
      </c>
      <c r="AC848" s="32" t="n">
        <v>1</v>
      </c>
      <c r="AD848" s="32" t="n">
        <v>0</v>
      </c>
      <c r="AE848" s="31" t="n">
        <v>0</v>
      </c>
      <c r="AF848" s="32" t="n">
        <v>0</v>
      </c>
      <c r="AG848" s="31" t="n">
        <v>0</v>
      </c>
      <c r="AH848" s="32" t="n">
        <v>44</v>
      </c>
      <c r="AI848" s="31" t="n">
        <v>48.9</v>
      </c>
      <c r="AJ848" s="31" t="n">
        <v>45</v>
      </c>
      <c r="AK848" s="31" t="n">
        <v>3</v>
      </c>
      <c r="AL848" s="30" t="inlineStr">
        <is>
          <t>T-0997</t>
        </is>
      </c>
      <c r="AM848" s="30" t="inlineStr">
        <is>
          <t>I-06-01</t>
        </is>
      </c>
      <c r="AN848" s="30" t="inlineStr">
        <is>
          <t>T-0904</t>
        </is>
      </c>
      <c r="AO848" s="30" t="inlineStr">
        <is>
          <t>I-01-02</t>
        </is>
      </c>
    </row>
    <row r="849">
      <c r="A849" s="30" t="inlineStr">
        <is>
          <t>O0848</t>
        </is>
      </c>
      <c r="B849" s="30" t="inlineStr">
        <is>
          <t>A</t>
        </is>
      </c>
      <c r="C849" s="31" t="n">
        <v>10920.8</v>
      </c>
      <c r="D849" s="31" t="n">
        <v>41340.9</v>
      </c>
      <c r="E849" s="31" t="n">
        <v>41340.9</v>
      </c>
      <c r="F849" s="31" t="n">
        <v>41352.3</v>
      </c>
      <c r="G849" s="31" t="n">
        <v>41383.2</v>
      </c>
      <c r="H849" s="31" t="n">
        <v>41396.1</v>
      </c>
      <c r="I849" s="31" t="n">
        <v>41425</v>
      </c>
      <c r="J849" s="31" t="n">
        <v>41459.9</v>
      </c>
      <c r="K849" s="31" t="n">
        <v>30539.1</v>
      </c>
      <c r="L849" s="31" t="n">
        <v>30420.1</v>
      </c>
      <c r="M849" s="30" t="inlineStr">
        <is>
          <t>AMR2</t>
        </is>
      </c>
      <c r="N849" s="30" t="inlineStr">
        <is>
          <t>AMR3</t>
        </is>
      </c>
      <c r="O849" s="32" t="n">
        <v>0</v>
      </c>
      <c r="P849" s="32" t="n">
        <v>0</v>
      </c>
      <c r="Q849" s="32" t="n">
        <v>21</v>
      </c>
      <c r="R849" s="31" t="n">
        <v>39.8</v>
      </c>
      <c r="S849" s="31" t="n">
        <v>39.8</v>
      </c>
      <c r="T849" s="30" t="inlineStr">
        <is>
          <t>AMR2</t>
        </is>
      </c>
      <c r="U849" s="31" t="n">
        <v>63</v>
      </c>
      <c r="V849" s="31" t="n">
        <v>63</v>
      </c>
      <c r="W849" s="30" t="inlineStr">
        <is>
          <t>AMR3</t>
        </is>
      </c>
      <c r="X849" s="32" t="n">
        <v>0</v>
      </c>
      <c r="Y849" s="32" t="n">
        <v>0</v>
      </c>
      <c r="Z849" s="31" t="n">
        <v>0</v>
      </c>
      <c r="AA849" s="32" t="n">
        <v>0</v>
      </c>
      <c r="AB849" s="32" t="n">
        <v>0</v>
      </c>
      <c r="AC849" s="32" t="n">
        <v>0</v>
      </c>
      <c r="AD849" s="32" t="n">
        <v>0</v>
      </c>
      <c r="AE849" s="31" t="n">
        <v>0</v>
      </c>
      <c r="AF849" s="32" t="n">
        <v>0</v>
      </c>
      <c r="AG849" s="31" t="n">
        <v>0</v>
      </c>
      <c r="AH849" s="32" t="n">
        <v>67</v>
      </c>
      <c r="AI849" s="31" t="n">
        <v>65.40000000000001</v>
      </c>
      <c r="AJ849" s="31" t="n">
        <v>40.7</v>
      </c>
      <c r="AK849" s="31" t="n">
        <v>0</v>
      </c>
      <c r="AL849" s="30" t="inlineStr">
        <is>
          <t>T-0998</t>
        </is>
      </c>
      <c r="AM849" s="30" t="inlineStr">
        <is>
          <t>A-01-03</t>
        </is>
      </c>
      <c r="AN849" s="30" t="inlineStr">
        <is>
          <t>T-0779</t>
        </is>
      </c>
      <c r="AO849" s="30" t="inlineStr">
        <is>
          <t>A-03-03</t>
        </is>
      </c>
    </row>
    <row r="850">
      <c r="A850" s="30" t="inlineStr">
        <is>
          <t>O0849</t>
        </is>
      </c>
      <c r="B850" s="30" t="inlineStr">
        <is>
          <t>G</t>
        </is>
      </c>
      <c r="C850" s="31" t="n">
        <v>10944</v>
      </c>
      <c r="D850" s="31" t="n">
        <v>41404.8</v>
      </c>
      <c r="E850" s="31" t="n">
        <v>41404.8</v>
      </c>
      <c r="F850" s="31" t="n">
        <v>41415.4</v>
      </c>
      <c r="G850" s="31" t="n">
        <v>41440.9</v>
      </c>
      <c r="H850" s="31" t="n">
        <v>41458.4</v>
      </c>
      <c r="I850" s="31" t="n">
        <v>41487.2</v>
      </c>
      <c r="J850" s="31" t="n">
        <v>41517.2</v>
      </c>
      <c r="K850" s="31" t="n">
        <v>30573.2</v>
      </c>
      <c r="L850" s="31" t="n">
        <v>30460.8</v>
      </c>
      <c r="M850" s="30" t="inlineStr">
        <is>
          <t>AMR2</t>
        </is>
      </c>
      <c r="N850" s="30" t="inlineStr">
        <is>
          <t>AMR2</t>
        </is>
      </c>
      <c r="O850" s="32" t="n">
        <v>0</v>
      </c>
      <c r="P850" s="32" t="n">
        <v>0</v>
      </c>
      <c r="Q850" s="32" t="n">
        <v>17</v>
      </c>
      <c r="R850" s="31" t="n">
        <v>34.4</v>
      </c>
      <c r="S850" s="31" t="n">
        <v>34.4</v>
      </c>
      <c r="T850" s="30" t="inlineStr">
        <is>
          <t>AMR2</t>
        </is>
      </c>
      <c r="U850" s="31" t="n">
        <v>58.5</v>
      </c>
      <c r="V850" s="31" t="n">
        <v>58.5</v>
      </c>
      <c r="W850" s="30" t="inlineStr">
        <is>
          <t>AMR2</t>
        </is>
      </c>
      <c r="X850" s="32" t="n">
        <v>0</v>
      </c>
      <c r="Y850" s="32" t="n">
        <v>0</v>
      </c>
      <c r="Z850" s="31" t="n">
        <v>0</v>
      </c>
      <c r="AA850" s="32" t="n">
        <v>0</v>
      </c>
      <c r="AB850" s="32" t="n">
        <v>0</v>
      </c>
      <c r="AC850" s="32" t="n">
        <v>0</v>
      </c>
      <c r="AD850" s="32" t="n">
        <v>0</v>
      </c>
      <c r="AE850" s="31" t="n">
        <v>0</v>
      </c>
      <c r="AF850" s="32" t="n">
        <v>0</v>
      </c>
      <c r="AG850" s="31" t="n">
        <v>0</v>
      </c>
      <c r="AH850" s="32" t="n">
        <v>48</v>
      </c>
      <c r="AI850" s="31" t="n">
        <v>52.4</v>
      </c>
      <c r="AJ850" s="31" t="n">
        <v>42.5</v>
      </c>
      <c r="AK850" s="31" t="n">
        <v>0</v>
      </c>
      <c r="AL850" s="30" t="inlineStr">
        <is>
          <t>T-0999</t>
        </is>
      </c>
      <c r="AM850" s="30" t="inlineStr">
        <is>
          <t>G-03-03</t>
        </is>
      </c>
      <c r="AN850" s="30" t="inlineStr">
        <is>
          <t>T-0757</t>
        </is>
      </c>
      <c r="AO850" s="30" t="inlineStr">
        <is>
          <t>G-05-01</t>
        </is>
      </c>
    </row>
    <row r="851">
      <c r="A851" s="30" t="inlineStr">
        <is>
          <t>O0850</t>
        </is>
      </c>
      <c r="B851" s="30" t="inlineStr">
        <is>
          <t>B</t>
        </is>
      </c>
      <c r="C851" s="31" t="n">
        <v>10960.3</v>
      </c>
      <c r="D851" s="31" t="n">
        <v>41463.1</v>
      </c>
      <c r="E851" s="31" t="n">
        <v>41463.1</v>
      </c>
      <c r="F851" s="31" t="n">
        <v>41475.1</v>
      </c>
      <c r="G851" s="31" t="n">
        <v>41500</v>
      </c>
      <c r="H851" s="31" t="n">
        <v>41515.5</v>
      </c>
      <c r="I851" s="31" t="n">
        <v>41542.6</v>
      </c>
      <c r="J851" s="31" t="n">
        <v>41571.5</v>
      </c>
      <c r="K851" s="31" t="n">
        <v>30611.2</v>
      </c>
      <c r="L851" s="31" t="n">
        <v>30502.8</v>
      </c>
      <c r="M851" s="30" t="inlineStr">
        <is>
          <t>AMR1</t>
        </is>
      </c>
      <c r="N851" s="30" t="inlineStr">
        <is>
          <t>AMR1</t>
        </is>
      </c>
      <c r="O851" s="32" t="n">
        <v>0</v>
      </c>
      <c r="P851" s="32" t="n">
        <v>0</v>
      </c>
      <c r="Q851" s="32" t="n">
        <v>15</v>
      </c>
      <c r="R851" s="31" t="n">
        <v>35.2</v>
      </c>
      <c r="S851" s="31" t="n">
        <v>35.2</v>
      </c>
      <c r="T851" s="30" t="inlineStr">
        <is>
          <t>AMR1</t>
        </is>
      </c>
      <c r="U851" s="31" t="n">
        <v>55.7</v>
      </c>
      <c r="V851" s="31" t="n">
        <v>55.7</v>
      </c>
      <c r="W851" s="30" t="inlineStr">
        <is>
          <t>AMR1</t>
        </is>
      </c>
      <c r="X851" s="32" t="n">
        <v>0</v>
      </c>
      <c r="Y851" s="32" t="n">
        <v>0</v>
      </c>
      <c r="Z851" s="31" t="n">
        <v>0</v>
      </c>
      <c r="AA851" s="32" t="n">
        <v>0</v>
      </c>
      <c r="AB851" s="32" t="n">
        <v>0</v>
      </c>
      <c r="AC851" s="32" t="n">
        <v>0</v>
      </c>
      <c r="AD851" s="32" t="n">
        <v>0</v>
      </c>
      <c r="AE851" s="31" t="n">
        <v>0</v>
      </c>
      <c r="AF851" s="32" t="n">
        <v>0</v>
      </c>
      <c r="AG851" s="31" t="n">
        <v>0</v>
      </c>
      <c r="AH851" s="32" t="n">
        <v>46</v>
      </c>
      <c r="AI851" s="31" t="n">
        <v>49.3</v>
      </c>
      <c r="AJ851" s="31" t="n">
        <v>43.6</v>
      </c>
      <c r="AK851" s="31" t="n">
        <v>0</v>
      </c>
      <c r="AL851" s="30" t="inlineStr">
        <is>
          <t>T-1000</t>
        </is>
      </c>
      <c r="AM851" s="30" t="inlineStr">
        <is>
          <t>B-03-02</t>
        </is>
      </c>
      <c r="AN851" s="30" t="inlineStr">
        <is>
          <t>T-0774</t>
        </is>
      </c>
      <c r="AO851" s="30" t="inlineStr">
        <is>
          <t>B-05-03</t>
        </is>
      </c>
    </row>
    <row r="852">
      <c r="A852" s="30" t="inlineStr">
        <is>
          <t>O0851</t>
        </is>
      </c>
      <c r="B852" s="30" t="inlineStr">
        <is>
          <t>B</t>
        </is>
      </c>
      <c r="C852" s="31" t="n">
        <v>10979.2</v>
      </c>
      <c r="D852" s="31" t="n">
        <v>41483.6</v>
      </c>
      <c r="E852" s="31" t="n">
        <v>41483.6</v>
      </c>
      <c r="F852" s="31" t="n">
        <v>41498.4</v>
      </c>
      <c r="G852" s="31" t="n">
        <v>41520.7</v>
      </c>
      <c r="H852" s="31" t="n">
        <v>41535.5</v>
      </c>
      <c r="I852" s="31" t="n">
        <v>41562.4</v>
      </c>
      <c r="J852" s="31" t="n">
        <v>41595</v>
      </c>
      <c r="K852" s="31" t="n">
        <v>30615.8</v>
      </c>
      <c r="L852" s="31" t="n">
        <v>30504.4</v>
      </c>
      <c r="M852" s="30" t="inlineStr">
        <is>
          <t>AMR3</t>
        </is>
      </c>
      <c r="N852" s="30" t="inlineStr">
        <is>
          <t>AMR3</t>
        </is>
      </c>
      <c r="O852" s="32" t="n">
        <v>0</v>
      </c>
      <c r="P852" s="32" t="n">
        <v>0</v>
      </c>
      <c r="Q852" s="32" t="n">
        <v>15</v>
      </c>
      <c r="R852" s="31" t="n">
        <v>36.2</v>
      </c>
      <c r="S852" s="31" t="n">
        <v>36.2</v>
      </c>
      <c r="T852" s="30" t="inlineStr">
        <is>
          <t>AMR3</t>
        </is>
      </c>
      <c r="U852" s="31" t="n">
        <v>57.1</v>
      </c>
      <c r="V852" s="31" t="n">
        <v>57.1</v>
      </c>
      <c r="W852" s="30" t="inlineStr">
        <is>
          <t>AMR3</t>
        </is>
      </c>
      <c r="X852" s="32" t="n">
        <v>0</v>
      </c>
      <c r="Y852" s="32" t="n">
        <v>0</v>
      </c>
      <c r="Z852" s="31" t="n">
        <v>0</v>
      </c>
      <c r="AA852" s="32" t="n">
        <v>0</v>
      </c>
      <c r="AB852" s="32" t="n">
        <v>0</v>
      </c>
      <c r="AC852" s="32" t="n">
        <v>0</v>
      </c>
      <c r="AD852" s="32" t="n">
        <v>1</v>
      </c>
      <c r="AE852" s="31" t="n">
        <v>2.1</v>
      </c>
      <c r="AF852" s="32" t="n">
        <v>0</v>
      </c>
      <c r="AG852" s="31" t="n">
        <v>0</v>
      </c>
      <c r="AH852" s="32" t="n">
        <v>45</v>
      </c>
      <c r="AI852" s="31" t="n">
        <v>48.5</v>
      </c>
      <c r="AJ852" s="31" t="n">
        <v>46</v>
      </c>
      <c r="AK852" s="31" t="n">
        <v>2.1</v>
      </c>
      <c r="AL852" s="30" t="inlineStr">
        <is>
          <t>T-1001</t>
        </is>
      </c>
      <c r="AM852" s="30" t="inlineStr">
        <is>
          <t>B-04-02</t>
        </is>
      </c>
      <c r="AN852" s="30" t="inlineStr">
        <is>
          <t>T-0798</t>
        </is>
      </c>
      <c r="AO852" s="30" t="inlineStr">
        <is>
          <t>B-05-02</t>
        </is>
      </c>
    </row>
    <row r="853">
      <c r="A853" s="30" t="inlineStr">
        <is>
          <t>O0852</t>
        </is>
      </c>
      <c r="B853" s="30" t="inlineStr">
        <is>
          <t>E</t>
        </is>
      </c>
      <c r="C853" s="31" t="n">
        <v>10997.3</v>
      </c>
      <c r="D853" s="31" t="n">
        <v>41540.9</v>
      </c>
      <c r="E853" s="31" t="n">
        <v>41540.9</v>
      </c>
      <c r="F853" s="31" t="n">
        <v>41556.8</v>
      </c>
      <c r="G853" s="31" t="n">
        <v>41587.2</v>
      </c>
      <c r="H853" s="31" t="n">
        <v>41595.2</v>
      </c>
      <c r="I853" s="31" t="n">
        <v>41623.9</v>
      </c>
      <c r="J853" s="31" t="n">
        <v>41656.9</v>
      </c>
      <c r="K853" s="31" t="n">
        <v>30659.6</v>
      </c>
      <c r="L853" s="31" t="n">
        <v>30543.6</v>
      </c>
      <c r="M853" s="30" t="inlineStr">
        <is>
          <t>AMR2</t>
        </is>
      </c>
      <c r="N853" s="30" t="inlineStr">
        <is>
          <t>AMR1</t>
        </is>
      </c>
      <c r="O853" s="32" t="n">
        <v>0</v>
      </c>
      <c r="P853" s="32" t="n">
        <v>0</v>
      </c>
      <c r="Q853" s="32" t="n">
        <v>19</v>
      </c>
      <c r="R853" s="31" t="n">
        <v>43.8</v>
      </c>
      <c r="S853" s="31" t="n">
        <v>43.8</v>
      </c>
      <c r="T853" s="30" t="inlineStr">
        <is>
          <t>AMR2</t>
        </is>
      </c>
      <c r="U853" s="31" t="n">
        <v>61.9</v>
      </c>
      <c r="V853" s="31" t="n">
        <v>61.9</v>
      </c>
      <c r="W853" s="30" t="inlineStr">
        <is>
          <t>AMR1</t>
        </is>
      </c>
      <c r="X853" s="32" t="n">
        <v>0</v>
      </c>
      <c r="Y853" s="32" t="n">
        <v>0</v>
      </c>
      <c r="Z853" s="31" t="n">
        <v>0</v>
      </c>
      <c r="AA853" s="32" t="n">
        <v>0</v>
      </c>
      <c r="AB853" s="32" t="n">
        <v>0</v>
      </c>
      <c r="AC853" s="32" t="n">
        <v>0</v>
      </c>
      <c r="AD853" s="32" t="n">
        <v>0</v>
      </c>
      <c r="AE853" s="31" t="n">
        <v>0</v>
      </c>
      <c r="AF853" s="32" t="n">
        <v>0</v>
      </c>
      <c r="AG853" s="31" t="n">
        <v>0</v>
      </c>
      <c r="AH853" s="32" t="n">
        <v>59</v>
      </c>
      <c r="AI853" s="31" t="n">
        <v>59.8</v>
      </c>
      <c r="AJ853" s="31" t="n">
        <v>48.2</v>
      </c>
      <c r="AK853" s="31" t="n">
        <v>0</v>
      </c>
      <c r="AL853" s="30" t="inlineStr">
        <is>
          <t>T-1002</t>
        </is>
      </c>
      <c r="AM853" s="30" t="inlineStr">
        <is>
          <t>E-05-01</t>
        </is>
      </c>
      <c r="AN853" s="30" t="inlineStr">
        <is>
          <t>T-0784</t>
        </is>
      </c>
      <c r="AO853" s="30" t="inlineStr">
        <is>
          <t>E-02-02</t>
        </is>
      </c>
    </row>
    <row r="854">
      <c r="A854" s="30" t="inlineStr">
        <is>
          <t>O0853</t>
        </is>
      </c>
      <c r="B854" s="30" t="inlineStr">
        <is>
          <t>C</t>
        </is>
      </c>
      <c r="C854" s="31" t="n">
        <v>11016.1</v>
      </c>
      <c r="D854" s="31" t="n">
        <v>41607.4</v>
      </c>
      <c r="E854" s="31" t="n">
        <v>41607.4</v>
      </c>
      <c r="F854" s="31" t="n">
        <v>41618</v>
      </c>
      <c r="G854" s="31" t="n">
        <v>41638.3</v>
      </c>
      <c r="H854" s="31" t="n">
        <v>41654.9</v>
      </c>
      <c r="I854" s="31" t="n">
        <v>41678.8</v>
      </c>
      <c r="J854" s="31" t="n">
        <v>41708.1</v>
      </c>
      <c r="K854" s="31" t="n">
        <v>30692</v>
      </c>
      <c r="L854" s="31" t="n">
        <v>30591.3</v>
      </c>
      <c r="M854" s="30" t="inlineStr">
        <is>
          <t>AMR2</t>
        </is>
      </c>
      <c r="N854" s="30" t="inlineStr">
        <is>
          <t>AMR2</t>
        </is>
      </c>
      <c r="O854" s="32" t="n">
        <v>0</v>
      </c>
      <c r="P854" s="32" t="n">
        <v>0</v>
      </c>
      <c r="Q854" s="32" t="n">
        <v>13</v>
      </c>
      <c r="R854" s="31" t="n">
        <v>30</v>
      </c>
      <c r="S854" s="31" t="n">
        <v>30</v>
      </c>
      <c r="T854" s="30" t="inlineStr">
        <is>
          <t>AMR2</t>
        </is>
      </c>
      <c r="U854" s="31" t="n">
        <v>54.4</v>
      </c>
      <c r="V854" s="31" t="n">
        <v>54.4</v>
      </c>
      <c r="W854" s="30" t="inlineStr">
        <is>
          <t>AMR2</t>
        </is>
      </c>
      <c r="X854" s="32" t="n">
        <v>0</v>
      </c>
      <c r="Y854" s="32" t="n">
        <v>0</v>
      </c>
      <c r="Z854" s="31" t="n">
        <v>0</v>
      </c>
      <c r="AA854" s="32" t="n">
        <v>0</v>
      </c>
      <c r="AB854" s="32" t="n">
        <v>0</v>
      </c>
      <c r="AC854" s="32" t="n">
        <v>0</v>
      </c>
      <c r="AD854" s="32" t="n">
        <v>0</v>
      </c>
      <c r="AE854" s="31" t="n">
        <v>0</v>
      </c>
      <c r="AF854" s="32" t="n">
        <v>0</v>
      </c>
      <c r="AG854" s="31" t="n">
        <v>0</v>
      </c>
      <c r="AH854" s="32" t="n">
        <v>39</v>
      </c>
      <c r="AI854" s="31" t="n">
        <v>41.9</v>
      </c>
      <c r="AJ854" s="31" t="n">
        <v>42.2</v>
      </c>
      <c r="AK854" s="31" t="n">
        <v>0</v>
      </c>
      <c r="AL854" s="30" t="inlineStr">
        <is>
          <t>T-1003</t>
        </is>
      </c>
      <c r="AM854" s="30" t="inlineStr">
        <is>
          <t>C-05-02</t>
        </is>
      </c>
      <c r="AN854" s="30" t="inlineStr">
        <is>
          <t>T-0868</t>
        </is>
      </c>
      <c r="AO854" s="30" t="inlineStr">
        <is>
          <t>C-02-01</t>
        </is>
      </c>
    </row>
    <row r="855">
      <c r="A855" s="30" t="inlineStr">
        <is>
          <t>O0854</t>
        </is>
      </c>
      <c r="B855" s="30" t="inlineStr">
        <is>
          <t>C</t>
        </is>
      </c>
      <c r="C855" s="31" t="n">
        <v>11041</v>
      </c>
      <c r="D855" s="31" t="n">
        <v>41618.7</v>
      </c>
      <c r="E855" s="31" t="n">
        <v>41618.7</v>
      </c>
      <c r="F855" s="31" t="n">
        <v>41629.8</v>
      </c>
      <c r="G855" s="31" t="n">
        <v>41657.5</v>
      </c>
      <c r="H855" s="31" t="n">
        <v>41670.3</v>
      </c>
      <c r="I855" s="31" t="n">
        <v>41692.5</v>
      </c>
      <c r="J855" s="31" t="n">
        <v>41722.5</v>
      </c>
      <c r="K855" s="31" t="n">
        <v>30681.5</v>
      </c>
      <c r="L855" s="31" t="n">
        <v>30577.7</v>
      </c>
      <c r="M855" s="30" t="inlineStr">
        <is>
          <t>AMR3</t>
        </is>
      </c>
      <c r="N855" s="30" t="inlineStr">
        <is>
          <t>AMR3</t>
        </is>
      </c>
      <c r="O855" s="32" t="n">
        <v>0</v>
      </c>
      <c r="P855" s="32" t="n">
        <v>0</v>
      </c>
      <c r="Q855" s="32" t="n">
        <v>13</v>
      </c>
      <c r="R855" s="31" t="n">
        <v>31.9</v>
      </c>
      <c r="S855" s="31" t="n">
        <v>31.9</v>
      </c>
      <c r="T855" s="30" t="inlineStr">
        <is>
          <t>AMR3</t>
        </is>
      </c>
      <c r="U855" s="31" t="n">
        <v>50.7</v>
      </c>
      <c r="V855" s="31" t="n">
        <v>50.7</v>
      </c>
      <c r="W855" s="30" t="inlineStr">
        <is>
          <t>AMR3</t>
        </is>
      </c>
      <c r="X855" s="32" t="n">
        <v>0</v>
      </c>
      <c r="Y855" s="32" t="n">
        <v>0</v>
      </c>
      <c r="Z855" s="31" t="n">
        <v>0</v>
      </c>
      <c r="AA855" s="32" t="n">
        <v>0</v>
      </c>
      <c r="AB855" s="32" t="n">
        <v>1</v>
      </c>
      <c r="AC855" s="32" t="n">
        <v>1</v>
      </c>
      <c r="AD855" s="32" t="n">
        <v>1</v>
      </c>
      <c r="AE855" s="31" t="n">
        <v>3.2</v>
      </c>
      <c r="AF855" s="32" t="n">
        <v>0</v>
      </c>
      <c r="AG855" s="31" t="n">
        <v>0</v>
      </c>
      <c r="AH855" s="32" t="n">
        <v>39</v>
      </c>
      <c r="AI855" s="31" t="n">
        <v>44.4</v>
      </c>
      <c r="AJ855" s="31" t="n">
        <v>40.4</v>
      </c>
      <c r="AK855" s="31" t="n">
        <v>6.2</v>
      </c>
      <c r="AL855" s="30" t="inlineStr">
        <is>
          <t>T-1004</t>
        </is>
      </c>
      <c r="AM855" s="30" t="inlineStr">
        <is>
          <t>C-05-03</t>
        </is>
      </c>
      <c r="AN855" s="30" t="inlineStr">
        <is>
          <t>T-0870</t>
        </is>
      </c>
      <c r="AO855" s="30" t="inlineStr">
        <is>
          <t>C-06-02</t>
        </is>
      </c>
    </row>
    <row r="856">
      <c r="A856" s="30" t="inlineStr">
        <is>
          <t>O0855</t>
        </is>
      </c>
      <c r="B856" s="30" t="inlineStr">
        <is>
          <t>A</t>
        </is>
      </c>
      <c r="C856" s="31" t="n">
        <v>11061.4</v>
      </c>
      <c r="D856" s="31" t="n">
        <v>41680.6</v>
      </c>
      <c r="E856" s="31" t="n">
        <v>41680.6</v>
      </c>
      <c r="F856" s="31" t="n">
        <v>41695.6</v>
      </c>
      <c r="G856" s="31" t="n">
        <v>41725.4</v>
      </c>
      <c r="H856" s="31" t="n">
        <v>41731.8</v>
      </c>
      <c r="I856" s="31" t="n">
        <v>41760.6</v>
      </c>
      <c r="J856" s="31" t="n">
        <v>41798.2</v>
      </c>
      <c r="K856" s="31" t="n">
        <v>30736.8</v>
      </c>
      <c r="L856" s="31" t="n">
        <v>30619.2</v>
      </c>
      <c r="M856" s="30" t="inlineStr">
        <is>
          <t>AMR1</t>
        </is>
      </c>
      <c r="N856" s="30" t="inlineStr">
        <is>
          <t>AMR2</t>
        </is>
      </c>
      <c r="O856" s="32" t="n">
        <v>0</v>
      </c>
      <c r="P856" s="32" t="n">
        <v>0</v>
      </c>
      <c r="Q856" s="32" t="n">
        <v>21</v>
      </c>
      <c r="R856" s="31" t="n">
        <v>42.3</v>
      </c>
      <c r="S856" s="31" t="n">
        <v>42.3</v>
      </c>
      <c r="T856" s="30" t="inlineStr">
        <is>
          <t>AMR1</t>
        </is>
      </c>
      <c r="U856" s="31" t="n">
        <v>64.09999999999999</v>
      </c>
      <c r="V856" s="31" t="n">
        <v>64.09999999999999</v>
      </c>
      <c r="W856" s="30" t="inlineStr">
        <is>
          <t>AMR2</t>
        </is>
      </c>
      <c r="X856" s="32" t="n">
        <v>0</v>
      </c>
      <c r="Y856" s="32" t="n">
        <v>0</v>
      </c>
      <c r="Z856" s="31" t="n">
        <v>0</v>
      </c>
      <c r="AA856" s="32" t="n">
        <v>0</v>
      </c>
      <c r="AB856" s="32" t="n">
        <v>0</v>
      </c>
      <c r="AC856" s="32" t="n">
        <v>0</v>
      </c>
      <c r="AD856" s="32" t="n">
        <v>0</v>
      </c>
      <c r="AE856" s="31" t="n">
        <v>0</v>
      </c>
      <c r="AF856" s="32" t="n">
        <v>0</v>
      </c>
      <c r="AG856" s="31" t="n">
        <v>0</v>
      </c>
      <c r="AH856" s="32" t="n">
        <v>69</v>
      </c>
      <c r="AI856" s="31" t="n">
        <v>66.90000000000001</v>
      </c>
      <c r="AJ856" s="31" t="n">
        <v>44.3</v>
      </c>
      <c r="AK856" s="31" t="n">
        <v>0</v>
      </c>
      <c r="AL856" s="30" t="inlineStr">
        <is>
          <t>T-1005</t>
        </is>
      </c>
      <c r="AM856" s="30" t="inlineStr">
        <is>
          <t>A-02-03</t>
        </is>
      </c>
      <c r="AN856" s="30" t="inlineStr">
        <is>
          <t>T-0791</t>
        </is>
      </c>
      <c r="AO856" s="30" t="inlineStr">
        <is>
          <t>A-02-01</t>
        </is>
      </c>
    </row>
    <row r="857">
      <c r="A857" s="30" t="inlineStr">
        <is>
          <t>O0856</t>
        </is>
      </c>
      <c r="B857" s="30" t="inlineStr">
        <is>
          <t>D</t>
        </is>
      </c>
      <c r="C857" s="31" t="n">
        <v>11080.8</v>
      </c>
      <c r="D857" s="31" t="n">
        <v>41746.2</v>
      </c>
      <c r="E857" s="31" t="n">
        <v>41746.2</v>
      </c>
      <c r="F857" s="31" t="n">
        <v>41759.3</v>
      </c>
      <c r="G857" s="31" t="n">
        <v>41783</v>
      </c>
      <c r="H857" s="31" t="n">
        <v>41797.1</v>
      </c>
      <c r="I857" s="31" t="n">
        <v>41821.6</v>
      </c>
      <c r="J857" s="31" t="n">
        <v>41850.1</v>
      </c>
      <c r="K857" s="31" t="n">
        <v>30769.3</v>
      </c>
      <c r="L857" s="31" t="n">
        <v>30665.4</v>
      </c>
      <c r="M857" s="30" t="inlineStr">
        <is>
          <t>AMR3</t>
        </is>
      </c>
      <c r="N857" s="30" t="inlineStr">
        <is>
          <t>AMR3</t>
        </is>
      </c>
      <c r="O857" s="32" t="n">
        <v>0</v>
      </c>
      <c r="P857" s="32" t="n">
        <v>0</v>
      </c>
      <c r="Q857" s="32" t="n">
        <v>13</v>
      </c>
      <c r="R857" s="31" t="n">
        <v>35.1</v>
      </c>
      <c r="S857" s="31" t="n">
        <v>35.1</v>
      </c>
      <c r="T857" s="30" t="inlineStr">
        <is>
          <t>AMR3</t>
        </is>
      </c>
      <c r="U857" s="31" t="n">
        <v>49.7</v>
      </c>
      <c r="V857" s="31" t="n">
        <v>49.7</v>
      </c>
      <c r="W857" s="30" t="inlineStr">
        <is>
          <t>AMR3</t>
        </is>
      </c>
      <c r="X857" s="32" t="n">
        <v>0</v>
      </c>
      <c r="Y857" s="32" t="n">
        <v>0</v>
      </c>
      <c r="Z857" s="31" t="n">
        <v>0</v>
      </c>
      <c r="AA857" s="32" t="n">
        <v>0</v>
      </c>
      <c r="AB857" s="32" t="n">
        <v>0</v>
      </c>
      <c r="AC857" s="32" t="n">
        <v>0</v>
      </c>
      <c r="AD857" s="32" t="n">
        <v>0</v>
      </c>
      <c r="AE857" s="31" t="n">
        <v>0</v>
      </c>
      <c r="AF857" s="32" t="n">
        <v>0</v>
      </c>
      <c r="AG857" s="31" t="n">
        <v>0</v>
      </c>
      <c r="AH857" s="32" t="n">
        <v>44</v>
      </c>
      <c r="AI857" s="31" t="n">
        <v>47.7</v>
      </c>
      <c r="AJ857" s="31" t="n">
        <v>42.1</v>
      </c>
      <c r="AK857" s="31" t="n">
        <v>0</v>
      </c>
      <c r="AL857" s="30" t="inlineStr">
        <is>
          <t>T-1006</t>
        </is>
      </c>
      <c r="AM857" s="30" t="inlineStr">
        <is>
          <t>D-03-01</t>
        </is>
      </c>
      <c r="AN857" s="30" t="inlineStr">
        <is>
          <t>T-0918</t>
        </is>
      </c>
      <c r="AO857" s="30" t="inlineStr">
        <is>
          <t>D-04-01</t>
        </is>
      </c>
    </row>
    <row r="858">
      <c r="A858" s="30" t="inlineStr">
        <is>
          <t>O0857</t>
        </is>
      </c>
      <c r="B858" s="30" t="inlineStr">
        <is>
          <t>G</t>
        </is>
      </c>
      <c r="C858" s="31" t="n">
        <v>11103.2</v>
      </c>
      <c r="D858" s="31" t="n">
        <v>41759.4</v>
      </c>
      <c r="E858" s="31" t="n">
        <v>41759.4</v>
      </c>
      <c r="F858" s="31" t="n">
        <v>41771.9</v>
      </c>
      <c r="G858" s="31" t="n">
        <v>41797.8</v>
      </c>
      <c r="H858" s="31" t="n">
        <v>41814.6</v>
      </c>
      <c r="I858" s="31" t="n">
        <v>41841.5</v>
      </c>
      <c r="J858" s="31" t="n">
        <v>41872.7</v>
      </c>
      <c r="K858" s="31" t="n">
        <v>30769.5</v>
      </c>
      <c r="L858" s="31" t="n">
        <v>30656.2</v>
      </c>
      <c r="M858" s="30" t="inlineStr">
        <is>
          <t>AMR1</t>
        </is>
      </c>
      <c r="N858" s="30" t="inlineStr">
        <is>
          <t>AMR1</t>
        </is>
      </c>
      <c r="O858" s="32" t="n">
        <v>0</v>
      </c>
      <c r="P858" s="32" t="n">
        <v>0</v>
      </c>
      <c r="Q858" s="32" t="n">
        <v>17</v>
      </c>
      <c r="R858" s="31" t="n">
        <v>37.5</v>
      </c>
      <c r="S858" s="31" t="n">
        <v>37.5</v>
      </c>
      <c r="T858" s="30" t="inlineStr">
        <is>
          <t>AMR1</t>
        </is>
      </c>
      <c r="U858" s="31" t="n">
        <v>54.8</v>
      </c>
      <c r="V858" s="31" t="n">
        <v>54.8</v>
      </c>
      <c r="W858" s="30" t="inlineStr">
        <is>
          <t>AMR1</t>
        </is>
      </c>
      <c r="X858" s="32" t="n">
        <v>0</v>
      </c>
      <c r="Y858" s="32" t="n">
        <v>0</v>
      </c>
      <c r="Z858" s="31" t="n">
        <v>0</v>
      </c>
      <c r="AA858" s="32" t="n">
        <v>0</v>
      </c>
      <c r="AB858" s="32" t="n">
        <v>0</v>
      </c>
      <c r="AC858" s="32" t="n">
        <v>0</v>
      </c>
      <c r="AD858" s="32" t="n">
        <v>0</v>
      </c>
      <c r="AE858" s="31" t="n">
        <v>0</v>
      </c>
      <c r="AF858" s="32" t="n">
        <v>0</v>
      </c>
      <c r="AG858" s="31" t="n">
        <v>0</v>
      </c>
      <c r="AH858" s="32" t="n">
        <v>51</v>
      </c>
      <c r="AI858" s="31" t="n">
        <v>54.6</v>
      </c>
      <c r="AJ858" s="31" t="n">
        <v>41.9</v>
      </c>
      <c r="AK858" s="31" t="n">
        <v>0</v>
      </c>
      <c r="AL858" s="30" t="inlineStr">
        <is>
          <t>T-1007</t>
        </is>
      </c>
      <c r="AM858" s="30" t="inlineStr">
        <is>
          <t>G-05-01</t>
        </is>
      </c>
      <c r="AN858" s="30" t="inlineStr">
        <is>
          <t>T-0782</t>
        </is>
      </c>
      <c r="AO858" s="30" t="inlineStr">
        <is>
          <t>G-01-01</t>
        </is>
      </c>
    </row>
    <row r="859">
      <c r="A859" s="30" t="inlineStr">
        <is>
          <t>O0858</t>
        </is>
      </c>
      <c r="B859" s="30" t="inlineStr">
        <is>
          <t>D</t>
        </is>
      </c>
      <c r="C859" s="31" t="n">
        <v>11125.1</v>
      </c>
      <c r="D859" s="31" t="n">
        <v>41821.9</v>
      </c>
      <c r="E859" s="31" t="n">
        <v>41821.9</v>
      </c>
      <c r="F859" s="31" t="n">
        <v>41835.1</v>
      </c>
      <c r="G859" s="31" t="n">
        <v>41860.8</v>
      </c>
      <c r="H859" s="31" t="n">
        <v>41873.8</v>
      </c>
      <c r="I859" s="31" t="n">
        <v>41907.3</v>
      </c>
      <c r="J859" s="31" t="n">
        <v>41937.5</v>
      </c>
      <c r="K859" s="31" t="n">
        <v>30812.4</v>
      </c>
      <c r="L859" s="31" t="n">
        <v>30696.8</v>
      </c>
      <c r="M859" s="30" t="inlineStr">
        <is>
          <t>AMR2</t>
        </is>
      </c>
      <c r="N859" s="30" t="inlineStr">
        <is>
          <t>AMR3</t>
        </is>
      </c>
      <c r="O859" s="32" t="n">
        <v>0</v>
      </c>
      <c r="P859" s="32" t="n">
        <v>0</v>
      </c>
      <c r="Q859" s="32" t="n">
        <v>13</v>
      </c>
      <c r="R859" s="31" t="n">
        <v>36.4</v>
      </c>
      <c r="S859" s="31" t="n">
        <v>36.4</v>
      </c>
      <c r="T859" s="30" t="inlineStr">
        <is>
          <t>AMR2</t>
        </is>
      </c>
      <c r="U859" s="31" t="n">
        <v>49.8</v>
      </c>
      <c r="V859" s="31" t="n">
        <v>49.8</v>
      </c>
      <c r="W859" s="30" t="inlineStr">
        <is>
          <t>AMR3</t>
        </is>
      </c>
      <c r="X859" s="32" t="n">
        <v>0</v>
      </c>
      <c r="Y859" s="32" t="n">
        <v>0</v>
      </c>
      <c r="Z859" s="31" t="n">
        <v>0</v>
      </c>
      <c r="AA859" s="32" t="n">
        <v>0</v>
      </c>
      <c r="AB859" s="32" t="n">
        <v>1</v>
      </c>
      <c r="AC859" s="32" t="n">
        <v>2</v>
      </c>
      <c r="AD859" s="32" t="n">
        <v>0</v>
      </c>
      <c r="AE859" s="31" t="n">
        <v>0</v>
      </c>
      <c r="AF859" s="32" t="n">
        <v>1</v>
      </c>
      <c r="AG859" s="31" t="n">
        <v>0.6</v>
      </c>
      <c r="AH859" s="32" t="n">
        <v>45</v>
      </c>
      <c r="AI859" s="31" t="n">
        <v>50.5</v>
      </c>
      <c r="AJ859" s="31" t="n">
        <v>43.5</v>
      </c>
      <c r="AK859" s="31" t="n">
        <v>8.6</v>
      </c>
      <c r="AL859" s="30" t="inlineStr">
        <is>
          <t>T-1008</t>
        </is>
      </c>
      <c r="AM859" s="30" t="inlineStr">
        <is>
          <t>D-04-01</t>
        </is>
      </c>
      <c r="AN859" s="30" t="inlineStr">
        <is>
          <t>T-0919</t>
        </is>
      </c>
      <c r="AO859" s="30" t="inlineStr">
        <is>
          <t>D-04-03</t>
        </is>
      </c>
    </row>
    <row r="860">
      <c r="A860" s="30" t="inlineStr">
        <is>
          <t>O0859</t>
        </is>
      </c>
      <c r="B860" s="30" t="inlineStr">
        <is>
          <t>C</t>
        </is>
      </c>
      <c r="C860" s="31" t="n">
        <v>11149.1</v>
      </c>
      <c r="D860" s="31" t="n">
        <v>41883.7</v>
      </c>
      <c r="E860" s="31" t="n">
        <v>41883.7</v>
      </c>
      <c r="F860" s="31" t="n">
        <v>41897</v>
      </c>
      <c r="G860" s="31" t="n">
        <v>41917.5</v>
      </c>
      <c r="H860" s="31" t="n">
        <v>41929.7</v>
      </c>
      <c r="I860" s="31" t="n">
        <v>41954.1</v>
      </c>
      <c r="J860" s="31" t="n">
        <v>41982.5</v>
      </c>
      <c r="K860" s="31" t="n">
        <v>30833.4</v>
      </c>
      <c r="L860" s="31" t="n">
        <v>30734.6</v>
      </c>
      <c r="M860" s="30" t="inlineStr">
        <is>
          <t>AMR2</t>
        </is>
      </c>
      <c r="N860" s="30" t="inlineStr">
        <is>
          <t>AMR2</t>
        </is>
      </c>
      <c r="O860" s="32" t="n">
        <v>0</v>
      </c>
      <c r="P860" s="32" t="n">
        <v>0</v>
      </c>
      <c r="Q860" s="32" t="n">
        <v>13</v>
      </c>
      <c r="R860" s="31" t="n">
        <v>32.9</v>
      </c>
      <c r="S860" s="31" t="n">
        <v>32.9</v>
      </c>
      <c r="T860" s="30" t="inlineStr">
        <is>
          <t>AMR2</t>
        </is>
      </c>
      <c r="U860" s="31" t="n">
        <v>53</v>
      </c>
      <c r="V860" s="31" t="n">
        <v>53</v>
      </c>
      <c r="W860" s="30" t="inlineStr">
        <is>
          <t>AMR2</t>
        </is>
      </c>
      <c r="X860" s="32" t="n">
        <v>0</v>
      </c>
      <c r="Y860" s="32" t="n">
        <v>0</v>
      </c>
      <c r="Z860" s="31" t="n">
        <v>0</v>
      </c>
      <c r="AA860" s="32" t="n">
        <v>0</v>
      </c>
      <c r="AB860" s="32" t="n">
        <v>0</v>
      </c>
      <c r="AC860" s="32" t="n">
        <v>0</v>
      </c>
      <c r="AD860" s="32" t="n">
        <v>0</v>
      </c>
      <c r="AE860" s="31" t="n">
        <v>0</v>
      </c>
      <c r="AF860" s="32" t="n">
        <v>0</v>
      </c>
      <c r="AG860" s="31" t="n">
        <v>0</v>
      </c>
      <c r="AH860" s="32" t="n">
        <v>39</v>
      </c>
      <c r="AI860" s="31" t="n">
        <v>42.9</v>
      </c>
      <c r="AJ860" s="31" t="n">
        <v>43.7</v>
      </c>
      <c r="AK860" s="31" t="n">
        <v>0</v>
      </c>
      <c r="AL860" s="30" t="inlineStr">
        <is>
          <t>T-1009</t>
        </is>
      </c>
      <c r="AM860" s="30" t="inlineStr">
        <is>
          <t>C-02-01</t>
        </is>
      </c>
      <c r="AN860" s="30" t="inlineStr">
        <is>
          <t>T-0878</t>
        </is>
      </c>
      <c r="AO860" s="30" t="inlineStr">
        <is>
          <t>C-01-03</t>
        </is>
      </c>
    </row>
    <row r="861">
      <c r="A861" s="30" t="inlineStr">
        <is>
          <t>O0860</t>
        </is>
      </c>
      <c r="B861" s="30" t="inlineStr">
        <is>
          <t>G</t>
        </is>
      </c>
      <c r="C861" s="31" t="n">
        <v>11170</v>
      </c>
      <c r="D861" s="31" t="n">
        <v>41901.4</v>
      </c>
      <c r="E861" s="31" t="n">
        <v>41901.4</v>
      </c>
      <c r="F861" s="31" t="n">
        <v>41916.1</v>
      </c>
      <c r="G861" s="31" t="n">
        <v>41944.7</v>
      </c>
      <c r="H861" s="31" t="n">
        <v>41961.2</v>
      </c>
      <c r="I861" s="31" t="n">
        <v>41994.9</v>
      </c>
      <c r="J861" s="31" t="n">
        <v>42023.9</v>
      </c>
      <c r="K861" s="31" t="n">
        <v>30853.9</v>
      </c>
      <c r="L861" s="31" t="n">
        <v>30731.4</v>
      </c>
      <c r="M861" s="30" t="inlineStr">
        <is>
          <t>AMR1</t>
        </is>
      </c>
      <c r="N861" s="30" t="inlineStr">
        <is>
          <t>AMR3</t>
        </is>
      </c>
      <c r="O861" s="32" t="n">
        <v>0</v>
      </c>
      <c r="P861" s="32" t="n">
        <v>0</v>
      </c>
      <c r="Q861" s="32" t="n">
        <v>17</v>
      </c>
      <c r="R861" s="31" t="n">
        <v>40.8</v>
      </c>
      <c r="S861" s="31" t="n">
        <v>40.8</v>
      </c>
      <c r="T861" s="30" t="inlineStr">
        <is>
          <t>AMR1</t>
        </is>
      </c>
      <c r="U861" s="31" t="n">
        <v>58.3</v>
      </c>
      <c r="V861" s="31" t="n">
        <v>58.3</v>
      </c>
      <c r="W861" s="30" t="inlineStr">
        <is>
          <t>AMR3</t>
        </is>
      </c>
      <c r="X861" s="32" t="n">
        <v>0</v>
      </c>
      <c r="Y861" s="32" t="n">
        <v>0</v>
      </c>
      <c r="Z861" s="31" t="n">
        <v>0</v>
      </c>
      <c r="AA861" s="32" t="n">
        <v>0</v>
      </c>
      <c r="AB861" s="32" t="n">
        <v>1</v>
      </c>
      <c r="AC861" s="32" t="n">
        <v>1</v>
      </c>
      <c r="AD861" s="32" t="n">
        <v>0</v>
      </c>
      <c r="AE861" s="31" t="n">
        <v>0</v>
      </c>
      <c r="AF861" s="32" t="n">
        <v>1</v>
      </c>
      <c r="AG861" s="31" t="n">
        <v>0.1</v>
      </c>
      <c r="AH861" s="32" t="n">
        <v>49</v>
      </c>
      <c r="AI861" s="31" t="n">
        <v>52.2</v>
      </c>
      <c r="AJ861" s="31" t="n">
        <v>48.7</v>
      </c>
      <c r="AK861" s="31" t="n">
        <v>5.1</v>
      </c>
      <c r="AL861" s="30" t="inlineStr">
        <is>
          <t>T-1010</t>
        </is>
      </c>
      <c r="AM861" s="30" t="inlineStr">
        <is>
          <t>G-01-01</t>
        </is>
      </c>
      <c r="AN861" s="30" t="inlineStr">
        <is>
          <t>T-0783</t>
        </is>
      </c>
      <c r="AO861" s="30" t="inlineStr">
        <is>
          <t>G-05-03</t>
        </is>
      </c>
    </row>
    <row r="862">
      <c r="A862" s="30" t="inlineStr">
        <is>
          <t>O0861</t>
        </is>
      </c>
      <c r="B862" s="30" t="inlineStr">
        <is>
          <t>F</t>
        </is>
      </c>
      <c r="C862" s="31" t="n">
        <v>11194.6</v>
      </c>
      <c r="D862" s="31" t="n">
        <v>41970.3</v>
      </c>
      <c r="E862" s="31" t="n">
        <v>41970.3</v>
      </c>
      <c r="F862" s="31" t="n">
        <v>41983.6</v>
      </c>
      <c r="G862" s="31" t="n">
        <v>42014.2</v>
      </c>
      <c r="H862" s="31" t="n">
        <v>42037.8</v>
      </c>
      <c r="I862" s="31" t="n">
        <v>42069.8</v>
      </c>
      <c r="J862" s="31" t="n">
        <v>42110.6</v>
      </c>
      <c r="K862" s="31" t="n">
        <v>30916</v>
      </c>
      <c r="L862" s="31" t="n">
        <v>30775.7</v>
      </c>
      <c r="M862" s="30" t="inlineStr">
        <is>
          <t>AMR1</t>
        </is>
      </c>
      <c r="N862" s="30" t="inlineStr">
        <is>
          <t>AMR1</t>
        </is>
      </c>
      <c r="O862" s="32" t="n">
        <v>0</v>
      </c>
      <c r="P862" s="32" t="n">
        <v>0</v>
      </c>
      <c r="Q862" s="32" t="n">
        <v>23</v>
      </c>
      <c r="R862" s="31" t="n">
        <v>41.4</v>
      </c>
      <c r="S862" s="31" t="n">
        <v>41.4</v>
      </c>
      <c r="T862" s="30" t="inlineStr">
        <is>
          <t>AMR1</t>
        </is>
      </c>
      <c r="U862" s="31" t="n">
        <v>64.7</v>
      </c>
      <c r="V862" s="31" t="n">
        <v>64.7</v>
      </c>
      <c r="W862" s="30" t="inlineStr">
        <is>
          <t>AMR1</t>
        </is>
      </c>
      <c r="X862" s="32" t="n">
        <v>0</v>
      </c>
      <c r="Y862" s="32" t="n">
        <v>0</v>
      </c>
      <c r="Z862" s="31" t="n">
        <v>0</v>
      </c>
      <c r="AA862" s="32" t="n">
        <v>0</v>
      </c>
      <c r="AB862" s="32" t="n">
        <v>0</v>
      </c>
      <c r="AC862" s="32" t="n">
        <v>0</v>
      </c>
      <c r="AD862" s="32" t="n">
        <v>1</v>
      </c>
      <c r="AE862" s="31" t="n">
        <v>6.3</v>
      </c>
      <c r="AF862" s="32" t="n">
        <v>1</v>
      </c>
      <c r="AG862" s="31" t="n">
        <v>1.3</v>
      </c>
      <c r="AH862" s="32" t="n">
        <v>69</v>
      </c>
      <c r="AI862" s="31" t="n">
        <v>69.5</v>
      </c>
      <c r="AJ862" s="31" t="n">
        <v>40.9</v>
      </c>
      <c r="AK862" s="31" t="n">
        <v>6.3</v>
      </c>
      <c r="AL862" s="30" t="inlineStr">
        <is>
          <t>T-1011</t>
        </is>
      </c>
      <c r="AM862" s="30" t="inlineStr">
        <is>
          <t>F-02-01</t>
        </is>
      </c>
      <c r="AN862" s="30" t="inlineStr">
        <is>
          <t>T-0803</t>
        </is>
      </c>
      <c r="AO862" s="30" t="inlineStr">
        <is>
          <t>F-03-01</t>
        </is>
      </c>
    </row>
    <row r="863">
      <c r="A863" s="30" t="inlineStr">
        <is>
          <t>O0862</t>
        </is>
      </c>
      <c r="B863" s="30" t="inlineStr">
        <is>
          <t>B</t>
        </is>
      </c>
      <c r="C863" s="31" t="n">
        <v>11212.1</v>
      </c>
      <c r="D863" s="31" t="n">
        <v>42006.2</v>
      </c>
      <c r="E863" s="31" t="n">
        <v>42006.2</v>
      </c>
      <c r="F863" s="31" t="n">
        <v>42018.1</v>
      </c>
      <c r="G863" s="31" t="n">
        <v>42043.2</v>
      </c>
      <c r="H863" s="31" t="n">
        <v>42047.6</v>
      </c>
      <c r="I863" s="31" t="n">
        <v>42068.2</v>
      </c>
      <c r="J863" s="31" t="n">
        <v>42096.3</v>
      </c>
      <c r="K863" s="31" t="n">
        <v>30884.2</v>
      </c>
      <c r="L863" s="31" t="n">
        <v>30794.1</v>
      </c>
      <c r="M863" s="30" t="inlineStr">
        <is>
          <t>AMR2</t>
        </is>
      </c>
      <c r="N863" s="30" t="inlineStr">
        <is>
          <t>AMR3</t>
        </is>
      </c>
      <c r="O863" s="32" t="n">
        <v>0</v>
      </c>
      <c r="P863" s="32" t="n">
        <v>0</v>
      </c>
      <c r="Q863" s="32" t="n">
        <v>15</v>
      </c>
      <c r="R863" s="31" t="n">
        <v>36.1</v>
      </c>
      <c r="S863" s="31" t="n">
        <v>36.1</v>
      </c>
      <c r="T863" s="30" t="inlineStr">
        <is>
          <t>AMR2</t>
        </is>
      </c>
      <c r="U863" s="31" t="n">
        <v>51.4</v>
      </c>
      <c r="V863" s="31" t="n">
        <v>51.4</v>
      </c>
      <c r="W863" s="30" t="inlineStr">
        <is>
          <t>AMR3</t>
        </is>
      </c>
      <c r="X863" s="32" t="n">
        <v>0</v>
      </c>
      <c r="Y863" s="32" t="n">
        <v>0</v>
      </c>
      <c r="Z863" s="31" t="n">
        <v>0</v>
      </c>
      <c r="AA863" s="32" t="n">
        <v>0</v>
      </c>
      <c r="AB863" s="32" t="n">
        <v>0</v>
      </c>
      <c r="AC863" s="32" t="n">
        <v>0</v>
      </c>
      <c r="AD863" s="32" t="n">
        <v>0</v>
      </c>
      <c r="AE863" s="31" t="n">
        <v>0</v>
      </c>
      <c r="AF863" s="32" t="n">
        <v>0</v>
      </c>
      <c r="AG863" s="31" t="n">
        <v>0</v>
      </c>
      <c r="AH863" s="32" t="n">
        <v>43</v>
      </c>
      <c r="AI863" s="31" t="n">
        <v>45.5</v>
      </c>
      <c r="AJ863" s="31" t="n">
        <v>40.2</v>
      </c>
      <c r="AK863" s="31" t="n">
        <v>0</v>
      </c>
      <c r="AL863" s="30" t="inlineStr">
        <is>
          <t>T-1012</t>
        </is>
      </c>
      <c r="AM863" s="30" t="inlineStr">
        <is>
          <t>B-05-02</t>
        </is>
      </c>
      <c r="AN863" s="30" t="inlineStr">
        <is>
          <t>T-0801</t>
        </is>
      </c>
      <c r="AO863" s="30" t="inlineStr">
        <is>
          <t>B-06-02</t>
        </is>
      </c>
    </row>
    <row r="864">
      <c r="A864" s="30" t="inlineStr">
        <is>
          <t>O0863</t>
        </is>
      </c>
      <c r="B864" s="30" t="inlineStr">
        <is>
          <t>J</t>
        </is>
      </c>
      <c r="C864" s="31" t="n">
        <v>11232.6</v>
      </c>
      <c r="D864" s="31" t="n">
        <v>42058</v>
      </c>
      <c r="E864" s="31" t="n">
        <v>42058</v>
      </c>
      <c r="F864" s="31" t="n">
        <v>42069.2</v>
      </c>
      <c r="G864" s="31" t="n">
        <v>42102.5</v>
      </c>
      <c r="H864" s="31" t="n">
        <v>42120</v>
      </c>
      <c r="I864" s="31" t="n">
        <v>42155.6</v>
      </c>
      <c r="J864" s="31" t="n">
        <v>42187.5</v>
      </c>
      <c r="K864" s="31" t="n">
        <v>30954.9</v>
      </c>
      <c r="L864" s="31" t="n">
        <v>30825.4</v>
      </c>
      <c r="M864" s="30" t="inlineStr">
        <is>
          <t>AMR2</t>
        </is>
      </c>
      <c r="N864" s="30" t="inlineStr">
        <is>
          <t>AMR3</t>
        </is>
      </c>
      <c r="O864" s="32" t="n">
        <v>0</v>
      </c>
      <c r="P864" s="32" t="n">
        <v>0</v>
      </c>
      <c r="Q864" s="32" t="n">
        <v>21</v>
      </c>
      <c r="R864" s="31" t="n">
        <v>42</v>
      </c>
      <c r="S864" s="31" t="n">
        <v>42</v>
      </c>
      <c r="T864" s="30" t="inlineStr">
        <is>
          <t>AMR2</t>
        </is>
      </c>
      <c r="U864" s="31" t="n">
        <v>60.4</v>
      </c>
      <c r="V864" s="31" t="n">
        <v>60.4</v>
      </c>
      <c r="W864" s="30" t="inlineStr">
        <is>
          <t>AMR3</t>
        </is>
      </c>
      <c r="X864" s="32" t="n">
        <v>0</v>
      </c>
      <c r="Y864" s="32" t="n">
        <v>0</v>
      </c>
      <c r="Z864" s="31" t="n">
        <v>0</v>
      </c>
      <c r="AA864" s="32" t="n">
        <v>0</v>
      </c>
      <c r="AB864" s="32" t="n">
        <v>1</v>
      </c>
      <c r="AC864" s="32" t="n">
        <v>1</v>
      </c>
      <c r="AD864" s="32" t="n">
        <v>0</v>
      </c>
      <c r="AE864" s="31" t="n">
        <v>0</v>
      </c>
      <c r="AF864" s="32" t="n">
        <v>0</v>
      </c>
      <c r="AG864" s="31" t="n">
        <v>0</v>
      </c>
      <c r="AH864" s="32" t="n">
        <v>61</v>
      </c>
      <c r="AI864" s="31" t="n">
        <v>66.09999999999999</v>
      </c>
      <c r="AJ864" s="31" t="n">
        <v>41.8</v>
      </c>
      <c r="AK864" s="31" t="n">
        <v>4.1</v>
      </c>
      <c r="AL864" s="30" t="inlineStr">
        <is>
          <t>T-1013</t>
        </is>
      </c>
      <c r="AM864" s="30" t="inlineStr">
        <is>
          <t>J-04-02</t>
        </is>
      </c>
      <c r="AN864" s="30" t="inlineStr">
        <is>
          <t>T-0807</t>
        </is>
      </c>
      <c r="AO864" s="30" t="inlineStr">
        <is>
          <t>J-02-03</t>
        </is>
      </c>
    </row>
    <row r="865">
      <c r="A865" s="30" t="inlineStr">
        <is>
          <t>O0864</t>
        </is>
      </c>
      <c r="B865" s="30" t="inlineStr">
        <is>
          <t>A</t>
        </is>
      </c>
      <c r="C865" s="31" t="n">
        <v>11253.7</v>
      </c>
      <c r="D865" s="31" t="n">
        <v>42129.9</v>
      </c>
      <c r="E865" s="31" t="n">
        <v>42129.9</v>
      </c>
      <c r="F865" s="31" t="n">
        <v>42141.3</v>
      </c>
      <c r="G865" s="31" t="n">
        <v>42170.5</v>
      </c>
      <c r="H865" s="31" t="n">
        <v>42192.1</v>
      </c>
      <c r="I865" s="31" t="n">
        <v>42221.7</v>
      </c>
      <c r="J865" s="31" t="n">
        <v>42256.8</v>
      </c>
      <c r="K865" s="31" t="n">
        <v>31003.1</v>
      </c>
      <c r="L865" s="31" t="n">
        <v>30876.2</v>
      </c>
      <c r="M865" s="30" t="inlineStr">
        <is>
          <t>AMR2</t>
        </is>
      </c>
      <c r="N865" s="30" t="inlineStr">
        <is>
          <t>AMR2</t>
        </is>
      </c>
      <c r="O865" s="32" t="n">
        <v>0</v>
      </c>
      <c r="P865" s="32" t="n">
        <v>0</v>
      </c>
      <c r="Q865" s="32" t="n">
        <v>21</v>
      </c>
      <c r="R865" s="31" t="n">
        <v>38.1</v>
      </c>
      <c r="S865" s="31" t="n">
        <v>38.1</v>
      </c>
      <c r="T865" s="30" t="inlineStr">
        <is>
          <t>AMR2</t>
        </is>
      </c>
      <c r="U865" s="31" t="n">
        <v>64.40000000000001</v>
      </c>
      <c r="V865" s="31" t="n">
        <v>64.40000000000001</v>
      </c>
      <c r="W865" s="30" t="inlineStr">
        <is>
          <t>AMR2</t>
        </is>
      </c>
      <c r="X865" s="32" t="n">
        <v>0</v>
      </c>
      <c r="Y865" s="32" t="n">
        <v>0</v>
      </c>
      <c r="Z865" s="31" t="n">
        <v>0</v>
      </c>
      <c r="AA865" s="32" t="n">
        <v>0</v>
      </c>
      <c r="AB865" s="32" t="n">
        <v>0</v>
      </c>
      <c r="AC865" s="32" t="n">
        <v>0</v>
      </c>
      <c r="AD865" s="32" t="n">
        <v>0</v>
      </c>
      <c r="AE865" s="31" t="n">
        <v>0</v>
      </c>
      <c r="AF865" s="32" t="n">
        <v>0</v>
      </c>
      <c r="AG865" s="31" t="n">
        <v>0</v>
      </c>
      <c r="AH865" s="32" t="n">
        <v>65</v>
      </c>
      <c r="AI865" s="31" t="n">
        <v>64.90000000000001</v>
      </c>
      <c r="AJ865" s="31" t="n">
        <v>40.4</v>
      </c>
      <c r="AK865" s="31" t="n">
        <v>0</v>
      </c>
      <c r="AL865" s="30" t="inlineStr">
        <is>
          <t>T-1014</t>
        </is>
      </c>
      <c r="AM865" s="30" t="inlineStr">
        <is>
          <t>A-02-01</t>
        </is>
      </c>
      <c r="AN865" s="30" t="inlineStr">
        <is>
          <t>T-0792</t>
        </is>
      </c>
      <c r="AO865" s="30" t="inlineStr">
        <is>
          <t>A-05-03</t>
        </is>
      </c>
    </row>
    <row r="866">
      <c r="A866" s="30" t="inlineStr">
        <is>
          <t>O0865</t>
        </is>
      </c>
      <c r="B866" s="30" t="inlineStr">
        <is>
          <t>J</t>
        </is>
      </c>
      <c r="C866" s="31" t="n">
        <v>11270.7</v>
      </c>
      <c r="D866" s="31" t="n">
        <v>42141.4</v>
      </c>
      <c r="E866" s="31" t="n">
        <v>42141.4</v>
      </c>
      <c r="F866" s="31" t="n">
        <v>42154.9</v>
      </c>
      <c r="G866" s="31" t="n">
        <v>42187.8</v>
      </c>
      <c r="H866" s="31" t="n">
        <v>42210</v>
      </c>
      <c r="I866" s="31" t="n">
        <v>42247.1</v>
      </c>
      <c r="J866" s="31" t="n">
        <v>42280.7</v>
      </c>
      <c r="K866" s="31" t="n">
        <v>31010</v>
      </c>
      <c r="L866" s="31" t="n">
        <v>30870.7</v>
      </c>
      <c r="M866" s="30" t="inlineStr">
        <is>
          <t>AMR1</t>
        </is>
      </c>
      <c r="N866" s="30" t="inlineStr">
        <is>
          <t>AMR1</t>
        </is>
      </c>
      <c r="O866" s="32" t="n">
        <v>0</v>
      </c>
      <c r="P866" s="32" t="n">
        <v>0</v>
      </c>
      <c r="Q866" s="32" t="n">
        <v>21</v>
      </c>
      <c r="R866" s="31" t="n">
        <v>43.9</v>
      </c>
      <c r="S866" s="31" t="n">
        <v>43.9</v>
      </c>
      <c r="T866" s="30" t="inlineStr">
        <is>
          <t>AMR1</t>
        </is>
      </c>
      <c r="U866" s="31" t="n">
        <v>65.90000000000001</v>
      </c>
      <c r="V866" s="31" t="n">
        <v>65.90000000000001</v>
      </c>
      <c r="W866" s="30" t="inlineStr">
        <is>
          <t>AMR1</t>
        </is>
      </c>
      <c r="X866" s="32" t="n">
        <v>0</v>
      </c>
      <c r="Y866" s="32" t="n">
        <v>0</v>
      </c>
      <c r="Z866" s="31" t="n">
        <v>0</v>
      </c>
      <c r="AA866" s="32" t="n">
        <v>0</v>
      </c>
      <c r="AB866" s="32" t="n">
        <v>1</v>
      </c>
      <c r="AC866" s="32" t="n">
        <v>1</v>
      </c>
      <c r="AD866" s="32" t="n">
        <v>0</v>
      </c>
      <c r="AE866" s="31" t="n">
        <v>0</v>
      </c>
      <c r="AF866" s="32" t="n">
        <v>0</v>
      </c>
      <c r="AG866" s="31" t="n">
        <v>0</v>
      </c>
      <c r="AH866" s="32" t="n">
        <v>61</v>
      </c>
      <c r="AI866" s="31" t="n">
        <v>62.9</v>
      </c>
      <c r="AJ866" s="31" t="n">
        <v>49.2</v>
      </c>
      <c r="AK866" s="31" t="n">
        <v>5</v>
      </c>
      <c r="AL866" s="30" t="inlineStr">
        <is>
          <t>T-1015</t>
        </is>
      </c>
      <c r="AM866" s="30" t="inlineStr">
        <is>
          <t>J-05-02</t>
        </is>
      </c>
      <c r="AN866" s="30" t="inlineStr">
        <is>
          <t>T-0839</t>
        </is>
      </c>
      <c r="AO866" s="30" t="inlineStr">
        <is>
          <t>J-01-01</t>
        </is>
      </c>
    </row>
    <row r="867">
      <c r="A867" s="30" t="inlineStr">
        <is>
          <t>O0866</t>
        </is>
      </c>
      <c r="B867" s="30" t="inlineStr">
        <is>
          <t>G</t>
        </is>
      </c>
      <c r="C867" s="31" t="n">
        <v>11287.6</v>
      </c>
      <c r="D867" s="31" t="n">
        <v>42219.9</v>
      </c>
      <c r="E867" s="31" t="n">
        <v>42219.9</v>
      </c>
      <c r="F867" s="31" t="n">
        <v>42232.2</v>
      </c>
      <c r="G867" s="31" t="n">
        <v>42259</v>
      </c>
      <c r="H867" s="31" t="n">
        <v>42275.8</v>
      </c>
      <c r="I867" s="31" t="n">
        <v>42303.8</v>
      </c>
      <c r="J867" s="31" t="n">
        <v>42333.8</v>
      </c>
      <c r="K867" s="31" t="n">
        <v>31046.2</v>
      </c>
      <c r="L867" s="31" t="n">
        <v>30932.3</v>
      </c>
      <c r="M867" s="30" t="inlineStr">
        <is>
          <t>AMR3</t>
        </is>
      </c>
      <c r="N867" s="30" t="inlineStr">
        <is>
          <t>AMR3</t>
        </is>
      </c>
      <c r="O867" s="32" t="n">
        <v>0</v>
      </c>
      <c r="P867" s="32" t="n">
        <v>0</v>
      </c>
      <c r="Q867" s="32" t="n">
        <v>17</v>
      </c>
      <c r="R867" s="31" t="n">
        <v>38.2</v>
      </c>
      <c r="S867" s="31" t="n">
        <v>38.2</v>
      </c>
      <c r="T867" s="30" t="inlineStr">
        <is>
          <t>AMR3</t>
        </is>
      </c>
      <c r="U867" s="31" t="n">
        <v>56.2</v>
      </c>
      <c r="V867" s="31" t="n">
        <v>56.2</v>
      </c>
      <c r="W867" s="30" t="inlineStr">
        <is>
          <t>AMR3</t>
        </is>
      </c>
      <c r="X867" s="32" t="n">
        <v>0</v>
      </c>
      <c r="Y867" s="32" t="n">
        <v>0</v>
      </c>
      <c r="Z867" s="31" t="n">
        <v>0</v>
      </c>
      <c r="AA867" s="32" t="n">
        <v>0</v>
      </c>
      <c r="AB867" s="32" t="n">
        <v>0</v>
      </c>
      <c r="AC867" s="32" t="n">
        <v>0</v>
      </c>
      <c r="AD867" s="32" t="n">
        <v>0</v>
      </c>
      <c r="AE867" s="31" t="n">
        <v>0</v>
      </c>
      <c r="AF867" s="32" t="n">
        <v>0</v>
      </c>
      <c r="AG867" s="31" t="n">
        <v>0</v>
      </c>
      <c r="AH867" s="32" t="n">
        <v>49</v>
      </c>
      <c r="AI867" s="31" t="n">
        <v>53.1</v>
      </c>
      <c r="AJ867" s="31" t="n">
        <v>44</v>
      </c>
      <c r="AK867" s="31" t="n">
        <v>0</v>
      </c>
      <c r="AL867" s="30" t="inlineStr">
        <is>
          <t>T-1016</t>
        </is>
      </c>
      <c r="AM867" s="30" t="inlineStr">
        <is>
          <t>G-04-03</t>
        </is>
      </c>
      <c r="AN867" s="30" t="inlineStr">
        <is>
          <t>T-0796</t>
        </is>
      </c>
      <c r="AO867" s="30" t="inlineStr">
        <is>
          <t>G-03-01</t>
        </is>
      </c>
    </row>
    <row r="868">
      <c r="A868" s="30" t="inlineStr">
        <is>
          <t>O0867</t>
        </is>
      </c>
      <c r="B868" s="30" t="inlineStr">
        <is>
          <t>D</t>
        </is>
      </c>
      <c r="C868" s="31" t="n">
        <v>11309.1</v>
      </c>
      <c r="D868" s="31" t="n">
        <v>42280.5</v>
      </c>
      <c r="E868" s="31" t="n">
        <v>42280.5</v>
      </c>
      <c r="F868" s="31" t="n">
        <v>42292.5</v>
      </c>
      <c r="G868" s="31" t="n">
        <v>42319.2</v>
      </c>
      <c r="H868" s="31" t="n">
        <v>42333.3</v>
      </c>
      <c r="I868" s="31" t="n">
        <v>42368.3</v>
      </c>
      <c r="J868" s="31" t="n">
        <v>42399.9</v>
      </c>
      <c r="K868" s="31" t="n">
        <v>31090.8</v>
      </c>
      <c r="L868" s="31" t="n">
        <v>30971.4</v>
      </c>
      <c r="M868" s="30" t="inlineStr">
        <is>
          <t>AMR2</t>
        </is>
      </c>
      <c r="N868" s="30" t="inlineStr">
        <is>
          <t>AMR2</t>
        </is>
      </c>
      <c r="O868" s="32" t="n">
        <v>0</v>
      </c>
      <c r="P868" s="32" t="n">
        <v>0</v>
      </c>
      <c r="Q868" s="32" t="n">
        <v>13</v>
      </c>
      <c r="R868" s="31" t="n">
        <v>30.6</v>
      </c>
      <c r="S868" s="31" t="n">
        <v>30.6</v>
      </c>
      <c r="T868" s="30" t="inlineStr">
        <is>
          <t>AMR2</t>
        </is>
      </c>
      <c r="U868" s="31" t="n">
        <v>51.6</v>
      </c>
      <c r="V868" s="31" t="n">
        <v>51.6</v>
      </c>
      <c r="W868" s="30" t="inlineStr">
        <is>
          <t>AMR2</t>
        </is>
      </c>
      <c r="X868" s="32" t="n">
        <v>0</v>
      </c>
      <c r="Y868" s="32" t="n">
        <v>0</v>
      </c>
      <c r="Z868" s="31" t="n">
        <v>0</v>
      </c>
      <c r="AA868" s="32" t="n">
        <v>0</v>
      </c>
      <c r="AB868" s="32" t="n">
        <v>2</v>
      </c>
      <c r="AC868" s="32" t="n">
        <v>3</v>
      </c>
      <c r="AD868" s="32" t="n">
        <v>0</v>
      </c>
      <c r="AE868" s="31" t="n">
        <v>0</v>
      </c>
      <c r="AF868" s="32" t="n">
        <v>0</v>
      </c>
      <c r="AG868" s="31" t="n">
        <v>0</v>
      </c>
      <c r="AH868" s="32" t="n">
        <v>48</v>
      </c>
      <c r="AI868" s="31" t="n">
        <v>56.8</v>
      </c>
      <c r="AJ868" s="31" t="n">
        <v>39.5</v>
      </c>
      <c r="AK868" s="31" t="n">
        <v>9</v>
      </c>
      <c r="AL868" s="30" t="inlineStr">
        <is>
          <t>T-1017</t>
        </is>
      </c>
      <c r="AM868" s="30" t="inlineStr">
        <is>
          <t>D-03-03</t>
        </is>
      </c>
      <c r="AN868" s="30" t="inlineStr">
        <is>
          <t>T-0921</t>
        </is>
      </c>
      <c r="AO868" s="30" t="inlineStr">
        <is>
          <t>D-05-01</t>
        </is>
      </c>
    </row>
    <row r="869">
      <c r="A869" s="30" t="inlineStr">
        <is>
          <t>O0868</t>
        </is>
      </c>
      <c r="B869" s="30" t="inlineStr">
        <is>
          <t>D</t>
        </is>
      </c>
      <c r="C869" s="31" t="n">
        <v>11327.9</v>
      </c>
      <c r="D869" s="31" t="n">
        <v>42309.9</v>
      </c>
      <c r="E869" s="31" t="n">
        <v>42309.9</v>
      </c>
      <c r="F869" s="31" t="n">
        <v>42323.1</v>
      </c>
      <c r="G869" s="31" t="n">
        <v>42345.6</v>
      </c>
      <c r="H869" s="31" t="n">
        <v>42357.5</v>
      </c>
      <c r="I869" s="31" t="n">
        <v>42390.9</v>
      </c>
      <c r="J869" s="31" t="n">
        <v>42420.8</v>
      </c>
      <c r="K869" s="31" t="n">
        <v>31092.9</v>
      </c>
      <c r="L869" s="31" t="n">
        <v>30982</v>
      </c>
      <c r="M869" s="30" t="inlineStr">
        <is>
          <t>AMR1</t>
        </is>
      </c>
      <c r="N869" s="30" t="inlineStr">
        <is>
          <t>AMR3</t>
        </is>
      </c>
      <c r="O869" s="32" t="n">
        <v>0</v>
      </c>
      <c r="P869" s="32" t="n">
        <v>0</v>
      </c>
      <c r="Q869" s="32" t="n">
        <v>13</v>
      </c>
      <c r="R869" s="31" t="n">
        <v>33.2</v>
      </c>
      <c r="S869" s="31" t="n">
        <v>33.2</v>
      </c>
      <c r="T869" s="30" t="inlineStr">
        <is>
          <t>AMR1</t>
        </is>
      </c>
      <c r="U869" s="31" t="n">
        <v>54.4</v>
      </c>
      <c r="V869" s="31" t="n">
        <v>54.4</v>
      </c>
      <c r="W869" s="30" t="inlineStr">
        <is>
          <t>AMR3</t>
        </is>
      </c>
      <c r="X869" s="32" t="n">
        <v>0</v>
      </c>
      <c r="Y869" s="32" t="n">
        <v>0</v>
      </c>
      <c r="Z869" s="31" t="n">
        <v>0</v>
      </c>
      <c r="AA869" s="32" t="n">
        <v>0</v>
      </c>
      <c r="AB869" s="32" t="n">
        <v>0</v>
      </c>
      <c r="AC869" s="32" t="n">
        <v>1</v>
      </c>
      <c r="AD869" s="32" t="n">
        <v>0</v>
      </c>
      <c r="AE869" s="31" t="n">
        <v>0</v>
      </c>
      <c r="AF869" s="32" t="n">
        <v>1</v>
      </c>
      <c r="AG869" s="31" t="n">
        <v>0.6</v>
      </c>
      <c r="AH869" s="32" t="n">
        <v>45</v>
      </c>
      <c r="AI869" s="31" t="n">
        <v>48.5</v>
      </c>
      <c r="AJ869" s="31" t="n">
        <v>44.9</v>
      </c>
      <c r="AK869" s="31" t="n">
        <v>5.6</v>
      </c>
      <c r="AL869" s="30" t="inlineStr">
        <is>
          <t>T-1018</t>
        </is>
      </c>
      <c r="AM869" s="30" t="inlineStr">
        <is>
          <t>D-04-03</t>
        </is>
      </c>
      <c r="AN869" s="30" t="inlineStr">
        <is>
          <t>T-0922</t>
        </is>
      </c>
      <c r="AO869" s="30" t="inlineStr">
        <is>
          <t>D-05-03</t>
        </is>
      </c>
    </row>
    <row r="870">
      <c r="A870" s="30" t="inlineStr">
        <is>
          <t>O0869</t>
        </is>
      </c>
      <c r="B870" s="30" t="inlineStr">
        <is>
          <t>B</t>
        </is>
      </c>
      <c r="C870" s="31" t="n">
        <v>11349.3</v>
      </c>
      <c r="D870" s="31" t="n">
        <v>42364.6</v>
      </c>
      <c r="E870" s="31" t="n">
        <v>42364.6</v>
      </c>
      <c r="F870" s="31" t="n">
        <v>42378</v>
      </c>
      <c r="G870" s="31" t="n">
        <v>42399.1</v>
      </c>
      <c r="H870" s="31" t="n">
        <v>42412.6</v>
      </c>
      <c r="I870" s="31" t="n">
        <v>42440.7</v>
      </c>
      <c r="J870" s="31" t="n">
        <v>42469.9</v>
      </c>
      <c r="K870" s="31" t="n">
        <v>31120.6</v>
      </c>
      <c r="L870" s="31" t="n">
        <v>31015.3</v>
      </c>
      <c r="M870" s="30" t="inlineStr">
        <is>
          <t>AMR1</t>
        </is>
      </c>
      <c r="N870" s="30" t="inlineStr">
        <is>
          <t>AMR1</t>
        </is>
      </c>
      <c r="O870" s="32" t="n">
        <v>0</v>
      </c>
      <c r="P870" s="32" t="n">
        <v>0</v>
      </c>
      <c r="Q870" s="32" t="n">
        <v>15</v>
      </c>
      <c r="R870" s="31" t="n">
        <v>34.4</v>
      </c>
      <c r="S870" s="31" t="n">
        <v>34.4</v>
      </c>
      <c r="T870" s="30" t="inlineStr">
        <is>
          <t>AMR1</t>
        </is>
      </c>
      <c r="U870" s="31" t="n">
        <v>55.5</v>
      </c>
      <c r="V870" s="31" t="n">
        <v>55.5</v>
      </c>
      <c r="W870" s="30" t="inlineStr">
        <is>
          <t>AMR1</t>
        </is>
      </c>
      <c r="X870" s="32" t="n">
        <v>0</v>
      </c>
      <c r="Y870" s="32" t="n">
        <v>0</v>
      </c>
      <c r="Z870" s="31" t="n">
        <v>0</v>
      </c>
      <c r="AA870" s="32" t="n">
        <v>0</v>
      </c>
      <c r="AB870" s="32" t="n">
        <v>0</v>
      </c>
      <c r="AC870" s="32" t="n">
        <v>0</v>
      </c>
      <c r="AD870" s="32" t="n">
        <v>0</v>
      </c>
      <c r="AE870" s="31" t="n">
        <v>0</v>
      </c>
      <c r="AF870" s="32" t="n">
        <v>0</v>
      </c>
      <c r="AG870" s="31" t="n">
        <v>0</v>
      </c>
      <c r="AH870" s="32" t="n">
        <v>46</v>
      </c>
      <c r="AI870" s="31" t="n">
        <v>49.2</v>
      </c>
      <c r="AJ870" s="31" t="n">
        <v>42.6</v>
      </c>
      <c r="AK870" s="31" t="n">
        <v>0</v>
      </c>
      <c r="AL870" s="30" t="inlineStr">
        <is>
          <t>T-1019</t>
        </is>
      </c>
      <c r="AM870" s="30" t="inlineStr">
        <is>
          <t>B-06-02</t>
        </is>
      </c>
      <c r="AN870" s="30" t="inlineStr">
        <is>
          <t>T-0847</t>
        </is>
      </c>
      <c r="AO870" s="30" t="inlineStr">
        <is>
          <t>B-03-01</t>
        </is>
      </c>
    </row>
    <row r="871">
      <c r="A871" s="30" t="inlineStr">
        <is>
          <t>O0870</t>
        </is>
      </c>
      <c r="B871" s="30" t="inlineStr">
        <is>
          <t>A</t>
        </is>
      </c>
      <c r="C871" s="31" t="n">
        <v>11373.2</v>
      </c>
      <c r="D871" s="31" t="n">
        <v>42423.6</v>
      </c>
      <c r="E871" s="31" t="n">
        <v>42423.6</v>
      </c>
      <c r="F871" s="31" t="n">
        <v>42437.6</v>
      </c>
      <c r="G871" s="31" t="n">
        <v>42466.3</v>
      </c>
      <c r="H871" s="31" t="n">
        <v>42487.2</v>
      </c>
      <c r="I871" s="31" t="n">
        <v>42514.9</v>
      </c>
      <c r="J871" s="31" t="n">
        <v>42559.4</v>
      </c>
      <c r="K871" s="31" t="n">
        <v>31186.2</v>
      </c>
      <c r="L871" s="31" t="n">
        <v>31050.4</v>
      </c>
      <c r="M871" s="30" t="inlineStr">
        <is>
          <t>AMR2</t>
        </is>
      </c>
      <c r="N871" s="30" t="inlineStr">
        <is>
          <t>AMR2</t>
        </is>
      </c>
      <c r="O871" s="32" t="n">
        <v>0</v>
      </c>
      <c r="P871" s="32" t="n">
        <v>0</v>
      </c>
      <c r="Q871" s="32" t="n">
        <v>21</v>
      </c>
      <c r="R871" s="31" t="n">
        <v>41</v>
      </c>
      <c r="S871" s="31" t="n">
        <v>41</v>
      </c>
      <c r="T871" s="30" t="inlineStr">
        <is>
          <t>AMR2</t>
        </is>
      </c>
      <c r="U871" s="31" t="n">
        <v>64.2</v>
      </c>
      <c r="V871" s="31" t="n">
        <v>64.2</v>
      </c>
      <c r="W871" s="30" t="inlineStr">
        <is>
          <t>AMR2</t>
        </is>
      </c>
      <c r="X871" s="32" t="n">
        <v>0</v>
      </c>
      <c r="Y871" s="32" t="n">
        <v>0</v>
      </c>
      <c r="Z871" s="31" t="n">
        <v>0</v>
      </c>
      <c r="AA871" s="32" t="n">
        <v>0</v>
      </c>
      <c r="AB871" s="32" t="n">
        <v>0</v>
      </c>
      <c r="AC871" s="32" t="n">
        <v>0</v>
      </c>
      <c r="AD871" s="32" t="n">
        <v>1</v>
      </c>
      <c r="AE871" s="31" t="n">
        <v>6.2</v>
      </c>
      <c r="AF871" s="32" t="n">
        <v>1</v>
      </c>
      <c r="AG871" s="31" t="n">
        <v>1.2</v>
      </c>
      <c r="AH871" s="32" t="n">
        <v>66</v>
      </c>
      <c r="AI871" s="31" t="n">
        <v>65.59999999999999</v>
      </c>
      <c r="AJ871" s="31" t="n">
        <v>43.1</v>
      </c>
      <c r="AK871" s="31" t="n">
        <v>6.2</v>
      </c>
      <c r="AL871" s="30" t="inlineStr">
        <is>
          <t>T-1020</t>
        </is>
      </c>
      <c r="AM871" s="30" t="inlineStr">
        <is>
          <t>A-03-03</t>
        </is>
      </c>
      <c r="AN871" s="30" t="inlineStr">
        <is>
          <t>T-0799</t>
        </is>
      </c>
      <c r="AO871" s="30" t="inlineStr">
        <is>
          <t>A-03-01</t>
        </is>
      </c>
    </row>
    <row r="872">
      <c r="A872" s="30" t="inlineStr">
        <is>
          <t>O0871</t>
        </is>
      </c>
      <c r="B872" s="30" t="inlineStr">
        <is>
          <t>C</t>
        </is>
      </c>
      <c r="C872" s="31" t="n">
        <v>11397.5</v>
      </c>
      <c r="D872" s="31" t="n">
        <v>42444.5</v>
      </c>
      <c r="E872" s="31" t="n">
        <v>42444.5</v>
      </c>
      <c r="F872" s="31" t="n">
        <v>42457.3</v>
      </c>
      <c r="G872" s="31" t="n">
        <v>42478.7</v>
      </c>
      <c r="H872" s="31" t="n">
        <v>42490.2</v>
      </c>
      <c r="I872" s="31" t="n">
        <v>42513</v>
      </c>
      <c r="J872" s="31" t="n">
        <v>42543.4</v>
      </c>
      <c r="K872" s="31" t="n">
        <v>31145.9</v>
      </c>
      <c r="L872" s="31" t="n">
        <v>31047</v>
      </c>
      <c r="M872" s="30" t="inlineStr">
        <is>
          <t>AMR3</t>
        </is>
      </c>
      <c r="N872" s="30" t="inlineStr">
        <is>
          <t>AMR3</t>
        </is>
      </c>
      <c r="O872" s="32" t="n">
        <v>0</v>
      </c>
      <c r="P872" s="32" t="n">
        <v>0</v>
      </c>
      <c r="Q872" s="32" t="n">
        <v>13</v>
      </c>
      <c r="R872" s="31" t="n">
        <v>34.1</v>
      </c>
      <c r="S872" s="31" t="n">
        <v>34.1</v>
      </c>
      <c r="T872" s="30" t="inlineStr">
        <is>
          <t>AMR3</t>
        </is>
      </c>
      <c r="U872" s="31" t="n">
        <v>54.4</v>
      </c>
      <c r="V872" s="31" t="n">
        <v>54.4</v>
      </c>
      <c r="W872" s="30" t="inlineStr">
        <is>
          <t>AMR3</t>
        </is>
      </c>
      <c r="X872" s="32" t="n">
        <v>0</v>
      </c>
      <c r="Y872" s="32" t="n">
        <v>0</v>
      </c>
      <c r="Z872" s="31" t="n">
        <v>0</v>
      </c>
      <c r="AA872" s="32" t="n">
        <v>0</v>
      </c>
      <c r="AB872" s="32" t="n">
        <v>0</v>
      </c>
      <c r="AC872" s="32" t="n">
        <v>0</v>
      </c>
      <c r="AD872" s="32" t="n">
        <v>0</v>
      </c>
      <c r="AE872" s="31" t="n">
        <v>0</v>
      </c>
      <c r="AF872" s="32" t="n">
        <v>0</v>
      </c>
      <c r="AG872" s="31" t="n">
        <v>0</v>
      </c>
      <c r="AH872" s="32" t="n">
        <v>38</v>
      </c>
      <c r="AI872" s="31" t="n">
        <v>41.1</v>
      </c>
      <c r="AJ872" s="31" t="n">
        <v>46.3</v>
      </c>
      <c r="AK872" s="31" t="n">
        <v>0</v>
      </c>
      <c r="AL872" s="30" t="inlineStr">
        <is>
          <t>T-1021</t>
        </is>
      </c>
      <c r="AM872" s="30" t="inlineStr">
        <is>
          <t>C-06-02</t>
        </is>
      </c>
      <c r="AN872" s="30" t="inlineStr">
        <is>
          <t>T-0889</t>
        </is>
      </c>
      <c r="AO872" s="30" t="inlineStr">
        <is>
          <t>C-02-03</t>
        </is>
      </c>
    </row>
    <row r="873">
      <c r="A873" s="30" t="inlineStr">
        <is>
          <t>O0872</t>
        </is>
      </c>
      <c r="B873" s="30" t="inlineStr">
        <is>
          <t>J</t>
        </is>
      </c>
      <c r="C873" s="31" t="n">
        <v>11421.2</v>
      </c>
      <c r="D873" s="31" t="n">
        <v>42493.6</v>
      </c>
      <c r="E873" s="31" t="n">
        <v>42493.6</v>
      </c>
      <c r="F873" s="31" t="n">
        <v>42505.3</v>
      </c>
      <c r="G873" s="31" t="n">
        <v>42533.1</v>
      </c>
      <c r="H873" s="31" t="n">
        <v>42553.3</v>
      </c>
      <c r="I873" s="31" t="n">
        <v>42586</v>
      </c>
      <c r="J873" s="31" t="n">
        <v>42619.1</v>
      </c>
      <c r="K873" s="31" t="n">
        <v>31197.9</v>
      </c>
      <c r="L873" s="31" t="n">
        <v>31072.4</v>
      </c>
      <c r="M873" s="30" t="inlineStr">
        <is>
          <t>AMR1</t>
        </is>
      </c>
      <c r="N873" s="30" t="inlineStr">
        <is>
          <t>AMR1</t>
        </is>
      </c>
      <c r="O873" s="32" t="n">
        <v>0</v>
      </c>
      <c r="P873" s="32" t="n">
        <v>0</v>
      </c>
      <c r="Q873" s="32" t="n">
        <v>21</v>
      </c>
      <c r="R873" s="31" t="n">
        <v>38.6</v>
      </c>
      <c r="S873" s="31" t="n">
        <v>38.6</v>
      </c>
      <c r="T873" s="30" t="inlineStr">
        <is>
          <t>AMR1</t>
        </is>
      </c>
      <c r="U873" s="31" t="n">
        <v>64</v>
      </c>
      <c r="V873" s="31" t="n">
        <v>64</v>
      </c>
      <c r="W873" s="30" t="inlineStr">
        <is>
          <t>AMR1</t>
        </is>
      </c>
      <c r="X873" s="32" t="n">
        <v>0</v>
      </c>
      <c r="Y873" s="32" t="n">
        <v>0</v>
      </c>
      <c r="Z873" s="31" t="n">
        <v>0</v>
      </c>
      <c r="AA873" s="32" t="n">
        <v>0</v>
      </c>
      <c r="AB873" s="32" t="n">
        <v>0</v>
      </c>
      <c r="AC873" s="32" t="n">
        <v>0</v>
      </c>
      <c r="AD873" s="32" t="n">
        <v>0</v>
      </c>
      <c r="AE873" s="31" t="n">
        <v>0</v>
      </c>
      <c r="AF873" s="32" t="n">
        <v>0</v>
      </c>
      <c r="AG873" s="31" t="n">
        <v>0</v>
      </c>
      <c r="AH873" s="32" t="n">
        <v>61</v>
      </c>
      <c r="AI873" s="31" t="n">
        <v>63.3</v>
      </c>
      <c r="AJ873" s="31" t="n">
        <v>42</v>
      </c>
      <c r="AK873" s="31" t="n">
        <v>0</v>
      </c>
      <c r="AL873" s="30" t="inlineStr">
        <is>
          <t>T-1022</t>
        </is>
      </c>
      <c r="AM873" s="30" t="inlineStr">
        <is>
          <t>J-01-01</t>
        </is>
      </c>
      <c r="AN873" s="30" t="inlineStr">
        <is>
          <t>T-0855</t>
        </is>
      </c>
      <c r="AO873" s="30" t="inlineStr">
        <is>
          <t>J-03-03</t>
        </is>
      </c>
    </row>
    <row r="874">
      <c r="A874" s="30" t="inlineStr">
        <is>
          <t>O0873</t>
        </is>
      </c>
      <c r="B874" s="30" t="inlineStr">
        <is>
          <t>C</t>
        </is>
      </c>
      <c r="C874" s="31" t="n">
        <v>11439.8</v>
      </c>
      <c r="D874" s="31" t="n">
        <v>42567.1</v>
      </c>
      <c r="E874" s="31" t="n">
        <v>42567.1</v>
      </c>
      <c r="F874" s="31" t="n">
        <v>42581</v>
      </c>
      <c r="G874" s="31" t="n">
        <v>42606.2</v>
      </c>
      <c r="H874" s="31" t="n">
        <v>42618.4</v>
      </c>
      <c r="I874" s="31" t="n">
        <v>42643</v>
      </c>
      <c r="J874" s="31" t="n">
        <v>42672.6</v>
      </c>
      <c r="K874" s="31" t="n">
        <v>31232.8</v>
      </c>
      <c r="L874" s="31" t="n">
        <v>31127.3</v>
      </c>
      <c r="M874" s="30" t="inlineStr">
        <is>
          <t>AMR3</t>
        </is>
      </c>
      <c r="N874" s="30" t="inlineStr">
        <is>
          <t>AMR3</t>
        </is>
      </c>
      <c r="O874" s="32" t="n">
        <v>0</v>
      </c>
      <c r="P874" s="32" t="n">
        <v>0</v>
      </c>
      <c r="Q874" s="32" t="n">
        <v>13</v>
      </c>
      <c r="R874" s="31" t="n">
        <v>38.2</v>
      </c>
      <c r="S874" s="31" t="n">
        <v>38.2</v>
      </c>
      <c r="T874" s="30" t="inlineStr">
        <is>
          <t>AMR3</t>
        </is>
      </c>
      <c r="U874" s="31" t="n">
        <v>54.4</v>
      </c>
      <c r="V874" s="31" t="n">
        <v>54.4</v>
      </c>
      <c r="W874" s="30" t="inlineStr">
        <is>
          <t>AMR3</t>
        </is>
      </c>
      <c r="X874" s="32" t="n">
        <v>0</v>
      </c>
      <c r="Y874" s="32" t="n">
        <v>0</v>
      </c>
      <c r="Z874" s="31" t="n">
        <v>0</v>
      </c>
      <c r="AA874" s="32" t="n">
        <v>0</v>
      </c>
      <c r="AB874" s="32" t="n">
        <v>1</v>
      </c>
      <c r="AC874" s="32" t="n">
        <v>0</v>
      </c>
      <c r="AD874" s="32" t="n">
        <v>0</v>
      </c>
      <c r="AE874" s="31" t="n">
        <v>0</v>
      </c>
      <c r="AF874" s="32" t="n">
        <v>0</v>
      </c>
      <c r="AG874" s="31" t="n">
        <v>0</v>
      </c>
      <c r="AH874" s="32" t="n">
        <v>39</v>
      </c>
      <c r="AI874" s="31" t="n">
        <v>42.9</v>
      </c>
      <c r="AJ874" s="31" t="n">
        <v>50.4</v>
      </c>
      <c r="AK874" s="31" t="n">
        <v>0</v>
      </c>
      <c r="AL874" s="30" t="inlineStr">
        <is>
          <t>T-1023</t>
        </is>
      </c>
      <c r="AM874" s="30" t="inlineStr">
        <is>
          <t>C-01-03</t>
        </is>
      </c>
      <c r="AN874" s="30" t="inlineStr">
        <is>
          <t>T-0891</t>
        </is>
      </c>
      <c r="AO874" s="30" t="inlineStr">
        <is>
          <t>C-01-01</t>
        </is>
      </c>
    </row>
    <row r="875">
      <c r="A875" s="30" t="inlineStr">
        <is>
          <t>O0874</t>
        </is>
      </c>
      <c r="B875" s="30" t="inlineStr">
        <is>
          <t>B</t>
        </is>
      </c>
      <c r="C875" s="31" t="n">
        <v>11464.4</v>
      </c>
      <c r="D875" s="31" t="n">
        <v>42583.1</v>
      </c>
      <c r="E875" s="31" t="n">
        <v>42583.1</v>
      </c>
      <c r="F875" s="31" t="n">
        <v>42596.8</v>
      </c>
      <c r="G875" s="31" t="n">
        <v>42624.3</v>
      </c>
      <c r="H875" s="31" t="n">
        <v>42642.8</v>
      </c>
      <c r="I875" s="31" t="n">
        <v>42672.9</v>
      </c>
      <c r="J875" s="31" t="n">
        <v>42707.7</v>
      </c>
      <c r="K875" s="31" t="n">
        <v>31243.3</v>
      </c>
      <c r="L875" s="31" t="n">
        <v>31118.7</v>
      </c>
      <c r="M875" s="30" t="inlineStr">
        <is>
          <t>AMR2</t>
        </is>
      </c>
      <c r="N875" s="30" t="inlineStr">
        <is>
          <t>AMR1</t>
        </is>
      </c>
      <c r="O875" s="32" t="n">
        <v>0</v>
      </c>
      <c r="P875" s="32" t="n">
        <v>0</v>
      </c>
      <c r="Q875" s="32" t="n">
        <v>15</v>
      </c>
      <c r="R875" s="31" t="n">
        <v>39.5</v>
      </c>
      <c r="S875" s="31" t="n">
        <v>39.5</v>
      </c>
      <c r="T875" s="30" t="inlineStr">
        <is>
          <t>AMR2</t>
        </is>
      </c>
      <c r="U875" s="31" t="n">
        <v>57</v>
      </c>
      <c r="V875" s="31" t="n">
        <v>57</v>
      </c>
      <c r="W875" s="30" t="inlineStr">
        <is>
          <t>AMR1</t>
        </is>
      </c>
      <c r="X875" s="32" t="n">
        <v>0</v>
      </c>
      <c r="Y875" s="32" t="n">
        <v>0</v>
      </c>
      <c r="Z875" s="31" t="n">
        <v>0</v>
      </c>
      <c r="AA875" s="32" t="n">
        <v>0</v>
      </c>
      <c r="AB875" s="32" t="n">
        <v>0</v>
      </c>
      <c r="AC875" s="32" t="n">
        <v>1</v>
      </c>
      <c r="AD875" s="32" t="n">
        <v>0</v>
      </c>
      <c r="AE875" s="31" t="n">
        <v>0</v>
      </c>
      <c r="AF875" s="32" t="n">
        <v>0</v>
      </c>
      <c r="AG875" s="31" t="n">
        <v>0</v>
      </c>
      <c r="AH875" s="32" t="n">
        <v>50</v>
      </c>
      <c r="AI875" s="31" t="n">
        <v>53.9</v>
      </c>
      <c r="AJ875" s="31" t="n">
        <v>49.2</v>
      </c>
      <c r="AK875" s="31" t="n">
        <v>3</v>
      </c>
      <c r="AL875" s="30" t="inlineStr">
        <is>
          <t>T-1024</t>
        </is>
      </c>
      <c r="AM875" s="30" t="inlineStr">
        <is>
          <t>B-03-01</t>
        </is>
      </c>
      <c r="AN875" s="30" t="inlineStr">
        <is>
          <t>T-0853</t>
        </is>
      </c>
      <c r="AO875" s="30" t="inlineStr">
        <is>
          <t>B-01-03</t>
        </is>
      </c>
    </row>
    <row r="876">
      <c r="A876" s="30" t="inlineStr">
        <is>
          <t>O0875</t>
        </is>
      </c>
      <c r="B876" s="30" t="inlineStr">
        <is>
          <t>A</t>
        </is>
      </c>
      <c r="C876" s="31" t="n">
        <v>11485.2</v>
      </c>
      <c r="D876" s="31" t="n">
        <v>42649.2</v>
      </c>
      <c r="E876" s="31" t="n">
        <v>42649.2</v>
      </c>
      <c r="F876" s="31" t="n">
        <v>42659.8</v>
      </c>
      <c r="G876" s="31" t="n">
        <v>42689</v>
      </c>
      <c r="H876" s="31" t="n">
        <v>42696.3</v>
      </c>
      <c r="I876" s="31" t="n">
        <v>42727</v>
      </c>
      <c r="J876" s="31" t="n">
        <v>42763.8</v>
      </c>
      <c r="K876" s="31" t="n">
        <v>31278.6</v>
      </c>
      <c r="L876" s="31" t="n">
        <v>31164</v>
      </c>
      <c r="M876" s="30" t="inlineStr">
        <is>
          <t>AMR2</t>
        </is>
      </c>
      <c r="N876" s="30" t="inlineStr">
        <is>
          <t>AMR3</t>
        </is>
      </c>
      <c r="O876" s="32" t="n">
        <v>0</v>
      </c>
      <c r="P876" s="32" t="n">
        <v>0</v>
      </c>
      <c r="Q876" s="32" t="n">
        <v>21</v>
      </c>
      <c r="R876" s="31" t="n">
        <v>38.1</v>
      </c>
      <c r="S876" s="31" t="n">
        <v>38.1</v>
      </c>
      <c r="T876" s="30" t="inlineStr">
        <is>
          <t>AMR2</t>
        </is>
      </c>
      <c r="U876" s="31" t="n">
        <v>68.2</v>
      </c>
      <c r="V876" s="31" t="n">
        <v>68.2</v>
      </c>
      <c r="W876" s="30" t="inlineStr">
        <is>
          <t>AMR3</t>
        </is>
      </c>
      <c r="X876" s="32" t="n">
        <v>0</v>
      </c>
      <c r="Y876" s="32" t="n">
        <v>0</v>
      </c>
      <c r="Z876" s="31" t="n">
        <v>0</v>
      </c>
      <c r="AA876" s="32" t="n">
        <v>0</v>
      </c>
      <c r="AB876" s="32" t="n">
        <v>0</v>
      </c>
      <c r="AC876" s="32" t="n">
        <v>0</v>
      </c>
      <c r="AD876" s="32" t="n">
        <v>0</v>
      </c>
      <c r="AE876" s="31" t="n">
        <v>0</v>
      </c>
      <c r="AF876" s="32" t="n">
        <v>0</v>
      </c>
      <c r="AG876" s="31" t="n">
        <v>0</v>
      </c>
      <c r="AH876" s="32" t="n">
        <v>64</v>
      </c>
      <c r="AI876" s="31" t="n">
        <v>63.1</v>
      </c>
      <c r="AJ876" s="31" t="n">
        <v>44.2</v>
      </c>
      <c r="AK876" s="31" t="n">
        <v>0</v>
      </c>
      <c r="AL876" s="30" t="inlineStr">
        <is>
          <t>T-1025</t>
        </is>
      </c>
      <c r="AM876" s="30" t="inlineStr">
        <is>
          <t>A-03-01</t>
        </is>
      </c>
      <c r="AN876" s="30" t="inlineStr">
        <is>
          <t>T-0809</t>
        </is>
      </c>
      <c r="AO876" s="30" t="inlineStr">
        <is>
          <t>A-05-01</t>
        </is>
      </c>
    </row>
    <row r="877">
      <c r="A877" s="30" t="inlineStr">
        <is>
          <t>O0876</t>
        </is>
      </c>
      <c r="B877" s="30" t="inlineStr">
        <is>
          <t>A</t>
        </is>
      </c>
      <c r="C877" s="31" t="n">
        <v>11502.4</v>
      </c>
      <c r="D877" s="31" t="n">
        <v>42709.9</v>
      </c>
      <c r="E877" s="31" t="n">
        <v>42709.9</v>
      </c>
      <c r="F877" s="31" t="n">
        <v>42725.5</v>
      </c>
      <c r="G877" s="31" t="n">
        <v>42756.3</v>
      </c>
      <c r="H877" s="31" t="n">
        <v>42776.5</v>
      </c>
      <c r="I877" s="31" t="n">
        <v>42809.5</v>
      </c>
      <c r="J877" s="31" t="n">
        <v>42852.4</v>
      </c>
      <c r="K877" s="31" t="n">
        <v>31350</v>
      </c>
      <c r="L877" s="31" t="n">
        <v>31207.5</v>
      </c>
      <c r="M877" s="30" t="inlineStr">
        <is>
          <t>AMR2</t>
        </is>
      </c>
      <c r="N877" s="30" t="inlineStr">
        <is>
          <t>AMR2</t>
        </is>
      </c>
      <c r="O877" s="32" t="n">
        <v>0</v>
      </c>
      <c r="P877" s="32" t="n">
        <v>0</v>
      </c>
      <c r="Q877" s="32" t="n">
        <v>21</v>
      </c>
      <c r="R877" s="31" t="n">
        <v>45.5</v>
      </c>
      <c r="S877" s="31" t="n">
        <v>45.5</v>
      </c>
      <c r="T877" s="30" t="inlineStr">
        <is>
          <t>AMR2</t>
        </is>
      </c>
      <c r="U877" s="31" t="n">
        <v>64.90000000000001</v>
      </c>
      <c r="V877" s="31" t="n">
        <v>64.90000000000001</v>
      </c>
      <c r="W877" s="30" t="inlineStr">
        <is>
          <t>AMR2</t>
        </is>
      </c>
      <c r="X877" s="32" t="n">
        <v>0</v>
      </c>
      <c r="Y877" s="32" t="n">
        <v>0</v>
      </c>
      <c r="Z877" s="31" t="n">
        <v>0</v>
      </c>
      <c r="AA877" s="32" t="n">
        <v>0</v>
      </c>
      <c r="AB877" s="32" t="n">
        <v>1</v>
      </c>
      <c r="AC877" s="32" t="n">
        <v>0</v>
      </c>
      <c r="AD877" s="32" t="n">
        <v>1</v>
      </c>
      <c r="AE877" s="31" t="n">
        <v>7.7</v>
      </c>
      <c r="AF877" s="32" t="n">
        <v>1</v>
      </c>
      <c r="AG877" s="31" t="n">
        <v>2.7</v>
      </c>
      <c r="AH877" s="32" t="n">
        <v>67</v>
      </c>
      <c r="AI877" s="31" t="n">
        <v>66.3</v>
      </c>
      <c r="AJ877" s="31" t="n">
        <v>48.3</v>
      </c>
      <c r="AK877" s="31" t="n">
        <v>7.7</v>
      </c>
      <c r="AL877" s="30" t="inlineStr">
        <is>
          <t>T-1026</t>
        </is>
      </c>
      <c r="AM877" s="30" t="inlineStr">
        <is>
          <t>A-05-03</t>
        </is>
      </c>
      <c r="AN877" s="30" t="inlineStr">
        <is>
          <t>T-0819</t>
        </is>
      </c>
      <c r="AO877" s="30" t="inlineStr">
        <is>
          <t>A-01-02</t>
        </is>
      </c>
    </row>
    <row r="878">
      <c r="A878" s="30" t="inlineStr">
        <is>
          <t>O0877</t>
        </is>
      </c>
      <c r="B878" s="30" t="inlineStr">
        <is>
          <t>I</t>
        </is>
      </c>
      <c r="C878" s="31" t="n">
        <v>11522.5</v>
      </c>
      <c r="D878" s="31" t="n">
        <v>42731.4</v>
      </c>
      <c r="E878" s="31" t="n">
        <v>42731.4</v>
      </c>
      <c r="F878" s="31" t="n">
        <v>42746.1</v>
      </c>
      <c r="G878" s="31" t="n">
        <v>42770.7</v>
      </c>
      <c r="H878" s="31" t="n">
        <v>42785.5</v>
      </c>
      <c r="I878" s="31" t="n">
        <v>42816.9</v>
      </c>
      <c r="J878" s="31" t="n">
        <v>42840.4</v>
      </c>
      <c r="K878" s="31" t="n">
        <v>31317.9</v>
      </c>
      <c r="L878" s="31" t="n">
        <v>31208.9</v>
      </c>
      <c r="M878" s="30" t="inlineStr">
        <is>
          <t>AMR1</t>
        </is>
      </c>
      <c r="N878" s="30" t="inlineStr">
        <is>
          <t>AMR1</t>
        </is>
      </c>
      <c r="O878" s="32" t="n">
        <v>0</v>
      </c>
      <c r="P878" s="32" t="n">
        <v>0</v>
      </c>
      <c r="Q878" s="32" t="n">
        <v>15</v>
      </c>
      <c r="R878" s="31" t="n">
        <v>38.4</v>
      </c>
      <c r="S878" s="31" t="n">
        <v>38.4</v>
      </c>
      <c r="T878" s="30" t="inlineStr">
        <is>
          <t>AMR1</t>
        </is>
      </c>
      <c r="U878" s="31" t="n">
        <v>50.1</v>
      </c>
      <c r="V878" s="31" t="n">
        <v>50.1</v>
      </c>
      <c r="W878" s="30" t="inlineStr">
        <is>
          <t>AMR1</t>
        </is>
      </c>
      <c r="X878" s="32" t="n">
        <v>0</v>
      </c>
      <c r="Y878" s="32" t="n">
        <v>0</v>
      </c>
      <c r="Z878" s="31" t="n">
        <v>0</v>
      </c>
      <c r="AA878" s="32" t="n">
        <v>0</v>
      </c>
      <c r="AB878" s="32" t="n">
        <v>0</v>
      </c>
      <c r="AC878" s="32" t="n">
        <v>1</v>
      </c>
      <c r="AD878" s="32" t="n">
        <v>0</v>
      </c>
      <c r="AE878" s="31" t="n">
        <v>0</v>
      </c>
      <c r="AF878" s="32" t="n">
        <v>0</v>
      </c>
      <c r="AG878" s="31" t="n">
        <v>0</v>
      </c>
      <c r="AH878" s="32" t="n">
        <v>41</v>
      </c>
      <c r="AI878" s="31" t="n">
        <v>48.5</v>
      </c>
      <c r="AJ878" s="31" t="n">
        <v>42.7</v>
      </c>
      <c r="AK878" s="31" t="n">
        <v>3</v>
      </c>
      <c r="AL878" s="30" t="inlineStr">
        <is>
          <t>T-1027</t>
        </is>
      </c>
      <c r="AM878" s="30" t="inlineStr">
        <is>
          <t>I-01-02</t>
        </is>
      </c>
      <c r="AN878" s="30" t="inlineStr">
        <is>
          <t>T-0906</t>
        </is>
      </c>
      <c r="AO878" s="30" t="inlineStr">
        <is>
          <t>I-02-02</t>
        </is>
      </c>
    </row>
    <row r="879">
      <c r="A879" s="30" t="inlineStr">
        <is>
          <t>O0878</t>
        </is>
      </c>
      <c r="B879" s="30" t="inlineStr">
        <is>
          <t>G</t>
        </is>
      </c>
      <c r="C879" s="31" t="n">
        <v>11541.7</v>
      </c>
      <c r="D879" s="31" t="n">
        <v>42794.3</v>
      </c>
      <c r="E879" s="31" t="n">
        <v>42794.3</v>
      </c>
      <c r="F879" s="31" t="n">
        <v>42810.4</v>
      </c>
      <c r="G879" s="31" t="n">
        <v>42840.1</v>
      </c>
      <c r="H879" s="31" t="n">
        <v>42857.6</v>
      </c>
      <c r="I879" s="31" t="n">
        <v>42886.4</v>
      </c>
      <c r="J879" s="31" t="n">
        <v>42912</v>
      </c>
      <c r="K879" s="31" t="n">
        <v>31370.3</v>
      </c>
      <c r="L879" s="31" t="n">
        <v>31252.6</v>
      </c>
      <c r="M879" s="30" t="inlineStr">
        <is>
          <t>AMR3</t>
        </is>
      </c>
      <c r="N879" s="30" t="inlineStr">
        <is>
          <t>AMR3</t>
        </is>
      </c>
      <c r="O879" s="32" t="n">
        <v>0</v>
      </c>
      <c r="P879" s="32" t="n">
        <v>0</v>
      </c>
      <c r="Q879" s="32" t="n">
        <v>17</v>
      </c>
      <c r="R879" s="31" t="n">
        <v>41.4</v>
      </c>
      <c r="S879" s="31" t="n">
        <v>41.4</v>
      </c>
      <c r="T879" s="30" t="inlineStr">
        <is>
          <t>AMR3</t>
        </is>
      </c>
      <c r="U879" s="31" t="n">
        <v>54.1</v>
      </c>
      <c r="V879" s="31" t="n">
        <v>54.1</v>
      </c>
      <c r="W879" s="30" t="inlineStr">
        <is>
          <t>AMR3</t>
        </is>
      </c>
      <c r="X879" s="32" t="n">
        <v>0</v>
      </c>
      <c r="Y879" s="32" t="n">
        <v>0</v>
      </c>
      <c r="Z879" s="31" t="n">
        <v>0</v>
      </c>
      <c r="AA879" s="32" t="n">
        <v>0</v>
      </c>
      <c r="AB879" s="32" t="n">
        <v>1</v>
      </c>
      <c r="AC879" s="32" t="n">
        <v>0</v>
      </c>
      <c r="AD879" s="32" t="n">
        <v>1</v>
      </c>
      <c r="AE879" s="31" t="n">
        <v>2.7</v>
      </c>
      <c r="AF879" s="32" t="n">
        <v>0</v>
      </c>
      <c r="AG879" s="31" t="n">
        <v>0</v>
      </c>
      <c r="AH879" s="32" t="n">
        <v>48</v>
      </c>
      <c r="AI879" s="31" t="n">
        <v>52.4</v>
      </c>
      <c r="AJ879" s="31" t="n">
        <v>45.1</v>
      </c>
      <c r="AK879" s="31" t="n">
        <v>2.7</v>
      </c>
      <c r="AL879" s="30" t="inlineStr">
        <is>
          <t>T-1028</t>
        </is>
      </c>
      <c r="AM879" s="30" t="inlineStr">
        <is>
          <t>G-03-01</t>
        </is>
      </c>
      <c r="AN879" s="30" t="inlineStr">
        <is>
          <t>T-0813</t>
        </is>
      </c>
      <c r="AO879" s="30" t="inlineStr">
        <is>
          <t>G-04-01</t>
        </is>
      </c>
    </row>
    <row r="880">
      <c r="A880" s="30" t="inlineStr">
        <is>
          <t>O0879</t>
        </is>
      </c>
      <c r="B880" s="30" t="inlineStr">
        <is>
          <t>I</t>
        </is>
      </c>
      <c r="C880" s="31" t="n">
        <v>11563.1</v>
      </c>
      <c r="D880" s="31" t="n">
        <v>42864.1</v>
      </c>
      <c r="E880" s="31" t="n">
        <v>42864.1</v>
      </c>
      <c r="F880" s="31" t="n">
        <v>42878.4</v>
      </c>
      <c r="G880" s="31" t="n">
        <v>42903.7</v>
      </c>
      <c r="H880" s="31" t="n">
        <v>42918.5</v>
      </c>
      <c r="I880" s="31" t="n">
        <v>42950.4</v>
      </c>
      <c r="J880" s="31" t="n">
        <v>42980.1</v>
      </c>
      <c r="K880" s="31" t="n">
        <v>31417</v>
      </c>
      <c r="L880" s="31" t="n">
        <v>31301</v>
      </c>
      <c r="M880" s="30" t="inlineStr">
        <is>
          <t>AMR1</t>
        </is>
      </c>
      <c r="N880" s="30" t="inlineStr">
        <is>
          <t>AMR1</t>
        </is>
      </c>
      <c r="O880" s="32" t="n">
        <v>0</v>
      </c>
      <c r="P880" s="32" t="n">
        <v>0</v>
      </c>
      <c r="Q880" s="32" t="n">
        <v>15</v>
      </c>
      <c r="R880" s="31" t="n">
        <v>38.7</v>
      </c>
      <c r="S880" s="31" t="n">
        <v>38.7</v>
      </c>
      <c r="T880" s="30" t="inlineStr">
        <is>
          <t>AMR1</t>
        </is>
      </c>
      <c r="U880" s="31" t="n">
        <v>54.5</v>
      </c>
      <c r="V880" s="31" t="n">
        <v>54.5</v>
      </c>
      <c r="W880" s="30" t="inlineStr">
        <is>
          <t>AMR1</t>
        </is>
      </c>
      <c r="X880" s="32" t="n">
        <v>0</v>
      </c>
      <c r="Y880" s="32" t="n">
        <v>0</v>
      </c>
      <c r="Z880" s="31" t="n">
        <v>0</v>
      </c>
      <c r="AA880" s="32" t="n">
        <v>0</v>
      </c>
      <c r="AB880" s="32" t="n">
        <v>1</v>
      </c>
      <c r="AC880" s="32" t="n">
        <v>1</v>
      </c>
      <c r="AD880" s="32" t="n">
        <v>0</v>
      </c>
      <c r="AE880" s="31" t="n">
        <v>0</v>
      </c>
      <c r="AF880" s="32" t="n">
        <v>1</v>
      </c>
      <c r="AG880" s="31" t="n">
        <v>0.3</v>
      </c>
      <c r="AH880" s="32" t="n">
        <v>43</v>
      </c>
      <c r="AI880" s="31" t="n">
        <v>48.5</v>
      </c>
      <c r="AJ880" s="31" t="n">
        <v>47.4</v>
      </c>
      <c r="AK880" s="31" t="n">
        <v>5.3</v>
      </c>
      <c r="AL880" s="30" t="inlineStr">
        <is>
          <t>T-1029</t>
        </is>
      </c>
      <c r="AM880" s="30" t="inlineStr">
        <is>
          <t>I-02-02</t>
        </is>
      </c>
      <c r="AN880" s="30" t="inlineStr">
        <is>
          <t>T-0911</t>
        </is>
      </c>
      <c r="AO880" s="30" t="inlineStr">
        <is>
          <t>I-03-02</t>
        </is>
      </c>
    </row>
    <row r="881">
      <c r="A881" s="30" t="inlineStr">
        <is>
          <t>O0880</t>
        </is>
      </c>
      <c r="B881" s="30" t="inlineStr">
        <is>
          <t>B</t>
        </is>
      </c>
      <c r="C881" s="31" t="n">
        <v>11579.6</v>
      </c>
      <c r="D881" s="31" t="n">
        <v>42878.4</v>
      </c>
      <c r="E881" s="31" t="n">
        <v>42878.4</v>
      </c>
      <c r="F881" s="31" t="n">
        <v>42891.2</v>
      </c>
      <c r="G881" s="31" t="n">
        <v>42916.1</v>
      </c>
      <c r="H881" s="31" t="n">
        <v>42932.3</v>
      </c>
      <c r="I881" s="31" t="n">
        <v>42958.9</v>
      </c>
      <c r="J881" s="31" t="n">
        <v>42993.4</v>
      </c>
      <c r="K881" s="31" t="n">
        <v>31413.8</v>
      </c>
      <c r="L881" s="31" t="n">
        <v>31298.8</v>
      </c>
      <c r="M881" s="30" t="inlineStr">
        <is>
          <t>AMR2</t>
        </is>
      </c>
      <c r="N881" s="30" t="inlineStr">
        <is>
          <t>AMR2</t>
        </is>
      </c>
      <c r="O881" s="32" t="n">
        <v>0</v>
      </c>
      <c r="P881" s="32" t="n">
        <v>0</v>
      </c>
      <c r="Q881" s="32" t="n">
        <v>15</v>
      </c>
      <c r="R881" s="31" t="n">
        <v>35.2</v>
      </c>
      <c r="S881" s="31" t="n">
        <v>35.2</v>
      </c>
      <c r="T881" s="30" t="inlineStr">
        <is>
          <t>AMR2</t>
        </is>
      </c>
      <c r="U881" s="31" t="n">
        <v>54</v>
      </c>
      <c r="V881" s="31" t="n">
        <v>54</v>
      </c>
      <c r="W881" s="30" t="inlineStr">
        <is>
          <t>AMR2</t>
        </is>
      </c>
      <c r="X881" s="32" t="n">
        <v>0</v>
      </c>
      <c r="Y881" s="32" t="n">
        <v>0</v>
      </c>
      <c r="Z881" s="31" t="n">
        <v>0</v>
      </c>
      <c r="AA881" s="32" t="n">
        <v>0</v>
      </c>
      <c r="AB881" s="32" t="n">
        <v>0</v>
      </c>
      <c r="AC881" s="32" t="n">
        <v>0</v>
      </c>
      <c r="AD881" s="32" t="n">
        <v>1</v>
      </c>
      <c r="AE881" s="31" t="n">
        <v>3.8</v>
      </c>
      <c r="AF881" s="32" t="n">
        <v>0</v>
      </c>
      <c r="AG881" s="31" t="n">
        <v>0</v>
      </c>
      <c r="AH881" s="32" t="n">
        <v>51</v>
      </c>
      <c r="AI881" s="31" t="n">
        <v>53.1</v>
      </c>
      <c r="AJ881" s="31" t="n">
        <v>41.9</v>
      </c>
      <c r="AK881" s="31" t="n">
        <v>3.8</v>
      </c>
      <c r="AL881" s="30" t="inlineStr">
        <is>
          <t>T-1030</t>
        </is>
      </c>
      <c r="AM881" s="30" t="inlineStr">
        <is>
          <t>B-01-03</t>
        </is>
      </c>
      <c r="AN881" s="30" t="inlineStr">
        <is>
          <t>T-0892</t>
        </is>
      </c>
      <c r="AO881" s="30" t="inlineStr">
        <is>
          <t>B-02-03</t>
        </is>
      </c>
    </row>
    <row r="882">
      <c r="A882" s="30" t="inlineStr">
        <is>
          <t>O0881</t>
        </is>
      </c>
      <c r="B882" s="30" t="inlineStr">
        <is>
          <t>D</t>
        </is>
      </c>
      <c r="C882" s="31" t="n">
        <v>11595.4</v>
      </c>
      <c r="D882" s="31" t="n">
        <v>42940.7</v>
      </c>
      <c r="E882" s="31" t="n">
        <v>42940.7</v>
      </c>
      <c r="F882" s="31" t="n">
        <v>42952.2</v>
      </c>
      <c r="G882" s="31" t="n">
        <v>42978.9</v>
      </c>
      <c r="H882" s="31" t="n">
        <v>42993.7</v>
      </c>
      <c r="I882" s="31" t="n">
        <v>43022.1</v>
      </c>
      <c r="J882" s="31" t="n">
        <v>43051</v>
      </c>
      <c r="K882" s="31" t="n">
        <v>31455.6</v>
      </c>
      <c r="L882" s="31" t="n">
        <v>31345.3</v>
      </c>
      <c r="M882" s="30" t="inlineStr">
        <is>
          <t>AMR3</t>
        </is>
      </c>
      <c r="N882" s="30" t="inlineStr">
        <is>
          <t>AMR3</t>
        </is>
      </c>
      <c r="O882" s="32" t="n">
        <v>0</v>
      </c>
      <c r="P882" s="32" t="n">
        <v>0</v>
      </c>
      <c r="Q882" s="32" t="n">
        <v>13</v>
      </c>
      <c r="R882" s="31" t="n">
        <v>35.7</v>
      </c>
      <c r="S882" s="31" t="n">
        <v>35.7</v>
      </c>
      <c r="T882" s="30" t="inlineStr">
        <is>
          <t>AMR3</t>
        </is>
      </c>
      <c r="U882" s="31" t="n">
        <v>51.1</v>
      </c>
      <c r="V882" s="31" t="n">
        <v>51.1</v>
      </c>
      <c r="W882" s="30" t="inlineStr">
        <is>
          <t>AMR3</t>
        </is>
      </c>
      <c r="X882" s="32" t="n">
        <v>0</v>
      </c>
      <c r="Y882" s="32" t="n">
        <v>0</v>
      </c>
      <c r="Z882" s="31" t="n">
        <v>0</v>
      </c>
      <c r="AA882" s="32" t="n">
        <v>0</v>
      </c>
      <c r="AB882" s="32" t="n">
        <v>1</v>
      </c>
      <c r="AC882" s="32" t="n">
        <v>1</v>
      </c>
      <c r="AD882" s="32" t="n">
        <v>0</v>
      </c>
      <c r="AE882" s="31" t="n">
        <v>0</v>
      </c>
      <c r="AF882" s="32" t="n">
        <v>0</v>
      </c>
      <c r="AG882" s="31" t="n">
        <v>0</v>
      </c>
      <c r="AH882" s="32" t="n">
        <v>43</v>
      </c>
      <c r="AI882" s="31" t="n">
        <v>48.4</v>
      </c>
      <c r="AJ882" s="31" t="n">
        <v>44.1</v>
      </c>
      <c r="AK882" s="31" t="n">
        <v>3</v>
      </c>
      <c r="AL882" s="30" t="inlineStr">
        <is>
          <t>T-1031</t>
        </is>
      </c>
      <c r="AM882" s="30" t="inlineStr">
        <is>
          <t>D-05-01</t>
        </is>
      </c>
      <c r="AN882" s="30" t="inlineStr">
        <is>
          <t>T-0931</t>
        </is>
      </c>
      <c r="AO882" s="30" t="inlineStr">
        <is>
          <t>D-02-01</t>
        </is>
      </c>
    </row>
    <row r="883">
      <c r="A883" s="30" t="inlineStr">
        <is>
          <t>O0882</t>
        </is>
      </c>
      <c r="B883" s="30" t="inlineStr">
        <is>
          <t>G</t>
        </is>
      </c>
      <c r="C883" s="31" t="n">
        <v>11615.8</v>
      </c>
      <c r="D883" s="31" t="n">
        <v>43008.8</v>
      </c>
      <c r="E883" s="31" t="n">
        <v>43008.8</v>
      </c>
      <c r="F883" s="31" t="n">
        <v>43021.8</v>
      </c>
      <c r="G883" s="31" t="n">
        <v>43048.2</v>
      </c>
      <c r="H883" s="31" t="n">
        <v>43065</v>
      </c>
      <c r="I883" s="31" t="n">
        <v>43094</v>
      </c>
      <c r="J883" s="31" t="n">
        <v>43121.8</v>
      </c>
      <c r="K883" s="31" t="n">
        <v>31506</v>
      </c>
      <c r="L883" s="31" t="n">
        <v>31393</v>
      </c>
      <c r="M883" s="30" t="inlineStr">
        <is>
          <t>AMR1</t>
        </is>
      </c>
      <c r="N883" s="30" t="inlineStr">
        <is>
          <t>AMR1</t>
        </is>
      </c>
      <c r="O883" s="32" t="n">
        <v>0</v>
      </c>
      <c r="P883" s="32" t="n">
        <v>0</v>
      </c>
      <c r="Q883" s="32" t="n">
        <v>17</v>
      </c>
      <c r="R883" s="31" t="n">
        <v>38.5</v>
      </c>
      <c r="S883" s="31" t="n">
        <v>38.5</v>
      </c>
      <c r="T883" s="30" t="inlineStr">
        <is>
          <t>AMR1</t>
        </is>
      </c>
      <c r="U883" s="31" t="n">
        <v>58.5</v>
      </c>
      <c r="V883" s="31" t="n">
        <v>58.5</v>
      </c>
      <c r="W883" s="30" t="inlineStr">
        <is>
          <t>AMR1</t>
        </is>
      </c>
      <c r="X883" s="32" t="n">
        <v>0</v>
      </c>
      <c r="Y883" s="32" t="n">
        <v>0</v>
      </c>
      <c r="Z883" s="31" t="n">
        <v>0</v>
      </c>
      <c r="AA883" s="32" t="n">
        <v>0</v>
      </c>
      <c r="AB883" s="32" t="n">
        <v>0</v>
      </c>
      <c r="AC883" s="32" t="n">
        <v>0</v>
      </c>
      <c r="AD883" s="32" t="n">
        <v>0</v>
      </c>
      <c r="AE883" s="31" t="n">
        <v>0</v>
      </c>
      <c r="AF883" s="32" t="n">
        <v>0</v>
      </c>
      <c r="AG883" s="31" t="n">
        <v>0</v>
      </c>
      <c r="AH883" s="32" t="n">
        <v>45</v>
      </c>
      <c r="AI883" s="31" t="n">
        <v>49.6</v>
      </c>
      <c r="AJ883" s="31" t="n">
        <v>46.6</v>
      </c>
      <c r="AK883" s="31" t="n">
        <v>0</v>
      </c>
      <c r="AL883" s="30" t="inlineStr">
        <is>
          <t>T-1032</t>
        </is>
      </c>
      <c r="AM883" s="30" t="inlineStr">
        <is>
          <t>G-04-01</t>
        </is>
      </c>
      <c r="AN883" s="30" t="inlineStr">
        <is>
          <t>T-0830</t>
        </is>
      </c>
      <c r="AO883" s="30" t="inlineStr">
        <is>
          <t>G-06-01</t>
        </is>
      </c>
    </row>
    <row r="884">
      <c r="A884" s="30" t="inlineStr">
        <is>
          <t>O0883</t>
        </is>
      </c>
      <c r="B884" s="30" t="inlineStr">
        <is>
          <t>B</t>
        </is>
      </c>
      <c r="C884" s="31" t="n">
        <v>11637.1</v>
      </c>
      <c r="D884" s="31" t="n">
        <v>43021.8</v>
      </c>
      <c r="E884" s="31" t="n">
        <v>43021.8</v>
      </c>
      <c r="F884" s="31" t="n">
        <v>43036.7</v>
      </c>
      <c r="G884" s="31" t="n">
        <v>43060.3</v>
      </c>
      <c r="H884" s="31" t="n">
        <v>43074.7</v>
      </c>
      <c r="I884" s="31" t="n">
        <v>43105.5</v>
      </c>
      <c r="J884" s="31" t="n">
        <v>43137.3</v>
      </c>
      <c r="K884" s="31" t="n">
        <v>31500.2</v>
      </c>
      <c r="L884" s="31" t="n">
        <v>31384.7</v>
      </c>
      <c r="M884" s="30" t="inlineStr">
        <is>
          <t>AMR2</t>
        </is>
      </c>
      <c r="N884" s="30" t="inlineStr">
        <is>
          <t>AMR3</t>
        </is>
      </c>
      <c r="O884" s="32" t="n">
        <v>0</v>
      </c>
      <c r="P884" s="32" t="n">
        <v>0</v>
      </c>
      <c r="Q884" s="32" t="n">
        <v>15</v>
      </c>
      <c r="R884" s="31" t="n">
        <v>36</v>
      </c>
      <c r="S884" s="31" t="n">
        <v>36</v>
      </c>
      <c r="T884" s="30" t="inlineStr">
        <is>
          <t>AMR2</t>
        </is>
      </c>
      <c r="U884" s="31" t="n">
        <v>56.6</v>
      </c>
      <c r="V884" s="31" t="n">
        <v>56.6</v>
      </c>
      <c r="W884" s="30" t="inlineStr">
        <is>
          <t>AMR3</t>
        </is>
      </c>
      <c r="X884" s="32" t="n">
        <v>0</v>
      </c>
      <c r="Y884" s="32" t="n">
        <v>0</v>
      </c>
      <c r="Z884" s="31" t="n">
        <v>0</v>
      </c>
      <c r="AA884" s="32" t="n">
        <v>0</v>
      </c>
      <c r="AB884" s="32" t="n">
        <v>1</v>
      </c>
      <c r="AC884" s="32" t="n">
        <v>1</v>
      </c>
      <c r="AD884" s="32" t="n">
        <v>0</v>
      </c>
      <c r="AE884" s="31" t="n">
        <v>0</v>
      </c>
      <c r="AF884" s="32" t="n">
        <v>1</v>
      </c>
      <c r="AG884" s="31" t="n">
        <v>0.2</v>
      </c>
      <c r="AH884" s="32" t="n">
        <v>49</v>
      </c>
      <c r="AI884" s="31" t="n">
        <v>50.6</v>
      </c>
      <c r="AJ884" s="31" t="n">
        <v>45.3</v>
      </c>
      <c r="AK884" s="31" t="n">
        <v>5.2</v>
      </c>
      <c r="AL884" s="30" t="inlineStr">
        <is>
          <t>T-1033</t>
        </is>
      </c>
      <c r="AM884" s="30" t="inlineStr">
        <is>
          <t>B-02-03</t>
        </is>
      </c>
      <c r="AN884" s="30" t="inlineStr">
        <is>
          <t>T-0893</t>
        </is>
      </c>
      <c r="AO884" s="30" t="inlineStr">
        <is>
          <t>B-03-03</t>
        </is>
      </c>
    </row>
    <row r="885">
      <c r="A885" s="30" t="inlineStr">
        <is>
          <t>O0884</t>
        </is>
      </c>
      <c r="B885" s="30" t="inlineStr">
        <is>
          <t>D</t>
        </is>
      </c>
      <c r="C885" s="31" t="n">
        <v>11659.1</v>
      </c>
      <c r="D885" s="31" t="n">
        <v>43083.9</v>
      </c>
      <c r="E885" s="31" t="n">
        <v>43083.9</v>
      </c>
      <c r="F885" s="31" t="n">
        <v>43099.5</v>
      </c>
      <c r="G885" s="31" t="n">
        <v>43123.9</v>
      </c>
      <c r="H885" s="31" t="n">
        <v>43136.7</v>
      </c>
      <c r="I885" s="31" t="n">
        <v>43178.1</v>
      </c>
      <c r="J885" s="31" t="n">
        <v>43211.8</v>
      </c>
      <c r="K885" s="31" t="n">
        <v>31552.7</v>
      </c>
      <c r="L885" s="31" t="n">
        <v>31424.8</v>
      </c>
      <c r="M885" s="30" t="inlineStr">
        <is>
          <t>AMR2</t>
        </is>
      </c>
      <c r="N885" s="30" t="inlineStr">
        <is>
          <t>AMR2</t>
        </is>
      </c>
      <c r="O885" s="32" t="n">
        <v>0</v>
      </c>
      <c r="P885" s="32" t="n">
        <v>0</v>
      </c>
      <c r="Q885" s="32" t="n">
        <v>13</v>
      </c>
      <c r="R885" s="31" t="n">
        <v>39.1</v>
      </c>
      <c r="S885" s="31" t="n">
        <v>39.1</v>
      </c>
      <c r="T885" s="30" t="inlineStr">
        <is>
          <t>AMR2</t>
        </is>
      </c>
      <c r="U885" s="31" t="n">
        <v>56.5</v>
      </c>
      <c r="V885" s="31" t="n">
        <v>56.5</v>
      </c>
      <c r="W885" s="30" t="inlineStr">
        <is>
          <t>AMR2</t>
        </is>
      </c>
      <c r="X885" s="32" t="n">
        <v>0</v>
      </c>
      <c r="Y885" s="32" t="n">
        <v>0</v>
      </c>
      <c r="Z885" s="31" t="n">
        <v>0</v>
      </c>
      <c r="AA885" s="32" t="n">
        <v>0</v>
      </c>
      <c r="AB885" s="32" t="n">
        <v>2</v>
      </c>
      <c r="AC885" s="32" t="n">
        <v>2</v>
      </c>
      <c r="AD885" s="32" t="n">
        <v>1</v>
      </c>
      <c r="AE885" s="31" t="n">
        <v>2</v>
      </c>
      <c r="AF885" s="32" t="n">
        <v>0</v>
      </c>
      <c r="AG885" s="31" t="n">
        <v>0</v>
      </c>
      <c r="AH885" s="32" t="n">
        <v>49</v>
      </c>
      <c r="AI885" s="31" t="n">
        <v>54.2</v>
      </c>
      <c r="AJ885" s="31" t="n">
        <v>52.9</v>
      </c>
      <c r="AK885" s="31" t="n">
        <v>8</v>
      </c>
      <c r="AL885" s="30" t="inlineStr">
        <is>
          <t>T-1034</t>
        </is>
      </c>
      <c r="AM885" s="30" t="inlineStr">
        <is>
          <t>D-02-01</t>
        </is>
      </c>
      <c r="AN885" s="30" t="inlineStr">
        <is>
          <t>T-0938</t>
        </is>
      </c>
      <c r="AO885" s="30" t="inlineStr">
        <is>
          <t>D-06-01</t>
        </is>
      </c>
    </row>
    <row r="886">
      <c r="A886" s="30" t="inlineStr">
        <is>
          <t>O0885</t>
        </is>
      </c>
      <c r="B886" s="30" t="inlineStr">
        <is>
          <t>G</t>
        </is>
      </c>
      <c r="C886" s="31" t="n">
        <v>11676.5</v>
      </c>
      <c r="D886" s="31" t="n">
        <v>43149.5</v>
      </c>
      <c r="E886" s="31" t="n">
        <v>43149.5</v>
      </c>
      <c r="F886" s="31" t="n">
        <v>43161.8</v>
      </c>
      <c r="G886" s="31" t="n">
        <v>43187.7</v>
      </c>
      <c r="H886" s="31" t="n">
        <v>43203.2</v>
      </c>
      <c r="I886" s="31" t="n">
        <v>43230.3</v>
      </c>
      <c r="J886" s="31" t="n">
        <v>43258.7</v>
      </c>
      <c r="K886" s="31" t="n">
        <v>31582.2</v>
      </c>
      <c r="L886" s="31" t="n">
        <v>31473</v>
      </c>
      <c r="M886" s="30" t="inlineStr">
        <is>
          <t>AMR1</t>
        </is>
      </c>
      <c r="N886" s="30" t="inlineStr">
        <is>
          <t>AMR1</t>
        </is>
      </c>
      <c r="O886" s="32" t="n">
        <v>0</v>
      </c>
      <c r="P886" s="32" t="n">
        <v>0</v>
      </c>
      <c r="Q886" s="32" t="n">
        <v>17</v>
      </c>
      <c r="R886" s="31" t="n">
        <v>38.1</v>
      </c>
      <c r="S886" s="31" t="n">
        <v>38.1</v>
      </c>
      <c r="T886" s="30" t="inlineStr">
        <is>
          <t>AMR1</t>
        </is>
      </c>
      <c r="U886" s="31" t="n">
        <v>52.2</v>
      </c>
      <c r="V886" s="31" t="n">
        <v>52.2</v>
      </c>
      <c r="W886" s="30" t="inlineStr">
        <is>
          <t>AMR1</t>
        </is>
      </c>
      <c r="X886" s="32" t="n">
        <v>0</v>
      </c>
      <c r="Y886" s="32" t="n">
        <v>0</v>
      </c>
      <c r="Z886" s="31" t="n">
        <v>0</v>
      </c>
      <c r="AA886" s="32" t="n">
        <v>0</v>
      </c>
      <c r="AB886" s="32" t="n">
        <v>0</v>
      </c>
      <c r="AC886" s="32" t="n">
        <v>0</v>
      </c>
      <c r="AD886" s="32" t="n">
        <v>0</v>
      </c>
      <c r="AE886" s="31" t="n">
        <v>0</v>
      </c>
      <c r="AF886" s="32" t="n">
        <v>0</v>
      </c>
      <c r="AG886" s="31" t="n">
        <v>0</v>
      </c>
      <c r="AH886" s="32" t="n">
        <v>50</v>
      </c>
      <c r="AI886" s="31" t="n">
        <v>53.8</v>
      </c>
      <c r="AJ886" s="31" t="n">
        <v>39.9</v>
      </c>
      <c r="AK886" s="31" t="n">
        <v>0</v>
      </c>
      <c r="AL886" s="30" t="inlineStr">
        <is>
          <t>T-1035</t>
        </is>
      </c>
      <c r="AM886" s="30" t="inlineStr">
        <is>
          <t>G-06-01</t>
        </is>
      </c>
      <c r="AN886" s="30" t="inlineStr">
        <is>
          <t>T-0834</t>
        </is>
      </c>
      <c r="AO886" s="30" t="inlineStr">
        <is>
          <t>G-01-02</t>
        </is>
      </c>
    </row>
    <row r="887">
      <c r="A887" s="30" t="inlineStr">
        <is>
          <t>O0886</t>
        </is>
      </c>
      <c r="B887" s="30" t="inlineStr">
        <is>
          <t>J</t>
        </is>
      </c>
      <c r="C887" s="31" t="n">
        <v>11696.1</v>
      </c>
      <c r="D887" s="31" t="n">
        <v>43166.3</v>
      </c>
      <c r="E887" s="31" t="n">
        <v>43166.3</v>
      </c>
      <c r="F887" s="31" t="n">
        <v>43179.8</v>
      </c>
      <c r="G887" s="31" t="n">
        <v>43209.9</v>
      </c>
      <c r="H887" s="31" t="n">
        <v>43230.1</v>
      </c>
      <c r="I887" s="31" t="n">
        <v>43268</v>
      </c>
      <c r="J887" s="31" t="n">
        <v>43300.6</v>
      </c>
      <c r="K887" s="31" t="n">
        <v>31604.5</v>
      </c>
      <c r="L887" s="31" t="n">
        <v>31470.2</v>
      </c>
      <c r="M887" s="30" t="inlineStr">
        <is>
          <t>AMR3</t>
        </is>
      </c>
      <c r="N887" s="30" t="inlineStr">
        <is>
          <t>AMR3</t>
        </is>
      </c>
      <c r="O887" s="32" t="n">
        <v>0</v>
      </c>
      <c r="P887" s="32" t="n">
        <v>0</v>
      </c>
      <c r="Q887" s="32" t="n">
        <v>21</v>
      </c>
      <c r="R887" s="31" t="n">
        <v>42.7</v>
      </c>
      <c r="S887" s="31" t="n">
        <v>42.7</v>
      </c>
      <c r="T887" s="30" t="inlineStr">
        <is>
          <t>AMR3</t>
        </is>
      </c>
      <c r="U887" s="31" t="n">
        <v>65.3</v>
      </c>
      <c r="V887" s="31" t="n">
        <v>65.3</v>
      </c>
      <c r="W887" s="30" t="inlineStr">
        <is>
          <t>AMR3</t>
        </is>
      </c>
      <c r="X887" s="32" t="n">
        <v>0</v>
      </c>
      <c r="Y887" s="32" t="n">
        <v>0</v>
      </c>
      <c r="Z887" s="31" t="n">
        <v>0</v>
      </c>
      <c r="AA887" s="32" t="n">
        <v>0</v>
      </c>
      <c r="AB887" s="32" t="n">
        <v>1</v>
      </c>
      <c r="AC887" s="32" t="n">
        <v>1</v>
      </c>
      <c r="AD887" s="32" t="n">
        <v>0</v>
      </c>
      <c r="AE887" s="31" t="n">
        <v>0</v>
      </c>
      <c r="AF887" s="32" t="n">
        <v>1</v>
      </c>
      <c r="AG887" s="31" t="n">
        <v>0.4</v>
      </c>
      <c r="AH887" s="32" t="n">
        <v>59</v>
      </c>
      <c r="AI887" s="31" t="n">
        <v>61.3</v>
      </c>
      <c r="AJ887" s="31" t="n">
        <v>47.4</v>
      </c>
      <c r="AK887" s="31" t="n">
        <v>5.4</v>
      </c>
      <c r="AL887" s="30" t="inlineStr">
        <is>
          <t>T-1036</t>
        </is>
      </c>
      <c r="AM887" s="30" t="inlineStr">
        <is>
          <t>J-01-03</t>
        </is>
      </c>
      <c r="AN887" s="30" t="inlineStr">
        <is>
          <t>T-0861</t>
        </is>
      </c>
      <c r="AO887" s="30" t="inlineStr">
        <is>
          <t>J-02-01</t>
        </is>
      </c>
    </row>
    <row r="888">
      <c r="A888" s="30" t="inlineStr">
        <is>
          <t>O0887</t>
        </is>
      </c>
      <c r="B888" s="30" t="inlineStr">
        <is>
          <t>C</t>
        </is>
      </c>
      <c r="C888" s="31" t="n">
        <v>11714.2</v>
      </c>
      <c r="D888" s="31" t="n">
        <v>43241.9</v>
      </c>
      <c r="E888" s="31" t="n">
        <v>43241.9</v>
      </c>
      <c r="F888" s="31" t="n">
        <v>43256.4</v>
      </c>
      <c r="G888" s="31" t="n">
        <v>43275.7</v>
      </c>
      <c r="H888" s="31" t="n">
        <v>43282.4</v>
      </c>
      <c r="I888" s="31" t="n">
        <v>43307.2</v>
      </c>
      <c r="J888" s="31" t="n">
        <v>43336.9</v>
      </c>
      <c r="K888" s="31" t="n">
        <v>31622.7</v>
      </c>
      <c r="L888" s="31" t="n">
        <v>31527.7</v>
      </c>
      <c r="M888" s="30" t="inlineStr">
        <is>
          <t>AMR2</t>
        </is>
      </c>
      <c r="N888" s="30" t="inlineStr">
        <is>
          <t>AMR1</t>
        </is>
      </c>
      <c r="O888" s="32" t="n">
        <v>0</v>
      </c>
      <c r="P888" s="32" t="n">
        <v>0</v>
      </c>
      <c r="Q888" s="32" t="n">
        <v>13</v>
      </c>
      <c r="R888" s="31" t="n">
        <v>32.9</v>
      </c>
      <c r="S888" s="31" t="n">
        <v>32.9</v>
      </c>
      <c r="T888" s="30" t="inlineStr">
        <is>
          <t>AMR2</t>
        </is>
      </c>
      <c r="U888" s="31" t="n">
        <v>54.2</v>
      </c>
      <c r="V888" s="31" t="n">
        <v>54.2</v>
      </c>
      <c r="W888" s="30" t="inlineStr">
        <is>
          <t>AMR1</t>
        </is>
      </c>
      <c r="X888" s="32" t="n">
        <v>0</v>
      </c>
      <c r="Y888" s="32" t="n">
        <v>0</v>
      </c>
      <c r="Z888" s="31" t="n">
        <v>0</v>
      </c>
      <c r="AA888" s="32" t="n">
        <v>0</v>
      </c>
      <c r="AB888" s="32" t="n">
        <v>0</v>
      </c>
      <c r="AC888" s="32" t="n">
        <v>0</v>
      </c>
      <c r="AD888" s="32" t="n">
        <v>0</v>
      </c>
      <c r="AE888" s="31" t="n">
        <v>0</v>
      </c>
      <c r="AF888" s="32" t="n">
        <v>0</v>
      </c>
      <c r="AG888" s="31" t="n">
        <v>0</v>
      </c>
      <c r="AH888" s="32" t="n">
        <v>39</v>
      </c>
      <c r="AI888" s="31" t="n">
        <v>43.4</v>
      </c>
      <c r="AJ888" s="31" t="n">
        <v>44.9</v>
      </c>
      <c r="AK888" s="31" t="n">
        <v>0</v>
      </c>
      <c r="AL888" s="30" t="inlineStr">
        <is>
          <t>T-1037</t>
        </is>
      </c>
      <c r="AM888" s="30" t="inlineStr">
        <is>
          <t>C-01-01</t>
        </is>
      </c>
      <c r="AN888" s="30" t="inlineStr">
        <is>
          <t>T-0914</t>
        </is>
      </c>
      <c r="AO888" s="30" t="inlineStr">
        <is>
          <t>C-04-01</t>
        </is>
      </c>
    </row>
    <row r="889">
      <c r="A889" s="30" t="inlineStr">
        <is>
          <t>O0888</t>
        </is>
      </c>
      <c r="B889" s="30" t="inlineStr">
        <is>
          <t>C</t>
        </is>
      </c>
      <c r="C889" s="31" t="n">
        <v>11729.3</v>
      </c>
      <c r="D889" s="31" t="n">
        <v>43287.9</v>
      </c>
      <c r="E889" s="31" t="n">
        <v>43287.9</v>
      </c>
      <c r="F889" s="31" t="n">
        <v>43302</v>
      </c>
      <c r="G889" s="31" t="n">
        <v>43321.9</v>
      </c>
      <c r="H889" s="31" t="n">
        <v>43324.3</v>
      </c>
      <c r="I889" s="31" t="n">
        <v>43345.6</v>
      </c>
      <c r="J889" s="31" t="n">
        <v>43375.9</v>
      </c>
      <c r="K889" s="31" t="n">
        <v>31646.6</v>
      </c>
      <c r="L889" s="31" t="n">
        <v>31558.6</v>
      </c>
      <c r="M889" s="30" t="inlineStr">
        <is>
          <t>AMR2</t>
        </is>
      </c>
      <c r="N889" s="30" t="inlineStr">
        <is>
          <t>AMR3</t>
        </is>
      </c>
      <c r="O889" s="32" t="n">
        <v>0</v>
      </c>
      <c r="P889" s="32" t="n">
        <v>0</v>
      </c>
      <c r="Q889" s="32" t="n">
        <v>13</v>
      </c>
      <c r="R889" s="31" t="n">
        <v>33.1</v>
      </c>
      <c r="S889" s="31" t="n">
        <v>33.1</v>
      </c>
      <c r="T889" s="30" t="inlineStr">
        <is>
          <t>AMR2</t>
        </is>
      </c>
      <c r="U889" s="31" t="n">
        <v>51.3</v>
      </c>
      <c r="V889" s="31" t="n">
        <v>51.3</v>
      </c>
      <c r="W889" s="30" t="inlineStr">
        <is>
          <t>AMR3</t>
        </is>
      </c>
      <c r="X889" s="32" t="n">
        <v>0</v>
      </c>
      <c r="Y889" s="32" t="n">
        <v>0</v>
      </c>
      <c r="Z889" s="31" t="n">
        <v>0</v>
      </c>
      <c r="AA889" s="32" t="n">
        <v>0</v>
      </c>
      <c r="AB889" s="32" t="n">
        <v>0</v>
      </c>
      <c r="AC889" s="32" t="n">
        <v>0</v>
      </c>
      <c r="AD889" s="32" t="n">
        <v>0</v>
      </c>
      <c r="AE889" s="31" t="n">
        <v>0</v>
      </c>
      <c r="AF889" s="32" t="n">
        <v>0</v>
      </c>
      <c r="AG889" s="31" t="n">
        <v>0</v>
      </c>
      <c r="AH889" s="32" t="n">
        <v>39</v>
      </c>
      <c r="AI889" s="31" t="n">
        <v>43.4</v>
      </c>
      <c r="AJ889" s="31" t="n">
        <v>42.2</v>
      </c>
      <c r="AK889" s="31" t="n">
        <v>0</v>
      </c>
      <c r="AL889" s="30" t="inlineStr">
        <is>
          <t>T-1038</t>
        </is>
      </c>
      <c r="AM889" s="30" t="inlineStr">
        <is>
          <t>C-02-03</t>
        </is>
      </c>
      <c r="AN889" s="30" t="inlineStr">
        <is>
          <t>T-0917</t>
        </is>
      </c>
      <c r="AO889" s="30" t="inlineStr">
        <is>
          <t>C-05-01</t>
        </is>
      </c>
    </row>
    <row r="890">
      <c r="A890" s="30" t="inlineStr">
        <is>
          <t>O0889</t>
        </is>
      </c>
      <c r="B890" s="30" t="inlineStr">
        <is>
          <t>H</t>
        </is>
      </c>
      <c r="C890" s="31" t="n">
        <v>11744.4</v>
      </c>
      <c r="D890" s="31" t="n">
        <v>43334.1</v>
      </c>
      <c r="E890" s="31" t="n">
        <v>43334.1</v>
      </c>
      <c r="F890" s="31" t="n">
        <v>43349.6</v>
      </c>
      <c r="G890" s="31" t="n">
        <v>43375</v>
      </c>
      <c r="H890" s="31" t="n">
        <v>43389.8</v>
      </c>
      <c r="I890" s="31" t="n">
        <v>43415.4</v>
      </c>
      <c r="J890" s="31" t="n">
        <v>43438.9</v>
      </c>
      <c r="K890" s="31" t="n">
        <v>31694.5</v>
      </c>
      <c r="L890" s="31" t="n">
        <v>31589.7</v>
      </c>
      <c r="M890" s="30" t="inlineStr">
        <is>
          <t>AMR2</t>
        </is>
      </c>
      <c r="N890" s="30" t="inlineStr">
        <is>
          <t>AMR2</t>
        </is>
      </c>
      <c r="O890" s="32" t="n">
        <v>0</v>
      </c>
      <c r="P890" s="32" t="n">
        <v>0</v>
      </c>
      <c r="Q890" s="32" t="n">
        <v>15</v>
      </c>
      <c r="R890" s="31" t="n">
        <v>40</v>
      </c>
      <c r="S890" s="31" t="n">
        <v>40</v>
      </c>
      <c r="T890" s="30" t="inlineStr">
        <is>
          <t>AMR2</t>
        </is>
      </c>
      <c r="U890" s="31" t="n">
        <v>48.8</v>
      </c>
      <c r="V890" s="31" t="n">
        <v>48.8</v>
      </c>
      <c r="W890" s="30" t="inlineStr">
        <is>
          <t>AMR2</t>
        </is>
      </c>
      <c r="X890" s="32" t="n">
        <v>0</v>
      </c>
      <c r="Y890" s="32" t="n">
        <v>0</v>
      </c>
      <c r="Z890" s="31" t="n">
        <v>0</v>
      </c>
      <c r="AA890" s="32" t="n">
        <v>0</v>
      </c>
      <c r="AB890" s="32" t="n">
        <v>0</v>
      </c>
      <c r="AC890" s="32" t="n">
        <v>0</v>
      </c>
      <c r="AD890" s="32" t="n">
        <v>0</v>
      </c>
      <c r="AE890" s="31" t="n">
        <v>0</v>
      </c>
      <c r="AF890" s="32" t="n">
        <v>0</v>
      </c>
      <c r="AG890" s="31" t="n">
        <v>0</v>
      </c>
      <c r="AH890" s="32" t="n">
        <v>41</v>
      </c>
      <c r="AI890" s="31" t="n">
        <v>46.5</v>
      </c>
      <c r="AJ890" s="31" t="n">
        <v>43.5</v>
      </c>
      <c r="AK890" s="31" t="n">
        <v>0</v>
      </c>
      <c r="AL890" s="30" t="inlineStr">
        <is>
          <t>T-1039</t>
        </is>
      </c>
      <c r="AM890" s="30" t="inlineStr">
        <is>
          <t>H-04-01</t>
        </is>
      </c>
      <c r="AN890" s="30" t="inlineStr">
        <is>
          <t>T-0873</t>
        </is>
      </c>
      <c r="AO890" s="30" t="inlineStr">
        <is>
          <t>H-05-03</t>
        </is>
      </c>
    </row>
    <row r="891">
      <c r="A891" s="30" t="inlineStr">
        <is>
          <t>O0890</t>
        </is>
      </c>
      <c r="B891" s="30" t="inlineStr">
        <is>
          <t>E</t>
        </is>
      </c>
      <c r="C891" s="31" t="n">
        <v>11764.6</v>
      </c>
      <c r="D891" s="31" t="n">
        <v>43360.6</v>
      </c>
      <c r="E891" s="31" t="n">
        <v>43360.6</v>
      </c>
      <c r="F891" s="31" t="n">
        <v>43372</v>
      </c>
      <c r="G891" s="31" t="n">
        <v>43400.8</v>
      </c>
      <c r="H891" s="31" t="n">
        <v>43419</v>
      </c>
      <c r="I891" s="31" t="n">
        <v>43454.5</v>
      </c>
      <c r="J891" s="31" t="n">
        <v>43492.8</v>
      </c>
      <c r="K891" s="31" t="n">
        <v>31728.2</v>
      </c>
      <c r="L891" s="31" t="n">
        <v>31596</v>
      </c>
      <c r="M891" s="30" t="inlineStr">
        <is>
          <t>AMR1</t>
        </is>
      </c>
      <c r="N891" s="30" t="inlineStr">
        <is>
          <t>AMR1</t>
        </is>
      </c>
      <c r="O891" s="32" t="n">
        <v>0</v>
      </c>
      <c r="P891" s="32" t="n">
        <v>0</v>
      </c>
      <c r="Q891" s="32" t="n">
        <v>19</v>
      </c>
      <c r="R891" s="31" t="n">
        <v>39.3</v>
      </c>
      <c r="S891" s="31" t="n">
        <v>39.3</v>
      </c>
      <c r="T891" s="30" t="inlineStr">
        <is>
          <t>AMR1</t>
        </is>
      </c>
      <c r="U891" s="31" t="n">
        <v>64.5</v>
      </c>
      <c r="V891" s="31" t="n">
        <v>64.5</v>
      </c>
      <c r="W891" s="30" t="inlineStr">
        <is>
          <t>AMR1</t>
        </is>
      </c>
      <c r="X891" s="32" t="n">
        <v>0</v>
      </c>
      <c r="Y891" s="32" t="n">
        <v>0</v>
      </c>
      <c r="Z891" s="31" t="n">
        <v>0</v>
      </c>
      <c r="AA891" s="32" t="n">
        <v>0</v>
      </c>
      <c r="AB891" s="32" t="n">
        <v>0</v>
      </c>
      <c r="AC891" s="32" t="n">
        <v>0</v>
      </c>
      <c r="AD891" s="32" t="n">
        <v>0</v>
      </c>
      <c r="AE891" s="31" t="n">
        <v>0</v>
      </c>
      <c r="AF891" s="32" t="n">
        <v>0</v>
      </c>
      <c r="AG891" s="31" t="n">
        <v>0</v>
      </c>
      <c r="AH891" s="32" t="n">
        <v>63</v>
      </c>
      <c r="AI891" s="31" t="n">
        <v>64.7</v>
      </c>
      <c r="AJ891" s="31" t="n">
        <v>46.3</v>
      </c>
      <c r="AK891" s="31" t="n">
        <v>3</v>
      </c>
      <c r="AL891" s="30" t="inlineStr">
        <is>
          <t>T-1040</t>
        </is>
      </c>
      <c r="AM891" s="30" t="inlineStr">
        <is>
          <t>E-01-02</t>
        </is>
      </c>
      <c r="AN891" s="30" t="inlineStr">
        <is>
          <t>T-0794</t>
        </is>
      </c>
      <c r="AO891" s="30" t="inlineStr">
        <is>
          <t>E-04-02</t>
        </is>
      </c>
    </row>
    <row r="892">
      <c r="A892" s="30" t="inlineStr">
        <is>
          <t>O0891</t>
        </is>
      </c>
      <c r="B892" s="30" t="inlineStr">
        <is>
          <t>E</t>
        </is>
      </c>
      <c r="C892" s="31" t="n">
        <v>11783.4</v>
      </c>
      <c r="D892" s="31" t="n">
        <v>43399.6</v>
      </c>
      <c r="E892" s="31" t="n">
        <v>43399.6</v>
      </c>
      <c r="F892" s="31" t="n">
        <v>43412.8</v>
      </c>
      <c r="G892" s="31" t="n">
        <v>43440.5</v>
      </c>
      <c r="H892" s="31" t="n">
        <v>43458.7</v>
      </c>
      <c r="I892" s="31" t="n">
        <v>43491.1</v>
      </c>
      <c r="J892" s="31" t="n">
        <v>43525.7</v>
      </c>
      <c r="K892" s="31" t="n">
        <v>31742.3</v>
      </c>
      <c r="L892" s="31" t="n">
        <v>31616.2</v>
      </c>
      <c r="M892" s="30" t="inlineStr">
        <is>
          <t>AMR3</t>
        </is>
      </c>
      <c r="N892" s="30" t="inlineStr">
        <is>
          <t>AMR3</t>
        </is>
      </c>
      <c r="O892" s="32" t="n">
        <v>0</v>
      </c>
      <c r="P892" s="32" t="n">
        <v>0</v>
      </c>
      <c r="Q892" s="32" t="n">
        <v>19</v>
      </c>
      <c r="R892" s="31" t="n">
        <v>37.9</v>
      </c>
      <c r="S892" s="31" t="n">
        <v>37.9</v>
      </c>
      <c r="T892" s="30" t="inlineStr">
        <is>
          <t>AMR3</t>
        </is>
      </c>
      <c r="U892" s="31" t="n">
        <v>57.5</v>
      </c>
      <c r="V892" s="31" t="n">
        <v>57.5</v>
      </c>
      <c r="W892" s="30" t="inlineStr">
        <is>
          <t>AMR3</t>
        </is>
      </c>
      <c r="X892" s="32" t="n">
        <v>0</v>
      </c>
      <c r="Y892" s="32" t="n">
        <v>0</v>
      </c>
      <c r="Z892" s="31" t="n">
        <v>0</v>
      </c>
      <c r="AA892" s="32" t="n">
        <v>0</v>
      </c>
      <c r="AB892" s="32" t="n">
        <v>2</v>
      </c>
      <c r="AC892" s="32" t="n">
        <v>1</v>
      </c>
      <c r="AD892" s="32" t="n">
        <v>0</v>
      </c>
      <c r="AE892" s="31" t="n">
        <v>0</v>
      </c>
      <c r="AF892" s="32" t="n">
        <v>0</v>
      </c>
      <c r="AG892" s="31" t="n">
        <v>0</v>
      </c>
      <c r="AH892" s="32" t="n">
        <v>61</v>
      </c>
      <c r="AI892" s="31" t="n">
        <v>64.90000000000001</v>
      </c>
      <c r="AJ892" s="31" t="n">
        <v>37.9</v>
      </c>
      <c r="AK892" s="31" t="n">
        <v>5.1</v>
      </c>
      <c r="AL892" s="30" t="inlineStr">
        <is>
          <t>T-1041</t>
        </is>
      </c>
      <c r="AM892" s="30" t="inlineStr">
        <is>
          <t>E-02-02</t>
        </is>
      </c>
      <c r="AN892" s="30" t="inlineStr">
        <is>
          <t>T-0826</t>
        </is>
      </c>
      <c r="AO892" s="30" t="inlineStr">
        <is>
          <t>E-05-02</t>
        </is>
      </c>
    </row>
    <row r="893">
      <c r="A893" s="30" t="inlineStr">
        <is>
          <t>O0892</t>
        </is>
      </c>
      <c r="B893" s="30" t="inlineStr">
        <is>
          <t>A</t>
        </is>
      </c>
      <c r="C893" s="31" t="n">
        <v>11807.2</v>
      </c>
      <c r="D893" s="31" t="n">
        <v>43467.6</v>
      </c>
      <c r="E893" s="31" t="n">
        <v>43467.6</v>
      </c>
      <c r="F893" s="31" t="n">
        <v>43479.4</v>
      </c>
      <c r="G893" s="31" t="n">
        <v>43505.3</v>
      </c>
      <c r="H893" s="31" t="n">
        <v>43516.5</v>
      </c>
      <c r="I893" s="31" t="n">
        <v>43547.5</v>
      </c>
      <c r="J893" s="31" t="n">
        <v>43585.4</v>
      </c>
      <c r="K893" s="31" t="n">
        <v>31778.2</v>
      </c>
      <c r="L893" s="31" t="n">
        <v>31660.4</v>
      </c>
      <c r="M893" s="30" t="inlineStr">
        <is>
          <t>AMR2</t>
        </is>
      </c>
      <c r="N893" s="30" t="inlineStr">
        <is>
          <t>AMR1</t>
        </is>
      </c>
      <c r="O893" s="32" t="n">
        <v>0</v>
      </c>
      <c r="P893" s="32" t="n">
        <v>0</v>
      </c>
      <c r="Q893" s="32" t="n">
        <v>21</v>
      </c>
      <c r="R893" s="31" t="n">
        <v>36.8</v>
      </c>
      <c r="S893" s="31" t="n">
        <v>36.8</v>
      </c>
      <c r="T893" s="30" t="inlineStr">
        <is>
          <t>AMR2</t>
        </is>
      </c>
      <c r="U893" s="31" t="n">
        <v>69.59999999999999</v>
      </c>
      <c r="V893" s="31" t="n">
        <v>69.59999999999999</v>
      </c>
      <c r="W893" s="30" t="inlineStr">
        <is>
          <t>AMR1</t>
        </is>
      </c>
      <c r="X893" s="32" t="n">
        <v>0</v>
      </c>
      <c r="Y893" s="32" t="n">
        <v>0</v>
      </c>
      <c r="Z893" s="31" t="n">
        <v>0</v>
      </c>
      <c r="AA893" s="32" t="n">
        <v>0</v>
      </c>
      <c r="AB893" s="32" t="n">
        <v>0</v>
      </c>
      <c r="AC893" s="32" t="n">
        <v>0</v>
      </c>
      <c r="AD893" s="32" t="n">
        <v>0</v>
      </c>
      <c r="AE893" s="31" t="n">
        <v>0</v>
      </c>
      <c r="AF893" s="32" t="n">
        <v>0</v>
      </c>
      <c r="AG893" s="31" t="n">
        <v>0</v>
      </c>
      <c r="AH893" s="32" t="n">
        <v>63</v>
      </c>
      <c r="AI893" s="31" t="n">
        <v>62.3</v>
      </c>
      <c r="AJ893" s="31" t="n">
        <v>44.3</v>
      </c>
      <c r="AK893" s="31" t="n">
        <v>0</v>
      </c>
      <c r="AL893" s="30" t="inlineStr">
        <is>
          <t>T-1042</t>
        </is>
      </c>
      <c r="AM893" s="30" t="inlineStr">
        <is>
          <t>A-05-01</t>
        </is>
      </c>
      <c r="AN893" s="30" t="inlineStr">
        <is>
          <t>T-0822</t>
        </is>
      </c>
      <c r="AO893" s="30" t="inlineStr">
        <is>
          <t>A-04-01</t>
        </is>
      </c>
    </row>
    <row r="894">
      <c r="A894" s="30" t="inlineStr">
        <is>
          <t>O0893</t>
        </is>
      </c>
      <c r="B894" s="30" t="inlineStr">
        <is>
          <t>E</t>
        </is>
      </c>
      <c r="C894" s="31" t="n">
        <v>11830.3</v>
      </c>
      <c r="D894" s="31" t="n">
        <v>43525.5</v>
      </c>
      <c r="E894" s="31" t="n">
        <v>43525.5</v>
      </c>
      <c r="F894" s="31" t="n">
        <v>43538.7</v>
      </c>
      <c r="G894" s="31" t="n">
        <v>43566.8</v>
      </c>
      <c r="H894" s="31" t="n">
        <v>43587</v>
      </c>
      <c r="I894" s="31" t="n">
        <v>43616.5</v>
      </c>
      <c r="J894" s="31" t="n">
        <v>43650.5</v>
      </c>
      <c r="K894" s="31" t="n">
        <v>31820.2</v>
      </c>
      <c r="L894" s="31" t="n">
        <v>31695.2</v>
      </c>
      <c r="M894" s="30" t="inlineStr">
        <is>
          <t>AMR2</t>
        </is>
      </c>
      <c r="N894" s="30" t="inlineStr">
        <is>
          <t>AMR2</t>
        </is>
      </c>
      <c r="O894" s="32" t="n">
        <v>0</v>
      </c>
      <c r="P894" s="32" t="n">
        <v>0</v>
      </c>
      <c r="Q894" s="32" t="n">
        <v>19</v>
      </c>
      <c r="R894" s="31" t="n">
        <v>38.8</v>
      </c>
      <c r="S894" s="31" t="n">
        <v>38.8</v>
      </c>
      <c r="T894" s="30" t="inlineStr">
        <is>
          <t>AMR2</t>
        </is>
      </c>
      <c r="U894" s="31" t="n">
        <v>63.7</v>
      </c>
      <c r="V894" s="31" t="n">
        <v>63.7</v>
      </c>
      <c r="W894" s="30" t="inlineStr">
        <is>
          <t>AMR2</t>
        </is>
      </c>
      <c r="X894" s="32" t="n">
        <v>0</v>
      </c>
      <c r="Y894" s="32" t="n">
        <v>0</v>
      </c>
      <c r="Z894" s="31" t="n">
        <v>0</v>
      </c>
      <c r="AA894" s="32" t="n">
        <v>0</v>
      </c>
      <c r="AB894" s="32" t="n">
        <v>0</v>
      </c>
      <c r="AC894" s="32" t="n">
        <v>0</v>
      </c>
      <c r="AD894" s="32" t="n">
        <v>0</v>
      </c>
      <c r="AE894" s="31" t="n">
        <v>0</v>
      </c>
      <c r="AF894" s="32" t="n">
        <v>0</v>
      </c>
      <c r="AG894" s="31" t="n">
        <v>0</v>
      </c>
      <c r="AH894" s="32" t="n">
        <v>59</v>
      </c>
      <c r="AI894" s="31" t="n">
        <v>59.8</v>
      </c>
      <c r="AJ894" s="31" t="n">
        <v>45</v>
      </c>
      <c r="AK894" s="31" t="n">
        <v>0</v>
      </c>
      <c r="AL894" s="30" t="inlineStr">
        <is>
          <t>T-1043</t>
        </is>
      </c>
      <c r="AM894" s="30" t="inlineStr">
        <is>
          <t>E-04-02</t>
        </is>
      </c>
      <c r="AN894" s="30" t="inlineStr">
        <is>
          <t>T-0836</t>
        </is>
      </c>
      <c r="AO894" s="30" t="inlineStr">
        <is>
          <t>E-01-03</t>
        </is>
      </c>
    </row>
    <row r="895">
      <c r="A895" s="30" t="inlineStr">
        <is>
          <t>O0894</t>
        </is>
      </c>
      <c r="B895" s="30" t="inlineStr">
        <is>
          <t>J</t>
        </is>
      </c>
      <c r="C895" s="31" t="n">
        <v>11845.9</v>
      </c>
      <c r="D895" s="31" t="n">
        <v>43549.4</v>
      </c>
      <c r="E895" s="31" t="n">
        <v>43549.4</v>
      </c>
      <c r="F895" s="31" t="n">
        <v>43564.4</v>
      </c>
      <c r="G895" s="31" t="n">
        <v>43591.3</v>
      </c>
      <c r="H895" s="31" t="n">
        <v>43609.1</v>
      </c>
      <c r="I895" s="31" t="n">
        <v>43650.2</v>
      </c>
      <c r="J895" s="31" t="n">
        <v>43685.2</v>
      </c>
      <c r="K895" s="31" t="n">
        <v>31839.3</v>
      </c>
      <c r="L895" s="31" t="n">
        <v>31703.5</v>
      </c>
      <c r="M895" s="30" t="inlineStr">
        <is>
          <t>AMR3</t>
        </is>
      </c>
      <c r="N895" s="30" t="inlineStr">
        <is>
          <t>AMR1</t>
        </is>
      </c>
      <c r="O895" s="32" t="n">
        <v>0</v>
      </c>
      <c r="P895" s="32" t="n">
        <v>0</v>
      </c>
      <c r="Q895" s="32" t="n">
        <v>21</v>
      </c>
      <c r="R895" s="31" t="n">
        <v>41</v>
      </c>
      <c r="S895" s="31" t="n">
        <v>41</v>
      </c>
      <c r="T895" s="30" t="inlineStr">
        <is>
          <t>AMR3</t>
        </is>
      </c>
      <c r="U895" s="31" t="n">
        <v>65.09999999999999</v>
      </c>
      <c r="V895" s="31" t="n">
        <v>65.09999999999999</v>
      </c>
      <c r="W895" s="30" t="inlineStr">
        <is>
          <t>AMR1</t>
        </is>
      </c>
      <c r="X895" s="32" t="n">
        <v>0</v>
      </c>
      <c r="Y895" s="32" t="n">
        <v>0</v>
      </c>
      <c r="Z895" s="31" t="n">
        <v>0</v>
      </c>
      <c r="AA895" s="32" t="n">
        <v>0</v>
      </c>
      <c r="AB895" s="32" t="n">
        <v>1</v>
      </c>
      <c r="AC895" s="32" t="n">
        <v>1</v>
      </c>
      <c r="AD895" s="32" t="n">
        <v>0</v>
      </c>
      <c r="AE895" s="31" t="n">
        <v>0</v>
      </c>
      <c r="AF895" s="32" t="n">
        <v>0</v>
      </c>
      <c r="AG895" s="31" t="n">
        <v>0</v>
      </c>
      <c r="AH895" s="32" t="n">
        <v>65</v>
      </c>
      <c r="AI895" s="31" t="n">
        <v>69.5</v>
      </c>
      <c r="AJ895" s="31" t="n">
        <v>45.5</v>
      </c>
      <c r="AK895" s="31" t="n">
        <v>3</v>
      </c>
      <c r="AL895" s="30" t="inlineStr">
        <is>
          <t>T-1044</t>
        </is>
      </c>
      <c r="AM895" s="30" t="inlineStr">
        <is>
          <t>J-02-01</t>
        </is>
      </c>
      <c r="AN895" s="30" t="inlineStr">
        <is>
          <t>T-0866</t>
        </is>
      </c>
      <c r="AO895" s="30" t="inlineStr">
        <is>
          <t>J-06-02</t>
        </is>
      </c>
    </row>
    <row r="896">
      <c r="A896" s="30" t="inlineStr">
        <is>
          <t>O0895</t>
        </is>
      </c>
      <c r="B896" s="30" t="inlineStr">
        <is>
          <t>H</t>
        </is>
      </c>
      <c r="C896" s="31" t="n">
        <v>11861.7</v>
      </c>
      <c r="D896" s="31" t="n">
        <v>43618.9</v>
      </c>
      <c r="E896" s="31" t="n">
        <v>43618.9</v>
      </c>
      <c r="F896" s="31" t="n">
        <v>43631.9</v>
      </c>
      <c r="G896" s="31" t="n">
        <v>43655.6</v>
      </c>
      <c r="H896" s="31" t="n">
        <v>43669.8</v>
      </c>
      <c r="I896" s="31" t="n">
        <v>43692.2</v>
      </c>
      <c r="J896" s="31" t="n">
        <v>43717.2</v>
      </c>
      <c r="K896" s="31" t="n">
        <v>31855.5</v>
      </c>
      <c r="L896" s="31" t="n">
        <v>31757.2</v>
      </c>
      <c r="M896" s="30" t="inlineStr">
        <is>
          <t>AMR3</t>
        </is>
      </c>
      <c r="N896" s="30" t="inlineStr">
        <is>
          <t>AMR3</t>
        </is>
      </c>
      <c r="O896" s="32" t="n">
        <v>0</v>
      </c>
      <c r="P896" s="32" t="n">
        <v>0</v>
      </c>
      <c r="Q896" s="32" t="n">
        <v>15</v>
      </c>
      <c r="R896" s="31" t="n">
        <v>35.8</v>
      </c>
      <c r="S896" s="31" t="n">
        <v>35.8</v>
      </c>
      <c r="T896" s="30" t="inlineStr">
        <is>
          <t>AMR3</t>
        </is>
      </c>
      <c r="U896" s="31" t="n">
        <v>48.1</v>
      </c>
      <c r="V896" s="31" t="n">
        <v>48.1</v>
      </c>
      <c r="W896" s="30" t="inlineStr">
        <is>
          <t>AMR3</t>
        </is>
      </c>
      <c r="X896" s="32" t="n">
        <v>0</v>
      </c>
      <c r="Y896" s="32" t="n">
        <v>0</v>
      </c>
      <c r="Z896" s="31" t="n">
        <v>0</v>
      </c>
      <c r="AA896" s="32" t="n">
        <v>0</v>
      </c>
      <c r="AB896" s="32" t="n">
        <v>0</v>
      </c>
      <c r="AC896" s="32" t="n">
        <v>0</v>
      </c>
      <c r="AD896" s="32" t="n">
        <v>0</v>
      </c>
      <c r="AE896" s="31" t="n">
        <v>0</v>
      </c>
      <c r="AF896" s="32" t="n">
        <v>0</v>
      </c>
      <c r="AG896" s="31" t="n">
        <v>0</v>
      </c>
      <c r="AH896" s="32" t="n">
        <v>41</v>
      </c>
      <c r="AI896" s="31" t="n">
        <v>45.5</v>
      </c>
      <c r="AJ896" s="31" t="n">
        <v>38.6</v>
      </c>
      <c r="AK896" s="31" t="n">
        <v>0</v>
      </c>
      <c r="AL896" s="30" t="inlineStr">
        <is>
          <t>T-1045</t>
        </is>
      </c>
      <c r="AM896" s="30" t="inlineStr">
        <is>
          <t>H-02-03</t>
        </is>
      </c>
      <c r="AN896" s="30" t="inlineStr">
        <is>
          <t>T-0877</t>
        </is>
      </c>
      <c r="AO896" s="30" t="inlineStr">
        <is>
          <t>H-05-01</t>
        </is>
      </c>
    </row>
    <row r="897">
      <c r="A897" s="30" t="inlineStr">
        <is>
          <t>O0896</t>
        </is>
      </c>
      <c r="B897" s="30" t="inlineStr">
        <is>
          <t>H</t>
        </is>
      </c>
      <c r="C897" s="31" t="n">
        <v>11880.3</v>
      </c>
      <c r="D897" s="31" t="n">
        <v>43676.2</v>
      </c>
      <c r="E897" s="31" t="n">
        <v>43676.2</v>
      </c>
      <c r="F897" s="31" t="n">
        <v>43692.5</v>
      </c>
      <c r="G897" s="31" t="n">
        <v>43717</v>
      </c>
      <c r="H897" s="31" t="n">
        <v>43738.2</v>
      </c>
      <c r="I897" s="31" t="n">
        <v>43761.8</v>
      </c>
      <c r="J897" s="31" t="n">
        <v>43788.8</v>
      </c>
      <c r="K897" s="31" t="n">
        <v>31908.5</v>
      </c>
      <c r="L897" s="31" t="n">
        <v>31795.9</v>
      </c>
      <c r="M897" s="30" t="inlineStr">
        <is>
          <t>AMR2</t>
        </is>
      </c>
      <c r="N897" s="30" t="inlineStr">
        <is>
          <t>AMR2</t>
        </is>
      </c>
      <c r="O897" s="32" t="n">
        <v>0</v>
      </c>
      <c r="P897" s="32" t="n">
        <v>0</v>
      </c>
      <c r="Q897" s="32" t="n">
        <v>15</v>
      </c>
      <c r="R897" s="31" t="n">
        <v>39.9</v>
      </c>
      <c r="S897" s="31" t="n">
        <v>39.9</v>
      </c>
      <c r="T897" s="30" t="inlineStr">
        <is>
          <t>AMR2</t>
        </is>
      </c>
      <c r="U897" s="31" t="n">
        <v>50.7</v>
      </c>
      <c r="V897" s="31" t="n">
        <v>50.7</v>
      </c>
      <c r="W897" s="30" t="inlineStr">
        <is>
          <t>AMR2</t>
        </is>
      </c>
      <c r="X897" s="32" t="n">
        <v>0</v>
      </c>
      <c r="Y897" s="32" t="n">
        <v>0</v>
      </c>
      <c r="Z897" s="31" t="n">
        <v>0</v>
      </c>
      <c r="AA897" s="32" t="n">
        <v>0</v>
      </c>
      <c r="AB897" s="32" t="n">
        <v>0</v>
      </c>
      <c r="AC897" s="32" t="n">
        <v>0</v>
      </c>
      <c r="AD897" s="32" t="n">
        <v>0</v>
      </c>
      <c r="AE897" s="31" t="n">
        <v>0</v>
      </c>
      <c r="AF897" s="32" t="n">
        <v>0</v>
      </c>
      <c r="AG897" s="31" t="n">
        <v>0</v>
      </c>
      <c r="AH897" s="32" t="n">
        <v>43</v>
      </c>
      <c r="AI897" s="31" t="n">
        <v>46.1</v>
      </c>
      <c r="AJ897" s="31" t="n">
        <v>45.3</v>
      </c>
      <c r="AK897" s="31" t="n">
        <v>0</v>
      </c>
      <c r="AL897" s="30" t="inlineStr">
        <is>
          <t>T-1046</t>
        </is>
      </c>
      <c r="AM897" s="30" t="inlineStr">
        <is>
          <t>H-05-01</t>
        </is>
      </c>
      <c r="AN897" s="30" t="inlineStr">
        <is>
          <t>T-0880</t>
        </is>
      </c>
      <c r="AO897" s="30" t="inlineStr">
        <is>
          <t>H-03-03</t>
        </is>
      </c>
    </row>
    <row r="898">
      <c r="A898" s="30" t="inlineStr">
        <is>
          <t>O0897</t>
        </is>
      </c>
      <c r="B898" s="30" t="inlineStr">
        <is>
          <t>C</t>
        </is>
      </c>
      <c r="C898" s="31" t="n">
        <v>11897</v>
      </c>
      <c r="D898" s="31" t="n">
        <v>43708.9</v>
      </c>
      <c r="E898" s="31" t="n">
        <v>43708.9</v>
      </c>
      <c r="F898" s="31" t="n">
        <v>43720.7</v>
      </c>
      <c r="G898" s="31" t="n">
        <v>43748</v>
      </c>
      <c r="H898" s="31" t="n">
        <v>43760.8</v>
      </c>
      <c r="I898" s="31" t="n">
        <v>43783.6</v>
      </c>
      <c r="J898" s="31" t="n">
        <v>43811.8</v>
      </c>
      <c r="K898" s="31" t="n">
        <v>31914.8</v>
      </c>
      <c r="L898" s="31" t="n">
        <v>31811.9</v>
      </c>
      <c r="M898" s="30" t="inlineStr">
        <is>
          <t>AMR1</t>
        </is>
      </c>
      <c r="N898" s="30" t="inlineStr">
        <is>
          <t>AMR1</t>
        </is>
      </c>
      <c r="O898" s="32" t="n">
        <v>0</v>
      </c>
      <c r="P898" s="32" t="n">
        <v>0</v>
      </c>
      <c r="Q898" s="32" t="n">
        <v>13</v>
      </c>
      <c r="R898" s="31" t="n">
        <v>33.1</v>
      </c>
      <c r="S898" s="31" t="n">
        <v>33.1</v>
      </c>
      <c r="T898" s="30" t="inlineStr">
        <is>
          <t>AMR1</t>
        </is>
      </c>
      <c r="U898" s="31" t="n">
        <v>51.1</v>
      </c>
      <c r="V898" s="31" t="n">
        <v>51.1</v>
      </c>
      <c r="W898" s="30" t="inlineStr">
        <is>
          <t>AMR1</t>
        </is>
      </c>
      <c r="X898" s="32" t="n">
        <v>0</v>
      </c>
      <c r="Y898" s="32" t="n">
        <v>0</v>
      </c>
      <c r="Z898" s="31" t="n">
        <v>0</v>
      </c>
      <c r="AA898" s="32" t="n">
        <v>0</v>
      </c>
      <c r="AB898" s="32" t="n">
        <v>1</v>
      </c>
      <c r="AC898" s="32" t="n">
        <v>1</v>
      </c>
      <c r="AD898" s="32" t="n">
        <v>0</v>
      </c>
      <c r="AE898" s="31" t="n">
        <v>0</v>
      </c>
      <c r="AF898" s="32" t="n">
        <v>1</v>
      </c>
      <c r="AG898" s="31" t="n">
        <v>0.1</v>
      </c>
      <c r="AH898" s="32" t="n">
        <v>41</v>
      </c>
      <c r="AI898" s="31" t="n">
        <v>43</v>
      </c>
      <c r="AJ898" s="31" t="n">
        <v>42</v>
      </c>
      <c r="AK898" s="31" t="n">
        <v>5.1</v>
      </c>
      <c r="AL898" s="30" t="inlineStr">
        <is>
          <t>T-1047</t>
        </is>
      </c>
      <c r="AM898" s="30" t="inlineStr">
        <is>
          <t>C-04-01</t>
        </is>
      </c>
      <c r="AN898" s="30" t="inlineStr">
        <is>
          <t>T-0944</t>
        </is>
      </c>
      <c r="AO898" s="30" t="inlineStr">
        <is>
          <t>C-03-03</t>
        </is>
      </c>
    </row>
    <row r="899">
      <c r="A899" s="30" t="inlineStr">
        <is>
          <t>O0898</t>
        </is>
      </c>
      <c r="B899" s="30" t="inlineStr">
        <is>
          <t>J</t>
        </is>
      </c>
      <c r="C899" s="31" t="n">
        <v>11919.7</v>
      </c>
      <c r="D899" s="31" t="n">
        <v>43740.9</v>
      </c>
      <c r="E899" s="31" t="n">
        <v>43740.9</v>
      </c>
      <c r="F899" s="31" t="n">
        <v>43755.8</v>
      </c>
      <c r="G899" s="31" t="n">
        <v>43786.9</v>
      </c>
      <c r="H899" s="31" t="n">
        <v>43809.8</v>
      </c>
      <c r="I899" s="31" t="n">
        <v>43848.1</v>
      </c>
      <c r="J899" s="31" t="n">
        <v>43879.2</v>
      </c>
      <c r="K899" s="31" t="n">
        <v>31959.5</v>
      </c>
      <c r="L899" s="31" t="n">
        <v>31821.2</v>
      </c>
      <c r="M899" s="30" t="inlineStr">
        <is>
          <t>AMR3</t>
        </is>
      </c>
      <c r="N899" s="30" t="inlineStr">
        <is>
          <t>AMR3</t>
        </is>
      </c>
      <c r="O899" s="32" t="n">
        <v>0</v>
      </c>
      <c r="P899" s="32" t="n">
        <v>0</v>
      </c>
      <c r="Q899" s="32" t="n">
        <v>21</v>
      </c>
      <c r="R899" s="31" t="n">
        <v>42.7</v>
      </c>
      <c r="S899" s="31" t="n">
        <v>42.7</v>
      </c>
      <c r="T899" s="30" t="inlineStr">
        <is>
          <t>AMR3</t>
        </is>
      </c>
      <c r="U899" s="31" t="n">
        <v>61</v>
      </c>
      <c r="V899" s="31" t="n">
        <v>61</v>
      </c>
      <c r="W899" s="30" t="inlineStr">
        <is>
          <t>AMR3</t>
        </is>
      </c>
      <c r="X899" s="32" t="n">
        <v>0</v>
      </c>
      <c r="Y899" s="32" t="n">
        <v>0</v>
      </c>
      <c r="Z899" s="31" t="n">
        <v>0</v>
      </c>
      <c r="AA899" s="32" t="n">
        <v>0</v>
      </c>
      <c r="AB899" s="32" t="n">
        <v>1</v>
      </c>
      <c r="AC899" s="32" t="n">
        <v>1</v>
      </c>
      <c r="AD899" s="32" t="n">
        <v>0</v>
      </c>
      <c r="AE899" s="31" t="n">
        <v>0</v>
      </c>
      <c r="AF899" s="32" t="n">
        <v>1</v>
      </c>
      <c r="AG899" s="31" t="n">
        <v>0.1</v>
      </c>
      <c r="AH899" s="32" t="n">
        <v>66</v>
      </c>
      <c r="AI899" s="31" t="n">
        <v>67.2</v>
      </c>
      <c r="AJ899" s="31" t="n">
        <v>43.1</v>
      </c>
      <c r="AK899" s="31" t="n">
        <v>5.1</v>
      </c>
      <c r="AL899" s="30" t="inlineStr">
        <is>
          <t>T-1048</t>
        </is>
      </c>
      <c r="AM899" s="30" t="inlineStr">
        <is>
          <t>J-06-02</t>
        </is>
      </c>
      <c r="AN899" s="30" t="inlineStr">
        <is>
          <t>T-0900</t>
        </is>
      </c>
      <c r="AO899" s="30" t="inlineStr">
        <is>
          <t>J-04-01</t>
        </is>
      </c>
    </row>
    <row r="900">
      <c r="A900" s="30" t="inlineStr">
        <is>
          <t>O0899</t>
        </is>
      </c>
      <c r="B900" s="30" t="inlineStr">
        <is>
          <t>D</t>
        </is>
      </c>
      <c r="C900" s="31" t="n">
        <v>11941.9</v>
      </c>
      <c r="D900" s="31" t="n">
        <v>43819.9</v>
      </c>
      <c r="E900" s="31" t="n">
        <v>43819.9</v>
      </c>
      <c r="F900" s="31" t="n">
        <v>43831.9</v>
      </c>
      <c r="G900" s="31" t="n">
        <v>43859</v>
      </c>
      <c r="H900" s="31" t="n">
        <v>43874.5</v>
      </c>
      <c r="I900" s="31" t="n">
        <v>43899.1</v>
      </c>
      <c r="J900" s="31" t="n">
        <v>43925.8</v>
      </c>
      <c r="K900" s="31" t="n">
        <v>31983.9</v>
      </c>
      <c r="L900" s="31" t="n">
        <v>31878</v>
      </c>
      <c r="M900" s="30" t="inlineStr">
        <is>
          <t>AMR2</t>
        </is>
      </c>
      <c r="N900" s="30" t="inlineStr">
        <is>
          <t>AMR2</t>
        </is>
      </c>
      <c r="O900" s="32" t="n">
        <v>0</v>
      </c>
      <c r="P900" s="32" t="n">
        <v>0</v>
      </c>
      <c r="Q900" s="32" t="n">
        <v>13</v>
      </c>
      <c r="R900" s="31" t="n">
        <v>35.8</v>
      </c>
      <c r="S900" s="31" t="n">
        <v>35.8</v>
      </c>
      <c r="T900" s="30" t="inlineStr">
        <is>
          <t>AMR2</t>
        </is>
      </c>
      <c r="U900" s="31" t="n">
        <v>51.5</v>
      </c>
      <c r="V900" s="31" t="n">
        <v>51.5</v>
      </c>
      <c r="W900" s="30" t="inlineStr">
        <is>
          <t>AMR2</t>
        </is>
      </c>
      <c r="X900" s="32" t="n">
        <v>0</v>
      </c>
      <c r="Y900" s="32" t="n">
        <v>0</v>
      </c>
      <c r="Z900" s="31" t="n">
        <v>0</v>
      </c>
      <c r="AA900" s="32" t="n">
        <v>0</v>
      </c>
      <c r="AB900" s="32" t="n">
        <v>0</v>
      </c>
      <c r="AC900" s="32" t="n">
        <v>0</v>
      </c>
      <c r="AD900" s="32" t="n">
        <v>0</v>
      </c>
      <c r="AE900" s="31" t="n">
        <v>0</v>
      </c>
      <c r="AF900" s="32" t="n">
        <v>0</v>
      </c>
      <c r="AG900" s="31" t="n">
        <v>0</v>
      </c>
      <c r="AH900" s="32" t="n">
        <v>42</v>
      </c>
      <c r="AI900" s="31" t="n">
        <v>45.8</v>
      </c>
      <c r="AJ900" s="31" t="n">
        <v>44.6</v>
      </c>
      <c r="AK900" s="31" t="n">
        <v>0</v>
      </c>
      <c r="AL900" s="30" t="inlineStr">
        <is>
          <t>T-1049</t>
        </is>
      </c>
      <c r="AM900" s="30" t="inlineStr">
        <is>
          <t>D-06-01</t>
        </is>
      </c>
      <c r="AN900" s="30" t="inlineStr">
        <is>
          <t>T-0939</t>
        </is>
      </c>
      <c r="AO900" s="30" t="inlineStr">
        <is>
          <t>D-01-02</t>
        </is>
      </c>
    </row>
    <row r="901">
      <c r="A901" s="30" t="inlineStr">
        <is>
          <t>O0900</t>
        </is>
      </c>
      <c r="B901" s="30" t="inlineStr">
        <is>
          <t>A</t>
        </is>
      </c>
      <c r="C901" s="31" t="n">
        <v>11962</v>
      </c>
      <c r="D901" s="31" t="n">
        <v>43835.5</v>
      </c>
      <c r="E901" s="31" t="n">
        <v>43835.5</v>
      </c>
      <c r="F901" s="31" t="n">
        <v>43850.1</v>
      </c>
      <c r="G901" s="31" t="n">
        <v>43879.5</v>
      </c>
      <c r="H901" s="31" t="n">
        <v>43899.7</v>
      </c>
      <c r="I901" s="31" t="n">
        <v>43927.4</v>
      </c>
      <c r="J901" s="31" t="n">
        <v>43964.3</v>
      </c>
      <c r="K901" s="31" t="n">
        <v>32002.3</v>
      </c>
      <c r="L901" s="31" t="n">
        <v>31873.5</v>
      </c>
      <c r="M901" s="30" t="inlineStr">
        <is>
          <t>AMR1</t>
        </is>
      </c>
      <c r="N901" s="30" t="inlineStr">
        <is>
          <t>AMR1</t>
        </is>
      </c>
      <c r="O901" s="32" t="n">
        <v>0</v>
      </c>
      <c r="P901" s="32" t="n">
        <v>0</v>
      </c>
      <c r="Q901" s="32" t="n">
        <v>21</v>
      </c>
      <c r="R901" s="31" t="n">
        <v>43.1</v>
      </c>
      <c r="S901" s="31" t="n">
        <v>43.1</v>
      </c>
      <c r="T901" s="30" t="inlineStr">
        <is>
          <t>AMR1</t>
        </is>
      </c>
      <c r="U901" s="31" t="n">
        <v>62.8</v>
      </c>
      <c r="V901" s="31" t="n">
        <v>62.8</v>
      </c>
      <c r="W901" s="30" t="inlineStr">
        <is>
          <t>AMR1</t>
        </is>
      </c>
      <c r="X901" s="32" t="n">
        <v>0</v>
      </c>
      <c r="Y901" s="32" t="n">
        <v>0</v>
      </c>
      <c r="Z901" s="31" t="n">
        <v>0</v>
      </c>
      <c r="AA901" s="32" t="n">
        <v>0</v>
      </c>
      <c r="AB901" s="32" t="n">
        <v>0</v>
      </c>
      <c r="AC901" s="32" t="n">
        <v>0</v>
      </c>
      <c r="AD901" s="32" t="n">
        <v>0</v>
      </c>
      <c r="AE901" s="31" t="n">
        <v>0</v>
      </c>
      <c r="AF901" s="32" t="n">
        <v>0</v>
      </c>
      <c r="AG901" s="31" t="n">
        <v>0</v>
      </c>
      <c r="AH901" s="32" t="n">
        <v>65</v>
      </c>
      <c r="AI901" s="31" t="n">
        <v>64.8</v>
      </c>
      <c r="AJ901" s="31" t="n">
        <v>43.8</v>
      </c>
      <c r="AK901" s="31" t="n">
        <v>0</v>
      </c>
      <c r="AL901" s="30" t="inlineStr">
        <is>
          <t>T-1050</t>
        </is>
      </c>
      <c r="AM901" s="30" t="inlineStr">
        <is>
          <t>A-04-01</t>
        </is>
      </c>
      <c r="AN901" s="30" t="inlineStr">
        <is>
          <t>T-0824</t>
        </is>
      </c>
      <c r="AO901" s="30" t="inlineStr">
        <is>
          <t>A-03-02</t>
        </is>
      </c>
    </row>
    <row r="902">
      <c r="A902" s="30" t="inlineStr">
        <is>
          <t>O0901</t>
        </is>
      </c>
      <c r="B902" s="30" t="inlineStr">
        <is>
          <t>H</t>
        </is>
      </c>
      <c r="C902" s="31" t="n">
        <v>11979.5</v>
      </c>
      <c r="D902" s="31" t="n">
        <v>43902.9</v>
      </c>
      <c r="E902" s="31" t="n">
        <v>43902.9</v>
      </c>
      <c r="F902" s="31" t="n">
        <v>43915.3</v>
      </c>
      <c r="G902" s="31" t="n">
        <v>43941.4</v>
      </c>
      <c r="H902" s="31" t="n">
        <v>43949.5</v>
      </c>
      <c r="I902" s="31" t="n">
        <v>43977.5</v>
      </c>
      <c r="J902" s="31" t="n">
        <v>44002.1</v>
      </c>
      <c r="K902" s="31" t="n">
        <v>32022.6</v>
      </c>
      <c r="L902" s="31" t="n">
        <v>31923.4</v>
      </c>
      <c r="M902" s="30" t="inlineStr">
        <is>
          <t>AMR3</t>
        </is>
      </c>
      <c r="N902" s="30" t="inlineStr">
        <is>
          <t>AMR2</t>
        </is>
      </c>
      <c r="O902" s="32" t="n">
        <v>0</v>
      </c>
      <c r="P902" s="32" t="n">
        <v>0</v>
      </c>
      <c r="Q902" s="32" t="n">
        <v>15</v>
      </c>
      <c r="R902" s="31" t="n">
        <v>36.8</v>
      </c>
      <c r="S902" s="31" t="n">
        <v>36.8</v>
      </c>
      <c r="T902" s="30" t="inlineStr">
        <is>
          <t>AMR3</t>
        </is>
      </c>
      <c r="U902" s="31" t="n">
        <v>53.8</v>
      </c>
      <c r="V902" s="31" t="n">
        <v>53.8</v>
      </c>
      <c r="W902" s="30" t="inlineStr">
        <is>
          <t>AMR2</t>
        </is>
      </c>
      <c r="X902" s="32" t="n">
        <v>0</v>
      </c>
      <c r="Y902" s="32" t="n">
        <v>0</v>
      </c>
      <c r="Z902" s="31" t="n">
        <v>0</v>
      </c>
      <c r="AA902" s="32" t="n">
        <v>0</v>
      </c>
      <c r="AB902" s="32" t="n">
        <v>0</v>
      </c>
      <c r="AC902" s="32" t="n">
        <v>0</v>
      </c>
      <c r="AD902" s="32" t="n">
        <v>0</v>
      </c>
      <c r="AE902" s="31" t="n">
        <v>0</v>
      </c>
      <c r="AF902" s="32" t="n">
        <v>0</v>
      </c>
      <c r="AG902" s="31" t="n">
        <v>0</v>
      </c>
      <c r="AH902" s="32" t="n">
        <v>42</v>
      </c>
      <c r="AI902" s="31" t="n">
        <v>45.8</v>
      </c>
      <c r="AJ902" s="31" t="n">
        <v>45.3</v>
      </c>
      <c r="AK902" s="31" t="n">
        <v>0</v>
      </c>
      <c r="AL902" s="30" t="inlineStr">
        <is>
          <t>T-1051</t>
        </is>
      </c>
      <c r="AM902" s="30" t="inlineStr">
        <is>
          <t>H-03-03</t>
        </is>
      </c>
      <c r="AN902" s="30" t="inlineStr">
        <is>
          <t>T-0886</t>
        </is>
      </c>
      <c r="AO902" s="30" t="inlineStr">
        <is>
          <t>H-02-02</t>
        </is>
      </c>
    </row>
    <row r="903">
      <c r="A903" s="30" t="inlineStr">
        <is>
          <t>O0902</t>
        </is>
      </c>
      <c r="B903" s="30" t="inlineStr">
        <is>
          <t>C</t>
        </is>
      </c>
      <c r="C903" s="31" t="n">
        <v>11998.3</v>
      </c>
      <c r="D903" s="31" t="n">
        <v>43955.9</v>
      </c>
      <c r="E903" s="31" t="n">
        <v>43955.9</v>
      </c>
      <c r="F903" s="31" t="n">
        <v>43968.7</v>
      </c>
      <c r="G903" s="31" t="n">
        <v>43988.8</v>
      </c>
      <c r="H903" s="31" t="n">
        <v>44001.6</v>
      </c>
      <c r="I903" s="31" t="n">
        <v>44025.5</v>
      </c>
      <c r="J903" s="31" t="n">
        <v>44055.9</v>
      </c>
      <c r="K903" s="31" t="n">
        <v>32057.6</v>
      </c>
      <c r="L903" s="31" t="n">
        <v>31957.6</v>
      </c>
      <c r="M903" s="30" t="inlineStr">
        <is>
          <t>AMR3</t>
        </is>
      </c>
      <c r="N903" s="30" t="inlineStr">
        <is>
          <t>AMR3</t>
        </is>
      </c>
      <c r="O903" s="32" t="n">
        <v>0</v>
      </c>
      <c r="P903" s="32" t="n">
        <v>0</v>
      </c>
      <c r="Q903" s="32" t="n">
        <v>13</v>
      </c>
      <c r="R903" s="31" t="n">
        <v>32</v>
      </c>
      <c r="S903" s="31" t="n">
        <v>32</v>
      </c>
      <c r="T903" s="30" t="inlineStr">
        <is>
          <t>AMR3</t>
        </is>
      </c>
      <c r="U903" s="31" t="n">
        <v>54.4</v>
      </c>
      <c r="V903" s="31" t="n">
        <v>54.4</v>
      </c>
      <c r="W903" s="30" t="inlineStr">
        <is>
          <t>AMR3</t>
        </is>
      </c>
      <c r="X903" s="32" t="n">
        <v>0</v>
      </c>
      <c r="Y903" s="32" t="n">
        <v>0</v>
      </c>
      <c r="Z903" s="31" t="n">
        <v>0</v>
      </c>
      <c r="AA903" s="32" t="n">
        <v>0</v>
      </c>
      <c r="AB903" s="32" t="n">
        <v>0</v>
      </c>
      <c r="AC903" s="32" t="n">
        <v>0</v>
      </c>
      <c r="AD903" s="32" t="n">
        <v>0</v>
      </c>
      <c r="AE903" s="31" t="n">
        <v>0</v>
      </c>
      <c r="AF903" s="32" t="n">
        <v>0</v>
      </c>
      <c r="AG903" s="31" t="n">
        <v>0</v>
      </c>
      <c r="AH903" s="32" t="n">
        <v>41</v>
      </c>
      <c r="AI903" s="31" t="n">
        <v>43</v>
      </c>
      <c r="AJ903" s="31" t="n">
        <v>44.2</v>
      </c>
      <c r="AK903" s="31" t="n">
        <v>0</v>
      </c>
      <c r="AL903" s="30" t="inlineStr">
        <is>
          <t>T-1052</t>
        </is>
      </c>
      <c r="AM903" s="30" t="inlineStr">
        <is>
          <t>C-05-01</t>
        </is>
      </c>
      <c r="AN903" s="30" t="inlineStr">
        <is>
          <t>T-0964</t>
        </is>
      </c>
      <c r="AO903" s="30" t="inlineStr">
        <is>
          <t>C-03-01</t>
        </is>
      </c>
    </row>
    <row r="904">
      <c r="A904" s="30" t="inlineStr">
        <is>
          <t>O0903</t>
        </is>
      </c>
      <c r="B904" s="30" t="inlineStr">
        <is>
          <t>A</t>
        </is>
      </c>
      <c r="C904" s="31" t="n">
        <v>12022.6</v>
      </c>
      <c r="D904" s="31" t="n">
        <v>43988</v>
      </c>
      <c r="E904" s="31" t="n">
        <v>43988</v>
      </c>
      <c r="F904" s="31" t="n">
        <v>44001.3</v>
      </c>
      <c r="G904" s="31" t="n">
        <v>44033.5</v>
      </c>
      <c r="H904" s="31" t="n">
        <v>44055.1</v>
      </c>
      <c r="I904" s="31" t="n">
        <v>44082.3</v>
      </c>
      <c r="J904" s="31" t="n">
        <v>44117.5</v>
      </c>
      <c r="K904" s="31" t="n">
        <v>32094.9</v>
      </c>
      <c r="L904" s="31" t="n">
        <v>31965.4</v>
      </c>
      <c r="M904" s="30" t="inlineStr">
        <is>
          <t>AMR1</t>
        </is>
      </c>
      <c r="N904" s="30" t="inlineStr">
        <is>
          <t>AMR1</t>
        </is>
      </c>
      <c r="O904" s="32" t="n">
        <v>0</v>
      </c>
      <c r="P904" s="32" t="n">
        <v>0</v>
      </c>
      <c r="Q904" s="32" t="n">
        <v>21</v>
      </c>
      <c r="R904" s="31" t="n">
        <v>43</v>
      </c>
      <c r="S904" s="31" t="n">
        <v>43</v>
      </c>
      <c r="T904" s="30" t="inlineStr">
        <is>
          <t>AMR1</t>
        </is>
      </c>
      <c r="U904" s="31" t="n">
        <v>62.1</v>
      </c>
      <c r="V904" s="31" t="n">
        <v>62.1</v>
      </c>
      <c r="W904" s="30" t="inlineStr">
        <is>
          <t>AMR1</t>
        </is>
      </c>
      <c r="X904" s="32" t="n">
        <v>0</v>
      </c>
      <c r="Y904" s="32" t="n">
        <v>0</v>
      </c>
      <c r="Z904" s="31" t="n">
        <v>0</v>
      </c>
      <c r="AA904" s="32" t="n">
        <v>0</v>
      </c>
      <c r="AB904" s="32" t="n">
        <v>0</v>
      </c>
      <c r="AC904" s="32" t="n">
        <v>0</v>
      </c>
      <c r="AD904" s="32" t="n">
        <v>0</v>
      </c>
      <c r="AE904" s="31" t="n">
        <v>0</v>
      </c>
      <c r="AF904" s="32" t="n">
        <v>0</v>
      </c>
      <c r="AG904" s="31" t="n">
        <v>0</v>
      </c>
      <c r="AH904" s="32" t="n">
        <v>65</v>
      </c>
      <c r="AI904" s="31" t="n">
        <v>64.90000000000001</v>
      </c>
      <c r="AJ904" s="31" t="n">
        <v>43</v>
      </c>
      <c r="AK904" s="31" t="n">
        <v>0</v>
      </c>
      <c r="AL904" s="30" t="inlineStr">
        <is>
          <t>T-1053</t>
        </is>
      </c>
      <c r="AM904" s="30" t="inlineStr">
        <is>
          <t>A-01-02</t>
        </is>
      </c>
      <c r="AN904" s="30" t="inlineStr">
        <is>
          <t>T-0837</t>
        </is>
      </c>
      <c r="AO904" s="30" t="inlineStr">
        <is>
          <t>A-05-02</t>
        </is>
      </c>
    </row>
    <row r="905">
      <c r="A905" s="30" t="inlineStr">
        <is>
          <t>O0904</t>
        </is>
      </c>
      <c r="B905" s="30" t="inlineStr">
        <is>
          <t>D</t>
        </is>
      </c>
      <c r="C905" s="31" t="n">
        <v>12039.9</v>
      </c>
      <c r="D905" s="31" t="n">
        <v>44025.8</v>
      </c>
      <c r="E905" s="31" t="n">
        <v>44025.8</v>
      </c>
      <c r="F905" s="31" t="n">
        <v>44041.4</v>
      </c>
      <c r="G905" s="31" t="n">
        <v>44063.7</v>
      </c>
      <c r="H905" s="31" t="n">
        <v>44076.5</v>
      </c>
      <c r="I905" s="31" t="n">
        <v>44108.1</v>
      </c>
      <c r="J905" s="31" t="n">
        <v>44134.9</v>
      </c>
      <c r="K905" s="31" t="n">
        <v>32095</v>
      </c>
      <c r="L905" s="31" t="n">
        <v>31985.9</v>
      </c>
      <c r="M905" s="30" t="inlineStr">
        <is>
          <t>AMR2</t>
        </is>
      </c>
      <c r="N905" s="30" t="inlineStr">
        <is>
          <t>AMR2</t>
        </is>
      </c>
      <c r="O905" s="32" t="n">
        <v>0</v>
      </c>
      <c r="P905" s="32" t="n">
        <v>0</v>
      </c>
      <c r="Q905" s="32" t="n">
        <v>13</v>
      </c>
      <c r="R905" s="31" t="n">
        <v>37</v>
      </c>
      <c r="S905" s="31" t="n">
        <v>37</v>
      </c>
      <c r="T905" s="30" t="inlineStr">
        <is>
          <t>AMR2</t>
        </is>
      </c>
      <c r="U905" s="31" t="n">
        <v>53</v>
      </c>
      <c r="V905" s="31" t="n">
        <v>53</v>
      </c>
      <c r="W905" s="30" t="inlineStr">
        <is>
          <t>AMR2</t>
        </is>
      </c>
      <c r="X905" s="32" t="n">
        <v>0</v>
      </c>
      <c r="Y905" s="32" t="n">
        <v>0</v>
      </c>
      <c r="Z905" s="31" t="n">
        <v>0</v>
      </c>
      <c r="AA905" s="32" t="n">
        <v>0</v>
      </c>
      <c r="AB905" s="32" t="n">
        <v>0</v>
      </c>
      <c r="AC905" s="32" t="n">
        <v>1</v>
      </c>
      <c r="AD905" s="32" t="n">
        <v>0</v>
      </c>
      <c r="AE905" s="31" t="n">
        <v>0</v>
      </c>
      <c r="AF905" s="32" t="n">
        <v>1</v>
      </c>
      <c r="AG905" s="31" t="n">
        <v>0.6</v>
      </c>
      <c r="AH905" s="32" t="n">
        <v>39</v>
      </c>
      <c r="AI905" s="31" t="n">
        <v>43.4</v>
      </c>
      <c r="AJ905" s="31" t="n">
        <v>47.3</v>
      </c>
      <c r="AK905" s="31" t="n">
        <v>5.6</v>
      </c>
      <c r="AL905" s="30" t="inlineStr">
        <is>
          <t>T-1054</t>
        </is>
      </c>
      <c r="AM905" s="30" t="inlineStr">
        <is>
          <t>D-01-02</t>
        </is>
      </c>
      <c r="AN905" s="30" t="inlineStr">
        <is>
          <t>T-0941</t>
        </is>
      </c>
      <c r="AO905" s="30" t="inlineStr">
        <is>
          <t>D-02-02</t>
        </is>
      </c>
    </row>
    <row r="906">
      <c r="A906" s="30" t="inlineStr">
        <is>
          <t>O0905</t>
        </is>
      </c>
      <c r="B906" s="30" t="inlineStr">
        <is>
          <t>F</t>
        </is>
      </c>
      <c r="C906" s="31" t="n">
        <v>12064</v>
      </c>
      <c r="D906" s="31" t="n">
        <v>44087</v>
      </c>
      <c r="E906" s="31" t="n">
        <v>44087</v>
      </c>
      <c r="F906" s="31" t="n">
        <v>44101.8</v>
      </c>
      <c r="G906" s="31" t="n">
        <v>44133.3</v>
      </c>
      <c r="H906" s="31" t="n">
        <v>44141.2</v>
      </c>
      <c r="I906" s="31" t="n">
        <v>44174</v>
      </c>
      <c r="J906" s="31" t="n">
        <v>44210</v>
      </c>
      <c r="K906" s="31" t="n">
        <v>32146</v>
      </c>
      <c r="L906" s="31" t="n">
        <v>32023</v>
      </c>
      <c r="M906" s="30" t="inlineStr">
        <is>
          <t>AMR3</t>
        </is>
      </c>
      <c r="N906" s="30" t="inlineStr">
        <is>
          <t>AMR1</t>
        </is>
      </c>
      <c r="O906" s="32" t="n">
        <v>0</v>
      </c>
      <c r="P906" s="32" t="n">
        <v>0</v>
      </c>
      <c r="Q906" s="32" t="n">
        <v>23</v>
      </c>
      <c r="R906" s="31" t="n">
        <v>44.6</v>
      </c>
      <c r="S906" s="31" t="n">
        <v>44.6</v>
      </c>
      <c r="T906" s="30" t="inlineStr">
        <is>
          <t>AMR3</t>
        </is>
      </c>
      <c r="U906" s="31" t="n">
        <v>68</v>
      </c>
      <c r="V906" s="31" t="n">
        <v>68</v>
      </c>
      <c r="W906" s="30" t="inlineStr">
        <is>
          <t>AMR1</t>
        </is>
      </c>
      <c r="X906" s="32" t="n">
        <v>0</v>
      </c>
      <c r="Y906" s="32" t="n">
        <v>0</v>
      </c>
      <c r="Z906" s="31" t="n">
        <v>0</v>
      </c>
      <c r="AA906" s="32" t="n">
        <v>0</v>
      </c>
      <c r="AB906" s="32" t="n">
        <v>0</v>
      </c>
      <c r="AC906" s="32" t="n">
        <v>0</v>
      </c>
      <c r="AD906" s="32" t="n">
        <v>0</v>
      </c>
      <c r="AE906" s="31" t="n">
        <v>0</v>
      </c>
      <c r="AF906" s="32" t="n">
        <v>0</v>
      </c>
      <c r="AG906" s="31" t="n">
        <v>0</v>
      </c>
      <c r="AH906" s="32" t="n">
        <v>68</v>
      </c>
      <c r="AI906" s="31" t="n">
        <v>67.7</v>
      </c>
      <c r="AJ906" s="31" t="n">
        <v>47.4</v>
      </c>
      <c r="AK906" s="31" t="n">
        <v>0</v>
      </c>
      <c r="AL906" s="30" t="inlineStr">
        <is>
          <t>T-1055</t>
        </is>
      </c>
      <c r="AM906" s="30" t="inlineStr">
        <is>
          <t>F-03-01</t>
        </is>
      </c>
      <c r="AN906" s="30" t="inlineStr">
        <is>
          <t>T-0811</t>
        </is>
      </c>
      <c r="AO906" s="30" t="inlineStr">
        <is>
          <t>F-03-03</t>
        </is>
      </c>
    </row>
    <row r="907">
      <c r="A907" s="30" t="inlineStr">
        <is>
          <t>O0906</t>
        </is>
      </c>
      <c r="B907" s="30" t="inlineStr">
        <is>
          <t>J</t>
        </is>
      </c>
      <c r="C907" s="31" t="n">
        <v>12087.3</v>
      </c>
      <c r="D907" s="31" t="n">
        <v>44156.2</v>
      </c>
      <c r="E907" s="31" t="n">
        <v>44156.2</v>
      </c>
      <c r="F907" s="31" t="n">
        <v>44170.4</v>
      </c>
      <c r="G907" s="31" t="n">
        <v>44200.7</v>
      </c>
      <c r="H907" s="31" t="n">
        <v>44222.9</v>
      </c>
      <c r="I907" s="31" t="n">
        <v>44256.8</v>
      </c>
      <c r="J907" s="31" t="n">
        <v>44297</v>
      </c>
      <c r="K907" s="31" t="n">
        <v>32209.7</v>
      </c>
      <c r="L907" s="31" t="n">
        <v>32068.9</v>
      </c>
      <c r="M907" s="30" t="inlineStr">
        <is>
          <t>AMR3</t>
        </is>
      </c>
      <c r="N907" s="30" t="inlineStr">
        <is>
          <t>AMR3</t>
        </is>
      </c>
      <c r="O907" s="32" t="n">
        <v>0</v>
      </c>
      <c r="P907" s="32" t="n">
        <v>0</v>
      </c>
      <c r="Q907" s="32" t="n">
        <v>21</v>
      </c>
      <c r="R907" s="31" t="n">
        <v>42</v>
      </c>
      <c r="S907" s="31" t="n">
        <v>42</v>
      </c>
      <c r="T907" s="30" t="inlineStr">
        <is>
          <t>AMR3</t>
        </is>
      </c>
      <c r="U907" s="31" t="n">
        <v>66.40000000000001</v>
      </c>
      <c r="V907" s="31" t="n">
        <v>66.40000000000001</v>
      </c>
      <c r="W907" s="30" t="inlineStr">
        <is>
          <t>AMR3</t>
        </is>
      </c>
      <c r="X907" s="32" t="n">
        <v>0</v>
      </c>
      <c r="Y907" s="32" t="n">
        <v>0</v>
      </c>
      <c r="Z907" s="31" t="n">
        <v>0</v>
      </c>
      <c r="AA907" s="32" t="n">
        <v>0</v>
      </c>
      <c r="AB907" s="32" t="n">
        <v>1</v>
      </c>
      <c r="AC907" s="32" t="n">
        <v>1</v>
      </c>
      <c r="AD907" s="32" t="n">
        <v>1</v>
      </c>
      <c r="AE907" s="31" t="n">
        <v>2</v>
      </c>
      <c r="AF907" s="32" t="n">
        <v>0</v>
      </c>
      <c r="AG907" s="31" t="n">
        <v>0</v>
      </c>
      <c r="AH907" s="32" t="n">
        <v>65</v>
      </c>
      <c r="AI907" s="31" t="n">
        <v>67.8</v>
      </c>
      <c r="AJ907" s="31" t="n">
        <v>47.8</v>
      </c>
      <c r="AK907" s="31" t="n">
        <v>3</v>
      </c>
      <c r="AL907" s="30" t="inlineStr">
        <is>
          <t>T-1056</t>
        </is>
      </c>
      <c r="AM907" s="30" t="inlineStr">
        <is>
          <t>J-04-01</t>
        </is>
      </c>
      <c r="AN907" s="30" t="inlineStr">
        <is>
          <t>T-0907</t>
        </is>
      </c>
      <c r="AO907" s="30" t="inlineStr">
        <is>
          <t>J-03-01</t>
        </is>
      </c>
    </row>
    <row r="908">
      <c r="A908" s="30" t="inlineStr">
        <is>
          <t>O0907</t>
        </is>
      </c>
      <c r="B908" s="30" t="inlineStr">
        <is>
          <t>A</t>
        </is>
      </c>
      <c r="C908" s="31" t="n">
        <v>12103.5</v>
      </c>
      <c r="D908" s="31" t="n">
        <v>44170.5</v>
      </c>
      <c r="E908" s="31" t="n">
        <v>44170.5</v>
      </c>
      <c r="F908" s="31" t="n">
        <v>44185.4</v>
      </c>
      <c r="G908" s="31" t="n">
        <v>44215.2</v>
      </c>
      <c r="H908" s="31" t="n">
        <v>44233.7</v>
      </c>
      <c r="I908" s="31" t="n">
        <v>44270.1</v>
      </c>
      <c r="J908" s="31" t="n">
        <v>44310.1</v>
      </c>
      <c r="K908" s="31" t="n">
        <v>32206.6</v>
      </c>
      <c r="L908" s="31" t="n">
        <v>32067</v>
      </c>
      <c r="M908" s="30" t="inlineStr">
        <is>
          <t>AMR2</t>
        </is>
      </c>
      <c r="N908" s="30" t="inlineStr">
        <is>
          <t>AMR1</t>
        </is>
      </c>
      <c r="O908" s="32" t="n">
        <v>0</v>
      </c>
      <c r="P908" s="32" t="n">
        <v>0</v>
      </c>
      <c r="Q908" s="32" t="n">
        <v>21</v>
      </c>
      <c r="R908" s="31" t="n">
        <v>43</v>
      </c>
      <c r="S908" s="31" t="n">
        <v>43</v>
      </c>
      <c r="T908" s="30" t="inlineStr">
        <is>
          <t>AMR2</t>
        </is>
      </c>
      <c r="U908" s="31" t="n">
        <v>64.90000000000001</v>
      </c>
      <c r="V908" s="31" t="n">
        <v>64.90000000000001</v>
      </c>
      <c r="W908" s="30" t="inlineStr">
        <is>
          <t>AMR1</t>
        </is>
      </c>
      <c r="X908" s="32" t="n">
        <v>0</v>
      </c>
      <c r="Y908" s="32" t="n">
        <v>0</v>
      </c>
      <c r="Z908" s="31" t="n">
        <v>0</v>
      </c>
      <c r="AA908" s="32" t="n">
        <v>0</v>
      </c>
      <c r="AB908" s="32" t="n">
        <v>1</v>
      </c>
      <c r="AC908" s="32" t="n">
        <v>1</v>
      </c>
      <c r="AD908" s="32" t="n">
        <v>1</v>
      </c>
      <c r="AE908" s="31" t="n">
        <v>5.4</v>
      </c>
      <c r="AF908" s="32" t="n">
        <v>1</v>
      </c>
      <c r="AG908" s="31" t="n">
        <v>0.4</v>
      </c>
      <c r="AH908" s="32" t="n">
        <v>64</v>
      </c>
      <c r="AI908" s="31" t="n">
        <v>66.90000000000001</v>
      </c>
      <c r="AJ908" s="31" t="n">
        <v>45.8</v>
      </c>
      <c r="AK908" s="31" t="n">
        <v>8.4</v>
      </c>
      <c r="AL908" s="30" t="inlineStr">
        <is>
          <t>T-1057</t>
        </is>
      </c>
      <c r="AM908" s="30" t="inlineStr">
        <is>
          <t>A-03-02</t>
        </is>
      </c>
      <c r="AN908" s="30" t="inlineStr">
        <is>
          <t>T-0838</t>
        </is>
      </c>
      <c r="AO908" s="30" t="inlineStr">
        <is>
          <t>A-04-03</t>
        </is>
      </c>
    </row>
    <row r="909">
      <c r="A909" s="30" t="inlineStr">
        <is>
          <t>O0908</t>
        </is>
      </c>
      <c r="B909" s="30" t="inlineStr">
        <is>
          <t>I</t>
        </is>
      </c>
      <c r="C909" s="31" t="n">
        <v>12120.7</v>
      </c>
      <c r="D909" s="31" t="n">
        <v>44241.5</v>
      </c>
      <c r="E909" s="31" t="n">
        <v>44241.5</v>
      </c>
      <c r="F909" s="31" t="n">
        <v>44252.9</v>
      </c>
      <c r="G909" s="31" t="n">
        <v>44284.6</v>
      </c>
      <c r="H909" s="31" t="n">
        <v>44300.7</v>
      </c>
      <c r="I909" s="31" t="n">
        <v>44334.2</v>
      </c>
      <c r="J909" s="31" t="n">
        <v>44364.5</v>
      </c>
      <c r="K909" s="31" t="n">
        <v>32243.8</v>
      </c>
      <c r="L909" s="31" t="n">
        <v>32120.8</v>
      </c>
      <c r="M909" s="30" t="inlineStr">
        <is>
          <t>AMR2</t>
        </is>
      </c>
      <c r="N909" s="30" t="inlineStr">
        <is>
          <t>AMR2</t>
        </is>
      </c>
      <c r="O909" s="32" t="n">
        <v>0</v>
      </c>
      <c r="P909" s="32" t="n">
        <v>0</v>
      </c>
      <c r="Q909" s="32" t="n">
        <v>15</v>
      </c>
      <c r="R909" s="31" t="n">
        <v>36.4</v>
      </c>
      <c r="S909" s="31" t="n">
        <v>36.4</v>
      </c>
      <c r="T909" s="30" t="inlineStr">
        <is>
          <t>AMR2</t>
        </is>
      </c>
      <c r="U909" s="31" t="n">
        <v>54.7</v>
      </c>
      <c r="V909" s="31" t="n">
        <v>54.7</v>
      </c>
      <c r="W909" s="30" t="inlineStr">
        <is>
          <t>AMR2</t>
        </is>
      </c>
      <c r="X909" s="32" t="n">
        <v>0</v>
      </c>
      <c r="Y909" s="32" t="n">
        <v>0</v>
      </c>
      <c r="Z909" s="31" t="n">
        <v>0</v>
      </c>
      <c r="AA909" s="32" t="n">
        <v>0</v>
      </c>
      <c r="AB909" s="32" t="n">
        <v>3</v>
      </c>
      <c r="AC909" s="32" t="n">
        <v>2</v>
      </c>
      <c r="AD909" s="32" t="n">
        <v>1</v>
      </c>
      <c r="AE909" s="31" t="n">
        <v>2</v>
      </c>
      <c r="AF909" s="32" t="n">
        <v>0</v>
      </c>
      <c r="AG909" s="31" t="n">
        <v>0</v>
      </c>
      <c r="AH909" s="32" t="n">
        <v>48</v>
      </c>
      <c r="AI909" s="31" t="n">
        <v>53.6</v>
      </c>
      <c r="AJ909" s="31" t="n">
        <v>45.3</v>
      </c>
      <c r="AK909" s="31" t="n">
        <v>8</v>
      </c>
      <c r="AL909" s="30" t="inlineStr">
        <is>
          <t>T-1058</t>
        </is>
      </c>
      <c r="AM909" s="30" t="inlineStr">
        <is>
          <t>I-03-02</t>
        </is>
      </c>
      <c r="AN909" s="30" t="inlineStr">
        <is>
          <t>T-0916</t>
        </is>
      </c>
      <c r="AO909" s="30" t="inlineStr">
        <is>
          <t>I-04-02</t>
        </is>
      </c>
    </row>
    <row r="910">
      <c r="A910" s="30" t="inlineStr">
        <is>
          <t>O0909</t>
        </is>
      </c>
      <c r="B910" s="30" t="inlineStr">
        <is>
          <t>B</t>
        </is>
      </c>
      <c r="C910" s="31" t="n">
        <v>12145.3</v>
      </c>
      <c r="D910" s="31" t="n">
        <v>44325.3</v>
      </c>
      <c r="E910" s="31" t="n">
        <v>44325.3</v>
      </c>
      <c r="F910" s="31" t="n">
        <v>44335.8</v>
      </c>
      <c r="G910" s="31" t="n">
        <v>44360.3</v>
      </c>
      <c r="H910" s="31" t="n">
        <v>44375.8</v>
      </c>
      <c r="I910" s="31" t="n">
        <v>44404.9</v>
      </c>
      <c r="J910" s="31" t="n">
        <v>44435.5</v>
      </c>
      <c r="K910" s="31" t="n">
        <v>32290.2</v>
      </c>
      <c r="L910" s="31" t="n">
        <v>32180</v>
      </c>
      <c r="M910" s="30" t="inlineStr">
        <is>
          <t>AMR3</t>
        </is>
      </c>
      <c r="N910" s="30" t="inlineStr">
        <is>
          <t>AMR3</t>
        </is>
      </c>
      <c r="O910" s="32" t="n">
        <v>0</v>
      </c>
      <c r="P910" s="32" t="n">
        <v>0</v>
      </c>
      <c r="Q910" s="32" t="n">
        <v>15</v>
      </c>
      <c r="R910" s="31" t="n">
        <v>33.3</v>
      </c>
      <c r="S910" s="31" t="n">
        <v>33.3</v>
      </c>
      <c r="T910" s="30" t="inlineStr">
        <is>
          <t>AMR3</t>
        </is>
      </c>
      <c r="U910" s="31" t="n">
        <v>56.4</v>
      </c>
      <c r="V910" s="31" t="n">
        <v>56.4</v>
      </c>
      <c r="W910" s="30" t="inlineStr">
        <is>
          <t>AMR3</t>
        </is>
      </c>
      <c r="X910" s="32" t="n">
        <v>0</v>
      </c>
      <c r="Y910" s="32" t="n">
        <v>0</v>
      </c>
      <c r="Z910" s="31" t="n">
        <v>0</v>
      </c>
      <c r="AA910" s="32" t="n">
        <v>0</v>
      </c>
      <c r="AB910" s="32" t="n">
        <v>0</v>
      </c>
      <c r="AC910" s="32" t="n">
        <v>0</v>
      </c>
      <c r="AD910" s="32" t="n">
        <v>0</v>
      </c>
      <c r="AE910" s="31" t="n">
        <v>0</v>
      </c>
      <c r="AF910" s="32" t="n">
        <v>0</v>
      </c>
      <c r="AG910" s="31" t="n">
        <v>0</v>
      </c>
      <c r="AH910" s="32" t="n">
        <v>50</v>
      </c>
      <c r="AI910" s="31" t="n">
        <v>52.3</v>
      </c>
      <c r="AJ910" s="31" t="n">
        <v>42.4</v>
      </c>
      <c r="AK910" s="31" t="n">
        <v>0</v>
      </c>
      <c r="AL910" s="30" t="inlineStr">
        <is>
          <t>T-1059</t>
        </is>
      </c>
      <c r="AM910" s="30" t="inlineStr">
        <is>
          <t>B-03-03</t>
        </is>
      </c>
      <c r="AN910" s="30" t="inlineStr">
        <is>
          <t>T-0909</t>
        </is>
      </c>
      <c r="AO910" s="30" t="inlineStr">
        <is>
          <t>B-01-01</t>
        </is>
      </c>
    </row>
    <row r="911">
      <c r="A911" s="30" t="inlineStr">
        <is>
          <t>O0910</t>
        </is>
      </c>
      <c r="B911" s="30" t="inlineStr">
        <is>
          <t>E</t>
        </is>
      </c>
      <c r="C911" s="31" t="n">
        <v>12168.9</v>
      </c>
      <c r="D911" s="31" t="n">
        <v>44336</v>
      </c>
      <c r="E911" s="31" t="n">
        <v>44336</v>
      </c>
      <c r="F911" s="31" t="n">
        <v>44346.7</v>
      </c>
      <c r="G911" s="31" t="n">
        <v>44377.5</v>
      </c>
      <c r="H911" s="31" t="n">
        <v>44388.2</v>
      </c>
      <c r="I911" s="31" t="n">
        <v>44415.6</v>
      </c>
      <c r="J911" s="31" t="n">
        <v>44454.2</v>
      </c>
      <c r="K911" s="31" t="n">
        <v>32285.3</v>
      </c>
      <c r="L911" s="31" t="n">
        <v>32167.1</v>
      </c>
      <c r="M911" s="30" t="inlineStr">
        <is>
          <t>AMR1</t>
        </is>
      </c>
      <c r="N911" s="30" t="inlineStr">
        <is>
          <t>AMR2</t>
        </is>
      </c>
      <c r="O911" s="32" t="n">
        <v>0</v>
      </c>
      <c r="P911" s="32" t="n">
        <v>0</v>
      </c>
      <c r="Q911" s="32" t="n">
        <v>19</v>
      </c>
      <c r="R911" s="31" t="n">
        <v>39</v>
      </c>
      <c r="S911" s="31" t="n">
        <v>39</v>
      </c>
      <c r="T911" s="30" t="inlineStr">
        <is>
          <t>AMR1</t>
        </is>
      </c>
      <c r="U911" s="31" t="n">
        <v>61.2</v>
      </c>
      <c r="V911" s="31" t="n">
        <v>61.2</v>
      </c>
      <c r="W911" s="30" t="inlineStr">
        <is>
          <t>AMR2</t>
        </is>
      </c>
      <c r="X911" s="32" t="n">
        <v>0</v>
      </c>
      <c r="Y911" s="32" t="n">
        <v>0</v>
      </c>
      <c r="Z911" s="31" t="n">
        <v>0</v>
      </c>
      <c r="AA911" s="32" t="n">
        <v>0</v>
      </c>
      <c r="AB911" s="32" t="n">
        <v>0</v>
      </c>
      <c r="AC911" s="32" t="n">
        <v>0</v>
      </c>
      <c r="AD911" s="32" t="n">
        <v>0</v>
      </c>
      <c r="AE911" s="31" t="n">
        <v>0</v>
      </c>
      <c r="AF911" s="32" t="n">
        <v>0</v>
      </c>
      <c r="AG911" s="31" t="n">
        <v>0</v>
      </c>
      <c r="AH911" s="32" t="n">
        <v>65</v>
      </c>
      <c r="AI911" s="31" t="n">
        <v>64.8</v>
      </c>
      <c r="AJ911" s="31" t="n">
        <v>42.7</v>
      </c>
      <c r="AK911" s="31" t="n">
        <v>0</v>
      </c>
      <c r="AL911" s="30" t="inlineStr">
        <is>
          <t>T-1060</t>
        </is>
      </c>
      <c r="AM911" s="30" t="inlineStr">
        <is>
          <t>E-05-02</t>
        </is>
      </c>
      <c r="AN911" s="30" t="inlineStr">
        <is>
          <t>T-0902</t>
        </is>
      </c>
      <c r="AO911" s="30" t="inlineStr">
        <is>
          <t>E-06-02</t>
        </is>
      </c>
    </row>
    <row r="912">
      <c r="A912" s="30" t="inlineStr">
        <is>
          <t>O0911</t>
        </is>
      </c>
      <c r="B912" s="30" t="inlineStr">
        <is>
          <t>H</t>
        </is>
      </c>
      <c r="C912" s="31" t="n">
        <v>12184.8</v>
      </c>
      <c r="D912" s="31" t="n">
        <v>44397.7</v>
      </c>
      <c r="E912" s="31" t="n">
        <v>44397.7</v>
      </c>
      <c r="F912" s="31" t="n">
        <v>44411.4</v>
      </c>
      <c r="G912" s="31" t="n">
        <v>44434.7</v>
      </c>
      <c r="H912" s="31" t="n">
        <v>44448.9</v>
      </c>
      <c r="I912" s="31" t="n">
        <v>44476.2</v>
      </c>
      <c r="J912" s="31" t="n">
        <v>44500</v>
      </c>
      <c r="K912" s="31" t="n">
        <v>32315.2</v>
      </c>
      <c r="L912" s="31" t="n">
        <v>32212.9</v>
      </c>
      <c r="M912" s="30" t="inlineStr">
        <is>
          <t>AMR1</t>
        </is>
      </c>
      <c r="N912" s="30" t="inlineStr">
        <is>
          <t>AMR1</t>
        </is>
      </c>
      <c r="O912" s="32" t="n">
        <v>0</v>
      </c>
      <c r="P912" s="32" t="n">
        <v>0</v>
      </c>
      <c r="Q912" s="32" t="n">
        <v>15</v>
      </c>
      <c r="R912" s="31" t="n">
        <v>36.1</v>
      </c>
      <c r="S912" s="31" t="n">
        <v>36.1</v>
      </c>
      <c r="T912" s="30" t="inlineStr">
        <is>
          <t>AMR1</t>
        </is>
      </c>
      <c r="U912" s="31" t="n">
        <v>51.8</v>
      </c>
      <c r="V912" s="31" t="n">
        <v>51.8</v>
      </c>
      <c r="W912" s="30" t="inlineStr">
        <is>
          <t>AMR1</t>
        </is>
      </c>
      <c r="X912" s="32" t="n">
        <v>0</v>
      </c>
      <c r="Y912" s="32" t="n">
        <v>0</v>
      </c>
      <c r="Z912" s="31" t="n">
        <v>0</v>
      </c>
      <c r="AA912" s="32" t="n">
        <v>0</v>
      </c>
      <c r="AB912" s="32" t="n">
        <v>0</v>
      </c>
      <c r="AC912" s="32" t="n">
        <v>0</v>
      </c>
      <c r="AD912" s="32" t="n">
        <v>0</v>
      </c>
      <c r="AE912" s="31" t="n">
        <v>0</v>
      </c>
      <c r="AF912" s="32" t="n">
        <v>0</v>
      </c>
      <c r="AG912" s="31" t="n">
        <v>0</v>
      </c>
      <c r="AH912" s="32" t="n">
        <v>41</v>
      </c>
      <c r="AI912" s="31" t="n">
        <v>45.5</v>
      </c>
      <c r="AJ912" s="31" t="n">
        <v>42.6</v>
      </c>
      <c r="AK912" s="31" t="n">
        <v>0</v>
      </c>
      <c r="AL912" s="30" t="inlineStr">
        <is>
          <t>T-1061</t>
        </is>
      </c>
      <c r="AM912" s="30" t="inlineStr">
        <is>
          <t>H-02-02</t>
        </is>
      </c>
      <c r="AN912" s="30" t="inlineStr">
        <is>
          <t>T-0895</t>
        </is>
      </c>
      <c r="AO912" s="30" t="inlineStr">
        <is>
          <t>H-04-02</t>
        </is>
      </c>
    </row>
    <row r="913">
      <c r="A913" s="30" t="inlineStr">
        <is>
          <t>O0912</t>
        </is>
      </c>
      <c r="B913" s="30" t="inlineStr">
        <is>
          <t>E</t>
        </is>
      </c>
      <c r="C913" s="31" t="n">
        <v>12203.5</v>
      </c>
      <c r="D913" s="31" t="n">
        <v>44459.2</v>
      </c>
      <c r="E913" s="31" t="n">
        <v>44459.2</v>
      </c>
      <c r="F913" s="31" t="n">
        <v>44473.9</v>
      </c>
      <c r="G913" s="31" t="n">
        <v>44504</v>
      </c>
      <c r="H913" s="31" t="n">
        <v>44524.9</v>
      </c>
      <c r="I913" s="31" t="n">
        <v>44559</v>
      </c>
      <c r="J913" s="31" t="n">
        <v>44595.1</v>
      </c>
      <c r="K913" s="31" t="n">
        <v>32391.6</v>
      </c>
      <c r="L913" s="31" t="n">
        <v>32255.7</v>
      </c>
      <c r="M913" s="30" t="inlineStr">
        <is>
          <t>AMR3</t>
        </is>
      </c>
      <c r="N913" s="30" t="inlineStr">
        <is>
          <t>AMR3</t>
        </is>
      </c>
      <c r="O913" s="32" t="n">
        <v>0</v>
      </c>
      <c r="P913" s="32" t="n">
        <v>0</v>
      </c>
      <c r="Q913" s="32" t="n">
        <v>19</v>
      </c>
      <c r="R913" s="31" t="n">
        <v>41.5</v>
      </c>
      <c r="S913" s="31" t="n">
        <v>41.5</v>
      </c>
      <c r="T913" s="30" t="inlineStr">
        <is>
          <t>AMR3</t>
        </is>
      </c>
      <c r="U913" s="31" t="n">
        <v>60.7</v>
      </c>
      <c r="V913" s="31" t="n">
        <v>60.7</v>
      </c>
      <c r="W913" s="30" t="inlineStr">
        <is>
          <t>AMR3</t>
        </is>
      </c>
      <c r="X913" s="32" t="n">
        <v>0</v>
      </c>
      <c r="Y913" s="32" t="n">
        <v>0</v>
      </c>
      <c r="Z913" s="31" t="n">
        <v>0</v>
      </c>
      <c r="AA913" s="32" t="n">
        <v>0</v>
      </c>
      <c r="AB913" s="32" t="n">
        <v>1</v>
      </c>
      <c r="AC913" s="32" t="n">
        <v>1</v>
      </c>
      <c r="AD913" s="32" t="n">
        <v>0</v>
      </c>
      <c r="AE913" s="31" t="n">
        <v>0</v>
      </c>
      <c r="AF913" s="32" t="n">
        <v>0</v>
      </c>
      <c r="AG913" s="31" t="n">
        <v>0</v>
      </c>
      <c r="AH913" s="32" t="n">
        <v>64</v>
      </c>
      <c r="AI913" s="31" t="n">
        <v>67.3</v>
      </c>
      <c r="AJ913" s="31" t="n">
        <v>44.7</v>
      </c>
      <c r="AK913" s="31" t="n">
        <v>3</v>
      </c>
      <c r="AL913" s="30" t="inlineStr">
        <is>
          <t>T-1062</t>
        </is>
      </c>
      <c r="AM913" s="30" t="inlineStr">
        <is>
          <t>E-06-02</t>
        </is>
      </c>
      <c r="AN913" s="30" t="inlineStr">
        <is>
          <t>T-0913</t>
        </is>
      </c>
      <c r="AO913" s="30" t="inlineStr">
        <is>
          <t>E-04-03</t>
        </is>
      </c>
    </row>
    <row r="914">
      <c r="A914" s="30" t="inlineStr">
        <is>
          <t>O0913</t>
        </is>
      </c>
      <c r="B914" s="30" t="inlineStr">
        <is>
          <t>J</t>
        </is>
      </c>
      <c r="C914" s="31" t="n">
        <v>12226.3</v>
      </c>
      <c r="D914" s="31" t="n">
        <v>44477.9</v>
      </c>
      <c r="E914" s="31" t="n">
        <v>44477.9</v>
      </c>
      <c r="F914" s="31" t="n">
        <v>44489.9</v>
      </c>
      <c r="G914" s="31" t="n">
        <v>44523</v>
      </c>
      <c r="H914" s="31" t="n">
        <v>44533.8</v>
      </c>
      <c r="I914" s="31" t="n">
        <v>44565.6</v>
      </c>
      <c r="J914" s="31" t="n">
        <v>44607.2</v>
      </c>
      <c r="K914" s="31" t="n">
        <v>32380.9</v>
      </c>
      <c r="L914" s="31" t="n">
        <v>32251.6</v>
      </c>
      <c r="M914" s="30" t="inlineStr">
        <is>
          <t>AMR2</t>
        </is>
      </c>
      <c r="N914" s="30" t="inlineStr">
        <is>
          <t>AMR1</t>
        </is>
      </c>
      <c r="O914" s="32" t="n">
        <v>0</v>
      </c>
      <c r="P914" s="32" t="n">
        <v>0</v>
      </c>
      <c r="Q914" s="32" t="n">
        <v>21</v>
      </c>
      <c r="R914" s="31" t="n">
        <v>43.4</v>
      </c>
      <c r="S914" s="31" t="n">
        <v>43.4</v>
      </c>
      <c r="T914" s="30" t="inlineStr">
        <is>
          <t>AMR2</t>
        </is>
      </c>
      <c r="U914" s="31" t="n">
        <v>58</v>
      </c>
      <c r="V914" s="31" t="n">
        <v>58</v>
      </c>
      <c r="W914" s="30" t="inlineStr">
        <is>
          <t>AMR1</t>
        </is>
      </c>
      <c r="X914" s="32" t="n">
        <v>0</v>
      </c>
      <c r="Y914" s="32" t="n">
        <v>0</v>
      </c>
      <c r="Z914" s="31" t="n">
        <v>0</v>
      </c>
      <c r="AA914" s="32" t="n">
        <v>0</v>
      </c>
      <c r="AB914" s="32" t="n">
        <v>0</v>
      </c>
      <c r="AC914" s="32" t="n">
        <v>0</v>
      </c>
      <c r="AD914" s="32" t="n">
        <v>1</v>
      </c>
      <c r="AE914" s="31" t="n">
        <v>9.300000000000001</v>
      </c>
      <c r="AF914" s="32" t="n">
        <v>1</v>
      </c>
      <c r="AG914" s="31" t="n">
        <v>4.3</v>
      </c>
      <c r="AH914" s="32" t="n">
        <v>66</v>
      </c>
      <c r="AI914" s="31" t="n">
        <v>67.09999999999999</v>
      </c>
      <c r="AJ914" s="31" t="n">
        <v>40.8</v>
      </c>
      <c r="AK914" s="31" t="n">
        <v>10.6</v>
      </c>
      <c r="AL914" s="30" t="inlineStr">
        <is>
          <t>T-1063</t>
        </is>
      </c>
      <c r="AM914" s="30" t="inlineStr">
        <is>
          <t>J-03-01</t>
        </is>
      </c>
      <c r="AN914" s="30" t="inlineStr">
        <is>
          <t>T-0912</t>
        </is>
      </c>
      <c r="AO914" s="30" t="inlineStr">
        <is>
          <t>J-06-01</t>
        </is>
      </c>
    </row>
    <row r="915">
      <c r="A915" s="30" t="inlineStr">
        <is>
          <t>O0914</t>
        </is>
      </c>
      <c r="B915" s="30" t="inlineStr">
        <is>
          <t>J</t>
        </is>
      </c>
      <c r="C915" s="31" t="n">
        <v>12246</v>
      </c>
      <c r="D915" s="31" t="n">
        <v>44544.5</v>
      </c>
      <c r="E915" s="31" t="n">
        <v>44544.5</v>
      </c>
      <c r="F915" s="31" t="n">
        <v>44559.3</v>
      </c>
      <c r="G915" s="31" t="n">
        <v>44590.8</v>
      </c>
      <c r="H915" s="31" t="n">
        <v>44611</v>
      </c>
      <c r="I915" s="31" t="n">
        <v>44642.5</v>
      </c>
      <c r="J915" s="31" t="n">
        <v>44676.8</v>
      </c>
      <c r="K915" s="31" t="n">
        <v>32430.8</v>
      </c>
      <c r="L915" s="31" t="n">
        <v>32298.5</v>
      </c>
      <c r="M915" s="30" t="inlineStr">
        <is>
          <t>AMR2</t>
        </is>
      </c>
      <c r="N915" s="30" t="inlineStr">
        <is>
          <t>AMR2</t>
        </is>
      </c>
      <c r="O915" s="32" t="n">
        <v>0</v>
      </c>
      <c r="P915" s="32" t="n">
        <v>0</v>
      </c>
      <c r="Q915" s="32" t="n">
        <v>21</v>
      </c>
      <c r="R915" s="31" t="n">
        <v>45.4</v>
      </c>
      <c r="S915" s="31" t="n">
        <v>45.4</v>
      </c>
      <c r="T915" s="30" t="inlineStr">
        <is>
          <t>AMR2</t>
        </is>
      </c>
      <c r="U915" s="31" t="n">
        <v>66</v>
      </c>
      <c r="V915" s="31" t="n">
        <v>66</v>
      </c>
      <c r="W915" s="30" t="inlineStr">
        <is>
          <t>AMR2</t>
        </is>
      </c>
      <c r="X915" s="32" t="n">
        <v>0</v>
      </c>
      <c r="Y915" s="32" t="n">
        <v>0</v>
      </c>
      <c r="Z915" s="31" t="n">
        <v>0</v>
      </c>
      <c r="AA915" s="32" t="n">
        <v>0</v>
      </c>
      <c r="AB915" s="32" t="n">
        <v>0</v>
      </c>
      <c r="AC915" s="32" t="n">
        <v>0</v>
      </c>
      <c r="AD915" s="32" t="n">
        <v>0</v>
      </c>
      <c r="AE915" s="31" t="n">
        <v>0</v>
      </c>
      <c r="AF915" s="32" t="n">
        <v>0</v>
      </c>
      <c r="AG915" s="31" t="n">
        <v>0</v>
      </c>
      <c r="AH915" s="32" t="n">
        <v>59</v>
      </c>
      <c r="AI915" s="31" t="n">
        <v>61.3</v>
      </c>
      <c r="AJ915" s="31" t="n">
        <v>50.8</v>
      </c>
      <c r="AK915" s="31" t="n">
        <v>0</v>
      </c>
      <c r="AL915" s="30" t="inlineStr">
        <is>
          <t>T-1064</t>
        </is>
      </c>
      <c r="AM915" s="30" t="inlineStr">
        <is>
          <t>J-02-03</t>
        </is>
      </c>
      <c r="AN915" s="30" t="inlineStr">
        <is>
          <t>T-0926</t>
        </is>
      </c>
      <c r="AO915" s="30" t="inlineStr">
        <is>
          <t>J-01-02</t>
        </is>
      </c>
    </row>
    <row r="916">
      <c r="A916" s="30" t="inlineStr">
        <is>
          <t>O0915</t>
        </is>
      </c>
      <c r="B916" s="30" t="inlineStr">
        <is>
          <t>D</t>
        </is>
      </c>
      <c r="C916" s="31" t="n">
        <v>12270.9</v>
      </c>
      <c r="D916" s="31" t="n">
        <v>44618.8</v>
      </c>
      <c r="E916" s="31" t="n">
        <v>44618.8</v>
      </c>
      <c r="F916" s="31" t="n">
        <v>44629.6</v>
      </c>
      <c r="G916" s="31" t="n">
        <v>44648.8</v>
      </c>
      <c r="H916" s="31" t="n">
        <v>44661.6</v>
      </c>
      <c r="I916" s="31" t="n">
        <v>44687.3</v>
      </c>
      <c r="J916" s="31" t="n">
        <v>44718.8</v>
      </c>
      <c r="K916" s="31" t="n">
        <v>32447.9</v>
      </c>
      <c r="L916" s="31" t="n">
        <v>32347.9</v>
      </c>
      <c r="M916" s="30" t="inlineStr">
        <is>
          <t>AMR3</t>
        </is>
      </c>
      <c r="N916" s="30" t="inlineStr">
        <is>
          <t>AMR3</t>
        </is>
      </c>
      <c r="O916" s="32" t="n">
        <v>0</v>
      </c>
      <c r="P916" s="32" t="n">
        <v>0</v>
      </c>
      <c r="Q916" s="32" t="n">
        <v>13</v>
      </c>
      <c r="R916" s="31" t="n">
        <v>29.1</v>
      </c>
      <c r="S916" s="31" t="n">
        <v>29.1</v>
      </c>
      <c r="T916" s="30" t="inlineStr">
        <is>
          <t>AMR3</t>
        </is>
      </c>
      <c r="U916" s="31" t="n">
        <v>53.6</v>
      </c>
      <c r="V916" s="31" t="n">
        <v>53.6</v>
      </c>
      <c r="W916" s="30" t="inlineStr">
        <is>
          <t>AMR3</t>
        </is>
      </c>
      <c r="X916" s="32" t="n">
        <v>0</v>
      </c>
      <c r="Y916" s="32" t="n">
        <v>0</v>
      </c>
      <c r="Z916" s="31" t="n">
        <v>0</v>
      </c>
      <c r="AA916" s="32" t="n">
        <v>0</v>
      </c>
      <c r="AB916" s="32" t="n">
        <v>1</v>
      </c>
      <c r="AC916" s="32" t="n">
        <v>0</v>
      </c>
      <c r="AD916" s="32" t="n">
        <v>1</v>
      </c>
      <c r="AE916" s="31" t="n">
        <v>1.8</v>
      </c>
      <c r="AF916" s="32" t="n">
        <v>0</v>
      </c>
      <c r="AG916" s="31" t="n">
        <v>0</v>
      </c>
      <c r="AH916" s="32" t="n">
        <v>41</v>
      </c>
      <c r="AI916" s="31" t="n">
        <v>45.4</v>
      </c>
      <c r="AJ916" s="31" t="n">
        <v>40</v>
      </c>
      <c r="AK916" s="31" t="n">
        <v>1.8</v>
      </c>
      <c r="AL916" s="30" t="inlineStr">
        <is>
          <t>T-1065</t>
        </is>
      </c>
      <c r="AM916" s="30" t="inlineStr">
        <is>
          <t>D-02-02</t>
        </is>
      </c>
      <c r="AN916" s="30" t="inlineStr">
        <is>
          <t>T-0943</t>
        </is>
      </c>
      <c r="AO916" s="30" t="inlineStr">
        <is>
          <t>D-03-02</t>
        </is>
      </c>
    </row>
    <row r="917">
      <c r="A917" s="30" t="inlineStr">
        <is>
          <t>O0916</t>
        </is>
      </c>
      <c r="B917" s="30" t="inlineStr">
        <is>
          <t>D</t>
        </is>
      </c>
      <c r="C917" s="31" t="n">
        <v>12294.9</v>
      </c>
      <c r="D917" s="31" t="n">
        <v>44630.9</v>
      </c>
      <c r="E917" s="31" t="n">
        <v>44630.9</v>
      </c>
      <c r="F917" s="31" t="n">
        <v>44644.2</v>
      </c>
      <c r="G917" s="31" t="n">
        <v>44667</v>
      </c>
      <c r="H917" s="31" t="n">
        <v>44681.8</v>
      </c>
      <c r="I917" s="31" t="n">
        <v>44707.1</v>
      </c>
      <c r="J917" s="31" t="n">
        <v>44737.8</v>
      </c>
      <c r="K917" s="31" t="n">
        <v>32442.9</v>
      </c>
      <c r="L917" s="31" t="n">
        <v>32336</v>
      </c>
      <c r="M917" s="30" t="inlineStr">
        <is>
          <t>AMR1</t>
        </is>
      </c>
      <c r="N917" s="30" t="inlineStr">
        <is>
          <t>AMR1</t>
        </is>
      </c>
      <c r="O917" s="32" t="n">
        <v>0</v>
      </c>
      <c r="P917" s="32" t="n">
        <v>0</v>
      </c>
      <c r="Q917" s="32" t="n">
        <v>13</v>
      </c>
      <c r="R917" s="31" t="n">
        <v>33.6</v>
      </c>
      <c r="S917" s="31" t="n">
        <v>33.6</v>
      </c>
      <c r="T917" s="30" t="inlineStr">
        <is>
          <t>AMR1</t>
        </is>
      </c>
      <c r="U917" s="31" t="n">
        <v>51.4</v>
      </c>
      <c r="V917" s="31" t="n">
        <v>51.4</v>
      </c>
      <c r="W917" s="30" t="inlineStr">
        <is>
          <t>AMR1</t>
        </is>
      </c>
      <c r="X917" s="32" t="n">
        <v>0</v>
      </c>
      <c r="Y917" s="32" t="n">
        <v>0</v>
      </c>
      <c r="Z917" s="31" t="n">
        <v>0</v>
      </c>
      <c r="AA917" s="32" t="n">
        <v>0</v>
      </c>
      <c r="AB917" s="32" t="n">
        <v>1</v>
      </c>
      <c r="AC917" s="32" t="n">
        <v>0</v>
      </c>
      <c r="AD917" s="32" t="n">
        <v>1</v>
      </c>
      <c r="AE917" s="31" t="n">
        <v>1.3</v>
      </c>
      <c r="AF917" s="32" t="n">
        <v>0</v>
      </c>
      <c r="AG917" s="31" t="n">
        <v>0</v>
      </c>
      <c r="AH917" s="32" t="n">
        <v>45</v>
      </c>
      <c r="AI917" s="31" t="n">
        <v>48.5</v>
      </c>
      <c r="AJ917" s="31" t="n">
        <v>42.3</v>
      </c>
      <c r="AK917" s="31" t="n">
        <v>1.3</v>
      </c>
      <c r="AL917" s="30" t="inlineStr">
        <is>
          <t>T-1066</t>
        </is>
      </c>
      <c r="AM917" s="30" t="inlineStr">
        <is>
          <t>D-05-03</t>
        </is>
      </c>
      <c r="AN917" s="30" t="inlineStr">
        <is>
          <t>T-0945</t>
        </is>
      </c>
      <c r="AO917" s="30" t="inlineStr">
        <is>
          <t>D-04-02</t>
        </is>
      </c>
    </row>
    <row r="918">
      <c r="A918" s="30" t="inlineStr">
        <is>
          <t>O0917</t>
        </is>
      </c>
      <c r="B918" s="30" t="inlineStr">
        <is>
          <t>G</t>
        </is>
      </c>
      <c r="C918" s="31" t="n">
        <v>12310</v>
      </c>
      <c r="D918" s="31" t="n">
        <v>44714.6</v>
      </c>
      <c r="E918" s="31" t="n">
        <v>44714.6</v>
      </c>
      <c r="F918" s="31" t="n">
        <v>44725.8</v>
      </c>
      <c r="G918" s="31" t="n">
        <v>44752.9</v>
      </c>
      <c r="H918" s="31" t="n">
        <v>44761.5</v>
      </c>
      <c r="I918" s="31" t="n">
        <v>44789.7</v>
      </c>
      <c r="J918" s="31" t="n">
        <v>44817</v>
      </c>
      <c r="K918" s="31" t="n">
        <v>32507</v>
      </c>
      <c r="L918" s="31" t="n">
        <v>32404.6</v>
      </c>
      <c r="M918" s="30" t="inlineStr">
        <is>
          <t>AMR2</t>
        </is>
      </c>
      <c r="N918" s="30" t="inlineStr">
        <is>
          <t>AMR1</t>
        </is>
      </c>
      <c r="O918" s="32" t="n">
        <v>0</v>
      </c>
      <c r="P918" s="32" t="n">
        <v>0</v>
      </c>
      <c r="Q918" s="32" t="n">
        <v>17</v>
      </c>
      <c r="R918" s="31" t="n">
        <v>35.8</v>
      </c>
      <c r="S918" s="31" t="n">
        <v>35.8</v>
      </c>
      <c r="T918" s="30" t="inlineStr">
        <is>
          <t>AMR2</t>
        </is>
      </c>
      <c r="U918" s="31" t="n">
        <v>53.2</v>
      </c>
      <c r="V918" s="31" t="n">
        <v>53.2</v>
      </c>
      <c r="W918" s="30" t="inlineStr">
        <is>
          <t>AMR1</t>
        </is>
      </c>
      <c r="X918" s="32" t="n">
        <v>0</v>
      </c>
      <c r="Y918" s="32" t="n">
        <v>0</v>
      </c>
      <c r="Z918" s="31" t="n">
        <v>0</v>
      </c>
      <c r="AA918" s="32" t="n">
        <v>0</v>
      </c>
      <c r="AB918" s="32" t="n">
        <v>0</v>
      </c>
      <c r="AC918" s="32" t="n">
        <v>0</v>
      </c>
      <c r="AD918" s="32" t="n">
        <v>0</v>
      </c>
      <c r="AE918" s="31" t="n">
        <v>0</v>
      </c>
      <c r="AF918" s="32" t="n">
        <v>0</v>
      </c>
      <c r="AG918" s="31" t="n">
        <v>0</v>
      </c>
      <c r="AH918" s="32" t="n">
        <v>53</v>
      </c>
      <c r="AI918" s="31" t="n">
        <v>55.2</v>
      </c>
      <c r="AJ918" s="31" t="n">
        <v>38.6</v>
      </c>
      <c r="AK918" s="31" t="n">
        <v>0</v>
      </c>
      <c r="AL918" s="30" t="inlineStr">
        <is>
          <t>T-1067</t>
        </is>
      </c>
      <c r="AM918" s="30" t="inlineStr">
        <is>
          <t>G-01-02</t>
        </is>
      </c>
      <c r="AN918" s="30" t="inlineStr">
        <is>
          <t>T-0858</t>
        </is>
      </c>
      <c r="AO918" s="30" t="inlineStr">
        <is>
          <t>G-02-02</t>
        </is>
      </c>
    </row>
    <row r="919">
      <c r="A919" s="30" t="inlineStr">
        <is>
          <t>O0918</t>
        </is>
      </c>
      <c r="B919" s="30" t="inlineStr">
        <is>
          <t>F</t>
        </is>
      </c>
      <c r="C919" s="31" t="n">
        <v>12327.3</v>
      </c>
      <c r="D919" s="31" t="n">
        <v>44742.5</v>
      </c>
      <c r="E919" s="31" t="n">
        <v>44742.5</v>
      </c>
      <c r="F919" s="31" t="n">
        <v>44756.4</v>
      </c>
      <c r="G919" s="31" t="n">
        <v>44788.3</v>
      </c>
      <c r="H919" s="31" t="n">
        <v>44811.9</v>
      </c>
      <c r="I919" s="31" t="n">
        <v>44846.4</v>
      </c>
      <c r="J919" s="31" t="n">
        <v>44879.8</v>
      </c>
      <c r="K919" s="31" t="n">
        <v>32552.5</v>
      </c>
      <c r="L919" s="31" t="n">
        <v>32415.2</v>
      </c>
      <c r="M919" s="30" t="inlineStr">
        <is>
          <t>AMR3</t>
        </is>
      </c>
      <c r="N919" s="30" t="inlineStr">
        <is>
          <t>AMR3</t>
        </is>
      </c>
      <c r="O919" s="32" t="n">
        <v>0</v>
      </c>
      <c r="P919" s="32" t="n">
        <v>0</v>
      </c>
      <c r="Q919" s="32" t="n">
        <v>23</v>
      </c>
      <c r="R919" s="31" t="n">
        <v>43.3</v>
      </c>
      <c r="S919" s="31" t="n">
        <v>43.3</v>
      </c>
      <c r="T919" s="30" t="inlineStr">
        <is>
          <t>AMR3</t>
        </is>
      </c>
      <c r="U919" s="31" t="n">
        <v>64.59999999999999</v>
      </c>
      <c r="V919" s="31" t="n">
        <v>64.59999999999999</v>
      </c>
      <c r="W919" s="30" t="inlineStr">
        <is>
          <t>AMR3</t>
        </is>
      </c>
      <c r="X919" s="32" t="n">
        <v>0</v>
      </c>
      <c r="Y919" s="32" t="n">
        <v>0</v>
      </c>
      <c r="Z919" s="31" t="n">
        <v>0</v>
      </c>
      <c r="AA919" s="32" t="n">
        <v>0</v>
      </c>
      <c r="AB919" s="32" t="n">
        <v>0</v>
      </c>
      <c r="AC919" s="32" t="n">
        <v>0</v>
      </c>
      <c r="AD919" s="32" t="n">
        <v>0</v>
      </c>
      <c r="AE919" s="31" t="n">
        <v>0</v>
      </c>
      <c r="AF919" s="32" t="n">
        <v>0</v>
      </c>
      <c r="AG919" s="31" t="n">
        <v>0</v>
      </c>
      <c r="AH919" s="32" t="n">
        <v>71</v>
      </c>
      <c r="AI919" s="31" t="n">
        <v>71</v>
      </c>
      <c r="AJ919" s="31" t="n">
        <v>42.7</v>
      </c>
      <c r="AK919" s="31" t="n">
        <v>0</v>
      </c>
      <c r="AL919" s="30" t="inlineStr">
        <is>
          <t>T-1068</t>
        </is>
      </c>
      <c r="AM919" s="30" t="inlineStr">
        <is>
          <t>F-02-03</t>
        </is>
      </c>
      <c r="AN919" s="30" t="inlineStr">
        <is>
          <t>T-0816</t>
        </is>
      </c>
      <c r="AO919" s="30" t="inlineStr">
        <is>
          <t>F-01-01</t>
        </is>
      </c>
    </row>
    <row r="920">
      <c r="A920" s="30" t="inlineStr">
        <is>
          <t>O0919</t>
        </is>
      </c>
      <c r="B920" s="30" t="inlineStr">
        <is>
          <t>A</t>
        </is>
      </c>
      <c r="C920" s="31" t="n">
        <v>12350.7</v>
      </c>
      <c r="D920" s="31" t="n">
        <v>44771.1</v>
      </c>
      <c r="E920" s="31" t="n">
        <v>44771.1</v>
      </c>
      <c r="F920" s="31" t="n">
        <v>44784.6</v>
      </c>
      <c r="G920" s="31" t="n">
        <v>44811.7</v>
      </c>
      <c r="H920" s="31" t="n">
        <v>44831.9</v>
      </c>
      <c r="I920" s="31" t="n">
        <v>44857.3</v>
      </c>
      <c r="J920" s="31" t="n">
        <v>44894.4</v>
      </c>
      <c r="K920" s="31" t="n">
        <v>32543.7</v>
      </c>
      <c r="L920" s="31" t="n">
        <v>32420.4</v>
      </c>
      <c r="M920" s="30" t="inlineStr">
        <is>
          <t>AMR2</t>
        </is>
      </c>
      <c r="N920" s="30" t="inlineStr">
        <is>
          <t>AMR2</t>
        </is>
      </c>
      <c r="O920" s="32" t="n">
        <v>0</v>
      </c>
      <c r="P920" s="32" t="n">
        <v>0</v>
      </c>
      <c r="Q920" s="32" t="n">
        <v>21</v>
      </c>
      <c r="R920" s="31" t="n">
        <v>39.7</v>
      </c>
      <c r="S920" s="31" t="n">
        <v>39.7</v>
      </c>
      <c r="T920" s="30" t="inlineStr">
        <is>
          <t>AMR2</t>
        </is>
      </c>
      <c r="U920" s="31" t="n">
        <v>61.9</v>
      </c>
      <c r="V920" s="31" t="n">
        <v>61.9</v>
      </c>
      <c r="W920" s="30" t="inlineStr">
        <is>
          <t>AMR2</t>
        </is>
      </c>
      <c r="X920" s="32" t="n">
        <v>0</v>
      </c>
      <c r="Y920" s="32" t="n">
        <v>0</v>
      </c>
      <c r="Z920" s="31" t="n">
        <v>0</v>
      </c>
      <c r="AA920" s="32" t="n">
        <v>0</v>
      </c>
      <c r="AB920" s="32" t="n">
        <v>0</v>
      </c>
      <c r="AC920" s="32" t="n">
        <v>0</v>
      </c>
      <c r="AD920" s="32" t="n">
        <v>1</v>
      </c>
      <c r="AE920" s="31" t="n">
        <v>2.3</v>
      </c>
      <c r="AF920" s="32" t="n">
        <v>0</v>
      </c>
      <c r="AG920" s="31" t="n">
        <v>0</v>
      </c>
      <c r="AH920" s="32" t="n">
        <v>61</v>
      </c>
      <c r="AI920" s="31" t="n">
        <v>61.3</v>
      </c>
      <c r="AJ920" s="31" t="n">
        <v>39.5</v>
      </c>
      <c r="AK920" s="31" t="n">
        <v>2.3</v>
      </c>
      <c r="AL920" s="30" t="inlineStr">
        <is>
          <t>T-1069</t>
        </is>
      </c>
      <c r="AM920" s="30" t="inlineStr">
        <is>
          <t>A-05-02</t>
        </is>
      </c>
      <c r="AN920" s="30" t="inlineStr">
        <is>
          <t>T-0862</t>
        </is>
      </c>
      <c r="AO920" s="30" t="inlineStr">
        <is>
          <t>A-06-01</t>
        </is>
      </c>
    </row>
    <row r="921">
      <c r="A921" s="30" t="inlineStr">
        <is>
          <t>O0920</t>
        </is>
      </c>
      <c r="B921" s="30" t="inlineStr">
        <is>
          <t>G</t>
        </is>
      </c>
      <c r="C921" s="31" t="n">
        <v>12365.7</v>
      </c>
      <c r="D921" s="31" t="n">
        <v>44840.7</v>
      </c>
      <c r="E921" s="31" t="n">
        <v>44840.7</v>
      </c>
      <c r="F921" s="31" t="n">
        <v>44856.3</v>
      </c>
      <c r="G921" s="31" t="n">
        <v>44883.7</v>
      </c>
      <c r="H921" s="31" t="n">
        <v>44901.9</v>
      </c>
      <c r="I921" s="31" t="n">
        <v>44932.6</v>
      </c>
      <c r="J921" s="31" t="n">
        <v>44958.9</v>
      </c>
      <c r="K921" s="31" t="n">
        <v>32593.2</v>
      </c>
      <c r="L921" s="31" t="n">
        <v>32475</v>
      </c>
      <c r="M921" s="30" t="inlineStr">
        <is>
          <t>AMR1</t>
        </is>
      </c>
      <c r="N921" s="30" t="inlineStr">
        <is>
          <t>AMR1</t>
        </is>
      </c>
      <c r="O921" s="32" t="n">
        <v>0</v>
      </c>
      <c r="P921" s="32" t="n">
        <v>0</v>
      </c>
      <c r="Q921" s="32" t="n">
        <v>17</v>
      </c>
      <c r="R921" s="31" t="n">
        <v>38.7</v>
      </c>
      <c r="S921" s="31" t="n">
        <v>38.7</v>
      </c>
      <c r="T921" s="30" t="inlineStr">
        <is>
          <t>AMR1</t>
        </is>
      </c>
      <c r="U921" s="31" t="n">
        <v>55.2</v>
      </c>
      <c r="V921" s="31" t="n">
        <v>55.2</v>
      </c>
      <c r="W921" s="30" t="inlineStr">
        <is>
          <t>AMR1</t>
        </is>
      </c>
      <c r="X921" s="32" t="n">
        <v>0</v>
      </c>
      <c r="Y921" s="32" t="n">
        <v>0</v>
      </c>
      <c r="Z921" s="31" t="n">
        <v>0</v>
      </c>
      <c r="AA921" s="32" t="n">
        <v>0</v>
      </c>
      <c r="AB921" s="32" t="n">
        <v>0</v>
      </c>
      <c r="AC921" s="32" t="n">
        <v>0</v>
      </c>
      <c r="AD921" s="32" t="n">
        <v>1</v>
      </c>
      <c r="AE921" s="31" t="n">
        <v>1.8</v>
      </c>
      <c r="AF921" s="32" t="n">
        <v>0</v>
      </c>
      <c r="AG921" s="31" t="n">
        <v>0</v>
      </c>
      <c r="AH921" s="32" t="n">
        <v>51</v>
      </c>
      <c r="AI921" s="31" t="n">
        <v>54.7</v>
      </c>
      <c r="AJ921" s="31" t="n">
        <v>43.5</v>
      </c>
      <c r="AK921" s="31" t="n">
        <v>1.8</v>
      </c>
      <c r="AL921" s="30" t="inlineStr">
        <is>
          <t>T-1070</t>
        </is>
      </c>
      <c r="AM921" s="30" t="inlineStr">
        <is>
          <t>G-02-02</t>
        </is>
      </c>
      <c r="AN921" s="30" t="inlineStr">
        <is>
          <t>T-0860</t>
        </is>
      </c>
      <c r="AO921" s="30" t="inlineStr">
        <is>
          <t>G-03-02</t>
        </is>
      </c>
    </row>
    <row r="922">
      <c r="A922" s="30" t="inlineStr">
        <is>
          <t>O0921</t>
        </is>
      </c>
      <c r="B922" s="30" t="inlineStr">
        <is>
          <t>B</t>
        </is>
      </c>
      <c r="C922" s="31" t="n">
        <v>12388</v>
      </c>
      <c r="D922" s="31" t="n">
        <v>44905.3</v>
      </c>
      <c r="E922" s="31" t="n">
        <v>44905.3</v>
      </c>
      <c r="F922" s="31" t="n">
        <v>44920.8</v>
      </c>
      <c r="G922" s="31" t="n">
        <v>44945.6</v>
      </c>
      <c r="H922" s="31" t="n">
        <v>44961.8</v>
      </c>
      <c r="I922" s="31" t="n">
        <v>44990.9</v>
      </c>
      <c r="J922" s="31" t="n">
        <v>45020</v>
      </c>
      <c r="K922" s="31" t="n">
        <v>32632</v>
      </c>
      <c r="L922" s="31" t="n">
        <v>32517.3</v>
      </c>
      <c r="M922" s="30" t="inlineStr">
        <is>
          <t>AMR3</t>
        </is>
      </c>
      <c r="N922" s="30" t="inlineStr">
        <is>
          <t>AMR3</t>
        </is>
      </c>
      <c r="O922" s="32" t="n">
        <v>0</v>
      </c>
      <c r="P922" s="32" t="n">
        <v>0</v>
      </c>
      <c r="Q922" s="32" t="n">
        <v>15</v>
      </c>
      <c r="R922" s="31" t="n">
        <v>37.8</v>
      </c>
      <c r="S922" s="31" t="n">
        <v>37.8</v>
      </c>
      <c r="T922" s="30" t="inlineStr">
        <is>
          <t>AMR3</t>
        </is>
      </c>
      <c r="U922" s="31" t="n">
        <v>54.9</v>
      </c>
      <c r="V922" s="31" t="n">
        <v>54.9</v>
      </c>
      <c r="W922" s="30" t="inlineStr">
        <is>
          <t>AMR3</t>
        </is>
      </c>
      <c r="X922" s="32" t="n">
        <v>0</v>
      </c>
      <c r="Y922" s="32" t="n">
        <v>0</v>
      </c>
      <c r="Z922" s="31" t="n">
        <v>0</v>
      </c>
      <c r="AA922" s="32" t="n">
        <v>0</v>
      </c>
      <c r="AB922" s="32" t="n">
        <v>0</v>
      </c>
      <c r="AC922" s="32" t="n">
        <v>0</v>
      </c>
      <c r="AD922" s="32" t="n">
        <v>0</v>
      </c>
      <c r="AE922" s="31" t="n">
        <v>0</v>
      </c>
      <c r="AF922" s="32" t="n">
        <v>0</v>
      </c>
      <c r="AG922" s="31" t="n">
        <v>0</v>
      </c>
      <c r="AH922" s="32" t="n">
        <v>51</v>
      </c>
      <c r="AI922" s="31" t="n">
        <v>53.1</v>
      </c>
      <c r="AJ922" s="31" t="n">
        <v>45.4</v>
      </c>
      <c r="AK922" s="31" t="n">
        <v>0</v>
      </c>
      <c r="AL922" s="30" t="inlineStr">
        <is>
          <t>T-1071</t>
        </is>
      </c>
      <c r="AM922" s="30" t="inlineStr">
        <is>
          <t>B-01-01</t>
        </is>
      </c>
      <c r="AN922" s="30" t="inlineStr">
        <is>
          <t>T-0930</t>
        </is>
      </c>
      <c r="AO922" s="30" t="inlineStr">
        <is>
          <t>B-02-01</t>
        </is>
      </c>
    </row>
    <row r="923">
      <c r="A923" s="30" t="inlineStr">
        <is>
          <t>O0922</t>
        </is>
      </c>
      <c r="B923" s="30" t="inlineStr">
        <is>
          <t>D</t>
        </is>
      </c>
      <c r="C923" s="31" t="n">
        <v>12408.3</v>
      </c>
      <c r="D923" s="31" t="n">
        <v>44920.9</v>
      </c>
      <c r="E923" s="31" t="n">
        <v>44920.9</v>
      </c>
      <c r="F923" s="31" t="n">
        <v>44931.7</v>
      </c>
      <c r="G923" s="31" t="n">
        <v>44955.8</v>
      </c>
      <c r="H923" s="31" t="n">
        <v>44969.9</v>
      </c>
      <c r="I923" s="31" t="n">
        <v>45001.6</v>
      </c>
      <c r="J923" s="31" t="n">
        <v>45034.5</v>
      </c>
      <c r="K923" s="31" t="n">
        <v>32626.2</v>
      </c>
      <c r="L923" s="31" t="n">
        <v>32512.6</v>
      </c>
      <c r="M923" s="30" t="inlineStr">
        <is>
          <t>AMR2</t>
        </is>
      </c>
      <c r="N923" s="30" t="inlineStr">
        <is>
          <t>AMR2</t>
        </is>
      </c>
      <c r="O923" s="32" t="n">
        <v>0</v>
      </c>
      <c r="P923" s="32" t="n">
        <v>0</v>
      </c>
      <c r="Q923" s="32" t="n">
        <v>13</v>
      </c>
      <c r="R923" s="31" t="n">
        <v>33.2</v>
      </c>
      <c r="S923" s="31" t="n">
        <v>33.2</v>
      </c>
      <c r="T923" s="30" t="inlineStr">
        <is>
          <t>AMR2</t>
        </is>
      </c>
      <c r="U923" s="31" t="n">
        <v>53.7</v>
      </c>
      <c r="V923" s="31" t="n">
        <v>53.7</v>
      </c>
      <c r="W923" s="30" t="inlineStr">
        <is>
          <t>AMR2</t>
        </is>
      </c>
      <c r="X923" s="32" t="n">
        <v>0</v>
      </c>
      <c r="Y923" s="32" t="n">
        <v>0</v>
      </c>
      <c r="Z923" s="31" t="n">
        <v>0</v>
      </c>
      <c r="AA923" s="32" t="n">
        <v>0</v>
      </c>
      <c r="AB923" s="32" t="n">
        <v>1</v>
      </c>
      <c r="AC923" s="32" t="n">
        <v>1</v>
      </c>
      <c r="AD923" s="32" t="n">
        <v>1</v>
      </c>
      <c r="AE923" s="31" t="n">
        <v>2.7</v>
      </c>
      <c r="AF923" s="32" t="n">
        <v>0</v>
      </c>
      <c r="AG923" s="31" t="n">
        <v>0</v>
      </c>
      <c r="AH923" s="32" t="n">
        <v>44</v>
      </c>
      <c r="AI923" s="31" t="n">
        <v>47.7</v>
      </c>
      <c r="AJ923" s="31" t="n">
        <v>44.2</v>
      </c>
      <c r="AK923" s="31" t="n">
        <v>7.6</v>
      </c>
      <c r="AL923" s="30" t="inlineStr">
        <is>
          <t>T-1072</t>
        </is>
      </c>
      <c r="AM923" s="30" t="inlineStr">
        <is>
          <t>D-03-02</t>
        </is>
      </c>
      <c r="AN923" s="30" t="inlineStr">
        <is>
          <t>T-0948</t>
        </is>
      </c>
      <c r="AO923" s="30" t="inlineStr">
        <is>
          <t>D-05-02</t>
        </is>
      </c>
    </row>
    <row r="924">
      <c r="A924" s="30" t="inlineStr">
        <is>
          <t>O0923</t>
        </is>
      </c>
      <c r="B924" s="30" t="inlineStr">
        <is>
          <t>A</t>
        </is>
      </c>
      <c r="C924" s="31" t="n">
        <v>12428.2</v>
      </c>
      <c r="D924" s="31" t="n">
        <v>44987</v>
      </c>
      <c r="E924" s="31" t="n">
        <v>44987</v>
      </c>
      <c r="F924" s="31" t="n">
        <v>45002.7</v>
      </c>
      <c r="G924" s="31" t="n">
        <v>45031.3</v>
      </c>
      <c r="H924" s="31" t="n">
        <v>45043.7</v>
      </c>
      <c r="I924" s="31" t="n">
        <v>45072.9</v>
      </c>
      <c r="J924" s="31" t="n">
        <v>45113.3</v>
      </c>
      <c r="K924" s="31" t="n">
        <v>32685.1</v>
      </c>
      <c r="L924" s="31" t="n">
        <v>32558.8</v>
      </c>
      <c r="M924" s="30" t="inlineStr">
        <is>
          <t>AMR1</t>
        </is>
      </c>
      <c r="N924" s="30" t="inlineStr">
        <is>
          <t>AMR3</t>
        </is>
      </c>
      <c r="O924" s="32" t="n">
        <v>0</v>
      </c>
      <c r="P924" s="32" t="n">
        <v>0</v>
      </c>
      <c r="Q924" s="32" t="n">
        <v>21</v>
      </c>
      <c r="R924" s="31" t="n">
        <v>44.2</v>
      </c>
      <c r="S924" s="31" t="n">
        <v>44.2</v>
      </c>
      <c r="T924" s="30" t="inlineStr">
        <is>
          <t>AMR1</t>
        </is>
      </c>
      <c r="U924" s="31" t="n">
        <v>65.3</v>
      </c>
      <c r="V924" s="31" t="n">
        <v>65.3</v>
      </c>
      <c r="W924" s="30" t="inlineStr">
        <is>
          <t>AMR3</t>
        </is>
      </c>
      <c r="X924" s="32" t="n">
        <v>0</v>
      </c>
      <c r="Y924" s="32" t="n">
        <v>0</v>
      </c>
      <c r="Z924" s="31" t="n">
        <v>0</v>
      </c>
      <c r="AA924" s="32" t="n">
        <v>0</v>
      </c>
      <c r="AB924" s="32" t="n">
        <v>0</v>
      </c>
      <c r="AC924" s="32" t="n">
        <v>0</v>
      </c>
      <c r="AD924" s="32" t="n">
        <v>0</v>
      </c>
      <c r="AE924" s="31" t="n">
        <v>0</v>
      </c>
      <c r="AF924" s="32" t="n">
        <v>0</v>
      </c>
      <c r="AG924" s="31" t="n">
        <v>0</v>
      </c>
      <c r="AH924" s="32" t="n">
        <v>66</v>
      </c>
      <c r="AI924" s="31" t="n">
        <v>63.5</v>
      </c>
      <c r="AJ924" s="31" t="n">
        <v>47.4</v>
      </c>
      <c r="AK924" s="31" t="n">
        <v>3</v>
      </c>
      <c r="AL924" s="30" t="inlineStr">
        <is>
          <t>T-1073</t>
        </is>
      </c>
      <c r="AM924" s="30" t="inlineStr">
        <is>
          <t>A-06-01</t>
        </is>
      </c>
      <c r="AN924" s="30" t="inlineStr">
        <is>
          <t>T-0932</t>
        </is>
      </c>
      <c r="AO924" s="30" t="inlineStr">
        <is>
          <t>A-01-01</t>
        </is>
      </c>
    </row>
    <row r="925">
      <c r="A925" s="30" t="inlineStr">
        <is>
          <t>O0924</t>
        </is>
      </c>
      <c r="B925" s="30" t="inlineStr">
        <is>
          <t>B</t>
        </is>
      </c>
      <c r="C925" s="31" t="n">
        <v>12450.3</v>
      </c>
      <c r="D925" s="31" t="n">
        <v>45051.4</v>
      </c>
      <c r="E925" s="31" t="n">
        <v>45051.4</v>
      </c>
      <c r="F925" s="31" t="n">
        <v>45062.1</v>
      </c>
      <c r="G925" s="31" t="n">
        <v>45088.6</v>
      </c>
      <c r="H925" s="31" t="n">
        <v>45104.8</v>
      </c>
      <c r="I925" s="31" t="n">
        <v>45127.6</v>
      </c>
      <c r="J925" s="31" t="n">
        <v>45159.6</v>
      </c>
      <c r="K925" s="31" t="n">
        <v>32709.3</v>
      </c>
      <c r="L925" s="31" t="n">
        <v>32601.1</v>
      </c>
      <c r="M925" s="30" t="inlineStr">
        <is>
          <t>AMR1</t>
        </is>
      </c>
      <c r="N925" s="30" t="inlineStr">
        <is>
          <t>AMR1</t>
        </is>
      </c>
      <c r="O925" s="32" t="n">
        <v>0</v>
      </c>
      <c r="P925" s="32" t="n">
        <v>0</v>
      </c>
      <c r="Q925" s="32" t="n">
        <v>15</v>
      </c>
      <c r="R925" s="31" t="n">
        <v>34.7</v>
      </c>
      <c r="S925" s="31" t="n">
        <v>34.7</v>
      </c>
      <c r="T925" s="30" t="inlineStr">
        <is>
          <t>AMR1</t>
        </is>
      </c>
      <c r="U925" s="31" t="n">
        <v>54.5</v>
      </c>
      <c r="V925" s="31" t="n">
        <v>54.5</v>
      </c>
      <c r="W925" s="30" t="inlineStr">
        <is>
          <t>AMR1</t>
        </is>
      </c>
      <c r="X925" s="32" t="n">
        <v>0</v>
      </c>
      <c r="Y925" s="32" t="n">
        <v>0</v>
      </c>
      <c r="Z925" s="31" t="n">
        <v>0</v>
      </c>
      <c r="AA925" s="32" t="n">
        <v>0</v>
      </c>
      <c r="AB925" s="32" t="n">
        <v>0</v>
      </c>
      <c r="AC925" s="32" t="n">
        <v>0</v>
      </c>
      <c r="AD925" s="32" t="n">
        <v>0</v>
      </c>
      <c r="AE925" s="31" t="n">
        <v>0</v>
      </c>
      <c r="AF925" s="32" t="n">
        <v>0</v>
      </c>
      <c r="AG925" s="31" t="n">
        <v>0</v>
      </c>
      <c r="AH925" s="32" t="n">
        <v>47</v>
      </c>
      <c r="AI925" s="31" t="n">
        <v>50.1</v>
      </c>
      <c r="AJ925" s="31" t="n">
        <v>41.9</v>
      </c>
      <c r="AK925" s="31" t="n">
        <v>0</v>
      </c>
      <c r="AL925" s="30" t="inlineStr">
        <is>
          <t>T-1074</t>
        </is>
      </c>
      <c r="AM925" s="30" t="inlineStr">
        <is>
          <t>B-02-01</t>
        </is>
      </c>
      <c r="AN925" s="30" t="inlineStr">
        <is>
          <t>T-0957</t>
        </is>
      </c>
      <c r="AO925" s="30" t="inlineStr">
        <is>
          <t>B-04-01</t>
        </is>
      </c>
    </row>
    <row r="926">
      <c r="A926" s="30" t="inlineStr">
        <is>
          <t>O0925</t>
        </is>
      </c>
      <c r="B926" s="30" t="inlineStr">
        <is>
          <t>I</t>
        </is>
      </c>
      <c r="C926" s="31" t="n">
        <v>12474.5</v>
      </c>
      <c r="D926" s="31" t="n">
        <v>45062.1</v>
      </c>
      <c r="E926" s="31" t="n">
        <v>45062.1</v>
      </c>
      <c r="F926" s="31" t="n">
        <v>45074.1</v>
      </c>
      <c r="G926" s="31" t="n">
        <v>45100.1</v>
      </c>
      <c r="H926" s="31" t="n">
        <v>45116.9</v>
      </c>
      <c r="I926" s="31" t="n">
        <v>45150.8</v>
      </c>
      <c r="J926" s="31" t="n">
        <v>45180.5</v>
      </c>
      <c r="K926" s="31" t="n">
        <v>32706</v>
      </c>
      <c r="L926" s="31" t="n">
        <v>32587.6</v>
      </c>
      <c r="M926" s="30" t="inlineStr">
        <is>
          <t>AMR2</t>
        </is>
      </c>
      <c r="N926" s="30" t="inlineStr">
        <is>
          <t>AMR2</t>
        </is>
      </c>
      <c r="O926" s="32" t="n">
        <v>0</v>
      </c>
      <c r="P926" s="32" t="n">
        <v>0</v>
      </c>
      <c r="Q926" s="32" t="n">
        <v>15</v>
      </c>
      <c r="R926" s="31" t="n">
        <v>35.5</v>
      </c>
      <c r="S926" s="31" t="n">
        <v>35.5</v>
      </c>
      <c r="T926" s="30" t="inlineStr">
        <is>
          <t>AMR2</t>
        </is>
      </c>
      <c r="U926" s="31" t="n">
        <v>54.5</v>
      </c>
      <c r="V926" s="31" t="n">
        <v>54.5</v>
      </c>
      <c r="W926" s="30" t="inlineStr">
        <is>
          <t>AMR2</t>
        </is>
      </c>
      <c r="X926" s="32" t="n">
        <v>0</v>
      </c>
      <c r="Y926" s="32" t="n">
        <v>0</v>
      </c>
      <c r="Z926" s="31" t="n">
        <v>0</v>
      </c>
      <c r="AA926" s="32" t="n">
        <v>0</v>
      </c>
      <c r="AB926" s="32" t="n">
        <v>1</v>
      </c>
      <c r="AC926" s="32" t="n">
        <v>1</v>
      </c>
      <c r="AD926" s="32" t="n">
        <v>1</v>
      </c>
      <c r="AE926" s="31" t="n">
        <v>2</v>
      </c>
      <c r="AF926" s="32" t="n">
        <v>0</v>
      </c>
      <c r="AG926" s="31" t="n">
        <v>0</v>
      </c>
      <c r="AH926" s="32" t="n">
        <v>49</v>
      </c>
      <c r="AI926" s="31" t="n">
        <v>54.4</v>
      </c>
      <c r="AJ926" s="31" t="n">
        <v>44.2</v>
      </c>
      <c r="AK926" s="31" t="n">
        <v>3</v>
      </c>
      <c r="AL926" s="30" t="inlineStr">
        <is>
          <t>T-1075</t>
        </is>
      </c>
      <c r="AM926" s="30" t="inlineStr">
        <is>
          <t>I-04-02</t>
        </is>
      </c>
      <c r="AN926" s="30" t="inlineStr">
        <is>
          <t>T-0923</t>
        </is>
      </c>
      <c r="AO926" s="30" t="inlineStr">
        <is>
          <t>I-05-02</t>
        </is>
      </c>
    </row>
    <row r="927">
      <c r="A927" s="30" t="inlineStr">
        <is>
          <t>O0926</t>
        </is>
      </c>
      <c r="B927" s="30" t="inlineStr">
        <is>
          <t>F</t>
        </is>
      </c>
      <c r="C927" s="31" t="n">
        <v>12496.6</v>
      </c>
      <c r="D927" s="31" t="n">
        <v>45141.5</v>
      </c>
      <c r="E927" s="31" t="n">
        <v>45141.5</v>
      </c>
      <c r="F927" s="31" t="n">
        <v>45155.6</v>
      </c>
      <c r="G927" s="31" t="n">
        <v>45190.4</v>
      </c>
      <c r="H927" s="31" t="n">
        <v>45204.2</v>
      </c>
      <c r="I927" s="31" t="n">
        <v>45232.1</v>
      </c>
      <c r="J927" s="31" t="n">
        <v>45266.2</v>
      </c>
      <c r="K927" s="31" t="n">
        <v>32769.6</v>
      </c>
      <c r="L927" s="31" t="n">
        <v>32644.9</v>
      </c>
      <c r="M927" s="30" t="inlineStr">
        <is>
          <t>AMR3</t>
        </is>
      </c>
      <c r="N927" s="30" t="inlineStr">
        <is>
          <t>AMR2</t>
        </is>
      </c>
      <c r="O927" s="32" t="n">
        <v>0</v>
      </c>
      <c r="P927" s="32" t="n">
        <v>0</v>
      </c>
      <c r="Q927" s="32" t="n">
        <v>23</v>
      </c>
      <c r="R927" s="31" t="n">
        <v>46.4</v>
      </c>
      <c r="S927" s="31" t="n">
        <v>46.4</v>
      </c>
      <c r="T927" s="30" t="inlineStr">
        <is>
          <t>AMR3</t>
        </is>
      </c>
      <c r="U927" s="31" t="n">
        <v>62.7</v>
      </c>
      <c r="V927" s="31" t="n">
        <v>62.7</v>
      </c>
      <c r="W927" s="30" t="inlineStr">
        <is>
          <t>AMR2</t>
        </is>
      </c>
      <c r="X927" s="32" t="n">
        <v>0</v>
      </c>
      <c r="Y927" s="32" t="n">
        <v>0</v>
      </c>
      <c r="Z927" s="31" t="n">
        <v>0</v>
      </c>
      <c r="AA927" s="32" t="n">
        <v>0</v>
      </c>
      <c r="AB927" s="32" t="n">
        <v>0</v>
      </c>
      <c r="AC927" s="32" t="n">
        <v>0</v>
      </c>
      <c r="AD927" s="32" t="n">
        <v>0</v>
      </c>
      <c r="AE927" s="31" t="n">
        <v>0</v>
      </c>
      <c r="AF927" s="32" t="n">
        <v>0</v>
      </c>
      <c r="AG927" s="31" t="n">
        <v>0</v>
      </c>
      <c r="AH927" s="32" t="n">
        <v>67</v>
      </c>
      <c r="AI927" s="31" t="n">
        <v>67</v>
      </c>
      <c r="AJ927" s="31" t="n">
        <v>43.9</v>
      </c>
      <c r="AK927" s="31" t="n">
        <v>0</v>
      </c>
      <c r="AL927" s="30" t="inlineStr">
        <is>
          <t>T-1076</t>
        </is>
      </c>
      <c r="AM927" s="30" t="inlineStr">
        <is>
          <t>F-01-01</t>
        </is>
      </c>
      <c r="AN927" s="30" t="inlineStr">
        <is>
          <t>T-0833</t>
        </is>
      </c>
      <c r="AO927" s="30" t="inlineStr">
        <is>
          <t>F-05-01</t>
        </is>
      </c>
    </row>
    <row r="928">
      <c r="A928" s="30" t="inlineStr">
        <is>
          <t>O0927</t>
        </is>
      </c>
      <c r="B928" s="30" t="inlineStr">
        <is>
          <t>B</t>
        </is>
      </c>
      <c r="C928" s="31" t="n">
        <v>12521.3</v>
      </c>
      <c r="D928" s="31" t="n">
        <v>45183.3</v>
      </c>
      <c r="E928" s="31" t="n">
        <v>45183.3</v>
      </c>
      <c r="F928" s="31" t="n">
        <v>45193.9</v>
      </c>
      <c r="G928" s="31" t="n">
        <v>45220.3</v>
      </c>
      <c r="H928" s="31" t="n">
        <v>45235.1</v>
      </c>
      <c r="I928" s="31" t="n">
        <v>45257.6</v>
      </c>
      <c r="J928" s="31" t="n">
        <v>45289.3</v>
      </c>
      <c r="K928" s="31" t="n">
        <v>32768</v>
      </c>
      <c r="L928" s="31" t="n">
        <v>32662</v>
      </c>
      <c r="M928" s="30" t="inlineStr">
        <is>
          <t>AMR1</t>
        </is>
      </c>
      <c r="N928" s="30" t="inlineStr">
        <is>
          <t>AMR1</t>
        </is>
      </c>
      <c r="O928" s="32" t="n">
        <v>0</v>
      </c>
      <c r="P928" s="32" t="n">
        <v>0</v>
      </c>
      <c r="Q928" s="32" t="n">
        <v>15</v>
      </c>
      <c r="R928" s="31" t="n">
        <v>36.1</v>
      </c>
      <c r="S928" s="31" t="n">
        <v>36.1</v>
      </c>
      <c r="T928" s="30" t="inlineStr">
        <is>
          <t>AMR1</t>
        </is>
      </c>
      <c r="U928" s="31" t="n">
        <v>53.9</v>
      </c>
      <c r="V928" s="31" t="n">
        <v>53.9</v>
      </c>
      <c r="W928" s="30" t="inlineStr">
        <is>
          <t>AMR1</t>
        </is>
      </c>
      <c r="X928" s="32" t="n">
        <v>0</v>
      </c>
      <c r="Y928" s="32" t="n">
        <v>0</v>
      </c>
      <c r="Z928" s="31" t="n">
        <v>0</v>
      </c>
      <c r="AA928" s="32" t="n">
        <v>0</v>
      </c>
      <c r="AB928" s="32" t="n">
        <v>0</v>
      </c>
      <c r="AC928" s="32" t="n">
        <v>0</v>
      </c>
      <c r="AD928" s="32" t="n">
        <v>0</v>
      </c>
      <c r="AE928" s="31" t="n">
        <v>0</v>
      </c>
      <c r="AF928" s="32" t="n">
        <v>0</v>
      </c>
      <c r="AG928" s="31" t="n">
        <v>0</v>
      </c>
      <c r="AH928" s="32" t="n">
        <v>45</v>
      </c>
      <c r="AI928" s="31" t="n">
        <v>48.5</v>
      </c>
      <c r="AJ928" s="31" t="n">
        <v>42.7</v>
      </c>
      <c r="AK928" s="31" t="n">
        <v>0</v>
      </c>
      <c r="AL928" s="30" t="inlineStr">
        <is>
          <t>T-1077</t>
        </is>
      </c>
      <c r="AM928" s="30" t="inlineStr">
        <is>
          <t>B-04-01</t>
        </is>
      </c>
      <c r="AN928" s="30" t="inlineStr">
        <is>
          <t>T-0958</t>
        </is>
      </c>
      <c r="AO928" s="30" t="inlineStr">
        <is>
          <t>B-04-03</t>
        </is>
      </c>
    </row>
    <row r="929">
      <c r="A929" s="30" t="inlineStr">
        <is>
          <t>O0928</t>
        </is>
      </c>
      <c r="B929" s="30" t="inlineStr">
        <is>
          <t>C</t>
        </is>
      </c>
      <c r="C929" s="31" t="n">
        <v>12537.3</v>
      </c>
      <c r="D929" s="31" t="n">
        <v>45214</v>
      </c>
      <c r="E929" s="31" t="n">
        <v>45214</v>
      </c>
      <c r="F929" s="31" t="n">
        <v>45230</v>
      </c>
      <c r="G929" s="31" t="n">
        <v>45255.6</v>
      </c>
      <c r="H929" s="31" t="n">
        <v>45268.1</v>
      </c>
      <c r="I929" s="31" t="n">
        <v>45288.9</v>
      </c>
      <c r="J929" s="31" t="n">
        <v>45315.1</v>
      </c>
      <c r="K929" s="31" t="n">
        <v>32777.8</v>
      </c>
      <c r="L929" s="31" t="n">
        <v>32676.7</v>
      </c>
      <c r="M929" s="30" t="inlineStr">
        <is>
          <t>AMR3</t>
        </is>
      </c>
      <c r="N929" s="30" t="inlineStr">
        <is>
          <t>AMR3</t>
        </is>
      </c>
      <c r="O929" s="32" t="n">
        <v>0</v>
      </c>
      <c r="P929" s="32" t="n">
        <v>0</v>
      </c>
      <c r="Q929" s="32" t="n">
        <v>13</v>
      </c>
      <c r="R929" s="31" t="n">
        <v>39.9</v>
      </c>
      <c r="S929" s="31" t="n">
        <v>39.9</v>
      </c>
      <c r="T929" s="30" t="inlineStr">
        <is>
          <t>AMR3</t>
        </is>
      </c>
      <c r="U929" s="31" t="n">
        <v>48.7</v>
      </c>
      <c r="V929" s="31" t="n">
        <v>48.7</v>
      </c>
      <c r="W929" s="30" t="inlineStr">
        <is>
          <t>AMR3</t>
        </is>
      </c>
      <c r="X929" s="32" t="n">
        <v>0</v>
      </c>
      <c r="Y929" s="32" t="n">
        <v>0</v>
      </c>
      <c r="Z929" s="31" t="n">
        <v>0</v>
      </c>
      <c r="AA929" s="32" t="n">
        <v>0</v>
      </c>
      <c r="AB929" s="32" t="n">
        <v>0</v>
      </c>
      <c r="AC929" s="32" t="n">
        <v>0</v>
      </c>
      <c r="AD929" s="32" t="n">
        <v>0</v>
      </c>
      <c r="AE929" s="31" t="n">
        <v>0</v>
      </c>
      <c r="AF929" s="32" t="n">
        <v>0</v>
      </c>
      <c r="AG929" s="31" t="n">
        <v>0</v>
      </c>
      <c r="AH929" s="32" t="n">
        <v>38</v>
      </c>
      <c r="AI929" s="31" t="n">
        <v>42.2</v>
      </c>
      <c r="AJ929" s="31" t="n">
        <v>46.4</v>
      </c>
      <c r="AK929" s="31" t="n">
        <v>0</v>
      </c>
      <c r="AL929" s="30" t="inlineStr">
        <is>
          <t>T-1078</t>
        </is>
      </c>
      <c r="AM929" s="30" t="inlineStr">
        <is>
          <t>C-03-01</t>
        </is>
      </c>
      <c r="AN929" s="30" t="inlineStr">
        <is>
          <t>T-0967</t>
        </is>
      </c>
      <c r="AO929" s="30" t="inlineStr">
        <is>
          <t>C-06-01</t>
        </is>
      </c>
    </row>
    <row r="930">
      <c r="A930" s="30" t="inlineStr">
        <is>
          <t>O0929</t>
        </is>
      </c>
      <c r="B930" s="30" t="inlineStr">
        <is>
          <t>B</t>
        </is>
      </c>
      <c r="C930" s="31" t="n">
        <v>12560.5</v>
      </c>
      <c r="D930" s="31" t="n">
        <v>45289.9</v>
      </c>
      <c r="E930" s="31" t="n">
        <v>45289.9</v>
      </c>
      <c r="F930" s="31" t="n">
        <v>45303.6</v>
      </c>
      <c r="G930" s="31" t="n">
        <v>45324.7</v>
      </c>
      <c r="H930" s="31" t="n">
        <v>45338.8</v>
      </c>
      <c r="I930" s="31" t="n">
        <v>45368.3</v>
      </c>
      <c r="J930" s="31" t="n">
        <v>45395.6</v>
      </c>
      <c r="K930" s="31" t="n">
        <v>32835.1</v>
      </c>
      <c r="L930" s="31" t="n">
        <v>32729.4</v>
      </c>
      <c r="M930" s="30" t="inlineStr">
        <is>
          <t>AMR2</t>
        </is>
      </c>
      <c r="N930" s="30" t="inlineStr">
        <is>
          <t>AMR3</t>
        </is>
      </c>
      <c r="O930" s="32" t="n">
        <v>0</v>
      </c>
      <c r="P930" s="32" t="n">
        <v>0</v>
      </c>
      <c r="Q930" s="32" t="n">
        <v>15</v>
      </c>
      <c r="R930" s="31" t="n">
        <v>33.9</v>
      </c>
      <c r="S930" s="31" t="n">
        <v>33.9</v>
      </c>
      <c r="T930" s="30" t="inlineStr">
        <is>
          <t>AMR2</t>
        </is>
      </c>
      <c r="U930" s="31" t="n">
        <v>51.9</v>
      </c>
      <c r="V930" s="31" t="n">
        <v>51.9</v>
      </c>
      <c r="W930" s="30" t="inlineStr">
        <is>
          <t>AMR3</t>
        </is>
      </c>
      <c r="X930" s="32" t="n">
        <v>0</v>
      </c>
      <c r="Y930" s="32" t="n">
        <v>0</v>
      </c>
      <c r="Z930" s="31" t="n">
        <v>0</v>
      </c>
      <c r="AA930" s="32" t="n">
        <v>0</v>
      </c>
      <c r="AB930" s="32" t="n">
        <v>0</v>
      </c>
      <c r="AC930" s="32" t="n">
        <v>1</v>
      </c>
      <c r="AD930" s="32" t="n">
        <v>0</v>
      </c>
      <c r="AE930" s="31" t="n">
        <v>0</v>
      </c>
      <c r="AF930" s="32" t="n">
        <v>0</v>
      </c>
      <c r="AG930" s="31" t="n">
        <v>0</v>
      </c>
      <c r="AH930" s="32" t="n">
        <v>45</v>
      </c>
      <c r="AI930" s="31" t="n">
        <v>50.1</v>
      </c>
      <c r="AJ930" s="31" t="n">
        <v>38.5</v>
      </c>
      <c r="AK930" s="31" t="n">
        <v>3</v>
      </c>
      <c r="AL930" s="30" t="inlineStr">
        <is>
          <t>T-1079</t>
        </is>
      </c>
      <c r="AM930" s="30" t="inlineStr">
        <is>
          <t>B-04-03</t>
        </is>
      </c>
      <c r="AN930" s="30" t="inlineStr">
        <is>
          <t>T-0974</t>
        </is>
      </c>
      <c r="AO930" s="30" t="inlineStr">
        <is>
          <t>B-05-01</t>
        </is>
      </c>
    </row>
    <row r="931">
      <c r="A931" s="30" t="inlineStr">
        <is>
          <t>O0930</t>
        </is>
      </c>
      <c r="B931" s="30" t="inlineStr">
        <is>
          <t>G</t>
        </is>
      </c>
      <c r="C931" s="31" t="n">
        <v>12581.1</v>
      </c>
      <c r="D931" s="31" t="n">
        <v>45313</v>
      </c>
      <c r="E931" s="31" t="n">
        <v>45313</v>
      </c>
      <c r="F931" s="31" t="n">
        <v>45329</v>
      </c>
      <c r="G931" s="31" t="n">
        <v>45353.4</v>
      </c>
      <c r="H931" s="31" t="n">
        <v>45370.9</v>
      </c>
      <c r="I931" s="31" t="n">
        <v>45402.8</v>
      </c>
      <c r="J931" s="31" t="n">
        <v>45433.9</v>
      </c>
      <c r="K931" s="31" t="n">
        <v>32852.8</v>
      </c>
      <c r="L931" s="31" t="n">
        <v>32731.9</v>
      </c>
      <c r="M931" s="30" t="inlineStr">
        <is>
          <t>AMR1</t>
        </is>
      </c>
      <c r="N931" s="30" t="inlineStr">
        <is>
          <t>AMR1</t>
        </is>
      </c>
      <c r="O931" s="32" t="n">
        <v>0</v>
      </c>
      <c r="P931" s="32" t="n">
        <v>0</v>
      </c>
      <c r="Q931" s="32" t="n">
        <v>17</v>
      </c>
      <c r="R931" s="31" t="n">
        <v>38.7</v>
      </c>
      <c r="S931" s="31" t="n">
        <v>38.7</v>
      </c>
      <c r="T931" s="30" t="inlineStr">
        <is>
          <t>AMR1</t>
        </is>
      </c>
      <c r="U931" s="31" t="n">
        <v>59.7</v>
      </c>
      <c r="V931" s="31" t="n">
        <v>59.7</v>
      </c>
      <c r="W931" s="30" t="inlineStr">
        <is>
          <t>AMR1</t>
        </is>
      </c>
      <c r="X931" s="32" t="n">
        <v>0</v>
      </c>
      <c r="Y931" s="32" t="n">
        <v>0</v>
      </c>
      <c r="Z931" s="31" t="n">
        <v>0</v>
      </c>
      <c r="AA931" s="32" t="n">
        <v>0</v>
      </c>
      <c r="AB931" s="32" t="n">
        <v>0</v>
      </c>
      <c r="AC931" s="32" t="n">
        <v>0</v>
      </c>
      <c r="AD931" s="32" t="n">
        <v>0</v>
      </c>
      <c r="AE931" s="31" t="n">
        <v>0</v>
      </c>
      <c r="AF931" s="32" t="n">
        <v>0</v>
      </c>
      <c r="AG931" s="31" t="n">
        <v>0</v>
      </c>
      <c r="AH931" s="32" t="n">
        <v>52</v>
      </c>
      <c r="AI931" s="31" t="n">
        <v>55.4</v>
      </c>
      <c r="AJ931" s="31" t="n">
        <v>48</v>
      </c>
      <c r="AK931" s="31" t="n">
        <v>0</v>
      </c>
      <c r="AL931" s="30" t="inlineStr">
        <is>
          <t>T-1080</t>
        </is>
      </c>
      <c r="AM931" s="30" t="inlineStr">
        <is>
          <t>G-03-02</t>
        </is>
      </c>
      <c r="AN931" s="30" t="inlineStr">
        <is>
          <t>T-0879</t>
        </is>
      </c>
      <c r="AO931" s="30" t="inlineStr">
        <is>
          <t>G-02-01</t>
        </is>
      </c>
    </row>
    <row r="932">
      <c r="A932" s="30" t="inlineStr">
        <is>
          <t>O0931</t>
        </is>
      </c>
      <c r="B932" s="30" t="inlineStr">
        <is>
          <t>D</t>
        </is>
      </c>
      <c r="C932" s="31" t="n">
        <v>12605.8</v>
      </c>
      <c r="D932" s="31" t="n">
        <v>45345.3</v>
      </c>
      <c r="E932" s="31" t="n">
        <v>45345.3</v>
      </c>
      <c r="F932" s="31" t="n">
        <v>45355.9</v>
      </c>
      <c r="G932" s="31" t="n">
        <v>45382.4</v>
      </c>
      <c r="H932" s="31" t="n">
        <v>45397.2</v>
      </c>
      <c r="I932" s="31" t="n">
        <v>45423.4</v>
      </c>
      <c r="J932" s="31" t="n">
        <v>45454.5</v>
      </c>
      <c r="K932" s="31" t="n">
        <v>32848.7</v>
      </c>
      <c r="L932" s="31" t="n">
        <v>32739.5</v>
      </c>
      <c r="M932" s="30" t="inlineStr">
        <is>
          <t>AMR2</t>
        </is>
      </c>
      <c r="N932" s="30" t="inlineStr">
        <is>
          <t>AMR2</t>
        </is>
      </c>
      <c r="O932" s="32" t="n">
        <v>0</v>
      </c>
      <c r="P932" s="32" t="n">
        <v>0</v>
      </c>
      <c r="Q932" s="32" t="n">
        <v>13</v>
      </c>
      <c r="R932" s="31" t="n">
        <v>34.6</v>
      </c>
      <c r="S932" s="31" t="n">
        <v>34.6</v>
      </c>
      <c r="T932" s="30" t="inlineStr">
        <is>
          <t>AMR2</t>
        </is>
      </c>
      <c r="U932" s="31" t="n">
        <v>52.5</v>
      </c>
      <c r="V932" s="31" t="n">
        <v>52.5</v>
      </c>
      <c r="W932" s="30" t="inlineStr">
        <is>
          <t>AMR2</t>
        </is>
      </c>
      <c r="X932" s="32" t="n">
        <v>0</v>
      </c>
      <c r="Y932" s="32" t="n">
        <v>0</v>
      </c>
      <c r="Z932" s="31" t="n">
        <v>0</v>
      </c>
      <c r="AA932" s="32" t="n">
        <v>0</v>
      </c>
      <c r="AB932" s="32" t="n">
        <v>0</v>
      </c>
      <c r="AC932" s="32" t="n">
        <v>0</v>
      </c>
      <c r="AD932" s="32" t="n">
        <v>0</v>
      </c>
      <c r="AE932" s="31" t="n">
        <v>0</v>
      </c>
      <c r="AF932" s="32" t="n">
        <v>0</v>
      </c>
      <c r="AG932" s="31" t="n">
        <v>0</v>
      </c>
      <c r="AH932" s="32" t="n">
        <v>47</v>
      </c>
      <c r="AI932" s="31" t="n">
        <v>50</v>
      </c>
      <c r="AJ932" s="31" t="n">
        <v>44.4</v>
      </c>
      <c r="AK932" s="31" t="n">
        <v>0</v>
      </c>
      <c r="AL932" s="30" t="inlineStr">
        <is>
          <t>T-1081</t>
        </is>
      </c>
      <c r="AM932" s="30" t="inlineStr">
        <is>
          <t>D-04-02</t>
        </is>
      </c>
      <c r="AN932" s="30" t="inlineStr">
        <is>
          <t>T-0955</t>
        </is>
      </c>
      <c r="AO932" s="30" t="inlineStr">
        <is>
          <t>D-06-02</t>
        </is>
      </c>
    </row>
    <row r="933">
      <c r="A933" s="30" t="inlineStr">
        <is>
          <t>O0932</t>
        </is>
      </c>
      <c r="B933" s="30" t="inlineStr">
        <is>
          <t>F</t>
        </is>
      </c>
      <c r="C933" s="31" t="n">
        <v>12623.4</v>
      </c>
      <c r="D933" s="31" t="n">
        <v>45421.4</v>
      </c>
      <c r="E933" s="31" t="n">
        <v>45421.4</v>
      </c>
      <c r="F933" s="31" t="n">
        <v>45431.9</v>
      </c>
      <c r="G933" s="31" t="n">
        <v>45463.8</v>
      </c>
      <c r="H933" s="31" t="n">
        <v>45478.2</v>
      </c>
      <c r="I933" s="31" t="n">
        <v>45511</v>
      </c>
      <c r="J933" s="31" t="n">
        <v>45546.2</v>
      </c>
      <c r="K933" s="31" t="n">
        <v>32922.8</v>
      </c>
      <c r="L933" s="31" t="n">
        <v>32798</v>
      </c>
      <c r="M933" s="30" t="inlineStr">
        <is>
          <t>AMR3</t>
        </is>
      </c>
      <c r="N933" s="30" t="inlineStr">
        <is>
          <t>AMR2</t>
        </is>
      </c>
      <c r="O933" s="32" t="n">
        <v>0</v>
      </c>
      <c r="P933" s="32" t="n">
        <v>0</v>
      </c>
      <c r="Q933" s="32" t="n">
        <v>23</v>
      </c>
      <c r="R933" s="31" t="n">
        <v>41.5</v>
      </c>
      <c r="S933" s="31" t="n">
        <v>41.5</v>
      </c>
      <c r="T933" s="30" t="inlineStr">
        <is>
          <t>AMR3</t>
        </is>
      </c>
      <c r="U933" s="31" t="n">
        <v>70.7</v>
      </c>
      <c r="V933" s="31" t="n">
        <v>70.7</v>
      </c>
      <c r="W933" s="30" t="inlineStr">
        <is>
          <t>AMR2</t>
        </is>
      </c>
      <c r="X933" s="32" t="n">
        <v>0</v>
      </c>
      <c r="Y933" s="32" t="n">
        <v>0</v>
      </c>
      <c r="Z933" s="31" t="n">
        <v>0</v>
      </c>
      <c r="AA933" s="32" t="n">
        <v>0</v>
      </c>
      <c r="AB933" s="32" t="n">
        <v>0</v>
      </c>
      <c r="AC933" s="32" t="n">
        <v>0</v>
      </c>
      <c r="AD933" s="32" t="n">
        <v>0</v>
      </c>
      <c r="AE933" s="31" t="n">
        <v>0</v>
      </c>
      <c r="AF933" s="32" t="n">
        <v>0</v>
      </c>
      <c r="AG933" s="31" t="n">
        <v>0</v>
      </c>
      <c r="AH933" s="32" t="n">
        <v>63</v>
      </c>
      <c r="AI933" s="31" t="n">
        <v>63.4</v>
      </c>
      <c r="AJ933" s="31" t="n">
        <v>47</v>
      </c>
      <c r="AK933" s="31" t="n">
        <v>0</v>
      </c>
      <c r="AL933" s="30" t="inlineStr">
        <is>
          <t>T-1082</t>
        </is>
      </c>
      <c r="AM933" s="30" t="inlineStr">
        <is>
          <t>F-05-01</t>
        </is>
      </c>
      <c r="AN933" s="30" t="inlineStr">
        <is>
          <t>T-0842</t>
        </is>
      </c>
      <c r="AO933" s="30" t="inlineStr">
        <is>
          <t>F-06-01</t>
        </is>
      </c>
    </row>
    <row r="934">
      <c r="A934" s="30" t="inlineStr">
        <is>
          <t>O0933</t>
        </is>
      </c>
      <c r="B934" s="30" t="inlineStr">
        <is>
          <t>F</t>
        </is>
      </c>
      <c r="C934" s="31" t="n">
        <v>12645.4</v>
      </c>
      <c r="D934" s="31" t="n">
        <v>45457.6</v>
      </c>
      <c r="E934" s="31" t="n">
        <v>45457.6</v>
      </c>
      <c r="F934" s="31" t="n">
        <v>45470</v>
      </c>
      <c r="G934" s="31" t="n">
        <v>45500.7</v>
      </c>
      <c r="H934" s="31" t="n">
        <v>45528</v>
      </c>
      <c r="I934" s="31" t="n">
        <v>45562.2</v>
      </c>
      <c r="J934" s="31" t="n">
        <v>45612.1</v>
      </c>
      <c r="K934" s="31" t="n">
        <v>32966.7</v>
      </c>
      <c r="L934" s="31" t="n">
        <v>32812.2</v>
      </c>
      <c r="M934" s="30" t="inlineStr">
        <is>
          <t>AMR1</t>
        </is>
      </c>
      <c r="N934" s="30" t="inlineStr">
        <is>
          <t>AMR1</t>
        </is>
      </c>
      <c r="O934" s="32" t="n">
        <v>0</v>
      </c>
      <c r="P934" s="32" t="n">
        <v>0</v>
      </c>
      <c r="Q934" s="32" t="n">
        <v>23</v>
      </c>
      <c r="R934" s="31" t="n">
        <v>41.4</v>
      </c>
      <c r="S934" s="31" t="n">
        <v>41.4</v>
      </c>
      <c r="T934" s="30" t="inlineStr">
        <is>
          <t>AMR1</t>
        </is>
      </c>
      <c r="U934" s="31" t="n">
        <v>70.40000000000001</v>
      </c>
      <c r="V934" s="31" t="n">
        <v>70.40000000000001</v>
      </c>
      <c r="W934" s="30" t="inlineStr">
        <is>
          <t>AMR1</t>
        </is>
      </c>
      <c r="X934" s="32" t="n">
        <v>0</v>
      </c>
      <c r="Y934" s="32" t="n">
        <v>0</v>
      </c>
      <c r="Z934" s="31" t="n">
        <v>0</v>
      </c>
      <c r="AA934" s="32" t="n">
        <v>0</v>
      </c>
      <c r="AB934" s="32" t="n">
        <v>0</v>
      </c>
      <c r="AC934" s="32" t="n">
        <v>0</v>
      </c>
      <c r="AD934" s="32" t="n">
        <v>1</v>
      </c>
      <c r="AE934" s="31" t="n">
        <v>13.4</v>
      </c>
      <c r="AF934" s="32" t="n">
        <v>1</v>
      </c>
      <c r="AG934" s="31" t="n">
        <v>8.4</v>
      </c>
      <c r="AH934" s="32" t="n">
        <v>66</v>
      </c>
      <c r="AI934" s="31" t="n">
        <v>67.2</v>
      </c>
      <c r="AJ934" s="31" t="n">
        <v>46.6</v>
      </c>
      <c r="AK934" s="31" t="n">
        <v>13.4</v>
      </c>
      <c r="AL934" s="30" t="inlineStr">
        <is>
          <t>T-1083</t>
        </is>
      </c>
      <c r="AM934" s="30" t="inlineStr">
        <is>
          <t>F-03-03</t>
        </is>
      </c>
      <c r="AN934" s="30" t="inlineStr">
        <is>
          <t>T-0843</t>
        </is>
      </c>
      <c r="AO934" s="30" t="inlineStr">
        <is>
          <t>F-04-03</t>
        </is>
      </c>
    </row>
    <row r="935">
      <c r="A935" s="30" t="inlineStr">
        <is>
          <t>O0934</t>
        </is>
      </c>
      <c r="B935" s="30" t="inlineStr">
        <is>
          <t>D</t>
        </is>
      </c>
      <c r="C935" s="31" t="n">
        <v>12664.9</v>
      </c>
      <c r="D935" s="31" t="n">
        <v>45486</v>
      </c>
      <c r="E935" s="31" t="n">
        <v>45486</v>
      </c>
      <c r="F935" s="31" t="n">
        <v>45501.5</v>
      </c>
      <c r="G935" s="31" t="n">
        <v>45524.2</v>
      </c>
      <c r="H935" s="31" t="n">
        <v>45539</v>
      </c>
      <c r="I935" s="31" t="n">
        <v>45564.6</v>
      </c>
      <c r="J935" s="31" t="n">
        <v>45595</v>
      </c>
      <c r="K935" s="31" t="n">
        <v>32930.1</v>
      </c>
      <c r="L935" s="31" t="n">
        <v>32821.1</v>
      </c>
      <c r="M935" s="30" t="inlineStr">
        <is>
          <t>AMR3</t>
        </is>
      </c>
      <c r="N935" s="30" t="inlineStr">
        <is>
          <t>AMR3</t>
        </is>
      </c>
      <c r="O935" s="32" t="n">
        <v>0</v>
      </c>
      <c r="P935" s="32" t="n">
        <v>0</v>
      </c>
      <c r="Q935" s="32" t="n">
        <v>13</v>
      </c>
      <c r="R935" s="31" t="n">
        <v>35.7</v>
      </c>
      <c r="S935" s="31" t="n">
        <v>35.7</v>
      </c>
      <c r="T935" s="30" t="inlineStr">
        <is>
          <t>AMR3</t>
        </is>
      </c>
      <c r="U935" s="31" t="n">
        <v>56.2</v>
      </c>
      <c r="V935" s="31" t="n">
        <v>56.2</v>
      </c>
      <c r="W935" s="30" t="inlineStr">
        <is>
          <t>AMR3</t>
        </is>
      </c>
      <c r="X935" s="32" t="n">
        <v>0</v>
      </c>
      <c r="Y935" s="32" t="n">
        <v>0</v>
      </c>
      <c r="Z935" s="31" t="n">
        <v>0</v>
      </c>
      <c r="AA935" s="32" t="n">
        <v>0</v>
      </c>
      <c r="AB935" s="32" t="n">
        <v>0</v>
      </c>
      <c r="AC935" s="32" t="n">
        <v>0</v>
      </c>
      <c r="AD935" s="32" t="n">
        <v>0</v>
      </c>
      <c r="AE935" s="31" t="n">
        <v>0</v>
      </c>
      <c r="AF935" s="32" t="n">
        <v>0</v>
      </c>
      <c r="AG935" s="31" t="n">
        <v>0</v>
      </c>
      <c r="AH935" s="32" t="n">
        <v>41</v>
      </c>
      <c r="AI935" s="31" t="n">
        <v>45</v>
      </c>
      <c r="AJ935" s="31" t="n">
        <v>49.2</v>
      </c>
      <c r="AK935" s="31" t="n">
        <v>0</v>
      </c>
      <c r="AL935" s="30" t="inlineStr">
        <is>
          <t>T-1084</t>
        </is>
      </c>
      <c r="AM935" s="30" t="inlineStr">
        <is>
          <t>D-05-02</t>
        </is>
      </c>
      <c r="AN935" s="30" t="inlineStr">
        <is>
          <t>T-0962</t>
        </is>
      </c>
      <c r="AO935" s="30" t="inlineStr">
        <is>
          <t>D-01-01</t>
        </is>
      </c>
    </row>
    <row r="936">
      <c r="A936" s="30" t="inlineStr">
        <is>
          <t>O0935</t>
        </is>
      </c>
      <c r="B936" s="30" t="inlineStr">
        <is>
          <t>C</t>
        </is>
      </c>
      <c r="C936" s="31" t="n">
        <v>12689.4</v>
      </c>
      <c r="D936" s="31" t="n">
        <v>45569.9</v>
      </c>
      <c r="E936" s="31" t="n">
        <v>45569.9</v>
      </c>
      <c r="F936" s="31" t="n">
        <v>45584.2</v>
      </c>
      <c r="G936" s="31" t="n">
        <v>45605.5</v>
      </c>
      <c r="H936" s="31" t="n">
        <v>45617</v>
      </c>
      <c r="I936" s="31" t="n">
        <v>45640.1</v>
      </c>
      <c r="J936" s="31" t="n">
        <v>45669.2</v>
      </c>
      <c r="K936" s="31" t="n">
        <v>32979.8</v>
      </c>
      <c r="L936" s="31" t="n">
        <v>32880.5</v>
      </c>
      <c r="M936" s="30" t="inlineStr">
        <is>
          <t>AMR2</t>
        </is>
      </c>
      <c r="N936" s="30" t="inlineStr">
        <is>
          <t>AMR2</t>
        </is>
      </c>
      <c r="O936" s="32" t="n">
        <v>0</v>
      </c>
      <c r="P936" s="32" t="n">
        <v>0</v>
      </c>
      <c r="Q936" s="32" t="n">
        <v>13</v>
      </c>
      <c r="R936" s="31" t="n">
        <v>35.5</v>
      </c>
      <c r="S936" s="31" t="n">
        <v>35.5</v>
      </c>
      <c r="T936" s="30" t="inlineStr">
        <is>
          <t>AMR2</t>
        </is>
      </c>
      <c r="U936" s="31" t="n">
        <v>53.4</v>
      </c>
      <c r="V936" s="31" t="n">
        <v>53.4</v>
      </c>
      <c r="W936" s="30" t="inlineStr">
        <is>
          <t>AMR2</t>
        </is>
      </c>
      <c r="X936" s="32" t="n">
        <v>0</v>
      </c>
      <c r="Y936" s="32" t="n">
        <v>0</v>
      </c>
      <c r="Z936" s="31" t="n">
        <v>0</v>
      </c>
      <c r="AA936" s="32" t="n">
        <v>0</v>
      </c>
      <c r="AB936" s="32" t="n">
        <v>0</v>
      </c>
      <c r="AC936" s="32" t="n">
        <v>0</v>
      </c>
      <c r="AD936" s="32" t="n">
        <v>0</v>
      </c>
      <c r="AE936" s="31" t="n">
        <v>0</v>
      </c>
      <c r="AF936" s="32" t="n">
        <v>0</v>
      </c>
      <c r="AG936" s="31" t="n">
        <v>0</v>
      </c>
      <c r="AH936" s="32" t="n">
        <v>38</v>
      </c>
      <c r="AI936" s="31" t="n">
        <v>41.1</v>
      </c>
      <c r="AJ936" s="31" t="n">
        <v>46.7</v>
      </c>
      <c r="AK936" s="31" t="n">
        <v>0</v>
      </c>
      <c r="AL936" s="30" t="inlineStr">
        <is>
          <t>T-1085</t>
        </is>
      </c>
      <c r="AM936" s="30" t="inlineStr">
        <is>
          <t>C-06-01</t>
        </is>
      </c>
      <c r="AN936" s="30" t="inlineStr">
        <is>
          <t>T-0969</t>
        </is>
      </c>
      <c r="AO936" s="30" t="inlineStr">
        <is>
          <t>C-01-02</t>
        </is>
      </c>
    </row>
    <row r="937">
      <c r="A937" s="30" t="inlineStr">
        <is>
          <t>O0936</t>
        </is>
      </c>
      <c r="B937" s="30" t="inlineStr">
        <is>
          <t>B</t>
        </is>
      </c>
      <c r="C937" s="31" t="n">
        <v>12705.5</v>
      </c>
      <c r="D937" s="31" t="n">
        <v>45620.3</v>
      </c>
      <c r="E937" s="31" t="n">
        <v>45620.3</v>
      </c>
      <c r="F937" s="31" t="n">
        <v>45634.1</v>
      </c>
      <c r="G937" s="31" t="n">
        <v>45655.8</v>
      </c>
      <c r="H937" s="31" t="n">
        <v>45670.6</v>
      </c>
      <c r="I937" s="31" t="n">
        <v>45697.6</v>
      </c>
      <c r="J937" s="31" t="n">
        <v>45724.3</v>
      </c>
      <c r="K937" s="31" t="n">
        <v>33018.8</v>
      </c>
      <c r="L937" s="31" t="n">
        <v>32914.8</v>
      </c>
      <c r="M937" s="30" t="inlineStr">
        <is>
          <t>AMR3</t>
        </is>
      </c>
      <c r="N937" s="30" t="inlineStr">
        <is>
          <t>AMR3</t>
        </is>
      </c>
      <c r="O937" s="32" t="n">
        <v>0</v>
      </c>
      <c r="P937" s="32" t="n">
        <v>0</v>
      </c>
      <c r="Q937" s="32" t="n">
        <v>15</v>
      </c>
      <c r="R937" s="31" t="n">
        <v>34.6</v>
      </c>
      <c r="S937" s="31" t="n">
        <v>34.6</v>
      </c>
      <c r="T937" s="30" t="inlineStr">
        <is>
          <t>AMR3</t>
        </is>
      </c>
      <c r="U937" s="31" t="n">
        <v>55.4</v>
      </c>
      <c r="V937" s="31" t="n">
        <v>55.4</v>
      </c>
      <c r="W937" s="30" t="inlineStr">
        <is>
          <t>AMR3</t>
        </is>
      </c>
      <c r="X937" s="32" t="n">
        <v>0</v>
      </c>
      <c r="Y937" s="32" t="n">
        <v>0</v>
      </c>
      <c r="Z937" s="31" t="n">
        <v>0</v>
      </c>
      <c r="AA937" s="32" t="n">
        <v>0</v>
      </c>
      <c r="AB937" s="32" t="n">
        <v>0</v>
      </c>
      <c r="AC937" s="32" t="n">
        <v>0</v>
      </c>
      <c r="AD937" s="32" t="n">
        <v>0</v>
      </c>
      <c r="AE937" s="31" t="n">
        <v>0</v>
      </c>
      <c r="AF937" s="32" t="n">
        <v>0</v>
      </c>
      <c r="AG937" s="31" t="n">
        <v>0</v>
      </c>
      <c r="AH937" s="32" t="n">
        <v>43</v>
      </c>
      <c r="AI937" s="31" t="n">
        <v>46.5</v>
      </c>
      <c r="AJ937" s="31" t="n">
        <v>42.7</v>
      </c>
      <c r="AK937" s="31" t="n">
        <v>0</v>
      </c>
      <c r="AL937" s="30" t="inlineStr">
        <is>
          <t>T-1086</t>
        </is>
      </c>
      <c r="AM937" s="30" t="inlineStr">
        <is>
          <t>B-05-01</t>
        </is>
      </c>
      <c r="AN937" s="30" t="inlineStr">
        <is>
          <t>T-0978</t>
        </is>
      </c>
      <c r="AO937" s="30" t="inlineStr">
        <is>
          <t>B-06-01</t>
        </is>
      </c>
    </row>
    <row r="938">
      <c r="A938" s="30" t="inlineStr">
        <is>
          <t>O0937</t>
        </is>
      </c>
      <c r="B938" s="30" t="inlineStr">
        <is>
          <t>F</t>
        </is>
      </c>
      <c r="C938" s="31" t="n">
        <v>12725</v>
      </c>
      <c r="D938" s="31" t="n">
        <v>45635.8</v>
      </c>
      <c r="E938" s="31" t="n">
        <v>45635.8</v>
      </c>
      <c r="F938" s="31" t="n">
        <v>45650.9</v>
      </c>
      <c r="G938" s="31" t="n">
        <v>45679.8</v>
      </c>
      <c r="H938" s="31" t="n">
        <v>45692.9</v>
      </c>
      <c r="I938" s="31" t="n">
        <v>45722.3</v>
      </c>
      <c r="J938" s="31" t="n">
        <v>45754</v>
      </c>
      <c r="K938" s="31" t="n">
        <v>33029</v>
      </c>
      <c r="L938" s="31" t="n">
        <v>32910.8</v>
      </c>
      <c r="M938" s="30" t="inlineStr">
        <is>
          <t>AMR1</t>
        </is>
      </c>
      <c r="N938" s="30" t="inlineStr">
        <is>
          <t>AMR2</t>
        </is>
      </c>
      <c r="O938" s="32" t="n">
        <v>0</v>
      </c>
      <c r="P938" s="32" t="n">
        <v>0</v>
      </c>
      <c r="Q938" s="32" t="n">
        <v>23</v>
      </c>
      <c r="R938" s="31" t="n">
        <v>43.9</v>
      </c>
      <c r="S938" s="31" t="n">
        <v>43.9</v>
      </c>
      <c r="T938" s="30" t="inlineStr">
        <is>
          <t>AMR1</t>
        </is>
      </c>
      <c r="U938" s="31" t="n">
        <v>61.8</v>
      </c>
      <c r="V938" s="31" t="n">
        <v>61.8</v>
      </c>
      <c r="W938" s="30" t="inlineStr">
        <is>
          <t>AMR2</t>
        </is>
      </c>
      <c r="X938" s="32" t="n">
        <v>0</v>
      </c>
      <c r="Y938" s="32" t="n">
        <v>0</v>
      </c>
      <c r="Z938" s="31" t="n">
        <v>0</v>
      </c>
      <c r="AA938" s="32" t="n">
        <v>0</v>
      </c>
      <c r="AB938" s="32" t="n">
        <v>0</v>
      </c>
      <c r="AC938" s="32" t="n">
        <v>0</v>
      </c>
      <c r="AD938" s="32" t="n">
        <v>0</v>
      </c>
      <c r="AE938" s="31" t="n">
        <v>0</v>
      </c>
      <c r="AF938" s="32" t="n">
        <v>0</v>
      </c>
      <c r="AG938" s="31" t="n">
        <v>0</v>
      </c>
      <c r="AH938" s="32" t="n">
        <v>64</v>
      </c>
      <c r="AI938" s="31" t="n">
        <v>64.59999999999999</v>
      </c>
      <c r="AJ938" s="31" t="n">
        <v>40.5</v>
      </c>
      <c r="AK938" s="31" t="n">
        <v>0</v>
      </c>
      <c r="AL938" s="30" t="inlineStr">
        <is>
          <t>T-1087</t>
        </is>
      </c>
      <c r="AM938" s="30" t="inlineStr">
        <is>
          <t>F-06-01</t>
        </is>
      </c>
      <c r="AN938" s="30" t="inlineStr">
        <is>
          <t>T-0844</t>
        </is>
      </c>
      <c r="AO938" s="30" t="inlineStr">
        <is>
          <t>F-05-03</t>
        </is>
      </c>
    </row>
    <row r="939">
      <c r="A939" s="30" t="inlineStr">
        <is>
          <t>O0938</t>
        </is>
      </c>
      <c r="B939" s="30" t="inlineStr">
        <is>
          <t>F</t>
        </is>
      </c>
      <c r="C939" s="31" t="n">
        <v>12741.2</v>
      </c>
      <c r="D939" s="31" t="n">
        <v>45700.7</v>
      </c>
      <c r="E939" s="31" t="n">
        <v>45700.7</v>
      </c>
      <c r="F939" s="31" t="n">
        <v>45712.4</v>
      </c>
      <c r="G939" s="31" t="n">
        <v>45745.5</v>
      </c>
      <c r="H939" s="31" t="n">
        <v>45748</v>
      </c>
      <c r="I939" s="31" t="n">
        <v>45778.7</v>
      </c>
      <c r="J939" s="31" t="n">
        <v>45814.6</v>
      </c>
      <c r="K939" s="31" t="n">
        <v>33073.4</v>
      </c>
      <c r="L939" s="31" t="n">
        <v>32959.5</v>
      </c>
      <c r="M939" s="30" t="inlineStr">
        <is>
          <t>AMR1</t>
        </is>
      </c>
      <c r="N939" s="30" t="inlineStr">
        <is>
          <t>AMR3</t>
        </is>
      </c>
      <c r="O939" s="32" t="n">
        <v>0</v>
      </c>
      <c r="P939" s="32" t="n">
        <v>0</v>
      </c>
      <c r="Q939" s="32" t="n">
        <v>23</v>
      </c>
      <c r="R939" s="31" t="n">
        <v>43.9</v>
      </c>
      <c r="S939" s="31" t="n">
        <v>43.9</v>
      </c>
      <c r="T939" s="30" t="inlineStr">
        <is>
          <t>AMR1</t>
        </is>
      </c>
      <c r="U939" s="31" t="n">
        <v>64.3</v>
      </c>
      <c r="V939" s="31" t="n">
        <v>64.3</v>
      </c>
      <c r="W939" s="30" t="inlineStr">
        <is>
          <t>AMR3</t>
        </is>
      </c>
      <c r="X939" s="32" t="n">
        <v>0</v>
      </c>
      <c r="Y939" s="32" t="n">
        <v>0</v>
      </c>
      <c r="Z939" s="31" t="n">
        <v>0</v>
      </c>
      <c r="AA939" s="32" t="n">
        <v>0</v>
      </c>
      <c r="AB939" s="32" t="n">
        <v>0</v>
      </c>
      <c r="AC939" s="32" t="n">
        <v>0</v>
      </c>
      <c r="AD939" s="32" t="n">
        <v>0</v>
      </c>
      <c r="AE939" s="31" t="n">
        <v>0</v>
      </c>
      <c r="AF939" s="32" t="n">
        <v>0</v>
      </c>
      <c r="AG939" s="31" t="n">
        <v>0</v>
      </c>
      <c r="AH939" s="32" t="n">
        <v>69</v>
      </c>
      <c r="AI939" s="31" t="n">
        <v>68.40000000000001</v>
      </c>
      <c r="AJ939" s="31" t="n">
        <v>43</v>
      </c>
      <c r="AK939" s="31" t="n">
        <v>0</v>
      </c>
      <c r="AL939" s="30" t="inlineStr">
        <is>
          <t>T-1088</t>
        </is>
      </c>
      <c r="AM939" s="30" t="inlineStr">
        <is>
          <t>F-04-03</t>
        </is>
      </c>
      <c r="AN939" s="30" t="inlineStr">
        <is>
          <t>T-0908</t>
        </is>
      </c>
      <c r="AO939" s="30" t="inlineStr">
        <is>
          <t>F-02-02</t>
        </is>
      </c>
    </row>
    <row r="940">
      <c r="A940" s="30" t="inlineStr">
        <is>
          <t>O0939</t>
        </is>
      </c>
      <c r="B940" s="30" t="inlineStr">
        <is>
          <t>H</t>
        </is>
      </c>
      <c r="C940" s="31" t="n">
        <v>12760.7</v>
      </c>
      <c r="D940" s="31" t="n">
        <v>45767.7</v>
      </c>
      <c r="E940" s="31" t="n">
        <v>45767.7</v>
      </c>
      <c r="F940" s="31" t="n">
        <v>45779.7</v>
      </c>
      <c r="G940" s="31" t="n">
        <v>45806.6</v>
      </c>
      <c r="H940" s="31" t="n">
        <v>45821.4</v>
      </c>
      <c r="I940" s="31" t="n">
        <v>45851.2</v>
      </c>
      <c r="J940" s="31" t="n">
        <v>45879.4</v>
      </c>
      <c r="K940" s="31" t="n">
        <v>33118.7</v>
      </c>
      <c r="L940" s="31" t="n">
        <v>33007</v>
      </c>
      <c r="M940" s="30" t="inlineStr">
        <is>
          <t>AMR1</t>
        </is>
      </c>
      <c r="N940" s="30" t="inlineStr">
        <is>
          <t>AMR1</t>
        </is>
      </c>
      <c r="O940" s="32" t="n">
        <v>0</v>
      </c>
      <c r="P940" s="32" t="n">
        <v>0</v>
      </c>
      <c r="Q940" s="32" t="n">
        <v>15</v>
      </c>
      <c r="R940" s="31" t="n">
        <v>38</v>
      </c>
      <c r="S940" s="31" t="n">
        <v>38</v>
      </c>
      <c r="T940" s="30" t="inlineStr">
        <is>
          <t>AMR1</t>
        </is>
      </c>
      <c r="U940" s="31" t="n">
        <v>52.8</v>
      </c>
      <c r="V940" s="31" t="n">
        <v>52.8</v>
      </c>
      <c r="W940" s="30" t="inlineStr">
        <is>
          <t>AMR1</t>
        </is>
      </c>
      <c r="X940" s="32" t="n">
        <v>0</v>
      </c>
      <c r="Y940" s="32" t="n">
        <v>0</v>
      </c>
      <c r="Z940" s="31" t="n">
        <v>0</v>
      </c>
      <c r="AA940" s="32" t="n">
        <v>0</v>
      </c>
      <c r="AB940" s="32" t="n">
        <v>1</v>
      </c>
      <c r="AC940" s="32" t="n">
        <v>1</v>
      </c>
      <c r="AD940" s="32" t="n">
        <v>0</v>
      </c>
      <c r="AE940" s="31" t="n">
        <v>0</v>
      </c>
      <c r="AF940" s="32" t="n">
        <v>1</v>
      </c>
      <c r="AG940" s="31" t="n">
        <v>0.3</v>
      </c>
      <c r="AH940" s="32" t="n">
        <v>43</v>
      </c>
      <c r="AI940" s="31" t="n">
        <v>46.1</v>
      </c>
      <c r="AJ940" s="31" t="n">
        <v>45.5</v>
      </c>
      <c r="AK940" s="31" t="n">
        <v>5.3</v>
      </c>
      <c r="AL940" s="30" t="inlineStr">
        <is>
          <t>T-1089</t>
        </is>
      </c>
      <c r="AM940" s="30" t="inlineStr">
        <is>
          <t>H-04-02</t>
        </is>
      </c>
      <c r="AN940" s="30" t="inlineStr">
        <is>
          <t>T-0899</t>
        </is>
      </c>
      <c r="AO940" s="30" t="inlineStr">
        <is>
          <t>H-03-01</t>
        </is>
      </c>
    </row>
    <row r="941">
      <c r="A941" s="30" t="inlineStr">
        <is>
          <t>O0940</t>
        </is>
      </c>
      <c r="B941" s="30" t="inlineStr">
        <is>
          <t>B</t>
        </is>
      </c>
      <c r="C941" s="31" t="n">
        <v>12784.2</v>
      </c>
      <c r="D941" s="31" t="n">
        <v>45779.7</v>
      </c>
      <c r="E941" s="31" t="n">
        <v>45779.7</v>
      </c>
      <c r="F941" s="31" t="n">
        <v>45790.1</v>
      </c>
      <c r="G941" s="31" t="n">
        <v>45813.5</v>
      </c>
      <c r="H941" s="31" t="n">
        <v>45831</v>
      </c>
      <c r="I941" s="31" t="n">
        <v>45855.7</v>
      </c>
      <c r="J941" s="31" t="n">
        <v>45891.4</v>
      </c>
      <c r="K941" s="31" t="n">
        <v>33107.2</v>
      </c>
      <c r="L941" s="31" t="n">
        <v>32995.5</v>
      </c>
      <c r="M941" s="30" t="inlineStr">
        <is>
          <t>AMR2</t>
        </is>
      </c>
      <c r="N941" s="30" t="inlineStr">
        <is>
          <t>AMR2</t>
        </is>
      </c>
      <c r="O941" s="32" t="n">
        <v>0</v>
      </c>
      <c r="P941" s="32" t="n">
        <v>0</v>
      </c>
      <c r="Q941" s="32" t="n">
        <v>15</v>
      </c>
      <c r="R941" s="31" t="n">
        <v>33.7</v>
      </c>
      <c r="S941" s="31" t="n">
        <v>33.7</v>
      </c>
      <c r="T941" s="30" t="inlineStr">
        <is>
          <t>AMR2</t>
        </is>
      </c>
      <c r="U941" s="31" t="n">
        <v>50.8</v>
      </c>
      <c r="V941" s="31" t="n">
        <v>50.8</v>
      </c>
      <c r="W941" s="30" t="inlineStr">
        <is>
          <t>AMR2</t>
        </is>
      </c>
      <c r="X941" s="32" t="n">
        <v>0</v>
      </c>
      <c r="Y941" s="32" t="n">
        <v>0</v>
      </c>
      <c r="Z941" s="31" t="n">
        <v>0</v>
      </c>
      <c r="AA941" s="32" t="n">
        <v>0</v>
      </c>
      <c r="AB941" s="32" t="n">
        <v>0</v>
      </c>
      <c r="AC941" s="32" t="n">
        <v>0</v>
      </c>
      <c r="AD941" s="32" t="n">
        <v>1</v>
      </c>
      <c r="AE941" s="31" t="n">
        <v>6.3</v>
      </c>
      <c r="AF941" s="32" t="n">
        <v>1</v>
      </c>
      <c r="AG941" s="31" t="n">
        <v>1.3</v>
      </c>
      <c r="AH941" s="32" t="n">
        <v>48</v>
      </c>
      <c r="AI941" s="31" t="n">
        <v>50.7</v>
      </c>
      <c r="AJ941" s="31" t="n">
        <v>37.2</v>
      </c>
      <c r="AK941" s="31" t="n">
        <v>6.3</v>
      </c>
      <c r="AL941" s="30" t="inlineStr">
        <is>
          <t>T-1090</t>
        </is>
      </c>
      <c r="AM941" s="30" t="inlineStr">
        <is>
          <t>B-06-01</t>
        </is>
      </c>
      <c r="AN941" s="30" t="inlineStr">
        <is>
          <t>T-0995</t>
        </is>
      </c>
      <c r="AO941" s="30" t="inlineStr">
        <is>
          <t>B-01-02</t>
        </is>
      </c>
    </row>
    <row r="942">
      <c r="A942" s="30" t="inlineStr">
        <is>
          <t>O0941</t>
        </is>
      </c>
      <c r="B942" s="30" t="inlineStr">
        <is>
          <t>E</t>
        </is>
      </c>
      <c r="C942" s="31" t="n">
        <v>12807.3</v>
      </c>
      <c r="D942" s="31" t="n">
        <v>45838.3</v>
      </c>
      <c r="E942" s="31" t="n">
        <v>45838.3</v>
      </c>
      <c r="F942" s="31" t="n">
        <v>45853.8</v>
      </c>
      <c r="G942" s="31" t="n">
        <v>45879.9</v>
      </c>
      <c r="H942" s="31" t="n">
        <v>45898.1</v>
      </c>
      <c r="I942" s="31" t="n">
        <v>45931.7</v>
      </c>
      <c r="J942" s="31" t="n">
        <v>45965.5</v>
      </c>
      <c r="K942" s="31" t="n">
        <v>33158.2</v>
      </c>
      <c r="L942" s="31" t="n">
        <v>33031</v>
      </c>
      <c r="M942" s="30" t="inlineStr">
        <is>
          <t>AMR3</t>
        </is>
      </c>
      <c r="N942" s="30" t="inlineStr">
        <is>
          <t>AMR3</t>
        </is>
      </c>
      <c r="O942" s="32" t="n">
        <v>0</v>
      </c>
      <c r="P942" s="32" t="n">
        <v>0</v>
      </c>
      <c r="Q942" s="32" t="n">
        <v>19</v>
      </c>
      <c r="R942" s="31" t="n">
        <v>40.7</v>
      </c>
      <c r="S942" s="31" t="n">
        <v>40.7</v>
      </c>
      <c r="T942" s="30" t="inlineStr">
        <is>
          <t>AMR3</t>
        </is>
      </c>
      <c r="U942" s="31" t="n">
        <v>62.6</v>
      </c>
      <c r="V942" s="31" t="n">
        <v>62.6</v>
      </c>
      <c r="W942" s="30" t="inlineStr">
        <is>
          <t>AMR3</t>
        </is>
      </c>
      <c r="X942" s="32" t="n">
        <v>0</v>
      </c>
      <c r="Y942" s="32" t="n">
        <v>0</v>
      </c>
      <c r="Z942" s="31" t="n">
        <v>0</v>
      </c>
      <c r="AA942" s="32" t="n">
        <v>0</v>
      </c>
      <c r="AB942" s="32" t="n">
        <v>1</v>
      </c>
      <c r="AC942" s="32" t="n">
        <v>1</v>
      </c>
      <c r="AD942" s="32" t="n">
        <v>0</v>
      </c>
      <c r="AE942" s="31" t="n">
        <v>0</v>
      </c>
      <c r="AF942" s="32" t="n">
        <v>0</v>
      </c>
      <c r="AG942" s="31" t="n">
        <v>0</v>
      </c>
      <c r="AH942" s="32" t="n">
        <v>57</v>
      </c>
      <c r="AI942" s="31" t="n">
        <v>58.2</v>
      </c>
      <c r="AJ942" s="31" t="n">
        <v>45.8</v>
      </c>
      <c r="AK942" s="31" t="n">
        <v>5</v>
      </c>
      <c r="AL942" s="30" t="inlineStr">
        <is>
          <t>T-1091</t>
        </is>
      </c>
      <c r="AM942" s="30" t="inlineStr">
        <is>
          <t>E-01-03</t>
        </is>
      </c>
      <c r="AN942" s="30" t="inlineStr">
        <is>
          <t>T-0915</t>
        </is>
      </c>
      <c r="AO942" s="30" t="inlineStr">
        <is>
          <t>E-02-01</t>
        </is>
      </c>
    </row>
    <row r="943">
      <c r="A943" s="30" t="inlineStr">
        <is>
          <t>O0942</t>
        </is>
      </c>
      <c r="B943" s="30" t="inlineStr">
        <is>
          <t>A</t>
        </is>
      </c>
      <c r="C943" s="31" t="n">
        <v>12829.2</v>
      </c>
      <c r="D943" s="31" t="n">
        <v>45909.5</v>
      </c>
      <c r="E943" s="31" t="n">
        <v>45909.5</v>
      </c>
      <c r="F943" s="31" t="n">
        <v>45922.6</v>
      </c>
      <c r="G943" s="31" t="n">
        <v>45950.5</v>
      </c>
      <c r="H943" s="31" t="n">
        <v>45973.8</v>
      </c>
      <c r="I943" s="31" t="n">
        <v>46004.4</v>
      </c>
      <c r="J943" s="31" t="n">
        <v>46041.7</v>
      </c>
      <c r="K943" s="31" t="n">
        <v>33212.5</v>
      </c>
      <c r="L943" s="31" t="n">
        <v>33080.3</v>
      </c>
      <c r="M943" s="30" t="inlineStr">
        <is>
          <t>AMR1</t>
        </is>
      </c>
      <c r="N943" s="30" t="inlineStr">
        <is>
          <t>AMR1</t>
        </is>
      </c>
      <c r="O943" s="32" t="n">
        <v>0</v>
      </c>
      <c r="P943" s="32" t="n">
        <v>0</v>
      </c>
      <c r="Q943" s="32" t="n">
        <v>21</v>
      </c>
      <c r="R943" s="31" t="n">
        <v>38.5</v>
      </c>
      <c r="S943" s="31" t="n">
        <v>38.5</v>
      </c>
      <c r="T943" s="30" t="inlineStr">
        <is>
          <t>AMR1</t>
        </is>
      </c>
      <c r="U943" s="31" t="n">
        <v>64.59999999999999</v>
      </c>
      <c r="V943" s="31" t="n">
        <v>64.59999999999999</v>
      </c>
      <c r="W943" s="30" t="inlineStr">
        <is>
          <t>AMR1</t>
        </is>
      </c>
      <c r="X943" s="32" t="n">
        <v>0</v>
      </c>
      <c r="Y943" s="32" t="n">
        <v>0</v>
      </c>
      <c r="Z943" s="31" t="n">
        <v>0</v>
      </c>
      <c r="AA943" s="32" t="n">
        <v>0</v>
      </c>
      <c r="AB943" s="32" t="n">
        <v>1</v>
      </c>
      <c r="AC943" s="32" t="n">
        <v>0</v>
      </c>
      <c r="AD943" s="32" t="n">
        <v>0</v>
      </c>
      <c r="AE943" s="31" t="n">
        <v>0</v>
      </c>
      <c r="AF943" s="32" t="n">
        <v>0</v>
      </c>
      <c r="AG943" s="31" t="n">
        <v>0</v>
      </c>
      <c r="AH943" s="32" t="n">
        <v>69</v>
      </c>
      <c r="AI943" s="31" t="n">
        <v>67.90000000000001</v>
      </c>
      <c r="AJ943" s="31" t="n">
        <v>41</v>
      </c>
      <c r="AK943" s="31" t="n">
        <v>0</v>
      </c>
      <c r="AL943" s="30" t="inlineStr">
        <is>
          <t>T-1092</t>
        </is>
      </c>
      <c r="AM943" s="30" t="inlineStr">
        <is>
          <t>A-01-01</t>
        </is>
      </c>
      <c r="AN943" s="30" t="inlineStr">
        <is>
          <t>T-0953</t>
        </is>
      </c>
      <c r="AO943" s="30" t="inlineStr">
        <is>
          <t>A-02-02</t>
        </is>
      </c>
    </row>
    <row r="944">
      <c r="A944" s="30" t="inlineStr">
        <is>
          <t>O0943</t>
        </is>
      </c>
      <c r="B944" s="30" t="inlineStr">
        <is>
          <t>F</t>
        </is>
      </c>
      <c r="C944" s="31" t="n">
        <v>12852.6</v>
      </c>
      <c r="D944" s="31" t="n">
        <v>45922.6</v>
      </c>
      <c r="E944" s="31" t="n">
        <v>45922.6</v>
      </c>
      <c r="F944" s="31" t="n">
        <v>45937.9</v>
      </c>
      <c r="G944" s="31" t="n">
        <v>45969.8</v>
      </c>
      <c r="H944" s="31" t="n">
        <v>45989.2</v>
      </c>
      <c r="I944" s="31" t="n">
        <v>46030.2</v>
      </c>
      <c r="J944" s="31" t="n">
        <v>46064.5</v>
      </c>
      <c r="K944" s="31" t="n">
        <v>33211.9</v>
      </c>
      <c r="L944" s="31" t="n">
        <v>33070</v>
      </c>
      <c r="M944" s="30" t="inlineStr">
        <is>
          <t>AMR2</t>
        </is>
      </c>
      <c r="N944" s="30" t="inlineStr">
        <is>
          <t>AMR3</t>
        </is>
      </c>
      <c r="O944" s="32" t="n">
        <v>0</v>
      </c>
      <c r="P944" s="32" t="n">
        <v>0</v>
      </c>
      <c r="Q944" s="32" t="n">
        <v>23</v>
      </c>
      <c r="R944" s="31" t="n">
        <v>44.7</v>
      </c>
      <c r="S944" s="31" t="n">
        <v>44.7</v>
      </c>
      <c r="T944" s="30" t="inlineStr">
        <is>
          <t>AMR2</t>
        </is>
      </c>
      <c r="U944" s="31" t="n">
        <v>65.90000000000001</v>
      </c>
      <c r="V944" s="31" t="n">
        <v>65.90000000000001</v>
      </c>
      <c r="W944" s="30" t="inlineStr">
        <is>
          <t>AMR3</t>
        </is>
      </c>
      <c r="X944" s="32" t="n">
        <v>0</v>
      </c>
      <c r="Y944" s="32" t="n">
        <v>0</v>
      </c>
      <c r="Z944" s="31" t="n">
        <v>0</v>
      </c>
      <c r="AA944" s="32" t="n">
        <v>0</v>
      </c>
      <c r="AB944" s="32" t="n">
        <v>2</v>
      </c>
      <c r="AC944" s="32" t="n">
        <v>1</v>
      </c>
      <c r="AD944" s="32" t="n">
        <v>0</v>
      </c>
      <c r="AE944" s="31" t="n">
        <v>0</v>
      </c>
      <c r="AF944" s="32" t="n">
        <v>1</v>
      </c>
      <c r="AG944" s="31" t="n">
        <v>0.2</v>
      </c>
      <c r="AH944" s="32" t="n">
        <v>69</v>
      </c>
      <c r="AI944" s="31" t="n">
        <v>68.5</v>
      </c>
      <c r="AJ944" s="31" t="n">
        <v>45.4</v>
      </c>
      <c r="AK944" s="31" t="n">
        <v>8.6</v>
      </c>
      <c r="AL944" s="30" t="inlineStr">
        <is>
          <t>T-1093</t>
        </is>
      </c>
      <c r="AM944" s="30" t="inlineStr">
        <is>
          <t>F-02-02</t>
        </is>
      </c>
      <c r="AN944" s="30" t="inlineStr">
        <is>
          <t>T-0910</t>
        </is>
      </c>
      <c r="AO944" s="30" t="inlineStr">
        <is>
          <t>F-03-02</t>
        </is>
      </c>
    </row>
    <row r="945">
      <c r="A945" s="30" t="inlineStr">
        <is>
          <t>O0944</t>
        </is>
      </c>
      <c r="B945" s="30" t="inlineStr">
        <is>
          <t>D</t>
        </is>
      </c>
      <c r="C945" s="31" t="n">
        <v>12868.5</v>
      </c>
      <c r="D945" s="31" t="n">
        <v>45999.8</v>
      </c>
      <c r="E945" s="31" t="n">
        <v>45999.8</v>
      </c>
      <c r="F945" s="31" t="n">
        <v>46015.6</v>
      </c>
      <c r="G945" s="31" t="n">
        <v>46039.5</v>
      </c>
      <c r="H945" s="31" t="n">
        <v>46052.3</v>
      </c>
      <c r="I945" s="31" t="n">
        <v>46084</v>
      </c>
      <c r="J945" s="31" t="n">
        <v>46112.8</v>
      </c>
      <c r="K945" s="31" t="n">
        <v>33244.3</v>
      </c>
      <c r="L945" s="31" t="n">
        <v>33131.3</v>
      </c>
      <c r="M945" s="30" t="inlineStr">
        <is>
          <t>AMR2</t>
        </is>
      </c>
      <c r="N945" s="30" t="inlineStr">
        <is>
          <t>AMR2</t>
        </is>
      </c>
      <c r="O945" s="32" t="n">
        <v>0</v>
      </c>
      <c r="P945" s="32" t="n">
        <v>0</v>
      </c>
      <c r="Q945" s="32" t="n">
        <v>13</v>
      </c>
      <c r="R945" s="31" t="n">
        <v>38.8</v>
      </c>
      <c r="S945" s="31" t="n">
        <v>38.8</v>
      </c>
      <c r="T945" s="30" t="inlineStr">
        <is>
          <t>AMR2</t>
        </is>
      </c>
      <c r="U945" s="31" t="n">
        <v>55.4</v>
      </c>
      <c r="V945" s="31" t="n">
        <v>55.4</v>
      </c>
      <c r="W945" s="30" t="inlineStr">
        <is>
          <t>AMR2</t>
        </is>
      </c>
      <c r="X945" s="32" t="n">
        <v>0</v>
      </c>
      <c r="Y945" s="32" t="n">
        <v>0</v>
      </c>
      <c r="Z945" s="31" t="n">
        <v>0</v>
      </c>
      <c r="AA945" s="32" t="n">
        <v>0</v>
      </c>
      <c r="AB945" s="32" t="n">
        <v>1</v>
      </c>
      <c r="AC945" s="32" t="n">
        <v>1</v>
      </c>
      <c r="AD945" s="32" t="n">
        <v>0</v>
      </c>
      <c r="AE945" s="31" t="n">
        <v>0</v>
      </c>
      <c r="AF945" s="32" t="n">
        <v>1</v>
      </c>
      <c r="AG945" s="31" t="n">
        <v>0.3</v>
      </c>
      <c r="AH945" s="32" t="n">
        <v>39</v>
      </c>
      <c r="AI945" s="31" t="n">
        <v>43.4</v>
      </c>
      <c r="AJ945" s="31" t="n">
        <v>51.5</v>
      </c>
      <c r="AK945" s="31" t="n">
        <v>5.3</v>
      </c>
      <c r="AL945" s="30" t="inlineStr">
        <is>
          <t>T-1094</t>
        </is>
      </c>
      <c r="AM945" s="30" t="inlineStr">
        <is>
          <t>D-01-01</t>
        </is>
      </c>
      <c r="AN945" s="30" t="inlineStr">
        <is>
          <t>T-0981</t>
        </is>
      </c>
      <c r="AO945" s="30" t="inlineStr">
        <is>
          <t>D-01-03</t>
        </is>
      </c>
    </row>
    <row r="946">
      <c r="A946" s="30" t="inlineStr">
        <is>
          <t>O0945</t>
        </is>
      </c>
      <c r="B946" s="30" t="inlineStr">
        <is>
          <t>A</t>
        </is>
      </c>
      <c r="C946" s="31" t="n">
        <v>12887.5</v>
      </c>
      <c r="D946" s="31" t="n">
        <v>46069.8</v>
      </c>
      <c r="E946" s="31" t="n">
        <v>46069.8</v>
      </c>
      <c r="F946" s="31" t="n">
        <v>46085</v>
      </c>
      <c r="G946" s="31" t="n">
        <v>46115</v>
      </c>
      <c r="H946" s="31" t="n">
        <v>46133.6</v>
      </c>
      <c r="I946" s="31" t="n">
        <v>46167.7</v>
      </c>
      <c r="J946" s="31" t="n">
        <v>46200.8</v>
      </c>
      <c r="K946" s="31" t="n">
        <v>33313.3</v>
      </c>
      <c r="L946" s="31" t="n">
        <v>33182.3</v>
      </c>
      <c r="M946" s="30" t="inlineStr">
        <is>
          <t>AMR1</t>
        </is>
      </c>
      <c r="N946" s="30" t="inlineStr">
        <is>
          <t>AMR3</t>
        </is>
      </c>
      <c r="O946" s="32" t="n">
        <v>0</v>
      </c>
      <c r="P946" s="32" t="n">
        <v>0</v>
      </c>
      <c r="Q946" s="32" t="n">
        <v>21</v>
      </c>
      <c r="R946" s="31" t="n">
        <v>42.7</v>
      </c>
      <c r="S946" s="31" t="n">
        <v>42.7</v>
      </c>
      <c r="T946" s="30" t="inlineStr">
        <is>
          <t>AMR1</t>
        </is>
      </c>
      <c r="U946" s="31" t="n">
        <v>61.5</v>
      </c>
      <c r="V946" s="31" t="n">
        <v>61.5</v>
      </c>
      <c r="W946" s="30" t="inlineStr">
        <is>
          <t>AMR3</t>
        </is>
      </c>
      <c r="X946" s="32" t="n">
        <v>0</v>
      </c>
      <c r="Y946" s="32" t="n">
        <v>0</v>
      </c>
      <c r="Z946" s="31" t="n">
        <v>0</v>
      </c>
      <c r="AA946" s="32" t="n">
        <v>0</v>
      </c>
      <c r="AB946" s="32" t="n">
        <v>1</v>
      </c>
      <c r="AC946" s="32" t="n">
        <v>1</v>
      </c>
      <c r="AD946" s="32" t="n">
        <v>0</v>
      </c>
      <c r="AE946" s="31" t="n">
        <v>0</v>
      </c>
      <c r="AF946" s="32" t="n">
        <v>1</v>
      </c>
      <c r="AG946" s="31" t="n">
        <v>0.4</v>
      </c>
      <c r="AH946" s="32" t="n">
        <v>65</v>
      </c>
      <c r="AI946" s="31" t="n">
        <v>64.90000000000001</v>
      </c>
      <c r="AJ946" s="31" t="n">
        <v>42.1</v>
      </c>
      <c r="AK946" s="31" t="n">
        <v>5.4</v>
      </c>
      <c r="AL946" s="30" t="inlineStr">
        <is>
          <t>T-1095</t>
        </is>
      </c>
      <c r="AM946" s="30" t="inlineStr">
        <is>
          <t>A-02-02</t>
        </is>
      </c>
      <c r="AN946" s="30" t="inlineStr">
        <is>
          <t>T-0956</t>
        </is>
      </c>
      <c r="AO946" s="30" t="inlineStr">
        <is>
          <t>A-04-02</t>
        </is>
      </c>
    </row>
    <row r="947">
      <c r="A947" s="30" t="inlineStr">
        <is>
          <t>O0946</t>
        </is>
      </c>
      <c r="B947" s="30" t="inlineStr">
        <is>
          <t>C</t>
        </is>
      </c>
      <c r="C947" s="31" t="n">
        <v>12905.1</v>
      </c>
      <c r="D947" s="31" t="n">
        <v>46088.2</v>
      </c>
      <c r="E947" s="31" t="n">
        <v>46088.2</v>
      </c>
      <c r="F947" s="31" t="n">
        <v>46099.3</v>
      </c>
      <c r="G947" s="31" t="n">
        <v>46121.4</v>
      </c>
      <c r="H947" s="31" t="n">
        <v>46136.5</v>
      </c>
      <c r="I947" s="31" t="n">
        <v>46161</v>
      </c>
      <c r="J947" s="31" t="n">
        <v>46186.1</v>
      </c>
      <c r="K947" s="31" t="n">
        <v>33281</v>
      </c>
      <c r="L947" s="31" t="n">
        <v>33183.1</v>
      </c>
      <c r="M947" s="30" t="inlineStr">
        <is>
          <t>AMR3</t>
        </is>
      </c>
      <c r="N947" s="30" t="inlineStr">
        <is>
          <t>AMR2</t>
        </is>
      </c>
      <c r="O947" s="32" t="n">
        <v>0</v>
      </c>
      <c r="P947" s="32" t="n">
        <v>0</v>
      </c>
      <c r="Q947" s="32" t="n">
        <v>13</v>
      </c>
      <c r="R947" s="31" t="n">
        <v>32.3</v>
      </c>
      <c r="S947" s="31" t="n">
        <v>32.3</v>
      </c>
      <c r="T947" s="30" t="inlineStr">
        <is>
          <t>AMR3</t>
        </is>
      </c>
      <c r="U947" s="31" t="n">
        <v>45.8</v>
      </c>
      <c r="V947" s="31" t="n">
        <v>45.8</v>
      </c>
      <c r="W947" s="30" t="inlineStr">
        <is>
          <t>AMR2</t>
        </is>
      </c>
      <c r="X947" s="32" t="n">
        <v>0</v>
      </c>
      <c r="Y947" s="32" t="n">
        <v>0</v>
      </c>
      <c r="Z947" s="31" t="n">
        <v>0</v>
      </c>
      <c r="AA947" s="32" t="n">
        <v>0</v>
      </c>
      <c r="AB947" s="32" t="n">
        <v>0</v>
      </c>
      <c r="AC947" s="32" t="n">
        <v>0</v>
      </c>
      <c r="AD947" s="32" t="n">
        <v>0</v>
      </c>
      <c r="AE947" s="31" t="n">
        <v>0</v>
      </c>
      <c r="AF947" s="32" t="n">
        <v>0</v>
      </c>
      <c r="AG947" s="31" t="n">
        <v>0</v>
      </c>
      <c r="AH947" s="32" t="n">
        <v>39</v>
      </c>
      <c r="AI947" s="31" t="n">
        <v>43.9</v>
      </c>
      <c r="AJ947" s="31" t="n">
        <v>35.9</v>
      </c>
      <c r="AK947" s="31" t="n">
        <v>3</v>
      </c>
      <c r="AL947" s="30" t="inlineStr">
        <is>
          <t>T-1096</t>
        </is>
      </c>
      <c r="AM947" s="30" t="inlineStr">
        <is>
          <t>C-01-02</t>
        </is>
      </c>
      <c r="AN947" s="30" t="inlineStr">
        <is>
          <t>T-0983</t>
        </is>
      </c>
      <c r="AO947" s="30" t="inlineStr">
        <is>
          <t>C-02-02</t>
        </is>
      </c>
    </row>
    <row r="948">
      <c r="A948" s="30" t="inlineStr">
        <is>
          <t>O0947</t>
        </is>
      </c>
      <c r="B948" s="30" t="inlineStr">
        <is>
          <t>H</t>
        </is>
      </c>
      <c r="C948" s="31" t="n">
        <v>12929.6</v>
      </c>
      <c r="D948" s="31" t="n">
        <v>46145.4</v>
      </c>
      <c r="E948" s="31" t="n">
        <v>46145.4</v>
      </c>
      <c r="F948" s="31" t="n">
        <v>46160.6</v>
      </c>
      <c r="G948" s="31" t="n">
        <v>46187.9</v>
      </c>
      <c r="H948" s="31" t="n">
        <v>46202.4</v>
      </c>
      <c r="I948" s="31" t="n">
        <v>46229.2</v>
      </c>
      <c r="J948" s="31" t="n">
        <v>46255.2</v>
      </c>
      <c r="K948" s="31" t="n">
        <v>33325.6</v>
      </c>
      <c r="L948" s="31" t="n">
        <v>33215.8</v>
      </c>
      <c r="M948" s="30" t="inlineStr">
        <is>
          <t>AMR1</t>
        </is>
      </c>
      <c r="N948" s="30" t="inlineStr">
        <is>
          <t>AMR1</t>
        </is>
      </c>
      <c r="O948" s="32" t="n">
        <v>0</v>
      </c>
      <c r="P948" s="32" t="n">
        <v>0</v>
      </c>
      <c r="Q948" s="32" t="n">
        <v>15</v>
      </c>
      <c r="R948" s="31" t="n">
        <v>40.8</v>
      </c>
      <c r="S948" s="31" t="n">
        <v>40.8</v>
      </c>
      <c r="T948" s="30" t="inlineStr">
        <is>
          <t>AMR1</t>
        </is>
      </c>
      <c r="U948" s="31" t="n">
        <v>52.9</v>
      </c>
      <c r="V948" s="31" t="n">
        <v>52.9</v>
      </c>
      <c r="W948" s="30" t="inlineStr">
        <is>
          <t>AMR1</t>
        </is>
      </c>
      <c r="X948" s="32" t="n">
        <v>0</v>
      </c>
      <c r="Y948" s="32" t="n">
        <v>0</v>
      </c>
      <c r="Z948" s="31" t="n">
        <v>0</v>
      </c>
      <c r="AA948" s="32" t="n">
        <v>0</v>
      </c>
      <c r="AB948" s="32" t="n">
        <v>0</v>
      </c>
      <c r="AC948" s="32" t="n">
        <v>0</v>
      </c>
      <c r="AD948" s="32" t="n">
        <v>0</v>
      </c>
      <c r="AE948" s="31" t="n">
        <v>0</v>
      </c>
      <c r="AF948" s="32" t="n">
        <v>0</v>
      </c>
      <c r="AG948" s="31" t="n">
        <v>0</v>
      </c>
      <c r="AH948" s="32" t="n">
        <v>44</v>
      </c>
      <c r="AI948" s="31" t="n">
        <v>46.9</v>
      </c>
      <c r="AJ948" s="31" t="n">
        <v>48.4</v>
      </c>
      <c r="AK948" s="31" t="n">
        <v>0</v>
      </c>
      <c r="AL948" s="30" t="inlineStr">
        <is>
          <t>T-1097</t>
        </is>
      </c>
      <c r="AM948" s="30" t="inlineStr">
        <is>
          <t>H-03-01</t>
        </is>
      </c>
      <c r="AN948" s="30" t="inlineStr">
        <is>
          <t>T-0920</t>
        </is>
      </c>
      <c r="AO948" s="30" t="inlineStr">
        <is>
          <t>H-03-02</t>
        </is>
      </c>
    </row>
    <row r="949">
      <c r="A949" s="30" t="inlineStr">
        <is>
          <t>O0948</t>
        </is>
      </c>
      <c r="B949" s="30" t="inlineStr">
        <is>
          <t>D</t>
        </is>
      </c>
      <c r="C949" s="31" t="n">
        <v>12952.1</v>
      </c>
      <c r="D949" s="31" t="n">
        <v>46209.8</v>
      </c>
      <c r="E949" s="31" t="n">
        <v>46209.8</v>
      </c>
      <c r="F949" s="31" t="n">
        <v>46220.9</v>
      </c>
      <c r="G949" s="31" t="n">
        <v>46246.7</v>
      </c>
      <c r="H949" s="31" t="n">
        <v>46262.2</v>
      </c>
      <c r="I949" s="31" t="n">
        <v>46290.9</v>
      </c>
      <c r="J949" s="31" t="n">
        <v>46320.1</v>
      </c>
      <c r="K949" s="31" t="n">
        <v>33368</v>
      </c>
      <c r="L949" s="31" t="n">
        <v>33257.7</v>
      </c>
      <c r="M949" s="30" t="inlineStr">
        <is>
          <t>AMR2</t>
        </is>
      </c>
      <c r="N949" s="30" t="inlineStr">
        <is>
          <t>AMR2</t>
        </is>
      </c>
      <c r="O949" s="32" t="n">
        <v>0</v>
      </c>
      <c r="P949" s="32" t="n">
        <v>0</v>
      </c>
      <c r="Q949" s="32" t="n">
        <v>13</v>
      </c>
      <c r="R949" s="31" t="n">
        <v>33.6</v>
      </c>
      <c r="S949" s="31" t="n">
        <v>33.6</v>
      </c>
      <c r="T949" s="30" t="inlineStr">
        <is>
          <t>AMR2</t>
        </is>
      </c>
      <c r="U949" s="31" t="n">
        <v>51.7</v>
      </c>
      <c r="V949" s="31" t="n">
        <v>51.7</v>
      </c>
      <c r="W949" s="30" t="inlineStr">
        <is>
          <t>AMR2</t>
        </is>
      </c>
      <c r="X949" s="32" t="n">
        <v>0</v>
      </c>
      <c r="Y949" s="32" t="n">
        <v>0</v>
      </c>
      <c r="Z949" s="31" t="n">
        <v>0</v>
      </c>
      <c r="AA949" s="32" t="n">
        <v>0</v>
      </c>
      <c r="AB949" s="32" t="n">
        <v>1</v>
      </c>
      <c r="AC949" s="32" t="n">
        <v>1</v>
      </c>
      <c r="AD949" s="32" t="n">
        <v>0</v>
      </c>
      <c r="AE949" s="31" t="n">
        <v>0</v>
      </c>
      <c r="AF949" s="32" t="n">
        <v>0</v>
      </c>
      <c r="AG949" s="31" t="n">
        <v>0</v>
      </c>
      <c r="AH949" s="32" t="n">
        <v>44</v>
      </c>
      <c r="AI949" s="31" t="n">
        <v>49.2</v>
      </c>
      <c r="AJ949" s="31" t="n">
        <v>42.6</v>
      </c>
      <c r="AK949" s="31" t="n">
        <v>3</v>
      </c>
      <c r="AL949" s="30" t="inlineStr">
        <is>
          <t>T-1098</t>
        </is>
      </c>
      <c r="AM949" s="30" t="inlineStr">
        <is>
          <t>D-06-02</t>
        </is>
      </c>
      <c r="AN949" s="30" t="inlineStr">
        <is>
          <t>T-0994</t>
        </is>
      </c>
      <c r="AO949" s="30" t="inlineStr">
        <is>
          <t>D-02-03</t>
        </is>
      </c>
    </row>
    <row r="950">
      <c r="A950" s="30" t="inlineStr">
        <is>
          <t>O0949</t>
        </is>
      </c>
      <c r="B950" s="30" t="inlineStr">
        <is>
          <t>C</t>
        </is>
      </c>
      <c r="C950" s="31" t="n">
        <v>12971.7</v>
      </c>
      <c r="D950" s="31" t="n">
        <v>46224.5</v>
      </c>
      <c r="E950" s="31" t="n">
        <v>46224.5</v>
      </c>
      <c r="F950" s="31" t="n">
        <v>46239.9</v>
      </c>
      <c r="G950" s="31" t="n">
        <v>46261.3</v>
      </c>
      <c r="H950" s="31" t="n">
        <v>46273.5</v>
      </c>
      <c r="I950" s="31" t="n">
        <v>46295.7</v>
      </c>
      <c r="J950" s="31" t="n">
        <v>46335</v>
      </c>
      <c r="K950" s="31" t="n">
        <v>33363.3</v>
      </c>
      <c r="L950" s="31" t="n">
        <v>33252.8</v>
      </c>
      <c r="M950" s="30" t="inlineStr">
        <is>
          <t>AMR3</t>
        </is>
      </c>
      <c r="N950" s="30" t="inlineStr">
        <is>
          <t>AMR3</t>
        </is>
      </c>
      <c r="O950" s="32" t="n">
        <v>0</v>
      </c>
      <c r="P950" s="32" t="n">
        <v>0</v>
      </c>
      <c r="Q950" s="32" t="n">
        <v>13</v>
      </c>
      <c r="R950" s="31" t="n">
        <v>35.9</v>
      </c>
      <c r="S950" s="31" t="n">
        <v>35.9</v>
      </c>
      <c r="T950" s="30" t="inlineStr">
        <is>
          <t>AMR3</t>
        </is>
      </c>
      <c r="U950" s="31" t="n">
        <v>51.5</v>
      </c>
      <c r="V950" s="31" t="n">
        <v>51.5</v>
      </c>
      <c r="W950" s="30" t="inlineStr">
        <is>
          <t>AMR3</t>
        </is>
      </c>
      <c r="X950" s="32" t="n">
        <v>0</v>
      </c>
      <c r="Y950" s="32" t="n">
        <v>0</v>
      </c>
      <c r="Z950" s="31" t="n">
        <v>0</v>
      </c>
      <c r="AA950" s="32" t="n">
        <v>0</v>
      </c>
      <c r="AB950" s="32" t="n">
        <v>0</v>
      </c>
      <c r="AC950" s="32" t="n">
        <v>0</v>
      </c>
      <c r="AD950" s="32" t="n">
        <v>1</v>
      </c>
      <c r="AE950" s="31" t="n">
        <v>10.7</v>
      </c>
      <c r="AF950" s="32" t="n">
        <v>1</v>
      </c>
      <c r="AG950" s="31" t="n">
        <v>5.7</v>
      </c>
      <c r="AH950" s="32" t="n">
        <v>39</v>
      </c>
      <c r="AI950" s="31" t="n">
        <v>42.4</v>
      </c>
      <c r="AJ950" s="31" t="n">
        <v>45.2</v>
      </c>
      <c r="AK950" s="31" t="n">
        <v>10.7</v>
      </c>
      <c r="AL950" s="30" t="inlineStr">
        <is>
          <t>T-1099</t>
        </is>
      </c>
      <c r="AM950" s="30" t="inlineStr">
        <is>
          <t>C-02-02</t>
        </is>
      </c>
      <c r="AN950" s="30" t="inlineStr">
        <is>
          <t>T-0987</t>
        </is>
      </c>
      <c r="AO950" s="30" t="inlineStr">
        <is>
          <t>C-04-03</t>
        </is>
      </c>
    </row>
    <row r="951">
      <c r="A951" s="30" t="inlineStr">
        <is>
          <t>O0950</t>
        </is>
      </c>
      <c r="B951" s="30" t="inlineStr">
        <is>
          <t>D</t>
        </is>
      </c>
      <c r="C951" s="31" t="n">
        <v>12986.8</v>
      </c>
      <c r="D951" s="31" t="n">
        <v>46284.1</v>
      </c>
      <c r="E951" s="31" t="n">
        <v>46284.1</v>
      </c>
      <c r="F951" s="31" t="n">
        <v>46298.6</v>
      </c>
      <c r="G951" s="31" t="n">
        <v>46319.4</v>
      </c>
      <c r="H951" s="31" t="n">
        <v>46332.2</v>
      </c>
      <c r="I951" s="31" t="n">
        <v>46362.9</v>
      </c>
      <c r="J951" s="31" t="n">
        <v>46390.1</v>
      </c>
      <c r="K951" s="31" t="n">
        <v>33403.3</v>
      </c>
      <c r="L951" s="31" t="n">
        <v>33297.3</v>
      </c>
      <c r="M951" s="30" t="inlineStr">
        <is>
          <t>AMR1</t>
        </is>
      </c>
      <c r="N951" s="30" t="inlineStr">
        <is>
          <t>AMR1</t>
        </is>
      </c>
      <c r="O951" s="32" t="n">
        <v>0</v>
      </c>
      <c r="P951" s="32" t="n">
        <v>0</v>
      </c>
      <c r="Q951" s="32" t="n">
        <v>13</v>
      </c>
      <c r="R951" s="31" t="n">
        <v>34.4</v>
      </c>
      <c r="S951" s="31" t="n">
        <v>34.4</v>
      </c>
      <c r="T951" s="30" t="inlineStr">
        <is>
          <t>AMR1</t>
        </is>
      </c>
      <c r="U951" s="31" t="n">
        <v>47.5</v>
      </c>
      <c r="V951" s="31" t="n">
        <v>47.5</v>
      </c>
      <c r="W951" s="30" t="inlineStr">
        <is>
          <t>AMR1</t>
        </is>
      </c>
      <c r="X951" s="32" t="n">
        <v>0</v>
      </c>
      <c r="Y951" s="32" t="n">
        <v>0</v>
      </c>
      <c r="Z951" s="31" t="n">
        <v>0</v>
      </c>
      <c r="AA951" s="32" t="n">
        <v>0</v>
      </c>
      <c r="AB951" s="32" t="n">
        <v>2</v>
      </c>
      <c r="AC951" s="32" t="n">
        <v>1</v>
      </c>
      <c r="AD951" s="32" t="n">
        <v>0</v>
      </c>
      <c r="AE951" s="31" t="n">
        <v>0</v>
      </c>
      <c r="AF951" s="32" t="n">
        <v>0</v>
      </c>
      <c r="AG951" s="31" t="n">
        <v>0</v>
      </c>
      <c r="AH951" s="32" t="n">
        <v>43</v>
      </c>
      <c r="AI951" s="31" t="n">
        <v>48.2</v>
      </c>
      <c r="AJ951" s="31" t="n">
        <v>39.2</v>
      </c>
      <c r="AK951" s="31" t="n">
        <v>5.8</v>
      </c>
      <c r="AL951" s="30" t="inlineStr">
        <is>
          <t>T-1100</t>
        </is>
      </c>
      <c r="AM951" s="30" t="inlineStr">
        <is>
          <t>D-01-03</t>
        </is>
      </c>
      <c r="AN951" s="30" t="inlineStr">
        <is>
          <t>T-1006</t>
        </is>
      </c>
      <c r="AO951" s="30" t="inlineStr">
        <is>
          <t>D-03-01</t>
        </is>
      </c>
    </row>
    <row r="952">
      <c r="A952" s="30" t="inlineStr">
        <is>
          <t>O0951</t>
        </is>
      </c>
      <c r="B952" s="30" t="inlineStr">
        <is>
          <t>G</t>
        </is>
      </c>
      <c r="C952" s="31" t="n">
        <v>13003.8</v>
      </c>
      <c r="D952" s="31" t="n">
        <v>46348.6</v>
      </c>
      <c r="E952" s="31" t="n">
        <v>46348.6</v>
      </c>
      <c r="F952" s="31" t="n">
        <v>46359.1</v>
      </c>
      <c r="G952" s="31" t="n">
        <v>46387.9</v>
      </c>
      <c r="H952" s="31" t="n">
        <v>46406.1</v>
      </c>
      <c r="I952" s="31" t="n">
        <v>46432.3</v>
      </c>
      <c r="J952" s="31" t="n">
        <v>46459.1</v>
      </c>
      <c r="K952" s="31" t="n">
        <v>33455.3</v>
      </c>
      <c r="L952" s="31" t="n">
        <v>33344.8</v>
      </c>
      <c r="M952" s="30" t="inlineStr">
        <is>
          <t>AMR2</t>
        </is>
      </c>
      <c r="N952" s="30" t="inlineStr">
        <is>
          <t>AMR2</t>
        </is>
      </c>
      <c r="O952" s="32" t="n">
        <v>0</v>
      </c>
      <c r="P952" s="32" t="n">
        <v>0</v>
      </c>
      <c r="Q952" s="32" t="n">
        <v>17</v>
      </c>
      <c r="R952" s="31" t="n">
        <v>36.8</v>
      </c>
      <c r="S952" s="31" t="n">
        <v>36.8</v>
      </c>
      <c r="T952" s="30" t="inlineStr">
        <is>
          <t>AMR2</t>
        </is>
      </c>
      <c r="U952" s="31" t="n">
        <v>52.7</v>
      </c>
      <c r="V952" s="31" t="n">
        <v>52.7</v>
      </c>
      <c r="W952" s="30" t="inlineStr">
        <is>
          <t>AMR2</t>
        </is>
      </c>
      <c r="X952" s="32" t="n">
        <v>0</v>
      </c>
      <c r="Y952" s="32" t="n">
        <v>0</v>
      </c>
      <c r="Z952" s="31" t="n">
        <v>0</v>
      </c>
      <c r="AA952" s="32" t="n">
        <v>0</v>
      </c>
      <c r="AB952" s="32" t="n">
        <v>1</v>
      </c>
      <c r="AC952" s="32" t="n">
        <v>0</v>
      </c>
      <c r="AD952" s="32" t="n">
        <v>0</v>
      </c>
      <c r="AE952" s="31" t="n">
        <v>0</v>
      </c>
      <c r="AF952" s="32" t="n">
        <v>0</v>
      </c>
      <c r="AG952" s="31" t="n">
        <v>0</v>
      </c>
      <c r="AH952" s="32" t="n">
        <v>49</v>
      </c>
      <c r="AI952" s="31" t="n">
        <v>53.2</v>
      </c>
      <c r="AJ952" s="31" t="n">
        <v>39.1</v>
      </c>
      <c r="AK952" s="31" t="n">
        <v>0</v>
      </c>
      <c r="AL952" s="30" t="inlineStr">
        <is>
          <t>T-1101</t>
        </is>
      </c>
      <c r="AM952" s="30" t="inlineStr">
        <is>
          <t>G-02-01</t>
        </is>
      </c>
      <c r="AN952" s="30" t="inlineStr">
        <is>
          <t>T-0903</t>
        </is>
      </c>
      <c r="AO952" s="30" t="inlineStr">
        <is>
          <t>G-04-02</t>
        </is>
      </c>
    </row>
    <row r="953">
      <c r="A953" s="30" t="inlineStr">
        <is>
          <t>O0952</t>
        </is>
      </c>
      <c r="B953" s="30" t="inlineStr">
        <is>
          <t>B</t>
        </is>
      </c>
      <c r="C953" s="31" t="n">
        <v>13025.7</v>
      </c>
      <c r="D953" s="31" t="n">
        <v>46358.7</v>
      </c>
      <c r="E953" s="31" t="n">
        <v>46358.7</v>
      </c>
      <c r="F953" s="31" t="n">
        <v>46371.2</v>
      </c>
      <c r="G953" s="31" t="n">
        <v>46396.6</v>
      </c>
      <c r="H953" s="31" t="n">
        <v>46413.8</v>
      </c>
      <c r="I953" s="31" t="n">
        <v>46441.3</v>
      </c>
      <c r="J953" s="31" t="n">
        <v>46479.2</v>
      </c>
      <c r="K953" s="31" t="n">
        <v>33453.5</v>
      </c>
      <c r="L953" s="31" t="n">
        <v>33333</v>
      </c>
      <c r="M953" s="30" t="inlineStr">
        <is>
          <t>AMR3</t>
        </is>
      </c>
      <c r="N953" s="30" t="inlineStr">
        <is>
          <t>AMR1</t>
        </is>
      </c>
      <c r="O953" s="32" t="n">
        <v>0</v>
      </c>
      <c r="P953" s="32" t="n">
        <v>0</v>
      </c>
      <c r="Q953" s="32" t="n">
        <v>15</v>
      </c>
      <c r="R953" s="31" t="n">
        <v>35.4</v>
      </c>
      <c r="S953" s="31" t="n">
        <v>35.4</v>
      </c>
      <c r="T953" s="30" t="inlineStr">
        <is>
          <t>AMR3</t>
        </is>
      </c>
      <c r="U953" s="31" t="n">
        <v>52.3</v>
      </c>
      <c r="V953" s="31" t="n">
        <v>52.3</v>
      </c>
      <c r="W953" s="30" t="inlineStr">
        <is>
          <t>AMR1</t>
        </is>
      </c>
      <c r="X953" s="32" t="n">
        <v>0</v>
      </c>
      <c r="Y953" s="32" t="n">
        <v>0</v>
      </c>
      <c r="Z953" s="31" t="n">
        <v>0</v>
      </c>
      <c r="AA953" s="32" t="n">
        <v>0</v>
      </c>
      <c r="AB953" s="32" t="n">
        <v>1</v>
      </c>
      <c r="AC953" s="32" t="n">
        <v>2</v>
      </c>
      <c r="AD953" s="32" t="n">
        <v>1</v>
      </c>
      <c r="AE953" s="31" t="n">
        <v>5.8</v>
      </c>
      <c r="AF953" s="32" t="n">
        <v>1</v>
      </c>
      <c r="AG953" s="31" t="n">
        <v>0.8</v>
      </c>
      <c r="AH953" s="32" t="n">
        <v>51</v>
      </c>
      <c r="AI953" s="31" t="n">
        <v>54.1</v>
      </c>
      <c r="AJ953" s="31" t="n">
        <v>40.4</v>
      </c>
      <c r="AK953" s="31" t="n">
        <v>8.800000000000001</v>
      </c>
      <c r="AL953" s="30" t="inlineStr">
        <is>
          <t>T-1102</t>
        </is>
      </c>
      <c r="AM953" s="30" t="inlineStr">
        <is>
          <t>B-01-02</t>
        </is>
      </c>
      <c r="AN953" s="30" t="inlineStr">
        <is>
          <t>T-0996</t>
        </is>
      </c>
      <c r="AO953" s="30" t="inlineStr">
        <is>
          <t>B-02-02</t>
        </is>
      </c>
    </row>
    <row r="954">
      <c r="A954" s="30" t="inlineStr">
        <is>
          <t>O0953</t>
        </is>
      </c>
      <c r="B954" s="30" t="inlineStr">
        <is>
          <t>B</t>
        </is>
      </c>
      <c r="C954" s="31" t="n">
        <v>13046.5</v>
      </c>
      <c r="D954" s="31" t="n">
        <v>46420.2</v>
      </c>
      <c r="E954" s="31" t="n">
        <v>46420.2</v>
      </c>
      <c r="F954" s="31" t="n">
        <v>46434.8</v>
      </c>
      <c r="G954" s="31" t="n">
        <v>46465.9</v>
      </c>
      <c r="H954" s="31" t="n">
        <v>46480.7</v>
      </c>
      <c r="I954" s="31" t="n">
        <v>46504.2</v>
      </c>
      <c r="J954" s="31" t="n">
        <v>46534.2</v>
      </c>
      <c r="K954" s="31" t="n">
        <v>33487.7</v>
      </c>
      <c r="L954" s="31" t="n">
        <v>33373.7</v>
      </c>
      <c r="M954" s="30" t="inlineStr">
        <is>
          <t>AMR3</t>
        </is>
      </c>
      <c r="N954" s="30" t="inlineStr">
        <is>
          <t>AMR3</t>
        </is>
      </c>
      <c r="O954" s="32" t="n">
        <v>0</v>
      </c>
      <c r="P954" s="32" t="n">
        <v>0</v>
      </c>
      <c r="Q954" s="32" t="n">
        <v>15</v>
      </c>
      <c r="R954" s="31" t="n">
        <v>38.8</v>
      </c>
      <c r="S954" s="31" t="n">
        <v>38.8</v>
      </c>
      <c r="T954" s="30" t="inlineStr">
        <is>
          <t>AMR3</t>
        </is>
      </c>
      <c r="U954" s="31" t="n">
        <v>51.7</v>
      </c>
      <c r="V954" s="31" t="n">
        <v>51.7</v>
      </c>
      <c r="W954" s="30" t="inlineStr">
        <is>
          <t>AMR3</t>
        </is>
      </c>
      <c r="X954" s="32" t="n">
        <v>0</v>
      </c>
      <c r="Y954" s="32" t="n">
        <v>0</v>
      </c>
      <c r="Z954" s="31" t="n">
        <v>0</v>
      </c>
      <c r="AA954" s="32" t="n">
        <v>0</v>
      </c>
      <c r="AB954" s="32" t="n">
        <v>1</v>
      </c>
      <c r="AC954" s="32" t="n">
        <v>1</v>
      </c>
      <c r="AD954" s="32" t="n">
        <v>0</v>
      </c>
      <c r="AE954" s="31" t="n">
        <v>0</v>
      </c>
      <c r="AF954" s="32" t="n">
        <v>0</v>
      </c>
      <c r="AG954" s="31" t="n">
        <v>0</v>
      </c>
      <c r="AH954" s="32" t="n">
        <v>49</v>
      </c>
      <c r="AI954" s="31" t="n">
        <v>53</v>
      </c>
      <c r="AJ954" s="31" t="n">
        <v>43.2</v>
      </c>
      <c r="AK954" s="31" t="n">
        <v>3</v>
      </c>
      <c r="AL954" s="30" t="inlineStr">
        <is>
          <t>T-1103</t>
        </is>
      </c>
      <c r="AM954" s="30" t="inlineStr">
        <is>
          <t>B-05-03</t>
        </is>
      </c>
      <c r="AN954" s="30" t="inlineStr">
        <is>
          <t>T-1000</t>
        </is>
      </c>
      <c r="AO954" s="30" t="inlineStr">
        <is>
          <t>B-03-02</t>
        </is>
      </c>
    </row>
    <row r="955">
      <c r="A955" s="30" t="inlineStr">
        <is>
          <t>O0954</t>
        </is>
      </c>
      <c r="B955" s="30" t="inlineStr">
        <is>
          <t>D</t>
        </is>
      </c>
      <c r="C955" s="31" t="n">
        <v>13071.5</v>
      </c>
      <c r="D955" s="31" t="n">
        <v>46484.2</v>
      </c>
      <c r="E955" s="31" t="n">
        <v>46484.2</v>
      </c>
      <c r="F955" s="31" t="n">
        <v>46496.1</v>
      </c>
      <c r="G955" s="31" t="n">
        <v>46521.4</v>
      </c>
      <c r="H955" s="31" t="n">
        <v>46535.5</v>
      </c>
      <c r="I955" s="31" t="n">
        <v>46560.5</v>
      </c>
      <c r="J955" s="31" t="n">
        <v>46589.5</v>
      </c>
      <c r="K955" s="31" t="n">
        <v>33518</v>
      </c>
      <c r="L955" s="31" t="n">
        <v>33412.7</v>
      </c>
      <c r="M955" s="30" t="inlineStr">
        <is>
          <t>AMR2</t>
        </is>
      </c>
      <c r="N955" s="30" t="inlineStr">
        <is>
          <t>AMR2</t>
        </is>
      </c>
      <c r="O955" s="32" t="n">
        <v>0</v>
      </c>
      <c r="P955" s="32" t="n">
        <v>0</v>
      </c>
      <c r="Q955" s="32" t="n">
        <v>13</v>
      </c>
      <c r="R955" s="31" t="n">
        <v>34.3</v>
      </c>
      <c r="S955" s="31" t="n">
        <v>34.3</v>
      </c>
      <c r="T955" s="30" t="inlineStr">
        <is>
          <t>AMR2</t>
        </is>
      </c>
      <c r="U955" s="31" t="n">
        <v>50.7</v>
      </c>
      <c r="V955" s="31" t="n">
        <v>50.7</v>
      </c>
      <c r="W955" s="30" t="inlineStr">
        <is>
          <t>AMR2</t>
        </is>
      </c>
      <c r="X955" s="32" t="n">
        <v>0</v>
      </c>
      <c r="Y955" s="32" t="n">
        <v>0</v>
      </c>
      <c r="Z955" s="31" t="n">
        <v>0</v>
      </c>
      <c r="AA955" s="32" t="n">
        <v>0</v>
      </c>
      <c r="AB955" s="32" t="n">
        <v>0</v>
      </c>
      <c r="AC955" s="32" t="n">
        <v>0</v>
      </c>
      <c r="AD955" s="32" t="n">
        <v>0</v>
      </c>
      <c r="AE955" s="31" t="n">
        <v>0</v>
      </c>
      <c r="AF955" s="32" t="n">
        <v>0</v>
      </c>
      <c r="AG955" s="31" t="n">
        <v>0</v>
      </c>
      <c r="AH955" s="32" t="n">
        <v>44</v>
      </c>
      <c r="AI955" s="31" t="n">
        <v>47.7</v>
      </c>
      <c r="AJ955" s="31" t="n">
        <v>42.3</v>
      </c>
      <c r="AK955" s="31" t="n">
        <v>1.2</v>
      </c>
      <c r="AL955" s="30" t="inlineStr">
        <is>
          <t>T-1104</t>
        </is>
      </c>
      <c r="AM955" s="30" t="inlineStr">
        <is>
          <t>D-03-01</t>
        </is>
      </c>
      <c r="AN955" s="30" t="inlineStr">
        <is>
          <t>T-1008</t>
        </is>
      </c>
      <c r="AO955" s="30" t="inlineStr">
        <is>
          <t>D-04-01</t>
        </is>
      </c>
    </row>
    <row r="956">
      <c r="A956" s="30" t="inlineStr">
        <is>
          <t>O0955</t>
        </is>
      </c>
      <c r="B956" s="30" t="inlineStr">
        <is>
          <t>C</t>
        </is>
      </c>
      <c r="C956" s="31" t="n">
        <v>13090.9</v>
      </c>
      <c r="D956" s="31" t="n">
        <v>46502.9</v>
      </c>
      <c r="E956" s="31" t="n">
        <v>46502.9</v>
      </c>
      <c r="F956" s="31" t="n">
        <v>46515.7</v>
      </c>
      <c r="G956" s="31" t="n">
        <v>46536.3</v>
      </c>
      <c r="H956" s="31" t="n">
        <v>46548.8</v>
      </c>
      <c r="I956" s="31" t="n">
        <v>46571.3</v>
      </c>
      <c r="J956" s="31" t="n">
        <v>46604.4</v>
      </c>
      <c r="K956" s="31" t="n">
        <v>33513.5</v>
      </c>
      <c r="L956" s="31" t="n">
        <v>33412</v>
      </c>
      <c r="M956" s="30" t="inlineStr">
        <is>
          <t>AMR1</t>
        </is>
      </c>
      <c r="N956" s="30" t="inlineStr">
        <is>
          <t>AMR1</t>
        </is>
      </c>
      <c r="O956" s="32" t="n">
        <v>0</v>
      </c>
      <c r="P956" s="32" t="n">
        <v>0</v>
      </c>
      <c r="Q956" s="32" t="n">
        <v>13</v>
      </c>
      <c r="R956" s="31" t="n">
        <v>31.7</v>
      </c>
      <c r="S956" s="31" t="n">
        <v>31.7</v>
      </c>
      <c r="T956" s="30" t="inlineStr">
        <is>
          <t>AMR1</t>
        </is>
      </c>
      <c r="U956" s="31" t="n">
        <v>51</v>
      </c>
      <c r="V956" s="31" t="n">
        <v>51</v>
      </c>
      <c r="W956" s="30" t="inlineStr">
        <is>
          <t>AMR1</t>
        </is>
      </c>
      <c r="X956" s="32" t="n">
        <v>0</v>
      </c>
      <c r="Y956" s="32" t="n">
        <v>0</v>
      </c>
      <c r="Z956" s="31" t="n">
        <v>0</v>
      </c>
      <c r="AA956" s="32" t="n">
        <v>0</v>
      </c>
      <c r="AB956" s="32" t="n">
        <v>0</v>
      </c>
      <c r="AC956" s="32" t="n">
        <v>0</v>
      </c>
      <c r="AD956" s="32" t="n">
        <v>1</v>
      </c>
      <c r="AE956" s="31" t="n">
        <v>4.7</v>
      </c>
      <c r="AF956" s="32" t="n">
        <v>0</v>
      </c>
      <c r="AG956" s="31" t="n">
        <v>0</v>
      </c>
      <c r="AH956" s="32" t="n">
        <v>42</v>
      </c>
      <c r="AI956" s="31" t="n">
        <v>43.8</v>
      </c>
      <c r="AJ956" s="31" t="n">
        <v>40.5</v>
      </c>
      <c r="AK956" s="31" t="n">
        <v>4.7</v>
      </c>
      <c r="AL956" s="30" t="inlineStr">
        <is>
          <t>T-1105</t>
        </is>
      </c>
      <c r="AM956" s="30" t="inlineStr">
        <is>
          <t>C-03-03</t>
        </is>
      </c>
      <c r="AN956" s="30" t="inlineStr">
        <is>
          <t>T-0989</t>
        </is>
      </c>
      <c r="AO956" s="30" t="inlineStr">
        <is>
          <t>C-03-02</t>
        </is>
      </c>
    </row>
    <row r="957">
      <c r="A957" s="30" t="inlineStr">
        <is>
          <t>O0956</t>
        </is>
      </c>
      <c r="B957" s="30" t="inlineStr">
        <is>
          <t>F</t>
        </is>
      </c>
      <c r="C957" s="31" t="n">
        <v>13115</v>
      </c>
      <c r="D957" s="31" t="n">
        <v>46559.7</v>
      </c>
      <c r="E957" s="31" t="n">
        <v>46559.7</v>
      </c>
      <c r="F957" s="31" t="n">
        <v>46571.1</v>
      </c>
      <c r="G957" s="31" t="n">
        <v>46602.8</v>
      </c>
      <c r="H957" s="31" t="n">
        <v>46613.2</v>
      </c>
      <c r="I957" s="31" t="n">
        <v>46643</v>
      </c>
      <c r="J957" s="31" t="n">
        <v>46677.6</v>
      </c>
      <c r="K957" s="31" t="n">
        <v>33562.6</v>
      </c>
      <c r="L957" s="31" t="n">
        <v>33444.7</v>
      </c>
      <c r="M957" s="30" t="inlineStr">
        <is>
          <t>AMR3</t>
        </is>
      </c>
      <c r="N957" s="30" t="inlineStr">
        <is>
          <t>AMR2</t>
        </is>
      </c>
      <c r="O957" s="32" t="n">
        <v>0</v>
      </c>
      <c r="P957" s="32" t="n">
        <v>0</v>
      </c>
      <c r="Q957" s="32" t="n">
        <v>23</v>
      </c>
      <c r="R957" s="31" t="n">
        <v>41.4</v>
      </c>
      <c r="S957" s="31" t="n">
        <v>41.4</v>
      </c>
      <c r="T957" s="30" t="inlineStr">
        <is>
          <t>AMR3</t>
        </is>
      </c>
      <c r="U957" s="31" t="n">
        <v>65.09999999999999</v>
      </c>
      <c r="V957" s="31" t="n">
        <v>65.09999999999999</v>
      </c>
      <c r="W957" s="30" t="inlineStr">
        <is>
          <t>AMR2</t>
        </is>
      </c>
      <c r="X957" s="32" t="n">
        <v>0</v>
      </c>
      <c r="Y957" s="32" t="n">
        <v>0</v>
      </c>
      <c r="Z957" s="31" t="n">
        <v>0</v>
      </c>
      <c r="AA957" s="32" t="n">
        <v>0</v>
      </c>
      <c r="AB957" s="32" t="n">
        <v>0</v>
      </c>
      <c r="AC957" s="32" t="n">
        <v>0</v>
      </c>
      <c r="AD957" s="32" t="n">
        <v>0</v>
      </c>
      <c r="AE957" s="31" t="n">
        <v>0</v>
      </c>
      <c r="AF957" s="32" t="n">
        <v>0</v>
      </c>
      <c r="AG957" s="31" t="n">
        <v>0</v>
      </c>
      <c r="AH957" s="32" t="n">
        <v>66</v>
      </c>
      <c r="AI957" s="31" t="n">
        <v>66.2</v>
      </c>
      <c r="AJ957" s="31" t="n">
        <v>41.3</v>
      </c>
      <c r="AK957" s="31" t="n">
        <v>0</v>
      </c>
      <c r="AL957" s="30" t="inlineStr">
        <is>
          <t>T-1106</t>
        </is>
      </c>
      <c r="AM957" s="30" t="inlineStr">
        <is>
          <t>F-03-02</t>
        </is>
      </c>
      <c r="AN957" s="30" t="inlineStr">
        <is>
          <t>T-0929</t>
        </is>
      </c>
      <c r="AO957" s="30" t="inlineStr">
        <is>
          <t>F-04-02</t>
        </is>
      </c>
    </row>
    <row r="958">
      <c r="A958" s="30" t="inlineStr">
        <is>
          <t>O0957</t>
        </is>
      </c>
      <c r="B958" s="30" t="inlineStr">
        <is>
          <t>H</t>
        </is>
      </c>
      <c r="C958" s="31" t="n">
        <v>13130.4</v>
      </c>
      <c r="D958" s="31" t="n">
        <v>46625.7</v>
      </c>
      <c r="E958" s="31" t="n">
        <v>46625.7</v>
      </c>
      <c r="F958" s="31" t="n">
        <v>46637.7</v>
      </c>
      <c r="G958" s="31" t="n">
        <v>46665.6</v>
      </c>
      <c r="H958" s="31" t="n">
        <v>46680.1</v>
      </c>
      <c r="I958" s="31" t="n">
        <v>46702.5</v>
      </c>
      <c r="J958" s="31" t="n">
        <v>46726.3</v>
      </c>
      <c r="K958" s="31" t="n">
        <v>33595.9</v>
      </c>
      <c r="L958" s="31" t="n">
        <v>33495.3</v>
      </c>
      <c r="M958" s="30" t="inlineStr">
        <is>
          <t>AMR3</t>
        </is>
      </c>
      <c r="N958" s="30" t="inlineStr">
        <is>
          <t>AMR3</t>
        </is>
      </c>
      <c r="O958" s="32" t="n">
        <v>0</v>
      </c>
      <c r="P958" s="32" t="n">
        <v>0</v>
      </c>
      <c r="Q958" s="32" t="n">
        <v>15</v>
      </c>
      <c r="R958" s="31" t="n">
        <v>38.2</v>
      </c>
      <c r="S958" s="31" t="n">
        <v>38.2</v>
      </c>
      <c r="T958" s="30" t="inlineStr">
        <is>
          <t>AMR3</t>
        </is>
      </c>
      <c r="U958" s="31" t="n">
        <v>47.4</v>
      </c>
      <c r="V958" s="31" t="n">
        <v>47.4</v>
      </c>
      <c r="W958" s="30" t="inlineStr">
        <is>
          <t>AMR3</t>
        </is>
      </c>
      <c r="X958" s="32" t="n">
        <v>0</v>
      </c>
      <c r="Y958" s="32" t="n">
        <v>0</v>
      </c>
      <c r="Z958" s="31" t="n">
        <v>0</v>
      </c>
      <c r="AA958" s="32" t="n">
        <v>0</v>
      </c>
      <c r="AB958" s="32" t="n">
        <v>0</v>
      </c>
      <c r="AC958" s="32" t="n">
        <v>0</v>
      </c>
      <c r="AD958" s="32" t="n">
        <v>0</v>
      </c>
      <c r="AE958" s="31" t="n">
        <v>0</v>
      </c>
      <c r="AF958" s="32" t="n">
        <v>0</v>
      </c>
      <c r="AG958" s="31" t="n">
        <v>0</v>
      </c>
      <c r="AH958" s="32" t="n">
        <v>42</v>
      </c>
      <c r="AI958" s="31" t="n">
        <v>45.8</v>
      </c>
      <c r="AJ958" s="31" t="n">
        <v>40.3</v>
      </c>
      <c r="AK958" s="31" t="n">
        <v>0</v>
      </c>
      <c r="AL958" s="30" t="inlineStr">
        <is>
          <t>T-1107</t>
        </is>
      </c>
      <c r="AM958" s="30" t="inlineStr">
        <is>
          <t>H-03-02</t>
        </is>
      </c>
      <c r="AN958" s="30" t="inlineStr">
        <is>
          <t>T-0924</t>
        </is>
      </c>
      <c r="AO958" s="30" t="inlineStr">
        <is>
          <t>H-01-01</t>
        </is>
      </c>
    </row>
    <row r="959">
      <c r="A959" s="30" t="inlineStr">
        <is>
          <t>O0958</t>
        </is>
      </c>
      <c r="B959" s="30" t="inlineStr">
        <is>
          <t>J</t>
        </is>
      </c>
      <c r="C959" s="31" t="n">
        <v>13147.1</v>
      </c>
      <c r="D959" s="31" t="n">
        <v>46637.8</v>
      </c>
      <c r="E959" s="31" t="n">
        <v>46637.8</v>
      </c>
      <c r="F959" s="31" t="n">
        <v>46648.7</v>
      </c>
      <c r="G959" s="31" t="n">
        <v>46682.5</v>
      </c>
      <c r="H959" s="31" t="n">
        <v>46701.3</v>
      </c>
      <c r="I959" s="31" t="n">
        <v>46736.9</v>
      </c>
      <c r="J959" s="31" t="n">
        <v>46770.3</v>
      </c>
      <c r="K959" s="31" t="n">
        <v>33623.2</v>
      </c>
      <c r="L959" s="31" t="n">
        <v>33490.7</v>
      </c>
      <c r="M959" s="30" t="inlineStr">
        <is>
          <t>AMR1</t>
        </is>
      </c>
      <c r="N959" s="30" t="inlineStr">
        <is>
          <t>AMR2</t>
        </is>
      </c>
      <c r="O959" s="32" t="n">
        <v>0</v>
      </c>
      <c r="P959" s="32" t="n">
        <v>0</v>
      </c>
      <c r="Q959" s="32" t="n">
        <v>21</v>
      </c>
      <c r="R959" s="31" t="n">
        <v>41.4</v>
      </c>
      <c r="S959" s="31" t="n">
        <v>41.4</v>
      </c>
      <c r="T959" s="30" t="inlineStr">
        <is>
          <t>AMR1</t>
        </is>
      </c>
      <c r="U959" s="31" t="n">
        <v>63.7</v>
      </c>
      <c r="V959" s="31" t="n">
        <v>63.7</v>
      </c>
      <c r="W959" s="30" t="inlineStr">
        <is>
          <t>AMR2</t>
        </is>
      </c>
      <c r="X959" s="32" t="n">
        <v>0</v>
      </c>
      <c r="Y959" s="32" t="n">
        <v>0</v>
      </c>
      <c r="Z959" s="31" t="n">
        <v>0</v>
      </c>
      <c r="AA959" s="32" t="n">
        <v>0</v>
      </c>
      <c r="AB959" s="32" t="n">
        <v>0</v>
      </c>
      <c r="AC959" s="32" t="n">
        <v>1</v>
      </c>
      <c r="AD959" s="32" t="n">
        <v>0</v>
      </c>
      <c r="AE959" s="31" t="n">
        <v>0</v>
      </c>
      <c r="AF959" s="32" t="n">
        <v>1</v>
      </c>
      <c r="AG959" s="31" t="n">
        <v>0.5</v>
      </c>
      <c r="AH959" s="32" t="n">
        <v>62</v>
      </c>
      <c r="AI959" s="31" t="n">
        <v>63.7</v>
      </c>
      <c r="AJ959" s="31" t="n">
        <v>44.5</v>
      </c>
      <c r="AK959" s="31" t="n">
        <v>5.5</v>
      </c>
      <c r="AL959" s="30" t="inlineStr">
        <is>
          <t>T-1108</t>
        </is>
      </c>
      <c r="AM959" s="30" t="inlineStr">
        <is>
          <t>J-06-01</t>
        </is>
      </c>
      <c r="AN959" s="30" t="inlineStr">
        <is>
          <t>T-0937</t>
        </is>
      </c>
      <c r="AO959" s="30" t="inlineStr">
        <is>
          <t>J-02-02</t>
        </is>
      </c>
    </row>
    <row r="960">
      <c r="A960" s="30" t="inlineStr">
        <is>
          <t>O0959</t>
        </is>
      </c>
      <c r="B960" s="30" t="inlineStr">
        <is>
          <t>G</t>
        </is>
      </c>
      <c r="C960" s="31" t="n">
        <v>13170.3</v>
      </c>
      <c r="D960" s="31" t="n">
        <v>46711.8</v>
      </c>
      <c r="E960" s="31" t="n">
        <v>46711.8</v>
      </c>
      <c r="F960" s="31" t="n">
        <v>46726</v>
      </c>
      <c r="G960" s="31" t="n">
        <v>46753.1</v>
      </c>
      <c r="H960" s="31" t="n">
        <v>46769.9</v>
      </c>
      <c r="I960" s="31" t="n">
        <v>46808.4</v>
      </c>
      <c r="J960" s="31" t="n">
        <v>46842.4</v>
      </c>
      <c r="K960" s="31" t="n">
        <v>33672.1</v>
      </c>
      <c r="L960" s="31" t="n">
        <v>33541.5</v>
      </c>
      <c r="M960" s="30" t="inlineStr">
        <is>
          <t>AMR1</t>
        </is>
      </c>
      <c r="N960" s="30" t="inlineStr">
        <is>
          <t>AMR1</t>
        </is>
      </c>
      <c r="O960" s="32" t="n">
        <v>0</v>
      </c>
      <c r="P960" s="32" t="n">
        <v>0</v>
      </c>
      <c r="Q960" s="32" t="n">
        <v>17</v>
      </c>
      <c r="R960" s="31" t="n">
        <v>40.4</v>
      </c>
      <c r="S960" s="31" t="n">
        <v>40.4</v>
      </c>
      <c r="T960" s="30" t="inlineStr">
        <is>
          <t>AMR1</t>
        </is>
      </c>
      <c r="U960" s="31" t="n">
        <v>57</v>
      </c>
      <c r="V960" s="31" t="n">
        <v>57</v>
      </c>
      <c r="W960" s="30" t="inlineStr">
        <is>
          <t>AMR1</t>
        </is>
      </c>
      <c r="X960" s="32" t="n">
        <v>0</v>
      </c>
      <c r="Y960" s="32" t="n">
        <v>0</v>
      </c>
      <c r="Z960" s="31" t="n">
        <v>0</v>
      </c>
      <c r="AA960" s="32" t="n">
        <v>0</v>
      </c>
      <c r="AB960" s="32" t="n">
        <v>1</v>
      </c>
      <c r="AC960" s="32" t="n">
        <v>1</v>
      </c>
      <c r="AD960" s="32" t="n">
        <v>0</v>
      </c>
      <c r="AE960" s="31" t="n">
        <v>0</v>
      </c>
      <c r="AF960" s="32" t="n">
        <v>1</v>
      </c>
      <c r="AG960" s="31" t="n">
        <v>4.7</v>
      </c>
      <c r="AH960" s="32" t="n">
        <v>49</v>
      </c>
      <c r="AI960" s="31" t="n">
        <v>54.1</v>
      </c>
      <c r="AJ960" s="31" t="n">
        <v>47</v>
      </c>
      <c r="AK960" s="31" t="n">
        <v>12.7</v>
      </c>
      <c r="AL960" s="30" t="inlineStr">
        <is>
          <t>T-1109</t>
        </is>
      </c>
      <c r="AM960" s="30" t="inlineStr">
        <is>
          <t>G-04-02</t>
        </is>
      </c>
      <c r="AN960" s="30" t="inlineStr">
        <is>
          <t>T-0954</t>
        </is>
      </c>
      <c r="AO960" s="30" t="inlineStr">
        <is>
          <t>G-05-02</t>
        </is>
      </c>
    </row>
    <row r="961">
      <c r="A961" s="30" t="inlineStr">
        <is>
          <t>O0960</t>
        </is>
      </c>
      <c r="B961" s="30" t="inlineStr">
        <is>
          <t>G</t>
        </is>
      </c>
      <c r="C961" s="31" t="n">
        <v>13185.6</v>
      </c>
      <c r="D961" s="31" t="n">
        <v>46750</v>
      </c>
      <c r="E961" s="31" t="n">
        <v>46750</v>
      </c>
      <c r="F961" s="31" t="n">
        <v>46763.8</v>
      </c>
      <c r="G961" s="31" t="n">
        <v>46789.7</v>
      </c>
      <c r="H961" s="31" t="n">
        <v>46794</v>
      </c>
      <c r="I961" s="31" t="n">
        <v>46820.6</v>
      </c>
      <c r="J961" s="31" t="n">
        <v>46855.3</v>
      </c>
      <c r="K961" s="31" t="n">
        <v>33669.7</v>
      </c>
      <c r="L961" s="31" t="n">
        <v>33564.4</v>
      </c>
      <c r="M961" s="30" t="inlineStr">
        <is>
          <t>AMR3</t>
        </is>
      </c>
      <c r="N961" s="30" t="inlineStr">
        <is>
          <t>AMR2</t>
        </is>
      </c>
      <c r="O961" s="32" t="n">
        <v>0</v>
      </c>
      <c r="P961" s="32" t="n">
        <v>0</v>
      </c>
      <c r="Q961" s="32" t="n">
        <v>17</v>
      </c>
      <c r="R961" s="31" t="n">
        <v>38.8</v>
      </c>
      <c r="S961" s="31" t="n">
        <v>38.8</v>
      </c>
      <c r="T961" s="30" t="inlineStr">
        <is>
          <t>AMR3</t>
        </is>
      </c>
      <c r="U961" s="31" t="n">
        <v>54.6</v>
      </c>
      <c r="V961" s="31" t="n">
        <v>54.6</v>
      </c>
      <c r="W961" s="30" t="inlineStr">
        <is>
          <t>AMR2</t>
        </is>
      </c>
      <c r="X961" s="32" t="n">
        <v>0</v>
      </c>
      <c r="Y961" s="32" t="n">
        <v>0</v>
      </c>
      <c r="Z961" s="31" t="n">
        <v>0</v>
      </c>
      <c r="AA961" s="32" t="n">
        <v>0</v>
      </c>
      <c r="AB961" s="32" t="n">
        <v>1</v>
      </c>
      <c r="AC961" s="32" t="n">
        <v>0</v>
      </c>
      <c r="AD961" s="32" t="n">
        <v>1</v>
      </c>
      <c r="AE961" s="31" t="n">
        <v>9.4</v>
      </c>
      <c r="AF961" s="32" t="n">
        <v>1</v>
      </c>
      <c r="AG961" s="31" t="n">
        <v>4.4</v>
      </c>
      <c r="AH961" s="32" t="n">
        <v>45</v>
      </c>
      <c r="AI961" s="31" t="n">
        <v>48.6</v>
      </c>
      <c r="AJ961" s="31" t="n">
        <v>43</v>
      </c>
      <c r="AK961" s="31" t="n">
        <v>9.4</v>
      </c>
      <c r="AL961" s="30" t="inlineStr">
        <is>
          <t>T-1110</t>
        </is>
      </c>
      <c r="AM961" s="30" t="inlineStr">
        <is>
          <t>G-05-03</t>
        </is>
      </c>
      <c r="AN961" s="30" t="inlineStr">
        <is>
          <t>T-0971</t>
        </is>
      </c>
      <c r="AO961" s="30" t="inlineStr">
        <is>
          <t>G-06-02</t>
        </is>
      </c>
    </row>
    <row r="962">
      <c r="A962" s="30" t="inlineStr">
        <is>
          <t>O0961</t>
        </is>
      </c>
      <c r="B962" s="30" t="inlineStr">
        <is>
          <t>C</t>
        </is>
      </c>
      <c r="C962" s="31" t="n">
        <v>13204.1</v>
      </c>
      <c r="D962" s="31" t="n">
        <v>46809.9</v>
      </c>
      <c r="E962" s="31" t="n">
        <v>46809.9</v>
      </c>
      <c r="F962" s="31" t="n">
        <v>46824.3</v>
      </c>
      <c r="G962" s="31" t="n">
        <v>46849.1</v>
      </c>
      <c r="H962" s="31" t="n">
        <v>46861.6</v>
      </c>
      <c r="I962" s="31" t="n">
        <v>46888.1</v>
      </c>
      <c r="J962" s="31" t="n">
        <v>46922.9</v>
      </c>
      <c r="K962" s="31" t="n">
        <v>33718.8</v>
      </c>
      <c r="L962" s="31" t="n">
        <v>33605.8</v>
      </c>
      <c r="M962" s="30" t="inlineStr">
        <is>
          <t>AMR3</t>
        </is>
      </c>
      <c r="N962" s="30" t="inlineStr">
        <is>
          <t>AMR3</t>
        </is>
      </c>
      <c r="O962" s="32" t="n">
        <v>0</v>
      </c>
      <c r="P962" s="32" t="n">
        <v>0</v>
      </c>
      <c r="Q962" s="32" t="n">
        <v>13</v>
      </c>
      <c r="R962" s="31" t="n">
        <v>37.5</v>
      </c>
      <c r="S962" s="31" t="n">
        <v>37.5</v>
      </c>
      <c r="T962" s="30" t="inlineStr">
        <is>
          <t>AMR3</t>
        </is>
      </c>
      <c r="U962" s="31" t="n">
        <v>52.8</v>
      </c>
      <c r="V962" s="31" t="n">
        <v>52.8</v>
      </c>
      <c r="W962" s="30" t="inlineStr">
        <is>
          <t>AMR3</t>
        </is>
      </c>
      <c r="X962" s="32" t="n">
        <v>0</v>
      </c>
      <c r="Y962" s="32" t="n">
        <v>0</v>
      </c>
      <c r="Z962" s="31" t="n">
        <v>0</v>
      </c>
      <c r="AA962" s="32" t="n">
        <v>0</v>
      </c>
      <c r="AB962" s="32" t="n">
        <v>2</v>
      </c>
      <c r="AC962" s="32" t="n">
        <v>2</v>
      </c>
      <c r="AD962" s="32" t="n">
        <v>0</v>
      </c>
      <c r="AE962" s="31" t="n">
        <v>0</v>
      </c>
      <c r="AF962" s="32" t="n">
        <v>0</v>
      </c>
      <c r="AG962" s="31" t="n">
        <v>0</v>
      </c>
      <c r="AH962" s="32" t="n">
        <v>40</v>
      </c>
      <c r="AI962" s="31" t="n">
        <v>46.4</v>
      </c>
      <c r="AJ962" s="31" t="n">
        <v>48.1</v>
      </c>
      <c r="AK962" s="31" t="n">
        <v>6</v>
      </c>
      <c r="AL962" s="30" t="inlineStr">
        <is>
          <t>T-1111</t>
        </is>
      </c>
      <c r="AM962" s="30" t="inlineStr">
        <is>
          <t>C-03-02</t>
        </is>
      </c>
      <c r="AN962" s="30" t="inlineStr">
        <is>
          <t>T-0992</t>
        </is>
      </c>
      <c r="AO962" s="30" t="inlineStr">
        <is>
          <t>C-04-02</t>
        </is>
      </c>
    </row>
    <row r="963">
      <c r="A963" s="30" t="inlineStr">
        <is>
          <t>O0962</t>
        </is>
      </c>
      <c r="B963" s="30" t="inlineStr">
        <is>
          <t>C</t>
        </is>
      </c>
      <c r="C963" s="31" t="n">
        <v>13221.9</v>
      </c>
      <c r="D963" s="31" t="n">
        <v>46870.5</v>
      </c>
      <c r="E963" s="31" t="n">
        <v>46870.5</v>
      </c>
      <c r="F963" s="31" t="n">
        <v>46881.4</v>
      </c>
      <c r="G963" s="31" t="n">
        <v>46909.3</v>
      </c>
      <c r="H963" s="31" t="n">
        <v>46922.1</v>
      </c>
      <c r="I963" s="31" t="n">
        <v>46942.6</v>
      </c>
      <c r="J963" s="31" t="n">
        <v>46970.6</v>
      </c>
      <c r="K963" s="31" t="n">
        <v>33748.7</v>
      </c>
      <c r="L963" s="31" t="n">
        <v>33648.6</v>
      </c>
      <c r="M963" s="30" t="inlineStr">
        <is>
          <t>AMR1</t>
        </is>
      </c>
      <c r="N963" s="30" t="inlineStr">
        <is>
          <t>AMR1</t>
        </is>
      </c>
      <c r="O963" s="32" t="n">
        <v>0</v>
      </c>
      <c r="P963" s="32" t="n">
        <v>0</v>
      </c>
      <c r="Q963" s="32" t="n">
        <v>13</v>
      </c>
      <c r="R963" s="31" t="n">
        <v>32.5</v>
      </c>
      <c r="S963" s="31" t="n">
        <v>32.5</v>
      </c>
      <c r="T963" s="30" t="inlineStr">
        <is>
          <t>AMR1</t>
        </is>
      </c>
      <c r="U963" s="31" t="n">
        <v>48.2</v>
      </c>
      <c r="V963" s="31" t="n">
        <v>48.2</v>
      </c>
      <c r="W963" s="30" t="inlineStr">
        <is>
          <t>AMR1</t>
        </is>
      </c>
      <c r="X963" s="32" t="n">
        <v>0</v>
      </c>
      <c r="Y963" s="32" t="n">
        <v>0</v>
      </c>
      <c r="Z963" s="31" t="n">
        <v>0</v>
      </c>
      <c r="AA963" s="32" t="n">
        <v>0</v>
      </c>
      <c r="AB963" s="32" t="n">
        <v>1</v>
      </c>
      <c r="AC963" s="32" t="n">
        <v>1</v>
      </c>
      <c r="AD963" s="32" t="n">
        <v>0</v>
      </c>
      <c r="AE963" s="31" t="n">
        <v>0</v>
      </c>
      <c r="AF963" s="32" t="n">
        <v>1</v>
      </c>
      <c r="AG963" s="31" t="n">
        <v>0.4</v>
      </c>
      <c r="AH963" s="32" t="n">
        <v>39</v>
      </c>
      <c r="AI963" s="31" t="n">
        <v>43.4</v>
      </c>
      <c r="AJ963" s="31" t="n">
        <v>38.5</v>
      </c>
      <c r="AK963" s="31" t="n">
        <v>5.4</v>
      </c>
      <c r="AL963" s="30" t="inlineStr">
        <is>
          <t>T-1112</t>
        </is>
      </c>
      <c r="AM963" s="30" t="inlineStr">
        <is>
          <t>C-04-03</t>
        </is>
      </c>
      <c r="AN963" s="30" t="inlineStr">
        <is>
          <t>T-1003</t>
        </is>
      </c>
      <c r="AO963" s="30" t="inlineStr">
        <is>
          <t>C-05-02</t>
        </is>
      </c>
    </row>
    <row r="964">
      <c r="A964" s="30" t="inlineStr">
        <is>
          <t>O0963</t>
        </is>
      </c>
      <c r="B964" s="30" t="inlineStr">
        <is>
          <t>J</t>
        </is>
      </c>
      <c r="C964" s="31" t="n">
        <v>13243.1</v>
      </c>
      <c r="D964" s="31" t="n">
        <v>46881.4</v>
      </c>
      <c r="E964" s="31" t="n">
        <v>46881.4</v>
      </c>
      <c r="F964" s="31" t="n">
        <v>46895.4</v>
      </c>
      <c r="G964" s="31" t="n">
        <v>46926.7</v>
      </c>
      <c r="H964" s="31" t="n">
        <v>46946.9</v>
      </c>
      <c r="I964" s="31" t="n">
        <v>46984.6</v>
      </c>
      <c r="J964" s="31" t="n">
        <v>47018.8</v>
      </c>
      <c r="K964" s="31" t="n">
        <v>33775.7</v>
      </c>
      <c r="L964" s="31" t="n">
        <v>33638.3</v>
      </c>
      <c r="M964" s="30" t="inlineStr">
        <is>
          <t>AMR2</t>
        </is>
      </c>
      <c r="N964" s="30" t="inlineStr">
        <is>
          <t>AMR2</t>
        </is>
      </c>
      <c r="O964" s="32" t="n">
        <v>0</v>
      </c>
      <c r="P964" s="32" t="n">
        <v>0</v>
      </c>
      <c r="Q964" s="32" t="n">
        <v>21</v>
      </c>
      <c r="R964" s="31" t="n">
        <v>44.4</v>
      </c>
      <c r="S964" s="31" t="n">
        <v>44.4</v>
      </c>
      <c r="T964" s="30" t="inlineStr">
        <is>
          <t>AMR2</t>
        </is>
      </c>
      <c r="U964" s="31" t="n">
        <v>65.09999999999999</v>
      </c>
      <c r="V964" s="31" t="n">
        <v>65.09999999999999</v>
      </c>
      <c r="W964" s="30" t="inlineStr">
        <is>
          <t>AMR2</t>
        </is>
      </c>
      <c r="X964" s="32" t="n">
        <v>0</v>
      </c>
      <c r="Y964" s="32" t="n">
        <v>0</v>
      </c>
      <c r="Z964" s="31" t="n">
        <v>0</v>
      </c>
      <c r="AA964" s="32" t="n">
        <v>0</v>
      </c>
      <c r="AB964" s="32" t="n">
        <v>1</v>
      </c>
      <c r="AC964" s="32" t="n">
        <v>1</v>
      </c>
      <c r="AD964" s="32" t="n">
        <v>0</v>
      </c>
      <c r="AE964" s="31" t="n">
        <v>0</v>
      </c>
      <c r="AF964" s="32" t="n">
        <v>0</v>
      </c>
      <c r="AG964" s="31" t="n">
        <v>0</v>
      </c>
      <c r="AH964" s="32" t="n">
        <v>61</v>
      </c>
      <c r="AI964" s="31" t="n">
        <v>63.3</v>
      </c>
      <c r="AJ964" s="31" t="n">
        <v>48.9</v>
      </c>
      <c r="AK964" s="31" t="n">
        <v>5</v>
      </c>
      <c r="AL964" s="30" t="inlineStr">
        <is>
          <t>T-1113</t>
        </is>
      </c>
      <c r="AM964" s="30" t="inlineStr">
        <is>
          <t>J-01-02</t>
        </is>
      </c>
      <c r="AN964" s="30" t="inlineStr">
        <is>
          <t>T-0942</t>
        </is>
      </c>
      <c r="AO964" s="30" t="inlineStr">
        <is>
          <t>J-03-02</t>
        </is>
      </c>
    </row>
    <row r="965">
      <c r="A965" s="30" t="inlineStr">
        <is>
          <t>O0964</t>
        </is>
      </c>
      <c r="B965" s="30" t="inlineStr">
        <is>
          <t>H</t>
        </is>
      </c>
      <c r="C965" s="31" t="n">
        <v>13264.5</v>
      </c>
      <c r="D965" s="31" t="n">
        <v>46956.8</v>
      </c>
      <c r="E965" s="31" t="n">
        <v>46956.8</v>
      </c>
      <c r="F965" s="31" t="n">
        <v>46968.2</v>
      </c>
      <c r="G965" s="31" t="n">
        <v>46990.9</v>
      </c>
      <c r="H965" s="31" t="n">
        <v>46994.3</v>
      </c>
      <c r="I965" s="31" t="n">
        <v>47017.5</v>
      </c>
      <c r="J965" s="31" t="n">
        <v>47043</v>
      </c>
      <c r="K965" s="31" t="n">
        <v>33778.5</v>
      </c>
      <c r="L965" s="31" t="n">
        <v>33692.3</v>
      </c>
      <c r="M965" s="30" t="inlineStr">
        <is>
          <t>AMR3</t>
        </is>
      </c>
      <c r="N965" s="30" t="inlineStr">
        <is>
          <t>AMR1</t>
        </is>
      </c>
      <c r="O965" s="32" t="n">
        <v>0</v>
      </c>
      <c r="P965" s="32" t="n">
        <v>0</v>
      </c>
      <c r="Q965" s="32" t="n">
        <v>15</v>
      </c>
      <c r="R965" s="31" t="n">
        <v>33.2</v>
      </c>
      <c r="S965" s="31" t="n">
        <v>33.2</v>
      </c>
      <c r="T965" s="30" t="inlineStr">
        <is>
          <t>AMR3</t>
        </is>
      </c>
      <c r="U965" s="31" t="n">
        <v>48.4</v>
      </c>
      <c r="V965" s="31" t="n">
        <v>48.4</v>
      </c>
      <c r="W965" s="30" t="inlineStr">
        <is>
          <t>AMR1</t>
        </is>
      </c>
      <c r="X965" s="32" t="n">
        <v>0</v>
      </c>
      <c r="Y965" s="32" t="n">
        <v>0</v>
      </c>
      <c r="Z965" s="31" t="n">
        <v>0</v>
      </c>
      <c r="AA965" s="32" t="n">
        <v>0</v>
      </c>
      <c r="AB965" s="32" t="n">
        <v>0</v>
      </c>
      <c r="AC965" s="32" t="n">
        <v>0</v>
      </c>
      <c r="AD965" s="32" t="n">
        <v>0</v>
      </c>
      <c r="AE965" s="31" t="n">
        <v>0</v>
      </c>
      <c r="AF965" s="32" t="n">
        <v>0</v>
      </c>
      <c r="AG965" s="31" t="n">
        <v>0</v>
      </c>
      <c r="AH965" s="32" t="n">
        <v>41</v>
      </c>
      <c r="AI965" s="31" t="n">
        <v>46.5</v>
      </c>
      <c r="AJ965" s="31" t="n">
        <v>36.3</v>
      </c>
      <c r="AK965" s="31" t="n">
        <v>0</v>
      </c>
      <c r="AL965" s="30" t="inlineStr">
        <is>
          <t>T-1114</t>
        </is>
      </c>
      <c r="AM965" s="30" t="inlineStr">
        <is>
          <t>H-01-01</t>
        </is>
      </c>
      <c r="AN965" s="30" t="inlineStr">
        <is>
          <t>T-0925</t>
        </is>
      </c>
      <c r="AO965" s="30" t="inlineStr">
        <is>
          <t>H-04-03</t>
        </is>
      </c>
    </row>
    <row r="966">
      <c r="A966" s="30" t="inlineStr">
        <is>
          <t>O0965</t>
        </is>
      </c>
      <c r="B966" s="30" t="inlineStr">
        <is>
          <t>H</t>
        </is>
      </c>
      <c r="C966" s="31" t="n">
        <v>13288.4</v>
      </c>
      <c r="D966" s="31" t="n">
        <v>47005.1</v>
      </c>
      <c r="E966" s="31" t="n">
        <v>47005.1</v>
      </c>
      <c r="F966" s="31" t="n">
        <v>47021.3</v>
      </c>
      <c r="G966" s="31" t="n">
        <v>47046.6</v>
      </c>
      <c r="H966" s="31" t="n">
        <v>47061.4</v>
      </c>
      <c r="I966" s="31" t="n">
        <v>47087.9</v>
      </c>
      <c r="J966" s="31" t="n">
        <v>47112</v>
      </c>
      <c r="K966" s="31" t="n">
        <v>33823.6</v>
      </c>
      <c r="L966" s="31" t="n">
        <v>33716.7</v>
      </c>
      <c r="M966" s="30" t="inlineStr">
        <is>
          <t>AMR3</t>
        </is>
      </c>
      <c r="N966" s="30" t="inlineStr">
        <is>
          <t>AMR3</t>
        </is>
      </c>
      <c r="O966" s="32" t="n">
        <v>0</v>
      </c>
      <c r="P966" s="32" t="n">
        <v>0</v>
      </c>
      <c r="Q966" s="32" t="n">
        <v>15</v>
      </c>
      <c r="R966" s="31" t="n">
        <v>40.6</v>
      </c>
      <c r="S966" s="31" t="n">
        <v>40.6</v>
      </c>
      <c r="T966" s="30" t="inlineStr">
        <is>
          <t>AMR3</t>
        </is>
      </c>
      <c r="U966" s="31" t="n">
        <v>50.3</v>
      </c>
      <c r="V966" s="31" t="n">
        <v>50.3</v>
      </c>
      <c r="W966" s="30" t="inlineStr">
        <is>
          <t>AMR3</t>
        </is>
      </c>
      <c r="X966" s="32" t="n">
        <v>0</v>
      </c>
      <c r="Y966" s="32" t="n">
        <v>0</v>
      </c>
      <c r="Z966" s="31" t="n">
        <v>0</v>
      </c>
      <c r="AA966" s="32" t="n">
        <v>0</v>
      </c>
      <c r="AB966" s="32" t="n">
        <v>1</v>
      </c>
      <c r="AC966" s="32" t="n">
        <v>0</v>
      </c>
      <c r="AD966" s="32" t="n">
        <v>0</v>
      </c>
      <c r="AE966" s="31" t="n">
        <v>0</v>
      </c>
      <c r="AF966" s="32" t="n">
        <v>0</v>
      </c>
      <c r="AG966" s="31" t="n">
        <v>0</v>
      </c>
      <c r="AH966" s="32" t="n">
        <v>41</v>
      </c>
      <c r="AI966" s="31" t="n">
        <v>46.5</v>
      </c>
      <c r="AJ966" s="31" t="n">
        <v>45.6</v>
      </c>
      <c r="AK966" s="31" t="n">
        <v>0</v>
      </c>
      <c r="AL966" s="30" t="inlineStr">
        <is>
          <t>T-1115</t>
        </is>
      </c>
      <c r="AM966" s="30" t="inlineStr">
        <is>
          <t>H-04-03</t>
        </is>
      </c>
      <c r="AN966" s="30" t="inlineStr">
        <is>
          <t>T-0927</t>
        </is>
      </c>
      <c r="AO966" s="30" t="inlineStr">
        <is>
          <t>H-05-02</t>
        </is>
      </c>
    </row>
    <row r="967">
      <c r="A967" s="30" t="inlineStr">
        <is>
          <t>O0966</t>
        </is>
      </c>
      <c r="B967" s="30" t="inlineStr">
        <is>
          <t>G</t>
        </is>
      </c>
      <c r="C967" s="31" t="n">
        <v>13304.3</v>
      </c>
      <c r="D967" s="31" t="n">
        <v>47042.5</v>
      </c>
      <c r="E967" s="31" t="n">
        <v>47042.5</v>
      </c>
      <c r="F967" s="31" t="n">
        <v>47057.5</v>
      </c>
      <c r="G967" s="31" t="n">
        <v>47082.3</v>
      </c>
      <c r="H967" s="31" t="n">
        <v>47099.1</v>
      </c>
      <c r="I967" s="31" t="n">
        <v>47128.2</v>
      </c>
      <c r="J967" s="31" t="n">
        <v>47155.7</v>
      </c>
      <c r="K967" s="31" t="n">
        <v>33851.4</v>
      </c>
      <c r="L967" s="31" t="n">
        <v>33738.2</v>
      </c>
      <c r="M967" s="30" t="inlineStr">
        <is>
          <t>AMR2</t>
        </is>
      </c>
      <c r="N967" s="30" t="inlineStr">
        <is>
          <t>AMR2</t>
        </is>
      </c>
      <c r="O967" s="32" t="n">
        <v>0</v>
      </c>
      <c r="P967" s="32" t="n">
        <v>0</v>
      </c>
      <c r="Q967" s="32" t="n">
        <v>17</v>
      </c>
      <c r="R967" s="31" t="n">
        <v>38.9</v>
      </c>
      <c r="S967" s="31" t="n">
        <v>38.9</v>
      </c>
      <c r="T967" s="30" t="inlineStr">
        <is>
          <t>AMR2</t>
        </is>
      </c>
      <c r="U967" s="31" t="n">
        <v>53.3</v>
      </c>
      <c r="V967" s="31" t="n">
        <v>53.3</v>
      </c>
      <c r="W967" s="30" t="inlineStr">
        <is>
          <t>AMR2</t>
        </is>
      </c>
      <c r="X967" s="32" t="n">
        <v>0</v>
      </c>
      <c r="Y967" s="32" t="n">
        <v>0</v>
      </c>
      <c r="Z967" s="31" t="n">
        <v>0</v>
      </c>
      <c r="AA967" s="32" t="n">
        <v>0</v>
      </c>
      <c r="AB967" s="32" t="n">
        <v>0</v>
      </c>
      <c r="AC967" s="32" t="n">
        <v>0</v>
      </c>
      <c r="AD967" s="32" t="n">
        <v>0</v>
      </c>
      <c r="AE967" s="31" t="n">
        <v>0</v>
      </c>
      <c r="AF967" s="32" t="n">
        <v>0</v>
      </c>
      <c r="AG967" s="31" t="n">
        <v>0</v>
      </c>
      <c r="AH967" s="32" t="n">
        <v>51</v>
      </c>
      <c r="AI967" s="31" t="n">
        <v>54.6</v>
      </c>
      <c r="AJ967" s="31" t="n">
        <v>41.8</v>
      </c>
      <c r="AK967" s="31" t="n">
        <v>0</v>
      </c>
      <c r="AL967" s="30" t="inlineStr">
        <is>
          <t>T-1116</t>
        </is>
      </c>
      <c r="AM967" s="30" t="inlineStr">
        <is>
          <t>G-05-02</t>
        </is>
      </c>
      <c r="AN967" s="30" t="inlineStr">
        <is>
          <t>T-0980</t>
        </is>
      </c>
      <c r="AO967" s="30" t="inlineStr">
        <is>
          <t>G-01-03</t>
        </is>
      </c>
    </row>
    <row r="968">
      <c r="A968" s="30" t="inlineStr">
        <is>
          <t>O0967</t>
        </is>
      </c>
      <c r="B968" s="30" t="inlineStr">
        <is>
          <t>I</t>
        </is>
      </c>
      <c r="C968" s="31" t="n">
        <v>13323.5</v>
      </c>
      <c r="D968" s="31" t="n">
        <v>47069.7</v>
      </c>
      <c r="E968" s="31" t="n">
        <v>47069.7</v>
      </c>
      <c r="F968" s="31" t="n">
        <v>47084.1</v>
      </c>
      <c r="G968" s="31" t="n">
        <v>47112.8</v>
      </c>
      <c r="H968" s="31" t="n">
        <v>47129.6</v>
      </c>
      <c r="I968" s="31" t="n">
        <v>47163</v>
      </c>
      <c r="J968" s="31" t="n">
        <v>47206.8</v>
      </c>
      <c r="K968" s="31" t="n">
        <v>33883.3</v>
      </c>
      <c r="L968" s="31" t="n">
        <v>33746.2</v>
      </c>
      <c r="M968" s="30" t="inlineStr">
        <is>
          <t>AMR1</t>
        </is>
      </c>
      <c r="N968" s="30" t="inlineStr">
        <is>
          <t>AMR1</t>
        </is>
      </c>
      <c r="O968" s="32" t="n">
        <v>0</v>
      </c>
      <c r="P968" s="32" t="n">
        <v>0</v>
      </c>
      <c r="Q968" s="32" t="n">
        <v>15</v>
      </c>
      <c r="R968" s="31" t="n">
        <v>40.6</v>
      </c>
      <c r="S968" s="31" t="n">
        <v>40.6</v>
      </c>
      <c r="T968" s="30" t="inlineStr">
        <is>
          <t>AMR1</t>
        </is>
      </c>
      <c r="U968" s="31" t="n">
        <v>55.9</v>
      </c>
      <c r="V968" s="31" t="n">
        <v>55.9</v>
      </c>
      <c r="W968" s="30" t="inlineStr">
        <is>
          <t>AMR1</t>
        </is>
      </c>
      <c r="X968" s="32" t="n">
        <v>0</v>
      </c>
      <c r="Y968" s="32" t="n">
        <v>0</v>
      </c>
      <c r="Z968" s="31" t="n">
        <v>0</v>
      </c>
      <c r="AA968" s="32" t="n">
        <v>0</v>
      </c>
      <c r="AB968" s="32" t="n">
        <v>3</v>
      </c>
      <c r="AC968" s="32" t="n">
        <v>1</v>
      </c>
      <c r="AD968" s="32" t="n">
        <v>1</v>
      </c>
      <c r="AE968" s="31" t="n">
        <v>2</v>
      </c>
      <c r="AF968" s="32" t="n">
        <v>0</v>
      </c>
      <c r="AG968" s="31" t="n">
        <v>0</v>
      </c>
      <c r="AH968" s="32" t="n">
        <v>55</v>
      </c>
      <c r="AI968" s="31" t="n">
        <v>61.1</v>
      </c>
      <c r="AJ968" s="31" t="n">
        <v>50.7</v>
      </c>
      <c r="AK968" s="31" t="n">
        <v>8.5</v>
      </c>
      <c r="AL968" s="30" t="inlineStr">
        <is>
          <t>T-1117</t>
        </is>
      </c>
      <c r="AM968" s="30" t="inlineStr">
        <is>
          <t>I-05-02</t>
        </is>
      </c>
      <c r="AN968" s="30" t="inlineStr">
        <is>
          <t>T-0928</t>
        </is>
      </c>
      <c r="AO968" s="30" t="inlineStr">
        <is>
          <t>I-06-02</t>
        </is>
      </c>
    </row>
    <row r="969">
      <c r="A969" s="30" t="inlineStr">
        <is>
          <t>O0968</t>
        </is>
      </c>
      <c r="B969" s="30" t="inlineStr">
        <is>
          <t>I</t>
        </is>
      </c>
      <c r="C969" s="31" t="n">
        <v>13344.8</v>
      </c>
      <c r="D969" s="31" t="n">
        <v>47140.8</v>
      </c>
      <c r="E969" s="31" t="n">
        <v>47140.8</v>
      </c>
      <c r="F969" s="31" t="n">
        <v>47155.4</v>
      </c>
      <c r="G969" s="31" t="n">
        <v>47182.8</v>
      </c>
      <c r="H969" s="31" t="n">
        <v>47184</v>
      </c>
      <c r="I969" s="31" t="n">
        <v>47210</v>
      </c>
      <c r="J969" s="31" t="n">
        <v>47237.5</v>
      </c>
      <c r="K969" s="31" t="n">
        <v>33892.7</v>
      </c>
      <c r="L969" s="31" t="n">
        <v>33796</v>
      </c>
      <c r="M969" s="30" t="inlineStr">
        <is>
          <t>AMR3</t>
        </is>
      </c>
      <c r="N969" s="30" t="inlineStr">
        <is>
          <t>AMR2</t>
        </is>
      </c>
      <c r="O969" s="32" t="n">
        <v>0</v>
      </c>
      <c r="P969" s="32" t="n">
        <v>0</v>
      </c>
      <c r="Q969" s="32" t="n">
        <v>15</v>
      </c>
      <c r="R969" s="31" t="n">
        <v>36.1</v>
      </c>
      <c r="S969" s="31" t="n">
        <v>36.1</v>
      </c>
      <c r="T969" s="30" t="inlineStr">
        <is>
          <t>AMR3</t>
        </is>
      </c>
      <c r="U969" s="31" t="n">
        <v>53.7</v>
      </c>
      <c r="V969" s="31" t="n">
        <v>53.7</v>
      </c>
      <c r="W969" s="30" t="inlineStr">
        <is>
          <t>AMR2</t>
        </is>
      </c>
      <c r="X969" s="32" t="n">
        <v>0</v>
      </c>
      <c r="Y969" s="32" t="n">
        <v>0</v>
      </c>
      <c r="Z969" s="31" t="n">
        <v>0</v>
      </c>
      <c r="AA969" s="32" t="n">
        <v>0</v>
      </c>
      <c r="AB969" s="32" t="n">
        <v>2</v>
      </c>
      <c r="AC969" s="32" t="n">
        <v>1</v>
      </c>
      <c r="AD969" s="32" t="n">
        <v>0</v>
      </c>
      <c r="AE969" s="31" t="n">
        <v>0</v>
      </c>
      <c r="AF969" s="32" t="n">
        <v>0</v>
      </c>
      <c r="AG969" s="31" t="n">
        <v>0</v>
      </c>
      <c r="AH969" s="32" t="n">
        <v>43</v>
      </c>
      <c r="AI969" s="31" t="n">
        <v>48.5</v>
      </c>
      <c r="AJ969" s="31" t="n">
        <v>44</v>
      </c>
      <c r="AK969" s="31" t="n">
        <v>3</v>
      </c>
      <c r="AL969" s="30" t="inlineStr">
        <is>
          <t>T-1118</t>
        </is>
      </c>
      <c r="AM969" s="30" t="inlineStr">
        <is>
          <t>I-04-03</t>
        </is>
      </c>
      <c r="AN969" s="30" t="inlineStr">
        <is>
          <t>T-0934</t>
        </is>
      </c>
      <c r="AO969" s="30" t="inlineStr">
        <is>
          <t>I-01-03</t>
        </is>
      </c>
    </row>
    <row r="970">
      <c r="A970" s="30" t="inlineStr">
        <is>
          <t>O0969</t>
        </is>
      </c>
      <c r="B970" s="30" t="inlineStr">
        <is>
          <t>F</t>
        </is>
      </c>
      <c r="C970" s="31" t="n">
        <v>13369.7</v>
      </c>
      <c r="D970" s="31" t="n">
        <v>47199.6</v>
      </c>
      <c r="E970" s="31" t="n">
        <v>47199.6</v>
      </c>
      <c r="F970" s="31" t="n">
        <v>47210.9</v>
      </c>
      <c r="G970" s="31" t="n">
        <v>47241.4</v>
      </c>
      <c r="H970" s="31" t="n">
        <v>47261.2</v>
      </c>
      <c r="I970" s="31" t="n">
        <v>47300.7</v>
      </c>
      <c r="J970" s="31" t="n">
        <v>47335.8</v>
      </c>
      <c r="K970" s="31" t="n">
        <v>33966.1</v>
      </c>
      <c r="L970" s="31" t="n">
        <v>33829.9</v>
      </c>
      <c r="M970" s="30" t="inlineStr">
        <is>
          <t>AMR3</t>
        </is>
      </c>
      <c r="N970" s="30" t="inlineStr">
        <is>
          <t>AMR2</t>
        </is>
      </c>
      <c r="O970" s="32" t="n">
        <v>0</v>
      </c>
      <c r="P970" s="32" t="n">
        <v>0</v>
      </c>
      <c r="Q970" s="32" t="n">
        <v>23</v>
      </c>
      <c r="R970" s="31" t="n">
        <v>40.9</v>
      </c>
      <c r="S970" s="31" t="n">
        <v>40.9</v>
      </c>
      <c r="T970" s="30" t="inlineStr">
        <is>
          <t>AMR3</t>
        </is>
      </c>
      <c r="U970" s="31" t="n">
        <v>68.5</v>
      </c>
      <c r="V970" s="31" t="n">
        <v>68.5</v>
      </c>
      <c r="W970" s="30" t="inlineStr">
        <is>
          <t>AMR2</t>
        </is>
      </c>
      <c r="X970" s="32" t="n">
        <v>0</v>
      </c>
      <c r="Y970" s="32" t="n">
        <v>0</v>
      </c>
      <c r="Z970" s="31" t="n">
        <v>0</v>
      </c>
      <c r="AA970" s="32" t="n">
        <v>0</v>
      </c>
      <c r="AB970" s="32" t="n">
        <v>1</v>
      </c>
      <c r="AC970" s="32" t="n">
        <v>1</v>
      </c>
      <c r="AD970" s="32" t="n">
        <v>0</v>
      </c>
      <c r="AE970" s="31" t="n">
        <v>0</v>
      </c>
      <c r="AF970" s="32" t="n">
        <v>0</v>
      </c>
      <c r="AG970" s="31" t="n">
        <v>0</v>
      </c>
      <c r="AH970" s="32" t="n">
        <v>65</v>
      </c>
      <c r="AI970" s="31" t="n">
        <v>69.2</v>
      </c>
      <c r="AJ970" s="31" t="n">
        <v>44.2</v>
      </c>
      <c r="AK970" s="31" t="n">
        <v>3</v>
      </c>
      <c r="AL970" s="30" t="inlineStr">
        <is>
          <t>T-1119</t>
        </is>
      </c>
      <c r="AM970" s="30" t="inlineStr">
        <is>
          <t>F-04-02</t>
        </is>
      </c>
      <c r="AN970" s="30" t="inlineStr">
        <is>
          <t>T-0970</t>
        </is>
      </c>
      <c r="AO970" s="30" t="inlineStr">
        <is>
          <t>F-05-02</t>
        </is>
      </c>
    </row>
    <row r="971">
      <c r="A971" s="30" t="inlineStr">
        <is>
          <t>O0970</t>
        </is>
      </c>
      <c r="B971" s="30" t="inlineStr">
        <is>
          <t>H</t>
        </is>
      </c>
      <c r="C971" s="31" t="n">
        <v>13390.1</v>
      </c>
      <c r="D971" s="31" t="n">
        <v>47230.5</v>
      </c>
      <c r="E971" s="31" t="n">
        <v>47230.5</v>
      </c>
      <c r="F971" s="31" t="n">
        <v>47245.9</v>
      </c>
      <c r="G971" s="31" t="n">
        <v>47273.3</v>
      </c>
      <c r="H971" s="31" t="n">
        <v>47288.1</v>
      </c>
      <c r="I971" s="31" t="n">
        <v>47315.5</v>
      </c>
      <c r="J971" s="31" t="n">
        <v>47352.6</v>
      </c>
      <c r="K971" s="31" t="n">
        <v>33962.5</v>
      </c>
      <c r="L971" s="31" t="n">
        <v>33840.4</v>
      </c>
      <c r="M971" s="30" t="inlineStr">
        <is>
          <t>AMR1</t>
        </is>
      </c>
      <c r="N971" s="30" t="inlineStr">
        <is>
          <t>AMR1</t>
        </is>
      </c>
      <c r="O971" s="32" t="n">
        <v>0</v>
      </c>
      <c r="P971" s="32" t="n">
        <v>0</v>
      </c>
      <c r="Q971" s="32" t="n">
        <v>15</v>
      </c>
      <c r="R971" s="31" t="n">
        <v>41.9</v>
      </c>
      <c r="S971" s="31" t="n">
        <v>41.9</v>
      </c>
      <c r="T971" s="30" t="inlineStr">
        <is>
          <t>AMR1</t>
        </is>
      </c>
      <c r="U971" s="31" t="n">
        <v>56.1</v>
      </c>
      <c r="V971" s="31" t="n">
        <v>56.1</v>
      </c>
      <c r="W971" s="30" t="inlineStr">
        <is>
          <t>AMR1</t>
        </is>
      </c>
      <c r="X971" s="32" t="n">
        <v>0</v>
      </c>
      <c r="Y971" s="32" t="n">
        <v>0</v>
      </c>
      <c r="Z971" s="31" t="n">
        <v>0</v>
      </c>
      <c r="AA971" s="32" t="n">
        <v>0</v>
      </c>
      <c r="AB971" s="32" t="n">
        <v>0</v>
      </c>
      <c r="AC971" s="32" t="n">
        <v>0</v>
      </c>
      <c r="AD971" s="32" t="n">
        <v>1</v>
      </c>
      <c r="AE971" s="31" t="n">
        <v>10.1</v>
      </c>
      <c r="AF971" s="32" t="n">
        <v>1</v>
      </c>
      <c r="AG971" s="31" t="n">
        <v>5.1</v>
      </c>
      <c r="AH971" s="32" t="n">
        <v>39</v>
      </c>
      <c r="AI971" s="31" t="n">
        <v>44.5</v>
      </c>
      <c r="AJ971" s="31" t="n">
        <v>52.7</v>
      </c>
      <c r="AK971" s="31" t="n">
        <v>10.1</v>
      </c>
      <c r="AL971" s="30" t="inlineStr">
        <is>
          <t>T-1120</t>
        </is>
      </c>
      <c r="AM971" s="30" t="inlineStr">
        <is>
          <t>H-05-02</t>
        </is>
      </c>
      <c r="AN971" s="30" t="inlineStr">
        <is>
          <t>T-0933</t>
        </is>
      </c>
      <c r="AO971" s="30" t="inlineStr">
        <is>
          <t>H-06-01</t>
        </is>
      </c>
    </row>
    <row r="972">
      <c r="A972" s="30" t="inlineStr">
        <is>
          <t>O0971</t>
        </is>
      </c>
      <c r="B972" s="30" t="inlineStr">
        <is>
          <t>I</t>
        </is>
      </c>
      <c r="C972" s="31" t="n">
        <v>13414.2</v>
      </c>
      <c r="D972" s="31" t="n">
        <v>47269</v>
      </c>
      <c r="E972" s="31" t="n">
        <v>47269</v>
      </c>
      <c r="F972" s="31" t="n">
        <v>47284</v>
      </c>
      <c r="G972" s="31" t="n">
        <v>47314</v>
      </c>
      <c r="H972" s="31" t="n">
        <v>47332.9</v>
      </c>
      <c r="I972" s="31" t="n">
        <v>47362.2</v>
      </c>
      <c r="J972" s="31" t="n">
        <v>47393.3</v>
      </c>
      <c r="K972" s="31" t="n">
        <v>33979.1</v>
      </c>
      <c r="L972" s="31" t="n">
        <v>33854.8</v>
      </c>
      <c r="M972" s="30" t="inlineStr">
        <is>
          <t>AMR3</t>
        </is>
      </c>
      <c r="N972" s="30" t="inlineStr">
        <is>
          <t>AMR3</t>
        </is>
      </c>
      <c r="O972" s="32" t="n">
        <v>0</v>
      </c>
      <c r="P972" s="32" t="n">
        <v>0</v>
      </c>
      <c r="Q972" s="32" t="n">
        <v>15</v>
      </c>
      <c r="R972" s="31" t="n">
        <v>41.7</v>
      </c>
      <c r="S972" s="31" t="n">
        <v>41.7</v>
      </c>
      <c r="T972" s="30" t="inlineStr">
        <is>
          <t>AMR3</t>
        </is>
      </c>
      <c r="U972" s="31" t="n">
        <v>55.4</v>
      </c>
      <c r="V972" s="31" t="n">
        <v>55.4</v>
      </c>
      <c r="W972" s="30" t="inlineStr">
        <is>
          <t>AMR3</t>
        </is>
      </c>
      <c r="X972" s="32" t="n">
        <v>0</v>
      </c>
      <c r="Y972" s="32" t="n">
        <v>0</v>
      </c>
      <c r="Z972" s="31" t="n">
        <v>0</v>
      </c>
      <c r="AA972" s="32" t="n">
        <v>0</v>
      </c>
      <c r="AB972" s="32" t="n">
        <v>1</v>
      </c>
      <c r="AC972" s="32" t="n">
        <v>0</v>
      </c>
      <c r="AD972" s="32" t="n">
        <v>1</v>
      </c>
      <c r="AE972" s="31" t="n">
        <v>1.7</v>
      </c>
      <c r="AF972" s="32" t="n">
        <v>0</v>
      </c>
      <c r="AG972" s="31" t="n">
        <v>0</v>
      </c>
      <c r="AH972" s="32" t="n">
        <v>48</v>
      </c>
      <c r="AI972" s="31" t="n">
        <v>52.4</v>
      </c>
      <c r="AJ972" s="31" t="n">
        <v>51.3</v>
      </c>
      <c r="AK972" s="31" t="n">
        <v>1.7</v>
      </c>
      <c r="AL972" s="30" t="inlineStr">
        <is>
          <t>T-1121</t>
        </is>
      </c>
      <c r="AM972" s="30" t="inlineStr">
        <is>
          <t>I-06-02</t>
        </is>
      </c>
      <c r="AN972" s="30" t="inlineStr">
        <is>
          <t>T-0935</t>
        </is>
      </c>
      <c r="AO972" s="30" t="inlineStr">
        <is>
          <t>I-05-03</t>
        </is>
      </c>
    </row>
    <row r="973">
      <c r="A973" s="30" t="inlineStr">
        <is>
          <t>O0972</t>
        </is>
      </c>
      <c r="B973" s="30" t="inlineStr">
        <is>
          <t>C</t>
        </is>
      </c>
      <c r="C973" s="31" t="n">
        <v>13433.1</v>
      </c>
      <c r="D973" s="31" t="n">
        <v>47362.4</v>
      </c>
      <c r="E973" s="31" t="n">
        <v>47362.4</v>
      </c>
      <c r="F973" s="31" t="n">
        <v>47374.2</v>
      </c>
      <c r="G973" s="31" t="n">
        <v>47394.8</v>
      </c>
      <c r="H973" s="31" t="n">
        <v>47407.6</v>
      </c>
      <c r="I973" s="31" t="n">
        <v>47430.4</v>
      </c>
      <c r="J973" s="31" t="n">
        <v>47459.8</v>
      </c>
      <c r="K973" s="31" t="n">
        <v>34026.7</v>
      </c>
      <c r="L973" s="31" t="n">
        <v>33929.3</v>
      </c>
      <c r="M973" s="30" t="inlineStr">
        <is>
          <t>AMR2</t>
        </is>
      </c>
      <c r="N973" s="30" t="inlineStr">
        <is>
          <t>AMR2</t>
        </is>
      </c>
      <c r="O973" s="32" t="n">
        <v>0</v>
      </c>
      <c r="P973" s="32" t="n">
        <v>0</v>
      </c>
      <c r="Q973" s="32" t="n">
        <v>13</v>
      </c>
      <c r="R973" s="31" t="n">
        <v>31.5</v>
      </c>
      <c r="S973" s="31" t="n">
        <v>31.5</v>
      </c>
      <c r="T973" s="30" t="inlineStr">
        <is>
          <t>AMR2</t>
        </is>
      </c>
      <c r="U973" s="31" t="n">
        <v>51.9</v>
      </c>
      <c r="V973" s="31" t="n">
        <v>51.9</v>
      </c>
      <c r="W973" s="30" t="inlineStr">
        <is>
          <t>AMR2</t>
        </is>
      </c>
      <c r="X973" s="32" t="n">
        <v>0</v>
      </c>
      <c r="Y973" s="32" t="n">
        <v>0</v>
      </c>
      <c r="Z973" s="31" t="n">
        <v>0</v>
      </c>
      <c r="AA973" s="32" t="n">
        <v>0</v>
      </c>
      <c r="AB973" s="32" t="n">
        <v>0</v>
      </c>
      <c r="AC973" s="32" t="n">
        <v>0</v>
      </c>
      <c r="AD973" s="32" t="n">
        <v>0</v>
      </c>
      <c r="AE973" s="31" t="n">
        <v>0</v>
      </c>
      <c r="AF973" s="32" t="n">
        <v>0</v>
      </c>
      <c r="AG973" s="31" t="n">
        <v>0</v>
      </c>
      <c r="AH973" s="32" t="n">
        <v>39</v>
      </c>
      <c r="AI973" s="31" t="n">
        <v>43.4</v>
      </c>
      <c r="AJ973" s="31" t="n">
        <v>41.2</v>
      </c>
      <c r="AK973" s="31" t="n">
        <v>0</v>
      </c>
      <c r="AL973" s="30" t="inlineStr">
        <is>
          <t>T-1122</t>
        </is>
      </c>
      <c r="AM973" s="30" t="inlineStr">
        <is>
          <t>C-04-02</t>
        </is>
      </c>
      <c r="AN973" s="30" t="inlineStr">
        <is>
          <t>T-1004</t>
        </is>
      </c>
      <c r="AO973" s="30" t="inlineStr">
        <is>
          <t>C-05-03</t>
        </is>
      </c>
    </row>
    <row r="974">
      <c r="A974" s="30" t="inlineStr">
        <is>
          <t>O0973</t>
        </is>
      </c>
      <c r="B974" s="30" t="inlineStr">
        <is>
          <t>D</t>
        </is>
      </c>
      <c r="C974" s="31" t="n">
        <v>13451.3</v>
      </c>
      <c r="D974" s="31" t="n">
        <v>47376.3</v>
      </c>
      <c r="E974" s="31" t="n">
        <v>47376.3</v>
      </c>
      <c r="F974" s="31" t="n">
        <v>47390.7</v>
      </c>
      <c r="G974" s="31" t="n">
        <v>47416.6</v>
      </c>
      <c r="H974" s="31" t="n">
        <v>47417</v>
      </c>
      <c r="I974" s="31" t="n">
        <v>47441.8</v>
      </c>
      <c r="J974" s="31" t="n">
        <v>47475.2</v>
      </c>
      <c r="K974" s="31" t="n">
        <v>34023.9</v>
      </c>
      <c r="L974" s="31" t="n">
        <v>33925</v>
      </c>
      <c r="M974" s="30" t="inlineStr">
        <is>
          <t>AMR1</t>
        </is>
      </c>
      <c r="N974" s="30" t="inlineStr">
        <is>
          <t>AMR3</t>
        </is>
      </c>
      <c r="O974" s="32" t="n">
        <v>0</v>
      </c>
      <c r="P974" s="32" t="n">
        <v>0</v>
      </c>
      <c r="Q974" s="32" t="n">
        <v>13</v>
      </c>
      <c r="R974" s="31" t="n">
        <v>37.8</v>
      </c>
      <c r="S974" s="31" t="n">
        <v>37.8</v>
      </c>
      <c r="T974" s="30" t="inlineStr">
        <is>
          <t>AMR1</t>
        </is>
      </c>
      <c r="U974" s="31" t="n">
        <v>53.4</v>
      </c>
      <c r="V974" s="31" t="n">
        <v>53.4</v>
      </c>
      <c r="W974" s="30" t="inlineStr">
        <is>
          <t>AMR3</t>
        </is>
      </c>
      <c r="X974" s="32" t="n">
        <v>0</v>
      </c>
      <c r="Y974" s="32" t="n">
        <v>0</v>
      </c>
      <c r="Z974" s="31" t="n">
        <v>0</v>
      </c>
      <c r="AA974" s="32" t="n">
        <v>0</v>
      </c>
      <c r="AB974" s="32" t="n">
        <v>0</v>
      </c>
      <c r="AC974" s="32" t="n">
        <v>0</v>
      </c>
      <c r="AD974" s="32" t="n">
        <v>1</v>
      </c>
      <c r="AE974" s="31" t="n">
        <v>3</v>
      </c>
      <c r="AF974" s="32" t="n">
        <v>0</v>
      </c>
      <c r="AG974" s="31" t="n">
        <v>0</v>
      </c>
      <c r="AH974" s="32" t="n">
        <v>43</v>
      </c>
      <c r="AI974" s="31" t="n">
        <v>47</v>
      </c>
      <c r="AJ974" s="31" t="n">
        <v>48.5</v>
      </c>
      <c r="AK974" s="31" t="n">
        <v>3</v>
      </c>
      <c r="AL974" s="30" t="inlineStr">
        <is>
          <t>T-1123</t>
        </is>
      </c>
      <c r="AM974" s="30" t="inlineStr">
        <is>
          <t>D-04-01</t>
        </is>
      </c>
      <c r="AN974" s="30" t="inlineStr">
        <is>
          <t>T-1017</t>
        </is>
      </c>
      <c r="AO974" s="30" t="inlineStr">
        <is>
          <t>D-03-03</t>
        </is>
      </c>
    </row>
    <row r="975">
      <c r="A975" s="30" t="inlineStr">
        <is>
          <t>O0974</t>
        </is>
      </c>
      <c r="B975" s="30" t="inlineStr">
        <is>
          <t>E</t>
        </is>
      </c>
      <c r="C975" s="31" t="n">
        <v>13475.3</v>
      </c>
      <c r="D975" s="31" t="n">
        <v>47431.4</v>
      </c>
      <c r="E975" s="31" t="n">
        <v>47431.4</v>
      </c>
      <c r="F975" s="31" t="n">
        <v>47443.9</v>
      </c>
      <c r="G975" s="31" t="n">
        <v>47472.4</v>
      </c>
      <c r="H975" s="31" t="n">
        <v>47483.5</v>
      </c>
      <c r="I975" s="31" t="n">
        <v>47509.2</v>
      </c>
      <c r="J975" s="31" t="n">
        <v>47541.8</v>
      </c>
      <c r="K975" s="31" t="n">
        <v>34066.5</v>
      </c>
      <c r="L975" s="31" t="n">
        <v>33956.1</v>
      </c>
      <c r="M975" s="30" t="inlineStr">
        <is>
          <t>AMR1</t>
        </is>
      </c>
      <c r="N975" s="30" t="inlineStr">
        <is>
          <t>AMR2</t>
        </is>
      </c>
      <c r="O975" s="32" t="n">
        <v>0</v>
      </c>
      <c r="P975" s="32" t="n">
        <v>0</v>
      </c>
      <c r="Q975" s="32" t="n">
        <v>19</v>
      </c>
      <c r="R975" s="31" t="n">
        <v>40.1</v>
      </c>
      <c r="S975" s="31" t="n">
        <v>40.1</v>
      </c>
      <c r="T975" s="30" t="inlineStr">
        <is>
          <t>AMR1</t>
        </is>
      </c>
      <c r="U975" s="31" t="n">
        <v>56.5</v>
      </c>
      <c r="V975" s="31" t="n">
        <v>56.5</v>
      </c>
      <c r="W975" s="30" t="inlineStr">
        <is>
          <t>AMR2</t>
        </is>
      </c>
      <c r="X975" s="32" t="n">
        <v>0</v>
      </c>
      <c r="Y975" s="32" t="n">
        <v>0</v>
      </c>
      <c r="Z975" s="31" t="n">
        <v>0</v>
      </c>
      <c r="AA975" s="32" t="n">
        <v>0</v>
      </c>
      <c r="AB975" s="32" t="n">
        <v>0</v>
      </c>
      <c r="AC975" s="32" t="n">
        <v>0</v>
      </c>
      <c r="AD975" s="32" t="n">
        <v>0</v>
      </c>
      <c r="AE975" s="31" t="n">
        <v>0</v>
      </c>
      <c r="AF975" s="32" t="n">
        <v>0</v>
      </c>
      <c r="AG975" s="31" t="n">
        <v>0</v>
      </c>
      <c r="AH975" s="32" t="n">
        <v>59</v>
      </c>
      <c r="AI975" s="31" t="n">
        <v>60.2</v>
      </c>
      <c r="AJ975" s="31" t="n">
        <v>39.1</v>
      </c>
      <c r="AK975" s="31" t="n">
        <v>0</v>
      </c>
      <c r="AL975" s="30" t="inlineStr">
        <is>
          <t>T-1124</t>
        </is>
      </c>
      <c r="AM975" s="30" t="inlineStr">
        <is>
          <t>E-02-01</t>
        </is>
      </c>
      <c r="AN975" s="30" t="inlineStr">
        <is>
          <t>T-0965</t>
        </is>
      </c>
      <c r="AO975" s="30" t="inlineStr">
        <is>
          <t>E-03-02</t>
        </is>
      </c>
    </row>
    <row r="976">
      <c r="A976" s="30" t="inlineStr">
        <is>
          <t>O0975</t>
        </is>
      </c>
      <c r="B976" s="30" t="inlineStr">
        <is>
          <t>H</t>
        </is>
      </c>
      <c r="C976" s="31" t="n">
        <v>13498.3</v>
      </c>
      <c r="D976" s="31" t="n">
        <v>47490.6</v>
      </c>
      <c r="E976" s="31" t="n">
        <v>47490.6</v>
      </c>
      <c r="F976" s="31" t="n">
        <v>47505</v>
      </c>
      <c r="G976" s="31" t="n">
        <v>47530.7</v>
      </c>
      <c r="H976" s="31" t="n">
        <v>47544.2</v>
      </c>
      <c r="I976" s="31" t="n">
        <v>47567.3</v>
      </c>
      <c r="J976" s="31" t="n">
        <v>47592.1</v>
      </c>
      <c r="K976" s="31" t="n">
        <v>34093.8</v>
      </c>
      <c r="L976" s="31" t="n">
        <v>33992.3</v>
      </c>
      <c r="M976" s="30" t="inlineStr">
        <is>
          <t>AMR1</t>
        </is>
      </c>
      <c r="N976" s="30" t="inlineStr">
        <is>
          <t>AMR1</t>
        </is>
      </c>
      <c r="O976" s="32" t="n">
        <v>0</v>
      </c>
      <c r="P976" s="32" t="n">
        <v>0</v>
      </c>
      <c r="Q976" s="32" t="n">
        <v>15</v>
      </c>
      <c r="R976" s="31" t="n">
        <v>40</v>
      </c>
      <c r="S976" s="31" t="n">
        <v>40</v>
      </c>
      <c r="T976" s="30" t="inlineStr">
        <is>
          <t>AMR1</t>
        </is>
      </c>
      <c r="U976" s="31" t="n">
        <v>49.6</v>
      </c>
      <c r="V976" s="31" t="n">
        <v>49.6</v>
      </c>
      <c r="W976" s="30" t="inlineStr">
        <is>
          <t>AMR1</t>
        </is>
      </c>
      <c r="X976" s="32" t="n">
        <v>0</v>
      </c>
      <c r="Y976" s="32" t="n">
        <v>0</v>
      </c>
      <c r="Z976" s="31" t="n">
        <v>0</v>
      </c>
      <c r="AA976" s="32" t="n">
        <v>0</v>
      </c>
      <c r="AB976" s="32" t="n">
        <v>0</v>
      </c>
      <c r="AC976" s="32" t="n">
        <v>0</v>
      </c>
      <c r="AD976" s="32" t="n">
        <v>0</v>
      </c>
      <c r="AE976" s="31" t="n">
        <v>0</v>
      </c>
      <c r="AF976" s="32" t="n">
        <v>0</v>
      </c>
      <c r="AG976" s="31" t="n">
        <v>0</v>
      </c>
      <c r="AH976" s="32" t="n">
        <v>38</v>
      </c>
      <c r="AI976" s="31" t="n">
        <v>43.7</v>
      </c>
      <c r="AJ976" s="31" t="n">
        <v>44.3</v>
      </c>
      <c r="AK976" s="31" t="n">
        <v>0</v>
      </c>
      <c r="AL976" s="30" t="inlineStr">
        <is>
          <t>T-1125</t>
        </is>
      </c>
      <c r="AM976" s="30" t="inlineStr">
        <is>
          <t>H-06-01</t>
        </is>
      </c>
      <c r="AN976" s="30" t="inlineStr">
        <is>
          <t>T-0936</t>
        </is>
      </c>
      <c r="AO976" s="30" t="inlineStr">
        <is>
          <t>H-06-02</t>
        </is>
      </c>
    </row>
    <row r="977">
      <c r="A977" s="30" t="inlineStr">
        <is>
          <t>O0976</t>
        </is>
      </c>
      <c r="B977" s="30" t="inlineStr">
        <is>
          <t>J</t>
        </is>
      </c>
      <c r="C977" s="31" t="n">
        <v>13516.9</v>
      </c>
      <c r="D977" s="31" t="n">
        <v>47505</v>
      </c>
      <c r="E977" s="31" t="n">
        <v>47505</v>
      </c>
      <c r="F977" s="31" t="n">
        <v>47520.3</v>
      </c>
      <c r="G977" s="31" t="n">
        <v>47548.2</v>
      </c>
      <c r="H977" s="31" t="n">
        <v>47565.5</v>
      </c>
      <c r="I977" s="31" t="n">
        <v>47594.4</v>
      </c>
      <c r="J977" s="31" t="n">
        <v>47629.8</v>
      </c>
      <c r="K977" s="31" t="n">
        <v>34112.9</v>
      </c>
      <c r="L977" s="31" t="n">
        <v>33988.1</v>
      </c>
      <c r="M977" s="30" t="inlineStr">
        <is>
          <t>AMR3</t>
        </is>
      </c>
      <c r="N977" s="30" t="inlineStr">
        <is>
          <t>AMR2</t>
        </is>
      </c>
      <c r="O977" s="32" t="n">
        <v>0</v>
      </c>
      <c r="P977" s="32" t="n">
        <v>0</v>
      </c>
      <c r="Q977" s="32" t="n">
        <v>21</v>
      </c>
      <c r="R977" s="31" t="n">
        <v>42.3</v>
      </c>
      <c r="S977" s="31" t="n">
        <v>42.3</v>
      </c>
      <c r="T977" s="30" t="inlineStr">
        <is>
          <t>AMR3</t>
        </is>
      </c>
      <c r="U977" s="31" t="n">
        <v>57.8</v>
      </c>
      <c r="V977" s="31" t="n">
        <v>57.8</v>
      </c>
      <c r="W977" s="30" t="inlineStr">
        <is>
          <t>AMR2</t>
        </is>
      </c>
      <c r="X977" s="32" t="n">
        <v>0</v>
      </c>
      <c r="Y977" s="32" t="n">
        <v>0</v>
      </c>
      <c r="Z977" s="31" t="n">
        <v>0</v>
      </c>
      <c r="AA977" s="32" t="n">
        <v>0</v>
      </c>
      <c r="AB977" s="32" t="n">
        <v>1</v>
      </c>
      <c r="AC977" s="32" t="n">
        <v>0</v>
      </c>
      <c r="AD977" s="32" t="n">
        <v>1</v>
      </c>
      <c r="AE977" s="31" t="n">
        <v>3.2</v>
      </c>
      <c r="AF977" s="32" t="n">
        <v>0</v>
      </c>
      <c r="AG977" s="31" t="n">
        <v>0</v>
      </c>
      <c r="AH977" s="32" t="n">
        <v>63</v>
      </c>
      <c r="AI977" s="31" t="n">
        <v>64.8</v>
      </c>
      <c r="AJ977" s="31" t="n">
        <v>39.5</v>
      </c>
      <c r="AK977" s="31" t="n">
        <v>3.2</v>
      </c>
      <c r="AL977" s="30" t="inlineStr">
        <is>
          <t>T-1126</t>
        </is>
      </c>
      <c r="AM977" s="30" t="inlineStr">
        <is>
          <t>J-02-02</t>
        </is>
      </c>
      <c r="AN977" s="30" t="inlineStr">
        <is>
          <t>T-0951</t>
        </is>
      </c>
      <c r="AO977" s="30" t="inlineStr">
        <is>
          <t>J-04-03</t>
        </is>
      </c>
    </row>
    <row r="978">
      <c r="A978" s="30" t="inlineStr">
        <is>
          <t>O0977</t>
        </is>
      </c>
      <c r="B978" s="30" t="inlineStr">
        <is>
          <t>B</t>
        </is>
      </c>
      <c r="C978" s="31" t="n">
        <v>13541.7</v>
      </c>
      <c r="D978" s="31" t="n">
        <v>47572.6</v>
      </c>
      <c r="E978" s="31" t="n">
        <v>47572.6</v>
      </c>
      <c r="F978" s="31" t="n">
        <v>47583.4</v>
      </c>
      <c r="G978" s="31" t="n">
        <v>47606.7</v>
      </c>
      <c r="H978" s="31" t="n">
        <v>47615.8</v>
      </c>
      <c r="I978" s="31" t="n">
        <v>47640.6</v>
      </c>
      <c r="J978" s="31" t="n">
        <v>47668.8</v>
      </c>
      <c r="K978" s="31" t="n">
        <v>34127.1</v>
      </c>
      <c r="L978" s="31" t="n">
        <v>34030.9</v>
      </c>
      <c r="M978" s="30" t="inlineStr">
        <is>
          <t>AMR3</t>
        </is>
      </c>
      <c r="N978" s="30" t="inlineStr">
        <is>
          <t>AMR1</t>
        </is>
      </c>
      <c r="O978" s="32" t="n">
        <v>0</v>
      </c>
      <c r="P978" s="32" t="n">
        <v>0</v>
      </c>
      <c r="Q978" s="32" t="n">
        <v>15</v>
      </c>
      <c r="R978" s="31" t="n">
        <v>31.6</v>
      </c>
      <c r="S978" s="31" t="n">
        <v>31.6</v>
      </c>
      <c r="T978" s="30" t="inlineStr">
        <is>
          <t>AMR3</t>
        </is>
      </c>
      <c r="U978" s="31" t="n">
        <v>53.7</v>
      </c>
      <c r="V978" s="31" t="n">
        <v>53.7</v>
      </c>
      <c r="W978" s="30" t="inlineStr">
        <is>
          <t>AMR1</t>
        </is>
      </c>
      <c r="X978" s="32" t="n">
        <v>0</v>
      </c>
      <c r="Y978" s="32" t="n">
        <v>0</v>
      </c>
      <c r="Z978" s="31" t="n">
        <v>0</v>
      </c>
      <c r="AA978" s="32" t="n">
        <v>0</v>
      </c>
      <c r="AB978" s="32" t="n">
        <v>0</v>
      </c>
      <c r="AC978" s="32" t="n">
        <v>0</v>
      </c>
      <c r="AD978" s="32" t="n">
        <v>0</v>
      </c>
      <c r="AE978" s="31" t="n">
        <v>0</v>
      </c>
      <c r="AF978" s="32" t="n">
        <v>0</v>
      </c>
      <c r="AG978" s="31" t="n">
        <v>0</v>
      </c>
      <c r="AH978" s="32" t="n">
        <v>47</v>
      </c>
      <c r="AI978" s="31" t="n">
        <v>49.1</v>
      </c>
      <c r="AJ978" s="31" t="n">
        <v>38</v>
      </c>
      <c r="AK978" s="31" t="n">
        <v>0</v>
      </c>
      <c r="AL978" s="30" t="inlineStr">
        <is>
          <t>T-1127</t>
        </is>
      </c>
      <c r="AM978" s="30" t="inlineStr">
        <is>
          <t>B-02-02</t>
        </is>
      </c>
      <c r="AN978" s="30" t="inlineStr">
        <is>
          <t>T-1001</t>
        </is>
      </c>
      <c r="AO978" s="30" t="inlineStr">
        <is>
          <t>B-04-02</t>
        </is>
      </c>
    </row>
    <row r="979">
      <c r="A979" s="30" t="inlineStr">
        <is>
          <t>O0978</t>
        </is>
      </c>
      <c r="B979" s="30" t="inlineStr">
        <is>
          <t>E</t>
        </is>
      </c>
      <c r="C979" s="31" t="n">
        <v>13563.2</v>
      </c>
      <c r="D979" s="31" t="n">
        <v>47622.9</v>
      </c>
      <c r="E979" s="31" t="n">
        <v>47622.9</v>
      </c>
      <c r="F979" s="31" t="n">
        <v>47635.9</v>
      </c>
      <c r="G979" s="31" t="n">
        <v>47665.5</v>
      </c>
      <c r="H979" s="31" t="n">
        <v>47685</v>
      </c>
      <c r="I979" s="31" t="n">
        <v>47711.1</v>
      </c>
      <c r="J979" s="31" t="n">
        <v>47744.9</v>
      </c>
      <c r="K979" s="31" t="n">
        <v>34181.7</v>
      </c>
      <c r="L979" s="31" t="n">
        <v>34059.7</v>
      </c>
      <c r="M979" s="30" t="inlineStr">
        <is>
          <t>AMR3</t>
        </is>
      </c>
      <c r="N979" s="30" t="inlineStr">
        <is>
          <t>AMR3</t>
        </is>
      </c>
      <c r="O979" s="32" t="n">
        <v>0</v>
      </c>
      <c r="P979" s="32" t="n">
        <v>0</v>
      </c>
      <c r="Q979" s="32" t="n">
        <v>19</v>
      </c>
      <c r="R979" s="31" t="n">
        <v>40.9</v>
      </c>
      <c r="S979" s="31" t="n">
        <v>40.9</v>
      </c>
      <c r="T979" s="30" t="inlineStr">
        <is>
          <t>AMR3</t>
        </is>
      </c>
      <c r="U979" s="31" t="n">
        <v>60.1</v>
      </c>
      <c r="V979" s="31" t="n">
        <v>60.1</v>
      </c>
      <c r="W979" s="30" t="inlineStr">
        <is>
          <t>AMR3</t>
        </is>
      </c>
      <c r="X979" s="32" t="n">
        <v>0</v>
      </c>
      <c r="Y979" s="32" t="n">
        <v>0</v>
      </c>
      <c r="Z979" s="31" t="n">
        <v>0</v>
      </c>
      <c r="AA979" s="32" t="n">
        <v>0</v>
      </c>
      <c r="AB979" s="32" t="n">
        <v>0</v>
      </c>
      <c r="AC979" s="32" t="n">
        <v>0</v>
      </c>
      <c r="AD979" s="32" t="n">
        <v>0</v>
      </c>
      <c r="AE979" s="31" t="n">
        <v>0</v>
      </c>
      <c r="AF979" s="32" t="n">
        <v>0</v>
      </c>
      <c r="AG979" s="31" t="n">
        <v>0</v>
      </c>
      <c r="AH979" s="32" t="n">
        <v>58</v>
      </c>
      <c r="AI979" s="31" t="n">
        <v>59</v>
      </c>
      <c r="AJ979" s="31" t="n">
        <v>43.5</v>
      </c>
      <c r="AK979" s="31" t="n">
        <v>0</v>
      </c>
      <c r="AL979" s="30" t="inlineStr">
        <is>
          <t>T-1128</t>
        </is>
      </c>
      <c r="AM979" s="30" t="inlineStr">
        <is>
          <t>E-03-02</t>
        </is>
      </c>
      <c r="AN979" s="30" t="inlineStr">
        <is>
          <t>T-0968</t>
        </is>
      </c>
      <c r="AO979" s="30" t="inlineStr">
        <is>
          <t>E-02-03</t>
        </is>
      </c>
    </row>
    <row r="980">
      <c r="A980" s="30" t="inlineStr">
        <is>
          <t>O0979</t>
        </is>
      </c>
      <c r="B980" s="30" t="inlineStr">
        <is>
          <t>A</t>
        </is>
      </c>
      <c r="C980" s="31" t="n">
        <v>13586.4</v>
      </c>
      <c r="D980" s="31" t="n">
        <v>47653.5</v>
      </c>
      <c r="E980" s="31" t="n">
        <v>47653.5</v>
      </c>
      <c r="F980" s="31" t="n">
        <v>47668.7</v>
      </c>
      <c r="G980" s="31" t="n">
        <v>47698.8</v>
      </c>
      <c r="H980" s="31" t="n">
        <v>47719</v>
      </c>
      <c r="I980" s="31" t="n">
        <v>47748.8</v>
      </c>
      <c r="J980" s="31" t="n">
        <v>47783</v>
      </c>
      <c r="K980" s="31" t="n">
        <v>34196.6</v>
      </c>
      <c r="L980" s="31" t="n">
        <v>34067.1</v>
      </c>
      <c r="M980" s="30" t="inlineStr">
        <is>
          <t>AMR2</t>
        </is>
      </c>
      <c r="N980" s="30" t="inlineStr">
        <is>
          <t>AMR2</t>
        </is>
      </c>
      <c r="O980" s="32" t="n">
        <v>0</v>
      </c>
      <c r="P980" s="32" t="n">
        <v>0</v>
      </c>
      <c r="Q980" s="32" t="n">
        <v>21</v>
      </c>
      <c r="R980" s="31" t="n">
        <v>44.4</v>
      </c>
      <c r="S980" s="31" t="n">
        <v>44.4</v>
      </c>
      <c r="T980" s="30" t="inlineStr">
        <is>
          <t>AMR2</t>
        </is>
      </c>
      <c r="U980" s="31" t="n">
        <v>65.7</v>
      </c>
      <c r="V980" s="31" t="n">
        <v>65.7</v>
      </c>
      <c r="W980" s="30" t="inlineStr">
        <is>
          <t>AMR2</t>
        </is>
      </c>
      <c r="X980" s="32" t="n">
        <v>0</v>
      </c>
      <c r="Y980" s="32" t="n">
        <v>0</v>
      </c>
      <c r="Z980" s="31" t="n">
        <v>0</v>
      </c>
      <c r="AA980" s="32" t="n">
        <v>0</v>
      </c>
      <c r="AB980" s="32" t="n">
        <v>0</v>
      </c>
      <c r="AC980" s="32" t="n">
        <v>0</v>
      </c>
      <c r="AD980" s="32" t="n">
        <v>0</v>
      </c>
      <c r="AE980" s="31" t="n">
        <v>0</v>
      </c>
      <c r="AF980" s="32" t="n">
        <v>0</v>
      </c>
      <c r="AG980" s="31" t="n">
        <v>0</v>
      </c>
      <c r="AH980" s="32" t="n">
        <v>61</v>
      </c>
      <c r="AI980" s="31" t="n">
        <v>61.3</v>
      </c>
      <c r="AJ980" s="31" t="n">
        <v>48</v>
      </c>
      <c r="AK980" s="31" t="n">
        <v>0</v>
      </c>
      <c r="AL980" s="30" t="inlineStr">
        <is>
          <t>T-1129</t>
        </is>
      </c>
      <c r="AM980" s="30" t="inlineStr">
        <is>
          <t>A-04-02</t>
        </is>
      </c>
      <c r="AN980" s="30" t="inlineStr">
        <is>
          <t>T-0985</t>
        </is>
      </c>
      <c r="AO980" s="30" t="inlineStr">
        <is>
          <t>A-06-02</t>
        </is>
      </c>
    </row>
    <row r="981">
      <c r="A981" s="30" t="inlineStr">
        <is>
          <t>O0980</t>
        </is>
      </c>
      <c r="B981" s="30" t="inlineStr">
        <is>
          <t>G</t>
        </is>
      </c>
      <c r="C981" s="31" t="n">
        <v>13607.1</v>
      </c>
      <c r="D981" s="31" t="n">
        <v>47693.7</v>
      </c>
      <c r="E981" s="31" t="n">
        <v>47693.7</v>
      </c>
      <c r="F981" s="31" t="n">
        <v>47709.5</v>
      </c>
      <c r="G981" s="31" t="n">
        <v>47736</v>
      </c>
      <c r="H981" s="31" t="n">
        <v>47751.5</v>
      </c>
      <c r="I981" s="31" t="n">
        <v>47782</v>
      </c>
      <c r="J981" s="31" t="n">
        <v>47810.8</v>
      </c>
      <c r="K981" s="31" t="n">
        <v>34203.7</v>
      </c>
      <c r="L981" s="31" t="n">
        <v>34086.6</v>
      </c>
      <c r="M981" s="30" t="inlineStr">
        <is>
          <t>AMR1</t>
        </is>
      </c>
      <c r="N981" s="30" t="inlineStr">
        <is>
          <t>AMR1</t>
        </is>
      </c>
      <c r="O981" s="32" t="n">
        <v>0</v>
      </c>
      <c r="P981" s="32" t="n">
        <v>0</v>
      </c>
      <c r="Q981" s="32" t="n">
        <v>17</v>
      </c>
      <c r="R981" s="31" t="n">
        <v>42.2</v>
      </c>
      <c r="S981" s="31" t="n">
        <v>42.2</v>
      </c>
      <c r="T981" s="30" t="inlineStr">
        <is>
          <t>AMR1</t>
        </is>
      </c>
      <c r="U981" s="31" t="n">
        <v>56</v>
      </c>
      <c r="V981" s="31" t="n">
        <v>56</v>
      </c>
      <c r="W981" s="30" t="inlineStr">
        <is>
          <t>AMR1</t>
        </is>
      </c>
      <c r="X981" s="32" t="n">
        <v>0</v>
      </c>
      <c r="Y981" s="32" t="n">
        <v>0</v>
      </c>
      <c r="Z981" s="31" t="n">
        <v>0</v>
      </c>
      <c r="AA981" s="32" t="n">
        <v>0</v>
      </c>
      <c r="AB981" s="32" t="n">
        <v>0</v>
      </c>
      <c r="AC981" s="32" t="n">
        <v>0</v>
      </c>
      <c r="AD981" s="32" t="n">
        <v>0</v>
      </c>
      <c r="AE981" s="31" t="n">
        <v>0</v>
      </c>
      <c r="AF981" s="32" t="n">
        <v>0</v>
      </c>
      <c r="AG981" s="31" t="n">
        <v>0</v>
      </c>
      <c r="AH981" s="32" t="n">
        <v>50</v>
      </c>
      <c r="AI981" s="31" t="n">
        <v>53.8</v>
      </c>
      <c r="AJ981" s="31" t="n">
        <v>47.8</v>
      </c>
      <c r="AK981" s="31" t="n">
        <v>0</v>
      </c>
      <c r="AL981" s="30" t="inlineStr">
        <is>
          <t>T-1130</t>
        </is>
      </c>
      <c r="AM981" s="30" t="inlineStr">
        <is>
          <t>G-06-02</t>
        </is>
      </c>
      <c r="AN981" s="30" t="inlineStr">
        <is>
          <t>T-0988</t>
        </is>
      </c>
      <c r="AO981" s="30" t="inlineStr">
        <is>
          <t>G-02-03</t>
        </is>
      </c>
    </row>
    <row r="982">
      <c r="A982" s="30" t="inlineStr">
        <is>
          <t>O0981</t>
        </is>
      </c>
      <c r="B982" s="30" t="inlineStr">
        <is>
          <t>C</t>
        </is>
      </c>
      <c r="C982" s="31" t="n">
        <v>13631.5</v>
      </c>
      <c r="D982" s="31" t="n">
        <v>47768.6</v>
      </c>
      <c r="E982" s="31" t="n">
        <v>47768.6</v>
      </c>
      <c r="F982" s="31" t="n">
        <v>47781.1</v>
      </c>
      <c r="G982" s="31" t="n">
        <v>47803.1</v>
      </c>
      <c r="H982" s="31" t="n">
        <v>47806.7</v>
      </c>
      <c r="I982" s="31" t="n">
        <v>47830.3</v>
      </c>
      <c r="J982" s="31" t="n">
        <v>47860.6</v>
      </c>
      <c r="K982" s="31" t="n">
        <v>34229.1</v>
      </c>
      <c r="L982" s="31" t="n">
        <v>34137.1</v>
      </c>
      <c r="M982" s="30" t="inlineStr">
        <is>
          <t>AMR3</t>
        </is>
      </c>
      <c r="N982" s="30" t="inlineStr">
        <is>
          <t>AMR2</t>
        </is>
      </c>
      <c r="O982" s="32" t="n">
        <v>0</v>
      </c>
      <c r="P982" s="32" t="n">
        <v>0</v>
      </c>
      <c r="Q982" s="32" t="n">
        <v>13</v>
      </c>
      <c r="R982" s="31" t="n">
        <v>33.6</v>
      </c>
      <c r="S982" s="31" t="n">
        <v>33.6</v>
      </c>
      <c r="T982" s="30" t="inlineStr">
        <is>
          <t>AMR3</t>
        </is>
      </c>
      <c r="U982" s="31" t="n">
        <v>55.1</v>
      </c>
      <c r="V982" s="31" t="n">
        <v>55.1</v>
      </c>
      <c r="W982" s="30" t="inlineStr">
        <is>
          <t>AMR2</t>
        </is>
      </c>
      <c r="X982" s="32" t="n">
        <v>0</v>
      </c>
      <c r="Y982" s="32" t="n">
        <v>0</v>
      </c>
      <c r="Z982" s="31" t="n">
        <v>0</v>
      </c>
      <c r="AA982" s="32" t="n">
        <v>0</v>
      </c>
      <c r="AB982" s="32" t="n">
        <v>0</v>
      </c>
      <c r="AC982" s="32" t="n">
        <v>0</v>
      </c>
      <c r="AD982" s="32" t="n">
        <v>0</v>
      </c>
      <c r="AE982" s="31" t="n">
        <v>0</v>
      </c>
      <c r="AF982" s="32" t="n">
        <v>0</v>
      </c>
      <c r="AG982" s="31" t="n">
        <v>0</v>
      </c>
      <c r="AH982" s="32" t="n">
        <v>39</v>
      </c>
      <c r="AI982" s="31" t="n">
        <v>41.9</v>
      </c>
      <c r="AJ982" s="31" t="n">
        <v>46.5</v>
      </c>
      <c r="AK982" s="31" t="n">
        <v>0</v>
      </c>
      <c r="AL982" s="30" t="inlineStr">
        <is>
          <t>T-1131</t>
        </is>
      </c>
      <c r="AM982" s="30" t="inlineStr">
        <is>
          <t>C-05-02</t>
        </is>
      </c>
      <c r="AN982" s="30" t="inlineStr">
        <is>
          <t>T-1009</t>
        </is>
      </c>
      <c r="AO982" s="30" t="inlineStr">
        <is>
          <t>C-02-01</t>
        </is>
      </c>
    </row>
    <row r="983">
      <c r="A983" s="30" t="inlineStr">
        <is>
          <t>O0982</t>
        </is>
      </c>
      <c r="B983" s="30" t="inlineStr">
        <is>
          <t>F</t>
        </is>
      </c>
      <c r="C983" s="31" t="n">
        <v>13648.9</v>
      </c>
      <c r="D983" s="31" t="n">
        <v>47815.9</v>
      </c>
      <c r="E983" s="31" t="n">
        <v>47815.9</v>
      </c>
      <c r="F983" s="31" t="n">
        <v>47828.9</v>
      </c>
      <c r="G983" s="31" t="n">
        <v>47862.2</v>
      </c>
      <c r="H983" s="31" t="n">
        <v>47884.3</v>
      </c>
      <c r="I983" s="31" t="n">
        <v>47920.6</v>
      </c>
      <c r="J983" s="31" t="n">
        <v>47972.3</v>
      </c>
      <c r="K983" s="31" t="n">
        <v>34323.4</v>
      </c>
      <c r="L983" s="31" t="n">
        <v>34167</v>
      </c>
      <c r="M983" s="30" t="inlineStr">
        <is>
          <t>AMR3</t>
        </is>
      </c>
      <c r="N983" s="30" t="inlineStr">
        <is>
          <t>AMR2</t>
        </is>
      </c>
      <c r="O983" s="32" t="n">
        <v>0</v>
      </c>
      <c r="P983" s="32" t="n">
        <v>0</v>
      </c>
      <c r="Q983" s="32" t="n">
        <v>23</v>
      </c>
      <c r="R983" s="31" t="n">
        <v>45.4</v>
      </c>
      <c r="S983" s="31" t="n">
        <v>45.4</v>
      </c>
      <c r="T983" s="30" t="inlineStr">
        <is>
          <t>AMR3</t>
        </is>
      </c>
      <c r="U983" s="31" t="n">
        <v>65</v>
      </c>
      <c r="V983" s="31" t="n">
        <v>65</v>
      </c>
      <c r="W983" s="30" t="inlineStr">
        <is>
          <t>AMR2</t>
        </is>
      </c>
      <c r="X983" s="32" t="n">
        <v>0</v>
      </c>
      <c r="Y983" s="32" t="n">
        <v>0</v>
      </c>
      <c r="Z983" s="31" t="n">
        <v>0</v>
      </c>
      <c r="AA983" s="32" t="n">
        <v>0</v>
      </c>
      <c r="AB983" s="32" t="n">
        <v>1</v>
      </c>
      <c r="AC983" s="32" t="n">
        <v>1</v>
      </c>
      <c r="AD983" s="32" t="n">
        <v>1</v>
      </c>
      <c r="AE983" s="31" t="n">
        <v>10.5</v>
      </c>
      <c r="AF983" s="32" t="n">
        <v>1</v>
      </c>
      <c r="AG983" s="31" t="n">
        <v>5.5</v>
      </c>
      <c r="AH983" s="32" t="n">
        <v>69</v>
      </c>
      <c r="AI983" s="31" t="n">
        <v>72.2</v>
      </c>
      <c r="AJ983" s="31" t="n">
        <v>45.2</v>
      </c>
      <c r="AK983" s="31" t="n">
        <v>16.9</v>
      </c>
      <c r="AL983" s="30" t="inlineStr">
        <is>
          <t>T-1132</t>
        </is>
      </c>
      <c r="AM983" s="30" t="inlineStr">
        <is>
          <t>F-05-02</t>
        </is>
      </c>
      <c r="AN983" s="30" t="inlineStr">
        <is>
          <t>T-0976</t>
        </is>
      </c>
      <c r="AO983" s="30" t="inlineStr">
        <is>
          <t>F-01-02</t>
        </is>
      </c>
    </row>
    <row r="984">
      <c r="A984" s="30" t="inlineStr">
        <is>
          <t>O0983</t>
        </is>
      </c>
      <c r="B984" s="30" t="inlineStr">
        <is>
          <t>J</t>
        </is>
      </c>
      <c r="C984" s="31" t="n">
        <v>13670.8</v>
      </c>
      <c r="D984" s="31" t="n">
        <v>47834.5</v>
      </c>
      <c r="E984" s="31" t="n">
        <v>47834.5</v>
      </c>
      <c r="F984" s="31" t="n">
        <v>47845.6</v>
      </c>
      <c r="G984" s="31" t="n">
        <v>47877.8</v>
      </c>
      <c r="H984" s="31" t="n">
        <v>47890.7</v>
      </c>
      <c r="I984" s="31" t="n">
        <v>47922.1</v>
      </c>
      <c r="J984" s="31" t="n">
        <v>47955.5</v>
      </c>
      <c r="K984" s="31" t="n">
        <v>34284.7</v>
      </c>
      <c r="L984" s="31" t="n">
        <v>34163.7</v>
      </c>
      <c r="M984" s="30" t="inlineStr">
        <is>
          <t>AMR1</t>
        </is>
      </c>
      <c r="N984" s="30" t="inlineStr">
        <is>
          <t>AMR3</t>
        </is>
      </c>
      <c r="O984" s="32" t="n">
        <v>0</v>
      </c>
      <c r="P984" s="32" t="n">
        <v>0</v>
      </c>
      <c r="Q984" s="32" t="n">
        <v>21</v>
      </c>
      <c r="R984" s="31" t="n">
        <v>41.6</v>
      </c>
      <c r="S984" s="31" t="n">
        <v>41.6</v>
      </c>
      <c r="T984" s="30" t="inlineStr">
        <is>
          <t>AMR1</t>
        </is>
      </c>
      <c r="U984" s="31" t="n">
        <v>62.5</v>
      </c>
      <c r="V984" s="31" t="n">
        <v>62.5</v>
      </c>
      <c r="W984" s="30" t="inlineStr">
        <is>
          <t>AMR3</t>
        </is>
      </c>
      <c r="X984" s="32" t="n">
        <v>0</v>
      </c>
      <c r="Y984" s="32" t="n">
        <v>0</v>
      </c>
      <c r="Z984" s="31" t="n">
        <v>0</v>
      </c>
      <c r="AA984" s="32" t="n">
        <v>0</v>
      </c>
      <c r="AB984" s="32" t="n">
        <v>1</v>
      </c>
      <c r="AC984" s="32" t="n">
        <v>0</v>
      </c>
      <c r="AD984" s="32" t="n">
        <v>0</v>
      </c>
      <c r="AE984" s="31" t="n">
        <v>0</v>
      </c>
      <c r="AF984" s="32" t="n">
        <v>0</v>
      </c>
      <c r="AG984" s="31" t="n">
        <v>0</v>
      </c>
      <c r="AH984" s="32" t="n">
        <v>64</v>
      </c>
      <c r="AI984" s="31" t="n">
        <v>64.59999999999999</v>
      </c>
      <c r="AJ984" s="31" t="n">
        <v>43.5</v>
      </c>
      <c r="AK984" s="31" t="n">
        <v>0</v>
      </c>
      <c r="AL984" s="30" t="inlineStr">
        <is>
          <t>T-1133</t>
        </is>
      </c>
      <c r="AM984" s="30" t="inlineStr">
        <is>
          <t>J-03-02</t>
        </is>
      </c>
      <c r="AN984" s="30" t="inlineStr">
        <is>
          <t>T-0959</t>
        </is>
      </c>
      <c r="AO984" s="30" t="inlineStr">
        <is>
          <t>J-05-01</t>
        </is>
      </c>
    </row>
    <row r="985">
      <c r="A985" s="30" t="inlineStr">
        <is>
          <t>O0984</t>
        </is>
      </c>
      <c r="B985" s="30" t="inlineStr">
        <is>
          <t>F</t>
        </is>
      </c>
      <c r="C985" s="31" t="n">
        <v>13692.9</v>
      </c>
      <c r="D985" s="31" t="n">
        <v>47899.3</v>
      </c>
      <c r="E985" s="31" t="n">
        <v>47899.3</v>
      </c>
      <c r="F985" s="31" t="n">
        <v>47912.8</v>
      </c>
      <c r="G985" s="31" t="n">
        <v>47946.2</v>
      </c>
      <c r="H985" s="31" t="n">
        <v>47968.4</v>
      </c>
      <c r="I985" s="31" t="n">
        <v>47998.8</v>
      </c>
      <c r="J985" s="31" t="n">
        <v>48030.8</v>
      </c>
      <c r="K985" s="31" t="n">
        <v>34337.9</v>
      </c>
      <c r="L985" s="31" t="n">
        <v>34206.4</v>
      </c>
      <c r="M985" s="30" t="inlineStr">
        <is>
          <t>AMR1</t>
        </is>
      </c>
      <c r="N985" s="30" t="inlineStr">
        <is>
          <t>AMR1</t>
        </is>
      </c>
      <c r="O985" s="32" t="n">
        <v>0</v>
      </c>
      <c r="P985" s="32" t="n">
        <v>0</v>
      </c>
      <c r="Q985" s="32" t="n">
        <v>23</v>
      </c>
      <c r="R985" s="31" t="n">
        <v>46</v>
      </c>
      <c r="S985" s="31" t="n">
        <v>46</v>
      </c>
      <c r="T985" s="30" t="inlineStr">
        <is>
          <t>AMR1</t>
        </is>
      </c>
      <c r="U985" s="31" t="n">
        <v>64.09999999999999</v>
      </c>
      <c r="V985" s="31" t="n">
        <v>64.09999999999999</v>
      </c>
      <c r="W985" s="30" t="inlineStr">
        <is>
          <t>AMR1</t>
        </is>
      </c>
      <c r="X985" s="32" t="n">
        <v>0</v>
      </c>
      <c r="Y985" s="32" t="n">
        <v>0</v>
      </c>
      <c r="Z985" s="31" t="n">
        <v>0</v>
      </c>
      <c r="AA985" s="32" t="n">
        <v>0</v>
      </c>
      <c r="AB985" s="32" t="n">
        <v>0</v>
      </c>
      <c r="AC985" s="32" t="n">
        <v>0</v>
      </c>
      <c r="AD985" s="32" t="n">
        <v>0</v>
      </c>
      <c r="AE985" s="31" t="n">
        <v>0</v>
      </c>
      <c r="AF985" s="32" t="n">
        <v>0</v>
      </c>
      <c r="AG985" s="31" t="n">
        <v>0</v>
      </c>
      <c r="AH985" s="32" t="n">
        <v>63</v>
      </c>
      <c r="AI985" s="31" t="n">
        <v>64.40000000000001</v>
      </c>
      <c r="AJ985" s="31" t="n">
        <v>44.9</v>
      </c>
      <c r="AK985" s="31" t="n">
        <v>0</v>
      </c>
      <c r="AL985" s="30" t="inlineStr">
        <is>
          <t>T-1134</t>
        </is>
      </c>
      <c r="AM985" s="30" t="inlineStr">
        <is>
          <t>F-05-03</t>
        </is>
      </c>
      <c r="AN985" s="30" t="inlineStr">
        <is>
          <t>T-0977</t>
        </is>
      </c>
      <c r="AO985" s="30" t="inlineStr">
        <is>
          <t>F-06-02</t>
        </is>
      </c>
    </row>
    <row r="986">
      <c r="A986" s="30" t="inlineStr">
        <is>
          <t>O0985</t>
        </is>
      </c>
      <c r="B986" s="30" t="inlineStr">
        <is>
          <t>J</t>
        </is>
      </c>
      <c r="C986" s="31" t="n">
        <v>13713.5</v>
      </c>
      <c r="D986" s="31" t="n">
        <v>47979.2</v>
      </c>
      <c r="E986" s="31" t="n">
        <v>47979.2</v>
      </c>
      <c r="F986" s="31" t="n">
        <v>47995.5</v>
      </c>
      <c r="G986" s="31" t="n">
        <v>48026.1</v>
      </c>
      <c r="H986" s="31" t="n">
        <v>48046.4</v>
      </c>
      <c r="I986" s="31" t="n">
        <v>48089.9</v>
      </c>
      <c r="J986" s="31" t="n">
        <v>48126</v>
      </c>
      <c r="K986" s="31" t="n">
        <v>34412.5</v>
      </c>
      <c r="L986" s="31" t="n">
        <v>34265.7</v>
      </c>
      <c r="M986" s="30" t="inlineStr">
        <is>
          <t>AMR3</t>
        </is>
      </c>
      <c r="N986" s="30" t="inlineStr">
        <is>
          <t>AMR2</t>
        </is>
      </c>
      <c r="O986" s="32" t="n">
        <v>0</v>
      </c>
      <c r="P986" s="32" t="n">
        <v>0</v>
      </c>
      <c r="Q986" s="32" t="n">
        <v>21</v>
      </c>
      <c r="R986" s="31" t="n">
        <v>44.4</v>
      </c>
      <c r="S986" s="31" t="n">
        <v>44.4</v>
      </c>
      <c r="T986" s="30" t="inlineStr">
        <is>
          <t>AMR3</t>
        </is>
      </c>
      <c r="U986" s="31" t="n">
        <v>61.1</v>
      </c>
      <c r="V986" s="31" t="n">
        <v>61.1</v>
      </c>
      <c r="W986" s="30" t="inlineStr">
        <is>
          <t>AMR2</t>
        </is>
      </c>
      <c r="X986" s="32" t="n">
        <v>0</v>
      </c>
      <c r="Y986" s="32" t="n">
        <v>0</v>
      </c>
      <c r="Z986" s="31" t="n">
        <v>0</v>
      </c>
      <c r="AA986" s="32" t="n">
        <v>0</v>
      </c>
      <c r="AB986" s="32" t="n">
        <v>2</v>
      </c>
      <c r="AC986" s="32" t="n">
        <v>1</v>
      </c>
      <c r="AD986" s="32" t="n">
        <v>1</v>
      </c>
      <c r="AE986" s="31" t="n">
        <v>4</v>
      </c>
      <c r="AF986" s="32" t="n">
        <v>1</v>
      </c>
      <c r="AG986" s="31" t="n">
        <v>3</v>
      </c>
      <c r="AH986" s="32" t="n">
        <v>65</v>
      </c>
      <c r="AI986" s="31" t="n">
        <v>69.59999999999999</v>
      </c>
      <c r="AJ986" s="31" t="n">
        <v>44.9</v>
      </c>
      <c r="AK986" s="31" t="n">
        <v>12</v>
      </c>
      <c r="AL986" s="30" t="inlineStr">
        <is>
          <t>T-1135</t>
        </is>
      </c>
      <c r="AM986" s="30" t="inlineStr">
        <is>
          <t>J-05-01</t>
        </is>
      </c>
      <c r="AN986" s="30" t="inlineStr">
        <is>
          <t>T-0960</t>
        </is>
      </c>
      <c r="AO986" s="30" t="inlineStr">
        <is>
          <t>J-05-03</t>
        </is>
      </c>
    </row>
    <row r="987">
      <c r="A987" s="30" t="inlineStr">
        <is>
          <t>O0986</t>
        </is>
      </c>
      <c r="B987" s="30" t="inlineStr">
        <is>
          <t>H</t>
        </is>
      </c>
      <c r="C987" s="31" t="n">
        <v>13736.9</v>
      </c>
      <c r="D987" s="31" t="n">
        <v>47996</v>
      </c>
      <c r="E987" s="31" t="n">
        <v>47996</v>
      </c>
      <c r="F987" s="31" t="n">
        <v>48007.1</v>
      </c>
      <c r="G987" s="31" t="n">
        <v>48032.9</v>
      </c>
      <c r="H987" s="31" t="n">
        <v>48056.7</v>
      </c>
      <c r="I987" s="31" t="n">
        <v>48085.1</v>
      </c>
      <c r="J987" s="31" t="n">
        <v>48113.3</v>
      </c>
      <c r="K987" s="31" t="n">
        <v>34376.4</v>
      </c>
      <c r="L987" s="31" t="n">
        <v>34259.1</v>
      </c>
      <c r="M987" s="30" t="inlineStr">
        <is>
          <t>AMR2</t>
        </is>
      </c>
      <c r="N987" s="30" t="inlineStr">
        <is>
          <t>AMR3</t>
        </is>
      </c>
      <c r="O987" s="32" t="n">
        <v>0</v>
      </c>
      <c r="P987" s="32" t="n">
        <v>0</v>
      </c>
      <c r="Q987" s="32" t="n">
        <v>15</v>
      </c>
      <c r="R987" s="31" t="n">
        <v>36.8</v>
      </c>
      <c r="S987" s="31" t="n">
        <v>36.8</v>
      </c>
      <c r="T987" s="30" t="inlineStr">
        <is>
          <t>AMR2</t>
        </is>
      </c>
      <c r="U987" s="31" t="n">
        <v>56.8</v>
      </c>
      <c r="V987" s="31" t="n">
        <v>56.8</v>
      </c>
      <c r="W987" s="30" t="inlineStr">
        <is>
          <t>AMR3</t>
        </is>
      </c>
      <c r="X987" s="32" t="n">
        <v>0</v>
      </c>
      <c r="Y987" s="32" t="n">
        <v>0</v>
      </c>
      <c r="Z987" s="31" t="n">
        <v>0</v>
      </c>
      <c r="AA987" s="32" t="n">
        <v>0</v>
      </c>
      <c r="AB987" s="32" t="n">
        <v>0</v>
      </c>
      <c r="AC987" s="32" t="n">
        <v>0</v>
      </c>
      <c r="AD987" s="32" t="n">
        <v>0</v>
      </c>
      <c r="AE987" s="31" t="n">
        <v>0</v>
      </c>
      <c r="AF987" s="32" t="n">
        <v>0</v>
      </c>
      <c r="AG987" s="31" t="n">
        <v>0</v>
      </c>
      <c r="AH987" s="32" t="n">
        <v>40</v>
      </c>
      <c r="AI987" s="31" t="n">
        <v>45.2</v>
      </c>
      <c r="AJ987" s="31" t="n">
        <v>48.3</v>
      </c>
      <c r="AK987" s="31" t="n">
        <v>0</v>
      </c>
      <c r="AL987" s="30" t="inlineStr">
        <is>
          <t>T-1136</t>
        </is>
      </c>
      <c r="AM987" s="30" t="inlineStr">
        <is>
          <t>H-06-02</t>
        </is>
      </c>
      <c r="AN987" s="30" t="inlineStr">
        <is>
          <t>T-0949</t>
        </is>
      </c>
      <c r="AO987" s="30" t="inlineStr">
        <is>
          <t>H-01-02</t>
        </is>
      </c>
    </row>
    <row r="988">
      <c r="A988" s="30" t="inlineStr">
        <is>
          <t>O0987</t>
        </is>
      </c>
      <c r="B988" s="30" t="inlineStr">
        <is>
          <t>H</t>
        </is>
      </c>
      <c r="C988" s="31" t="n">
        <v>13755</v>
      </c>
      <c r="D988" s="31" t="n">
        <v>48060.3</v>
      </c>
      <c r="E988" s="31" t="n">
        <v>48060.3</v>
      </c>
      <c r="F988" s="31" t="n">
        <v>48076</v>
      </c>
      <c r="G988" s="31" t="n">
        <v>48103.2</v>
      </c>
      <c r="H988" s="31" t="n">
        <v>48118</v>
      </c>
      <c r="I988" s="31" t="n">
        <v>48140.6</v>
      </c>
      <c r="J988" s="31" t="n">
        <v>48166.3</v>
      </c>
      <c r="K988" s="31" t="n">
        <v>34411.3</v>
      </c>
      <c r="L988" s="31" t="n">
        <v>34305.3</v>
      </c>
      <c r="M988" s="30" t="inlineStr">
        <is>
          <t>AMR1</t>
        </is>
      </c>
      <c r="N988" s="30" t="inlineStr">
        <is>
          <t>AMR1</t>
        </is>
      </c>
      <c r="O988" s="32" t="n">
        <v>0</v>
      </c>
      <c r="P988" s="32" t="n">
        <v>0</v>
      </c>
      <c r="Q988" s="32" t="n">
        <v>15</v>
      </c>
      <c r="R988" s="31" t="n">
        <v>42</v>
      </c>
      <c r="S988" s="31" t="n">
        <v>42</v>
      </c>
      <c r="T988" s="30" t="inlineStr">
        <is>
          <t>AMR1</t>
        </is>
      </c>
      <c r="U988" s="31" t="n">
        <v>49.5</v>
      </c>
      <c r="V988" s="31" t="n">
        <v>49.5</v>
      </c>
      <c r="W988" s="30" t="inlineStr">
        <is>
          <t>AMR1</t>
        </is>
      </c>
      <c r="X988" s="32" t="n">
        <v>0</v>
      </c>
      <c r="Y988" s="32" t="n">
        <v>0</v>
      </c>
      <c r="Z988" s="31" t="n">
        <v>0</v>
      </c>
      <c r="AA988" s="32" t="n">
        <v>0</v>
      </c>
      <c r="AB988" s="32" t="n">
        <v>0</v>
      </c>
      <c r="AC988" s="32" t="n">
        <v>0</v>
      </c>
      <c r="AD988" s="32" t="n">
        <v>0</v>
      </c>
      <c r="AE988" s="31" t="n">
        <v>0</v>
      </c>
      <c r="AF988" s="32" t="n">
        <v>0</v>
      </c>
      <c r="AG988" s="31" t="n">
        <v>0</v>
      </c>
      <c r="AH988" s="32" t="n">
        <v>41</v>
      </c>
      <c r="AI988" s="31" t="n">
        <v>45</v>
      </c>
      <c r="AJ988" s="31" t="n">
        <v>46.2</v>
      </c>
      <c r="AK988" s="31" t="n">
        <v>0</v>
      </c>
      <c r="AL988" s="30" t="inlineStr">
        <is>
          <t>T-1137</t>
        </is>
      </c>
      <c r="AM988" s="30" t="inlineStr">
        <is>
          <t>H-05-03</t>
        </is>
      </c>
      <c r="AN988" s="30" t="inlineStr">
        <is>
          <t>T-0973</t>
        </is>
      </c>
      <c r="AO988" s="30" t="inlineStr">
        <is>
          <t>H-01-03</t>
        </is>
      </c>
    </row>
    <row r="989">
      <c r="A989" s="30" t="inlineStr">
        <is>
          <t>O0988</t>
        </is>
      </c>
      <c r="B989" s="30" t="inlineStr">
        <is>
          <t>D</t>
        </is>
      </c>
      <c r="C989" s="31" t="n">
        <v>13770.9</v>
      </c>
      <c r="D989" s="31" t="n">
        <v>48137</v>
      </c>
      <c r="E989" s="31" t="n">
        <v>48137</v>
      </c>
      <c r="F989" s="31" t="n">
        <v>48150.6</v>
      </c>
      <c r="G989" s="31" t="n">
        <v>48175</v>
      </c>
      <c r="H989" s="31" t="n">
        <v>48189.9</v>
      </c>
      <c r="I989" s="31" t="n">
        <v>48221.5</v>
      </c>
      <c r="J989" s="31" t="n">
        <v>48251.6</v>
      </c>
      <c r="K989" s="31" t="n">
        <v>34480.7</v>
      </c>
      <c r="L989" s="31" t="n">
        <v>34366.1</v>
      </c>
      <c r="M989" s="30" t="inlineStr">
        <is>
          <t>AMR3</t>
        </is>
      </c>
      <c r="N989" s="30" t="inlineStr">
        <is>
          <t>AMR3</t>
        </is>
      </c>
      <c r="O989" s="32" t="n">
        <v>0</v>
      </c>
      <c r="P989" s="32" t="n">
        <v>0</v>
      </c>
      <c r="Q989" s="32" t="n">
        <v>13</v>
      </c>
      <c r="R989" s="31" t="n">
        <v>37.1</v>
      </c>
      <c r="S989" s="31" t="n">
        <v>37.1</v>
      </c>
      <c r="T989" s="30" t="inlineStr">
        <is>
          <t>AMR3</t>
        </is>
      </c>
      <c r="U989" s="31" t="n">
        <v>51.1</v>
      </c>
      <c r="V989" s="31" t="n">
        <v>51.1</v>
      </c>
      <c r="W989" s="30" t="inlineStr">
        <is>
          <t>AMR3</t>
        </is>
      </c>
      <c r="X989" s="32" t="n">
        <v>0</v>
      </c>
      <c r="Y989" s="32" t="n">
        <v>0</v>
      </c>
      <c r="Z989" s="31" t="n">
        <v>0</v>
      </c>
      <c r="AA989" s="32" t="n">
        <v>0</v>
      </c>
      <c r="AB989" s="32" t="n">
        <v>2</v>
      </c>
      <c r="AC989" s="32" t="n">
        <v>1</v>
      </c>
      <c r="AD989" s="32" t="n">
        <v>0</v>
      </c>
      <c r="AE989" s="31" t="n">
        <v>0</v>
      </c>
      <c r="AF989" s="32" t="n">
        <v>0</v>
      </c>
      <c r="AG989" s="31" t="n">
        <v>0</v>
      </c>
      <c r="AH989" s="32" t="n">
        <v>43</v>
      </c>
      <c r="AI989" s="31" t="n">
        <v>48.9</v>
      </c>
      <c r="AJ989" s="31" t="n">
        <v>45.5</v>
      </c>
      <c r="AK989" s="31" t="n">
        <v>5.3</v>
      </c>
      <c r="AL989" s="30" t="inlineStr">
        <is>
          <t>T-1138</t>
        </is>
      </c>
      <c r="AM989" s="30" t="inlineStr">
        <is>
          <t>D-02-03</t>
        </is>
      </c>
      <c r="AN989" s="30" t="inlineStr">
        <is>
          <t>T-1018</t>
        </is>
      </c>
      <c r="AO989" s="30" t="inlineStr">
        <is>
          <t>D-04-03</t>
        </is>
      </c>
    </row>
    <row r="990">
      <c r="A990" s="30" t="inlineStr">
        <is>
          <t>O0989</t>
        </is>
      </c>
      <c r="B990" s="30" t="inlineStr">
        <is>
          <t>I</t>
        </is>
      </c>
      <c r="C990" s="31" t="n">
        <v>13788.1</v>
      </c>
      <c r="D990" s="31" t="n">
        <v>48149.7</v>
      </c>
      <c r="E990" s="31" t="n">
        <v>48149.7</v>
      </c>
      <c r="F990" s="31" t="n">
        <v>48165.4</v>
      </c>
      <c r="G990" s="31" t="n">
        <v>48188.2</v>
      </c>
      <c r="H990" s="31" t="n">
        <v>48198.8</v>
      </c>
      <c r="I990" s="31" t="n">
        <v>48236.2</v>
      </c>
      <c r="J990" s="31" t="n">
        <v>48264</v>
      </c>
      <c r="K990" s="31" t="n">
        <v>34475.9</v>
      </c>
      <c r="L990" s="31" t="n">
        <v>34361.6</v>
      </c>
      <c r="M990" s="30" t="inlineStr">
        <is>
          <t>AMR2</t>
        </is>
      </c>
      <c r="N990" s="30" t="inlineStr">
        <is>
          <t>AMR1</t>
        </is>
      </c>
      <c r="O990" s="32" t="n">
        <v>0</v>
      </c>
      <c r="P990" s="32" t="n">
        <v>0</v>
      </c>
      <c r="Q990" s="32" t="n">
        <v>15</v>
      </c>
      <c r="R990" s="31" t="n">
        <v>37.6</v>
      </c>
      <c r="S990" s="31" t="n">
        <v>37.6</v>
      </c>
      <c r="T990" s="30" t="inlineStr">
        <is>
          <t>AMR2</t>
        </is>
      </c>
      <c r="U990" s="31" t="n">
        <v>50.7</v>
      </c>
      <c r="V990" s="31" t="n">
        <v>50.7</v>
      </c>
      <c r="W990" s="30" t="inlineStr">
        <is>
          <t>AMR1</t>
        </is>
      </c>
      <c r="X990" s="32" t="n">
        <v>0</v>
      </c>
      <c r="Y990" s="32" t="n">
        <v>0</v>
      </c>
      <c r="Z990" s="31" t="n">
        <v>0</v>
      </c>
      <c r="AA990" s="32" t="n">
        <v>0</v>
      </c>
      <c r="AB990" s="32" t="n">
        <v>1</v>
      </c>
      <c r="AC990" s="32" t="n">
        <v>1</v>
      </c>
      <c r="AD990" s="32" t="n">
        <v>1</v>
      </c>
      <c r="AE990" s="31" t="n">
        <v>3.9</v>
      </c>
      <c r="AF990" s="32" t="n">
        <v>0</v>
      </c>
      <c r="AG990" s="31" t="n">
        <v>0</v>
      </c>
      <c r="AH990" s="32" t="n">
        <v>49</v>
      </c>
      <c r="AI990" s="31" t="n">
        <v>54.3</v>
      </c>
      <c r="AJ990" s="31" t="n">
        <v>42.5</v>
      </c>
      <c r="AK990" s="31" t="n">
        <v>6.9</v>
      </c>
      <c r="AL990" s="30" t="inlineStr">
        <is>
          <t>T-1139</t>
        </is>
      </c>
      <c r="AM990" s="30" t="inlineStr">
        <is>
          <t>I-01-03</t>
        </is>
      </c>
      <c r="AN990" s="30" t="inlineStr">
        <is>
          <t>T-0940</t>
        </is>
      </c>
      <c r="AO990" s="30" t="inlineStr">
        <is>
          <t>I-01-01</t>
        </is>
      </c>
    </row>
    <row r="991">
      <c r="A991" s="30" t="inlineStr">
        <is>
          <t>O0990</t>
        </is>
      </c>
      <c r="B991" s="30" t="inlineStr">
        <is>
          <t>J</t>
        </is>
      </c>
      <c r="C991" s="31" t="n">
        <v>13803.1</v>
      </c>
      <c r="D991" s="31" t="n">
        <v>48208.6</v>
      </c>
      <c r="E991" s="31" t="n">
        <v>48208.6</v>
      </c>
      <c r="F991" s="31" t="n">
        <v>48220</v>
      </c>
      <c r="G991" s="31" t="n">
        <v>48248.3</v>
      </c>
      <c r="H991" s="31" t="n">
        <v>48269.8</v>
      </c>
      <c r="I991" s="31" t="n">
        <v>48310.7</v>
      </c>
      <c r="J991" s="31" t="n">
        <v>48345.9</v>
      </c>
      <c r="K991" s="31" t="n">
        <v>34542.8</v>
      </c>
      <c r="L991" s="31" t="n">
        <v>34405.5</v>
      </c>
      <c r="M991" s="30" t="inlineStr">
        <is>
          <t>AMR2</t>
        </is>
      </c>
      <c r="N991" s="30" t="inlineStr">
        <is>
          <t>AMR2</t>
        </is>
      </c>
      <c r="O991" s="32" t="n">
        <v>0</v>
      </c>
      <c r="P991" s="32" t="n">
        <v>0</v>
      </c>
      <c r="Q991" s="32" t="n">
        <v>21</v>
      </c>
      <c r="R991" s="31" t="n">
        <v>38</v>
      </c>
      <c r="S991" s="31" t="n">
        <v>38</v>
      </c>
      <c r="T991" s="30" t="inlineStr">
        <is>
          <t>AMR2</t>
        </is>
      </c>
      <c r="U991" s="31" t="n">
        <v>65.7</v>
      </c>
      <c r="V991" s="31" t="n">
        <v>65.7</v>
      </c>
      <c r="W991" s="30" t="inlineStr">
        <is>
          <t>AMR2</t>
        </is>
      </c>
      <c r="X991" s="32" t="n">
        <v>0</v>
      </c>
      <c r="Y991" s="32" t="n">
        <v>0</v>
      </c>
      <c r="Z991" s="31" t="n">
        <v>0</v>
      </c>
      <c r="AA991" s="32" t="n">
        <v>0</v>
      </c>
      <c r="AB991" s="32" t="n">
        <v>0</v>
      </c>
      <c r="AC991" s="32" t="n">
        <v>1</v>
      </c>
      <c r="AD991" s="32" t="n">
        <v>0</v>
      </c>
      <c r="AE991" s="31" t="n">
        <v>0</v>
      </c>
      <c r="AF991" s="32" t="n">
        <v>1</v>
      </c>
      <c r="AG991" s="31" t="n">
        <v>0.6</v>
      </c>
      <c r="AH991" s="32" t="n">
        <v>66</v>
      </c>
      <c r="AI991" s="31" t="n">
        <v>67.09999999999999</v>
      </c>
      <c r="AJ991" s="31" t="n">
        <v>43.1</v>
      </c>
      <c r="AK991" s="31" t="n">
        <v>5.6</v>
      </c>
      <c r="AL991" s="30" t="inlineStr">
        <is>
          <t>T-1140</t>
        </is>
      </c>
      <c r="AM991" s="30" t="inlineStr">
        <is>
          <t>J-03-03</t>
        </is>
      </c>
      <c r="AN991" s="30" t="inlineStr">
        <is>
          <t>T-0961</t>
        </is>
      </c>
      <c r="AO991" s="30" t="inlineStr">
        <is>
          <t>J-06-03</t>
        </is>
      </c>
    </row>
    <row r="992">
      <c r="A992" s="30" t="inlineStr">
        <is>
          <t>O0991</t>
        </is>
      </c>
      <c r="B992" s="30" t="inlineStr">
        <is>
          <t>F</t>
        </is>
      </c>
      <c r="C992" s="31" t="n">
        <v>13826.1</v>
      </c>
      <c r="D992" s="31" t="n">
        <v>48281.7</v>
      </c>
      <c r="E992" s="31" t="n">
        <v>48281.7</v>
      </c>
      <c r="F992" s="31" t="n">
        <v>48294.5</v>
      </c>
      <c r="G992" s="31" t="n">
        <v>48329.7</v>
      </c>
      <c r="H992" s="31" t="n">
        <v>48357.7</v>
      </c>
      <c r="I992" s="31" t="n">
        <v>48393.7</v>
      </c>
      <c r="J992" s="31" t="n">
        <v>48427</v>
      </c>
      <c r="K992" s="31" t="n">
        <v>34600.9</v>
      </c>
      <c r="L992" s="31" t="n">
        <v>34455.6</v>
      </c>
      <c r="M992" s="30" t="inlineStr">
        <is>
          <t>AMR3</t>
        </is>
      </c>
      <c r="N992" s="30" t="inlineStr">
        <is>
          <t>AMR3</t>
        </is>
      </c>
      <c r="O992" s="32" t="n">
        <v>0</v>
      </c>
      <c r="P992" s="32" t="n">
        <v>0</v>
      </c>
      <c r="Q992" s="32" t="n">
        <v>23</v>
      </c>
      <c r="R992" s="31" t="n">
        <v>45.5</v>
      </c>
      <c r="S992" s="31" t="n">
        <v>45.5</v>
      </c>
      <c r="T992" s="30" t="inlineStr">
        <is>
          <t>AMR3</t>
        </is>
      </c>
      <c r="U992" s="31" t="n">
        <v>63.6</v>
      </c>
      <c r="V992" s="31" t="n">
        <v>63.6</v>
      </c>
      <c r="W992" s="30" t="inlineStr">
        <is>
          <t>AMR3</t>
        </is>
      </c>
      <c r="X992" s="32" t="n">
        <v>0</v>
      </c>
      <c r="Y992" s="32" t="n">
        <v>0</v>
      </c>
      <c r="Z992" s="31" t="n">
        <v>0</v>
      </c>
      <c r="AA992" s="32" t="n">
        <v>0</v>
      </c>
      <c r="AB992" s="32" t="n">
        <v>1</v>
      </c>
      <c r="AC992" s="32" t="n">
        <v>1</v>
      </c>
      <c r="AD992" s="32" t="n">
        <v>0</v>
      </c>
      <c r="AE992" s="31" t="n">
        <v>0</v>
      </c>
      <c r="AF992" s="32" t="n">
        <v>1</v>
      </c>
      <c r="AG992" s="31" t="n">
        <v>0.4</v>
      </c>
      <c r="AH992" s="32" t="n">
        <v>67</v>
      </c>
      <c r="AI992" s="31" t="n">
        <v>68</v>
      </c>
      <c r="AJ992" s="31" t="n">
        <v>43.9</v>
      </c>
      <c r="AK992" s="31" t="n">
        <v>5.4</v>
      </c>
      <c r="AL992" s="30" t="inlineStr">
        <is>
          <t>T-1141</t>
        </is>
      </c>
      <c r="AM992" s="30" t="inlineStr">
        <is>
          <t>F-01-02</t>
        </is>
      </c>
      <c r="AN992" s="30" t="inlineStr">
        <is>
          <t>T-0979</t>
        </is>
      </c>
      <c r="AO992" s="30" t="inlineStr">
        <is>
          <t>F-04-01</t>
        </is>
      </c>
    </row>
    <row r="993">
      <c r="A993" s="30" t="inlineStr">
        <is>
          <t>O0992</t>
        </is>
      </c>
      <c r="B993" s="30" t="inlineStr">
        <is>
          <t>F</t>
        </is>
      </c>
      <c r="C993" s="31" t="n">
        <v>13842.9</v>
      </c>
      <c r="D993" s="31" t="n">
        <v>48294.6</v>
      </c>
      <c r="E993" s="31" t="n">
        <v>48294.6</v>
      </c>
      <c r="F993" s="31" t="n">
        <v>48309.4</v>
      </c>
      <c r="G993" s="31" t="n">
        <v>48336.9</v>
      </c>
      <c r="H993" s="31" t="n">
        <v>48368.1</v>
      </c>
      <c r="I993" s="31" t="n">
        <v>48410.7</v>
      </c>
      <c r="J993" s="31" t="n">
        <v>48449</v>
      </c>
      <c r="K993" s="31" t="n">
        <v>34606.1</v>
      </c>
      <c r="L993" s="31" t="n">
        <v>34451.7</v>
      </c>
      <c r="M993" s="30" t="inlineStr">
        <is>
          <t>AMR1</t>
        </is>
      </c>
      <c r="N993" s="30" t="inlineStr">
        <is>
          <t>AMR1</t>
        </is>
      </c>
      <c r="O993" s="32" t="n">
        <v>0</v>
      </c>
      <c r="P993" s="32" t="n">
        <v>0</v>
      </c>
      <c r="Q993" s="32" t="n">
        <v>23</v>
      </c>
      <c r="R993" s="31" t="n">
        <v>42.2</v>
      </c>
      <c r="S993" s="31" t="n">
        <v>42.2</v>
      </c>
      <c r="T993" s="30" t="inlineStr">
        <is>
          <t>AMR1</t>
        </is>
      </c>
      <c r="U993" s="31" t="n">
        <v>70.2</v>
      </c>
      <c r="V993" s="31" t="n">
        <v>70.2</v>
      </c>
      <c r="W993" s="30" t="inlineStr">
        <is>
          <t>AMR1</t>
        </is>
      </c>
      <c r="X993" s="32" t="n">
        <v>0</v>
      </c>
      <c r="Y993" s="32" t="n">
        <v>0</v>
      </c>
      <c r="Z993" s="31" t="n">
        <v>0</v>
      </c>
      <c r="AA993" s="32" t="n">
        <v>0</v>
      </c>
      <c r="AB993" s="32" t="n">
        <v>0</v>
      </c>
      <c r="AC993" s="32" t="n">
        <v>0</v>
      </c>
      <c r="AD993" s="32" t="n">
        <v>0</v>
      </c>
      <c r="AE993" s="31" t="n">
        <v>0</v>
      </c>
      <c r="AF993" s="32" t="n">
        <v>0</v>
      </c>
      <c r="AG993" s="31" t="n">
        <v>0</v>
      </c>
      <c r="AH993" s="32" t="n">
        <v>70</v>
      </c>
      <c r="AI993" s="31" t="n">
        <v>73</v>
      </c>
      <c r="AJ993" s="31" t="n">
        <v>47.2</v>
      </c>
      <c r="AK993" s="31" t="n">
        <v>3</v>
      </c>
      <c r="AL993" s="30" t="inlineStr">
        <is>
          <t>T-1142</t>
        </is>
      </c>
      <c r="AM993" s="30" t="inlineStr">
        <is>
          <t>F-06-02</t>
        </is>
      </c>
      <c r="AN993" s="30" t="inlineStr">
        <is>
          <t>T-0984</t>
        </is>
      </c>
      <c r="AO993" s="30" t="inlineStr">
        <is>
          <t>F-01-03</t>
        </is>
      </c>
    </row>
    <row r="994">
      <c r="A994" s="30" t="inlineStr">
        <is>
          <t>O0993</t>
        </is>
      </c>
      <c r="B994" s="30" t="inlineStr">
        <is>
          <t>J</t>
        </is>
      </c>
      <c r="C994" s="31" t="n">
        <v>13858.1</v>
      </c>
      <c r="D994" s="31" t="n">
        <v>48371.5</v>
      </c>
      <c r="E994" s="31" t="n">
        <v>48371.5</v>
      </c>
      <c r="F994" s="31" t="n">
        <v>48386.4</v>
      </c>
      <c r="G994" s="31" t="n">
        <v>48416</v>
      </c>
      <c r="H994" s="31" t="n">
        <v>48438.2</v>
      </c>
      <c r="I994" s="31" t="n">
        <v>48471.5</v>
      </c>
      <c r="J994" s="31" t="n">
        <v>48503.7</v>
      </c>
      <c r="K994" s="31" t="n">
        <v>34645.6</v>
      </c>
      <c r="L994" s="31" t="n">
        <v>34513.4</v>
      </c>
      <c r="M994" s="30" t="inlineStr">
        <is>
          <t>AMR2</t>
        </is>
      </c>
      <c r="N994" s="30" t="inlineStr">
        <is>
          <t>AMR2</t>
        </is>
      </c>
      <c r="O994" s="32" t="n">
        <v>0</v>
      </c>
      <c r="P994" s="32" t="n">
        <v>0</v>
      </c>
      <c r="Q994" s="32" t="n">
        <v>21</v>
      </c>
      <c r="R994" s="31" t="n">
        <v>42</v>
      </c>
      <c r="S994" s="31" t="n">
        <v>42</v>
      </c>
      <c r="T994" s="30" t="inlineStr">
        <is>
          <t>AMR2</t>
        </is>
      </c>
      <c r="U994" s="31" t="n">
        <v>62.2</v>
      </c>
      <c r="V994" s="31" t="n">
        <v>62.2</v>
      </c>
      <c r="W994" s="30" t="inlineStr">
        <is>
          <t>AMR2</t>
        </is>
      </c>
      <c r="X994" s="32" t="n">
        <v>0</v>
      </c>
      <c r="Y994" s="32" t="n">
        <v>0</v>
      </c>
      <c r="Z994" s="31" t="n">
        <v>0</v>
      </c>
      <c r="AA994" s="32" t="n">
        <v>0</v>
      </c>
      <c r="AB994" s="32" t="n">
        <v>0</v>
      </c>
      <c r="AC994" s="32" t="n">
        <v>0</v>
      </c>
      <c r="AD994" s="32" t="n">
        <v>0</v>
      </c>
      <c r="AE994" s="31" t="n">
        <v>0</v>
      </c>
      <c r="AF994" s="32" t="n">
        <v>0</v>
      </c>
      <c r="AG994" s="31" t="n">
        <v>0</v>
      </c>
      <c r="AH994" s="32" t="n">
        <v>65</v>
      </c>
      <c r="AI994" s="31" t="n">
        <v>66.40000000000001</v>
      </c>
      <c r="AJ994" s="31" t="n">
        <v>43.6</v>
      </c>
      <c r="AK994" s="31" t="n">
        <v>0</v>
      </c>
      <c r="AL994" s="30" t="inlineStr">
        <is>
          <t>T-1143</t>
        </is>
      </c>
      <c r="AM994" s="30" t="inlineStr">
        <is>
          <t>J-04-03</t>
        </is>
      </c>
      <c r="AN994" s="30" t="inlineStr">
        <is>
          <t>T-1013</t>
        </is>
      </c>
      <c r="AO994" s="30" t="inlineStr">
        <is>
          <t>J-04-02</t>
        </is>
      </c>
    </row>
    <row r="995">
      <c r="A995" s="30" t="inlineStr">
        <is>
          <t>O0994</t>
        </is>
      </c>
      <c r="B995" s="30" t="inlineStr">
        <is>
          <t>B</t>
        </is>
      </c>
      <c r="C995" s="31" t="n">
        <v>13882.3</v>
      </c>
      <c r="D995" s="31" t="n">
        <v>48450.7</v>
      </c>
      <c r="E995" s="31" t="n">
        <v>48450.7</v>
      </c>
      <c r="F995" s="31" t="n">
        <v>48465</v>
      </c>
      <c r="G995" s="31" t="n">
        <v>48490.2</v>
      </c>
      <c r="H995" s="31" t="n">
        <v>48505.7</v>
      </c>
      <c r="I995" s="31" t="n">
        <v>48529.2</v>
      </c>
      <c r="J995" s="31" t="n">
        <v>48561.6</v>
      </c>
      <c r="K995" s="31" t="n">
        <v>34679.3</v>
      </c>
      <c r="L995" s="31" t="n">
        <v>34568.4</v>
      </c>
      <c r="M995" s="30" t="inlineStr">
        <is>
          <t>AMR3</t>
        </is>
      </c>
      <c r="N995" s="30" t="inlineStr">
        <is>
          <t>AMR3</t>
        </is>
      </c>
      <c r="O995" s="32" t="n">
        <v>0</v>
      </c>
      <c r="P995" s="32" t="n">
        <v>0</v>
      </c>
      <c r="Q995" s="32" t="n">
        <v>15</v>
      </c>
      <c r="R995" s="31" t="n">
        <v>37.8</v>
      </c>
      <c r="S995" s="31" t="n">
        <v>37.8</v>
      </c>
      <c r="T995" s="30" t="inlineStr">
        <is>
          <t>AMR3</t>
        </is>
      </c>
      <c r="U995" s="31" t="n">
        <v>55.6</v>
      </c>
      <c r="V995" s="31" t="n">
        <v>55.6</v>
      </c>
      <c r="W995" s="30" t="inlineStr">
        <is>
          <t>AMR3</t>
        </is>
      </c>
      <c r="X995" s="32" t="n">
        <v>0</v>
      </c>
      <c r="Y995" s="32" t="n">
        <v>0</v>
      </c>
      <c r="Z995" s="31" t="n">
        <v>0</v>
      </c>
      <c r="AA995" s="32" t="n">
        <v>0</v>
      </c>
      <c r="AB995" s="32" t="n">
        <v>0</v>
      </c>
      <c r="AC995" s="32" t="n">
        <v>0</v>
      </c>
      <c r="AD995" s="32" t="n">
        <v>0</v>
      </c>
      <c r="AE995" s="31" t="n">
        <v>0</v>
      </c>
      <c r="AF995" s="32" t="n">
        <v>0</v>
      </c>
      <c r="AG995" s="31" t="n">
        <v>0</v>
      </c>
      <c r="AH995" s="32" t="n">
        <v>46</v>
      </c>
      <c r="AI995" s="31" t="n">
        <v>49.3</v>
      </c>
      <c r="AJ995" s="31" t="n">
        <v>46.1</v>
      </c>
      <c r="AK995" s="31" t="n">
        <v>0</v>
      </c>
      <c r="AL995" s="30" t="inlineStr">
        <is>
          <t>T-1144</t>
        </is>
      </c>
      <c r="AM995" s="30" t="inlineStr">
        <is>
          <t>B-03-02</t>
        </is>
      </c>
      <c r="AN995" s="30" t="inlineStr">
        <is>
          <t>T-1012</t>
        </is>
      </c>
      <c r="AO995" s="30" t="inlineStr">
        <is>
          <t>B-05-02</t>
        </is>
      </c>
    </row>
    <row r="996">
      <c r="A996" s="30" t="inlineStr">
        <is>
          <t>O0995</t>
        </is>
      </c>
      <c r="B996" s="30" t="inlineStr">
        <is>
          <t>B</t>
        </is>
      </c>
      <c r="C996" s="31" t="n">
        <v>13905.9</v>
      </c>
      <c r="D996" s="31" t="n">
        <v>48472.7</v>
      </c>
      <c r="E996" s="31" t="n">
        <v>48472.7</v>
      </c>
      <c r="F996" s="31" t="n">
        <v>48484.7</v>
      </c>
      <c r="G996" s="31" t="n">
        <v>48511.4</v>
      </c>
      <c r="H996" s="31" t="n">
        <v>48526.2</v>
      </c>
      <c r="I996" s="31" t="n">
        <v>48548.5</v>
      </c>
      <c r="J996" s="31" t="n">
        <v>48575.5</v>
      </c>
      <c r="K996" s="31" t="n">
        <v>34669.6</v>
      </c>
      <c r="L996" s="31" t="n">
        <v>34566.8</v>
      </c>
      <c r="M996" s="30" t="inlineStr">
        <is>
          <t>AMR1</t>
        </is>
      </c>
      <c r="N996" s="30" t="inlineStr">
        <is>
          <t>AMR1</t>
        </is>
      </c>
      <c r="O996" s="32" t="n">
        <v>0</v>
      </c>
      <c r="P996" s="32" t="n">
        <v>0</v>
      </c>
      <c r="Q996" s="32" t="n">
        <v>15</v>
      </c>
      <c r="R996" s="31" t="n">
        <v>35.3</v>
      </c>
      <c r="S996" s="31" t="n">
        <v>35.3</v>
      </c>
      <c r="T996" s="30" t="inlineStr">
        <is>
          <t>AMR1</t>
        </is>
      </c>
      <c r="U996" s="31" t="n">
        <v>51</v>
      </c>
      <c r="V996" s="31" t="n">
        <v>51</v>
      </c>
      <c r="W996" s="30" t="inlineStr">
        <is>
          <t>AMR1</t>
        </is>
      </c>
      <c r="X996" s="32" t="n">
        <v>0</v>
      </c>
      <c r="Y996" s="32" t="n">
        <v>0</v>
      </c>
      <c r="Z996" s="31" t="n">
        <v>0</v>
      </c>
      <c r="AA996" s="32" t="n">
        <v>0</v>
      </c>
      <c r="AB996" s="32" t="n">
        <v>1</v>
      </c>
      <c r="AC996" s="32" t="n">
        <v>0</v>
      </c>
      <c r="AD996" s="32" t="n">
        <v>1</v>
      </c>
      <c r="AE996" s="31" t="n">
        <v>2.5</v>
      </c>
      <c r="AF996" s="32" t="n">
        <v>0</v>
      </c>
      <c r="AG996" s="31" t="n">
        <v>0</v>
      </c>
      <c r="AH996" s="32" t="n">
        <v>43</v>
      </c>
      <c r="AI996" s="31" t="n">
        <v>46.5</v>
      </c>
      <c r="AJ996" s="31" t="n">
        <v>39</v>
      </c>
      <c r="AK996" s="31" t="n">
        <v>2.5</v>
      </c>
      <c r="AL996" s="30" t="inlineStr">
        <is>
          <t>T-1145</t>
        </is>
      </c>
      <c r="AM996" s="30" t="inlineStr">
        <is>
          <t>B-04-02</t>
        </is>
      </c>
      <c r="AN996" s="30" t="inlineStr">
        <is>
          <t>T-1019</t>
        </is>
      </c>
      <c r="AO996" s="30" t="inlineStr">
        <is>
          <t>B-06-02</t>
        </is>
      </c>
    </row>
    <row r="997">
      <c r="A997" s="30" t="inlineStr">
        <is>
          <t>O0996</t>
        </is>
      </c>
      <c r="B997" s="30" t="inlineStr">
        <is>
          <t>G</t>
        </is>
      </c>
      <c r="C997" s="31" t="n">
        <v>13928</v>
      </c>
      <c r="D997" s="31" t="n">
        <v>48529.6</v>
      </c>
      <c r="E997" s="31" t="n">
        <v>48529.6</v>
      </c>
      <c r="F997" s="31" t="n">
        <v>48544.5</v>
      </c>
      <c r="G997" s="31" t="n">
        <v>48570.8</v>
      </c>
      <c r="H997" s="31" t="n">
        <v>48585.3</v>
      </c>
      <c r="I997" s="31" t="n">
        <v>48616.4</v>
      </c>
      <c r="J997" s="31" t="n">
        <v>48643.5</v>
      </c>
      <c r="K997" s="31" t="n">
        <v>34715.5</v>
      </c>
      <c r="L997" s="31" t="n">
        <v>34601.6</v>
      </c>
      <c r="M997" s="30" t="inlineStr">
        <is>
          <t>AMR2</t>
        </is>
      </c>
      <c r="N997" s="30" t="inlineStr">
        <is>
          <t>AMR3</t>
        </is>
      </c>
      <c r="O997" s="32" t="n">
        <v>0</v>
      </c>
      <c r="P997" s="32" t="n">
        <v>0</v>
      </c>
      <c r="Q997" s="32" t="n">
        <v>17</v>
      </c>
      <c r="R997" s="31" t="n">
        <v>38.7</v>
      </c>
      <c r="S997" s="31" t="n">
        <v>38.7</v>
      </c>
      <c r="T997" s="30" t="inlineStr">
        <is>
          <t>AMR2</t>
        </is>
      </c>
      <c r="U997" s="31" t="n">
        <v>51.8</v>
      </c>
      <c r="V997" s="31" t="n">
        <v>51.8</v>
      </c>
      <c r="W997" s="30" t="inlineStr">
        <is>
          <t>AMR3</t>
        </is>
      </c>
      <c r="X997" s="32" t="n">
        <v>0</v>
      </c>
      <c r="Y997" s="32" t="n">
        <v>0</v>
      </c>
      <c r="Z997" s="31" t="n">
        <v>0</v>
      </c>
      <c r="AA997" s="32" t="n">
        <v>0</v>
      </c>
      <c r="AB997" s="32" t="n">
        <v>1</v>
      </c>
      <c r="AC997" s="32" t="n">
        <v>1</v>
      </c>
      <c r="AD997" s="32" t="n">
        <v>0</v>
      </c>
      <c r="AE997" s="31" t="n">
        <v>0</v>
      </c>
      <c r="AF997" s="32" t="n">
        <v>0</v>
      </c>
      <c r="AG997" s="31" t="n">
        <v>0</v>
      </c>
      <c r="AH997" s="32" t="n">
        <v>51</v>
      </c>
      <c r="AI997" s="31" t="n">
        <v>56.3</v>
      </c>
      <c r="AJ997" s="31" t="n">
        <v>40.1</v>
      </c>
      <c r="AK997" s="31" t="n">
        <v>3</v>
      </c>
      <c r="AL997" s="30" t="inlineStr">
        <is>
          <t>T-1146</t>
        </is>
      </c>
      <c r="AM997" s="30" t="inlineStr">
        <is>
          <t>G-01-03</t>
        </is>
      </c>
      <c r="AN997" s="30" t="inlineStr">
        <is>
          <t>T-0999</t>
        </is>
      </c>
      <c r="AO997" s="30" t="inlineStr">
        <is>
          <t>G-03-03</t>
        </is>
      </c>
    </row>
    <row r="998">
      <c r="A998" s="30" t="inlineStr">
        <is>
          <t>O0997</t>
        </is>
      </c>
      <c r="B998" s="30" t="inlineStr">
        <is>
          <t>E</t>
        </is>
      </c>
      <c r="C998" s="31" t="n">
        <v>13944</v>
      </c>
      <c r="D998" s="31" t="n">
        <v>48593.2</v>
      </c>
      <c r="E998" s="31" t="n">
        <v>48593.2</v>
      </c>
      <c r="F998" s="31" t="n">
        <v>48606.7</v>
      </c>
      <c r="G998" s="31" t="n">
        <v>48633.1</v>
      </c>
      <c r="H998" s="31" t="n">
        <v>48651.3</v>
      </c>
      <c r="I998" s="31" t="n">
        <v>48680.2</v>
      </c>
      <c r="J998" s="31" t="n">
        <v>48714.2</v>
      </c>
      <c r="K998" s="31" t="n">
        <v>34770.2</v>
      </c>
      <c r="L998" s="31" t="n">
        <v>34649.2</v>
      </c>
      <c r="M998" s="30" t="inlineStr">
        <is>
          <t>AMR2</t>
        </is>
      </c>
      <c r="N998" s="30" t="inlineStr">
        <is>
          <t>AMR2</t>
        </is>
      </c>
      <c r="O998" s="32" t="n">
        <v>0</v>
      </c>
      <c r="P998" s="32" t="n">
        <v>0</v>
      </c>
      <c r="Q998" s="32" t="n">
        <v>19</v>
      </c>
      <c r="R998" s="31" t="n">
        <v>39</v>
      </c>
      <c r="S998" s="31" t="n">
        <v>39</v>
      </c>
      <c r="T998" s="30" t="inlineStr">
        <is>
          <t>AMR2</t>
        </is>
      </c>
      <c r="U998" s="31" t="n">
        <v>61.3</v>
      </c>
      <c r="V998" s="31" t="n">
        <v>61.3</v>
      </c>
      <c r="W998" s="30" t="inlineStr">
        <is>
          <t>AMR2</t>
        </is>
      </c>
      <c r="X998" s="32" t="n">
        <v>0</v>
      </c>
      <c r="Y998" s="32" t="n">
        <v>0</v>
      </c>
      <c r="Z998" s="31" t="n">
        <v>0</v>
      </c>
      <c r="AA998" s="32" t="n">
        <v>0</v>
      </c>
      <c r="AB998" s="32" t="n">
        <v>0</v>
      </c>
      <c r="AC998" s="32" t="n">
        <v>0</v>
      </c>
      <c r="AD998" s="32" t="n">
        <v>1</v>
      </c>
      <c r="AE998" s="31" t="n">
        <v>1.8</v>
      </c>
      <c r="AF998" s="32" t="n">
        <v>0</v>
      </c>
      <c r="AG998" s="31" t="n">
        <v>0</v>
      </c>
      <c r="AH998" s="32" t="n">
        <v>57</v>
      </c>
      <c r="AI998" s="31" t="n">
        <v>58.2</v>
      </c>
      <c r="AJ998" s="31" t="n">
        <v>42.8</v>
      </c>
      <c r="AK998" s="31" t="n">
        <v>1.8</v>
      </c>
      <c r="AL998" s="30" t="inlineStr">
        <is>
          <t>T-1147</t>
        </is>
      </c>
      <c r="AM998" s="30" t="inlineStr">
        <is>
          <t>E-02-03</t>
        </is>
      </c>
      <c r="AN998" s="30" t="inlineStr">
        <is>
          <t>T-0972</t>
        </is>
      </c>
      <c r="AO998" s="30" t="inlineStr">
        <is>
          <t>E-01-01</t>
        </is>
      </c>
    </row>
    <row r="999">
      <c r="A999" s="30" t="inlineStr">
        <is>
          <t>O0998</t>
        </is>
      </c>
      <c r="B999" s="30" t="inlineStr">
        <is>
          <t>C</t>
        </is>
      </c>
      <c r="C999" s="31" t="n">
        <v>13960.3</v>
      </c>
      <c r="D999" s="31" t="n">
        <v>48606.8</v>
      </c>
      <c r="E999" s="31" t="n">
        <v>48606.8</v>
      </c>
      <c r="F999" s="31" t="n">
        <v>48618.6</v>
      </c>
      <c r="G999" s="31" t="n">
        <v>48640.8</v>
      </c>
      <c r="H999" s="31" t="n">
        <v>48654.8</v>
      </c>
      <c r="I999" s="31" t="n">
        <v>48674.6</v>
      </c>
      <c r="J999" s="31" t="n">
        <v>48701.5</v>
      </c>
      <c r="K999" s="31" t="n">
        <v>34741.2</v>
      </c>
      <c r="L999" s="31" t="n">
        <v>34646.5</v>
      </c>
      <c r="M999" s="30" t="inlineStr">
        <is>
          <t>AMR1</t>
        </is>
      </c>
      <c r="N999" s="30" t="inlineStr">
        <is>
          <t>AMR1</t>
        </is>
      </c>
      <c r="O999" s="32" t="n">
        <v>0</v>
      </c>
      <c r="P999" s="32" t="n">
        <v>0</v>
      </c>
      <c r="Q999" s="32" t="n">
        <v>13</v>
      </c>
      <c r="R999" s="31" t="n">
        <v>33.1</v>
      </c>
      <c r="S999" s="31" t="n">
        <v>33.1</v>
      </c>
      <c r="T999" s="30" t="inlineStr">
        <is>
          <t>AMR1</t>
        </is>
      </c>
      <c r="U999" s="31" t="n">
        <v>49.4</v>
      </c>
      <c r="V999" s="31" t="n">
        <v>49.4</v>
      </c>
      <c r="W999" s="30" t="inlineStr">
        <is>
          <t>AMR1</t>
        </is>
      </c>
      <c r="X999" s="32" t="n">
        <v>0</v>
      </c>
      <c r="Y999" s="32" t="n">
        <v>0</v>
      </c>
      <c r="Z999" s="31" t="n">
        <v>0</v>
      </c>
      <c r="AA999" s="32" t="n">
        <v>0</v>
      </c>
      <c r="AB999" s="32" t="n">
        <v>0</v>
      </c>
      <c r="AC999" s="32" t="n">
        <v>0</v>
      </c>
      <c r="AD999" s="32" t="n">
        <v>0</v>
      </c>
      <c r="AE999" s="31" t="n">
        <v>0</v>
      </c>
      <c r="AF999" s="32" t="n">
        <v>0</v>
      </c>
      <c r="AG999" s="31" t="n">
        <v>0</v>
      </c>
      <c r="AH999" s="32" t="n">
        <v>37</v>
      </c>
      <c r="AI999" s="31" t="n">
        <v>40.4</v>
      </c>
      <c r="AJ999" s="31" t="n">
        <v>40.3</v>
      </c>
      <c r="AK999" s="31" t="n">
        <v>0</v>
      </c>
      <c r="AL999" s="30" t="inlineStr">
        <is>
          <t>T-1148</t>
        </is>
      </c>
      <c r="AM999" s="30" t="inlineStr">
        <is>
          <t>C-02-01</t>
        </is>
      </c>
      <c r="AN999" s="30" t="inlineStr">
        <is>
          <t>T-1021</t>
        </is>
      </c>
      <c r="AO999" s="30" t="inlineStr">
        <is>
          <t>C-06-02</t>
        </is>
      </c>
    </row>
    <row r="1000">
      <c r="A1000" s="30" t="inlineStr">
        <is>
          <t>O0999</t>
        </is>
      </c>
      <c r="B1000" s="30" t="inlineStr">
        <is>
          <t>H</t>
        </is>
      </c>
      <c r="C1000" s="31" t="n">
        <v>13984.8</v>
      </c>
      <c r="D1000" s="31" t="n">
        <v>48667.2</v>
      </c>
      <c r="E1000" s="31" t="n">
        <v>48667.2</v>
      </c>
      <c r="F1000" s="31" t="n">
        <v>48681.7</v>
      </c>
      <c r="G1000" s="31" t="n">
        <v>48706.3</v>
      </c>
      <c r="H1000" s="31" t="n">
        <v>48720.5</v>
      </c>
      <c r="I1000" s="31" t="n">
        <v>48748.2</v>
      </c>
      <c r="J1000" s="31" t="n">
        <v>48772.2</v>
      </c>
      <c r="K1000" s="31" t="n">
        <v>34787.4</v>
      </c>
      <c r="L1000" s="31" t="n">
        <v>34682.4</v>
      </c>
      <c r="M1000" s="30" t="inlineStr">
        <is>
          <t>AMR3</t>
        </is>
      </c>
      <c r="N1000" s="30" t="inlineStr">
        <is>
          <t>AMR3</t>
        </is>
      </c>
      <c r="O1000" s="32" t="n">
        <v>0</v>
      </c>
      <c r="P1000" s="32" t="n">
        <v>0</v>
      </c>
      <c r="Q1000" s="32" t="n">
        <v>15</v>
      </c>
      <c r="R1000" s="31" t="n">
        <v>38.2</v>
      </c>
      <c r="S1000" s="31" t="n">
        <v>38.2</v>
      </c>
      <c r="T1000" s="30" t="inlineStr">
        <is>
          <t>AMR3</t>
        </is>
      </c>
      <c r="U1000" s="31" t="n">
        <v>51.9</v>
      </c>
      <c r="V1000" s="31" t="n">
        <v>51.9</v>
      </c>
      <c r="W1000" s="30" t="inlineStr">
        <is>
          <t>AMR3</t>
        </is>
      </c>
      <c r="X1000" s="32" t="n">
        <v>0</v>
      </c>
      <c r="Y1000" s="32" t="n">
        <v>0</v>
      </c>
      <c r="Z1000" s="31" t="n">
        <v>0</v>
      </c>
      <c r="AA1000" s="32" t="n">
        <v>0</v>
      </c>
      <c r="AB1000" s="32" t="n">
        <v>0</v>
      </c>
      <c r="AC1000" s="32" t="n">
        <v>0</v>
      </c>
      <c r="AD1000" s="32" t="n">
        <v>0</v>
      </c>
      <c r="AE1000" s="31" t="n">
        <v>0</v>
      </c>
      <c r="AF1000" s="32" t="n">
        <v>0</v>
      </c>
      <c r="AG1000" s="31" t="n">
        <v>0</v>
      </c>
      <c r="AH1000" s="32" t="n">
        <v>41</v>
      </c>
      <c r="AI1000" s="31" t="n">
        <v>46</v>
      </c>
      <c r="AJ1000" s="31" t="n">
        <v>44.8</v>
      </c>
      <c r="AK1000" s="31" t="n">
        <v>0</v>
      </c>
      <c r="AL1000" s="30" t="inlineStr">
        <is>
          <t>T-1149</t>
        </is>
      </c>
      <c r="AM1000" s="30" t="inlineStr">
        <is>
          <t>H-01-02</t>
        </is>
      </c>
      <c r="AN1000" s="30" t="inlineStr">
        <is>
          <t>T-0986</t>
        </is>
      </c>
      <c r="AO1000" s="30" t="inlineStr">
        <is>
          <t>H-02-01</t>
        </is>
      </c>
    </row>
    <row r="1001">
      <c r="A1001" s="30" t="inlineStr">
        <is>
          <t>O1000</t>
        </is>
      </c>
      <c r="B1001" s="30" t="inlineStr">
        <is>
          <t>I</t>
        </is>
      </c>
      <c r="C1001" s="31" t="n">
        <v>14003</v>
      </c>
      <c r="D1001" s="31" t="n">
        <v>48725.2</v>
      </c>
      <c r="E1001" s="31" t="n">
        <v>48725.2</v>
      </c>
      <c r="F1001" s="31" t="n">
        <v>48737.7</v>
      </c>
      <c r="G1001" s="31" t="n">
        <v>48759.6</v>
      </c>
      <c r="H1001" s="31" t="n">
        <v>48759.7</v>
      </c>
      <c r="I1001" s="31" t="n">
        <v>48789.4</v>
      </c>
      <c r="J1001" s="31" t="n">
        <v>48812.6</v>
      </c>
      <c r="K1001" s="31" t="n">
        <v>34809.6</v>
      </c>
      <c r="L1001" s="31" t="n">
        <v>34722.2</v>
      </c>
      <c r="M1001" s="30" t="inlineStr">
        <is>
          <t>AMR1</t>
        </is>
      </c>
      <c r="N1001" s="30" t="inlineStr">
        <is>
          <t>AMR2</t>
        </is>
      </c>
      <c r="O1001" s="32" t="n">
        <v>0</v>
      </c>
      <c r="P1001" s="32" t="n">
        <v>0</v>
      </c>
      <c r="Q1001" s="32" t="n">
        <v>19</v>
      </c>
      <c r="R1001" s="31" t="n">
        <v>33.5</v>
      </c>
      <c r="S1001" s="31" t="n">
        <v>33.5</v>
      </c>
      <c r="T1001" s="30" t="inlineStr">
        <is>
          <t>AMR1</t>
        </is>
      </c>
      <c r="U1001" s="31" t="n">
        <v>52.1</v>
      </c>
      <c r="V1001" s="31" t="n">
        <v>52.1</v>
      </c>
      <c r="W1001" s="30" t="inlineStr">
        <is>
          <t>AMR2</t>
        </is>
      </c>
      <c r="X1001" s="32" t="n">
        <v>0</v>
      </c>
      <c r="Y1001" s="32" t="n">
        <v>0</v>
      </c>
      <c r="Z1001" s="31" t="n">
        <v>0</v>
      </c>
      <c r="AA1001" s="32" t="n">
        <v>0</v>
      </c>
      <c r="AB1001" s="32" t="n">
        <v>0</v>
      </c>
      <c r="AC1001" s="32" t="n">
        <v>0</v>
      </c>
      <c r="AD1001" s="32" t="n">
        <v>0</v>
      </c>
      <c r="AE1001" s="31" t="n">
        <v>0</v>
      </c>
      <c r="AF1001" s="32" t="n">
        <v>0</v>
      </c>
      <c r="AG1001" s="31" t="n">
        <v>0</v>
      </c>
      <c r="AH1001" s="32" t="n">
        <v>47</v>
      </c>
      <c r="AI1001" s="31" t="n">
        <v>50.5</v>
      </c>
      <c r="AJ1001" s="31" t="n">
        <v>36.8</v>
      </c>
      <c r="AK1001" s="31" t="n">
        <v>0</v>
      </c>
      <c r="AL1001" s="30" t="inlineStr">
        <is>
          <t>T-1150</t>
        </is>
      </c>
      <c r="AM1001" s="30" t="inlineStr">
        <is>
          <t>I-01-01</t>
        </is>
      </c>
      <c r="AN1001" s="30" t="inlineStr">
        <is>
          <t>T-0946</t>
        </is>
      </c>
      <c r="AO1001" s="30" t="inlineStr">
        <is>
          <t>I-02-01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.2" customWidth="1" min="3" max="3"/>
    <col width="20.8" customWidth="1" min="4" max="4"/>
    <col width="14.4" customWidth="1" min="5" max="5"/>
    <col width="16" customWidth="1" min="6" max="6"/>
    <col width="19.2" customWidth="1" min="7" max="7"/>
    <col width="17.6" customWidth="1" min="8" max="8"/>
    <col width="12.8" customWidth="1" min="9" max="9"/>
    <col width="11.2" customWidth="1" min="10" max="10"/>
    <col width="12.8" customWidth="1" min="11" max="11"/>
    <col width="16" customWidth="1" min="12" max="12"/>
    <col width="14.4" customWidth="1" min="13" max="13"/>
    <col width="14.4" customWidth="1" min="14" max="14"/>
    <col width="12.8" customWidth="1" min="15" max="15"/>
    <col width="26" customWidth="1" min="16" max="16"/>
    <col width="26" customWidth="1" min="17" max="17"/>
    <col width="16" customWidth="1" min="18" max="18"/>
    <col width="20.8" customWidth="1" min="19" max="19"/>
    <col width="17.6" customWidth="1" min="20" max="20"/>
    <col width="16" customWidth="1" min="21" max="21"/>
    <col width="20.8" customWidth="1" min="22" max="22"/>
    <col width="17.6" customWidth="1" min="23" max="23"/>
    <col width="10" customWidth="1" min="24" max="24"/>
    <col width="16" customWidth="1" min="25" max="25"/>
    <col width="16" customWidth="1" min="26" max="26"/>
    <col width="17.6" customWidth="1" min="27" max="27"/>
    <col width="10" customWidth="1" min="28" max="28"/>
    <col width="10" customWidth="1" min="29" max="29"/>
    <col width="10" customWidth="1" min="30" max="30"/>
    <col width="12.8" customWidth="1" min="31" max="31"/>
    <col width="12.8" customWidth="1" min="32" max="32"/>
    <col width="20.8" customWidth="1" min="33" max="33"/>
    <col width="11.2" customWidth="1" min="34" max="34"/>
    <col width="11.2" customWidth="1" min="35" max="35"/>
    <col width="11.2" customWidth="1" min="36" max="36"/>
    <col width="11.2" customWidth="1" min="37" max="37"/>
    <col width="10" customWidth="1" min="38" max="38"/>
    <col width="10" customWidth="1" min="39" max="39"/>
    <col width="10" customWidth="1" min="40" max="40"/>
    <col width="10" customWidth="1" min="41" max="41"/>
  </cols>
  <sheetData>
    <row r="1" ht="32" customHeight="1">
      <c r="A1" s="29" t="inlineStr">
        <is>
          <t>주문ID</t>
        </is>
      </c>
      <c r="B1" s="29" t="inlineStr">
        <is>
          <t>저장구역</t>
        </is>
      </c>
      <c r="C1" s="29" t="inlineStr">
        <is>
          <t>발생시각(s)</t>
        </is>
      </c>
      <c r="D1" s="29" t="inlineStr">
        <is>
          <t>작업시작(배정)시각(s)</t>
        </is>
      </c>
      <c r="E1" s="29" t="inlineStr">
        <is>
          <t>입고장 도착(s)</t>
        </is>
      </c>
      <c r="F1" s="29" t="inlineStr">
        <is>
          <t>RFID 통과(s)</t>
        </is>
      </c>
      <c r="G1" s="29" t="inlineStr">
        <is>
          <t>저장구역 적치완료(s)</t>
        </is>
      </c>
      <c r="H1" s="29" t="inlineStr">
        <is>
          <t>출고 작업 배정(s)</t>
        </is>
      </c>
      <c r="I1" s="29" t="inlineStr">
        <is>
          <t>피킹 완료(s)</t>
        </is>
      </c>
      <c r="J1" s="29" t="inlineStr">
        <is>
          <t>출고완료(s)</t>
        </is>
      </c>
      <c r="K1" s="29" t="inlineStr">
        <is>
          <t>총처리시간(s)</t>
        </is>
      </c>
      <c r="L1" s="29" t="inlineStr">
        <is>
          <t>주문 대응시간(s)</t>
        </is>
      </c>
      <c r="M1" s="29" t="inlineStr">
        <is>
          <t>입고 배정 AMR</t>
        </is>
      </c>
      <c r="N1" s="29" t="inlineStr">
        <is>
          <t>출고 배정 AMR</t>
        </is>
      </c>
      <c r="O1" s="29" t="inlineStr">
        <is>
          <t>출고 연속 수행</t>
        </is>
      </c>
      <c r="P1" s="29" t="inlineStr">
        <is>
          <t>배정 당시 AMR-입고장 거리(m)</t>
        </is>
      </c>
      <c r="Q1" s="29" t="inlineStr">
        <is>
          <t>배정 당시 AMR-피킹위치 거리(m)</t>
        </is>
      </c>
      <c r="R1" s="29" t="inlineStr">
        <is>
          <t>입고 배차비용(s)</t>
        </is>
      </c>
      <c r="S1" s="29" t="inlineStr">
        <is>
          <t>입고 최소 가능비용(s)</t>
        </is>
      </c>
      <c r="T1" s="29" t="inlineStr">
        <is>
          <t>입고 최소비용 AMR</t>
        </is>
      </c>
      <c r="U1" s="29" t="inlineStr">
        <is>
          <t>출고 배차비용(s)</t>
        </is>
      </c>
      <c r="V1" s="29" t="inlineStr">
        <is>
          <t>출고 최소 가능비용(s)</t>
        </is>
      </c>
      <c r="W1" s="29" t="inlineStr">
        <is>
          <t>출고 최소비용 AMR</t>
        </is>
      </c>
      <c r="X1" s="29" t="inlineStr">
        <is>
          <t>배차 비효율</t>
        </is>
      </c>
      <c r="Y1" s="29" t="inlineStr">
        <is>
          <t>추가 이동거리(m)</t>
        </is>
      </c>
      <c r="Z1" s="29" t="inlineStr">
        <is>
          <t>추가 예상시간(s)</t>
        </is>
      </c>
      <c r="AA1" s="29" t="inlineStr">
        <is>
          <t>수동 배차 확인 개입</t>
        </is>
      </c>
      <c r="AB1" s="29" t="inlineStr">
        <is>
          <t>경로충돌</t>
        </is>
      </c>
      <c r="AC1" s="29" t="inlineStr">
        <is>
          <t>정면충돌</t>
        </is>
      </c>
      <c r="AD1" s="29" t="inlineStr">
        <is>
          <t>병목 횟수</t>
        </is>
      </c>
      <c r="AE1" s="29" t="inlineStr">
        <is>
          <t>병목 대기(s)</t>
        </is>
      </c>
      <c r="AF1" s="29" t="inlineStr">
        <is>
          <t>장시간정체 개입</t>
        </is>
      </c>
      <c r="AG1" s="29" t="inlineStr">
        <is>
          <t>장시간정체 개입시간(s)</t>
        </is>
      </c>
      <c r="AH1" s="29" t="inlineStr">
        <is>
          <t>이동거리(m)</t>
        </is>
      </c>
      <c r="AI1" s="29" t="inlineStr">
        <is>
          <t>이동시간(s)</t>
        </is>
      </c>
      <c r="AJ1" s="29" t="inlineStr">
        <is>
          <t>작업시간(s)</t>
        </is>
      </c>
      <c r="AK1" s="29" t="inlineStr">
        <is>
          <t>대기시간(s)</t>
        </is>
      </c>
      <c r="AL1" s="29" t="inlineStr">
        <is>
          <t>입고 토트</t>
        </is>
      </c>
      <c r="AM1" s="29" t="inlineStr">
        <is>
          <t>적치 슬롯</t>
        </is>
      </c>
      <c r="AN1" s="29" t="inlineStr">
        <is>
          <t>출고 토트</t>
        </is>
      </c>
      <c r="AO1" s="29" t="inlineStr">
        <is>
          <t>피킹 슬롯</t>
        </is>
      </c>
    </row>
    <row r="2">
      <c r="A2" s="30" t="inlineStr">
        <is>
          <t>O0001</t>
        </is>
      </c>
      <c r="B2" s="30" t="inlineStr">
        <is>
          <t>B</t>
        </is>
      </c>
      <c r="C2" s="31" t="n">
        <v>0</v>
      </c>
      <c r="D2" s="31" t="n">
        <v>0</v>
      </c>
      <c r="E2" s="31" t="n">
        <v>9.800000000000001</v>
      </c>
      <c r="F2" s="31" t="n">
        <v>21.1</v>
      </c>
      <c r="G2" s="31" t="n">
        <v>46.3</v>
      </c>
      <c r="H2" s="31" t="n">
        <v>46.4</v>
      </c>
      <c r="I2" s="31" t="n">
        <v>58.3</v>
      </c>
      <c r="J2" s="31" t="n">
        <v>91.40000000000001</v>
      </c>
      <c r="K2" s="31" t="n">
        <v>91.40000000000001</v>
      </c>
      <c r="L2" s="31" t="n">
        <v>0</v>
      </c>
      <c r="M2" s="30" t="inlineStr">
        <is>
          <t>AMR2</t>
        </is>
      </c>
      <c r="N2" s="30" t="inlineStr">
        <is>
          <t>AMR2</t>
        </is>
      </c>
      <c r="O2" s="32" t="n">
        <v>1</v>
      </c>
      <c r="P2" s="32" t="n">
        <v>14</v>
      </c>
      <c r="Q2" s="32" t="n">
        <v>1</v>
      </c>
      <c r="R2" s="31" t="n">
        <v>43.8</v>
      </c>
      <c r="S2" s="31" t="n">
        <v>43.8</v>
      </c>
      <c r="T2" s="30" t="inlineStr">
        <is>
          <t>AMR2</t>
        </is>
      </c>
      <c r="U2" s="31" t="n">
        <v>44.6</v>
      </c>
      <c r="V2" s="31" t="n">
        <v>44.6</v>
      </c>
      <c r="W2" s="30" t="inlineStr">
        <is>
          <t>AMR2</t>
        </is>
      </c>
      <c r="X2" s="32" t="n">
        <v>0</v>
      </c>
      <c r="Y2" s="32" t="n">
        <v>0</v>
      </c>
      <c r="Z2" s="31" t="n">
        <v>0</v>
      </c>
      <c r="AA2" s="32" t="n">
        <v>0</v>
      </c>
      <c r="AB2" s="32" t="n">
        <v>0</v>
      </c>
      <c r="AC2" s="32" t="n">
        <v>0</v>
      </c>
      <c r="AD2" s="32" t="n">
        <v>0</v>
      </c>
      <c r="AE2" s="31" t="n">
        <v>0</v>
      </c>
      <c r="AF2" s="32" t="n">
        <v>0</v>
      </c>
      <c r="AG2" s="31" t="n">
        <v>0</v>
      </c>
      <c r="AH2" s="32" t="n">
        <v>49</v>
      </c>
      <c r="AI2" s="31" t="n">
        <v>47</v>
      </c>
      <c r="AJ2" s="31" t="n">
        <v>44.3</v>
      </c>
      <c r="AK2" s="31" t="n">
        <v>0</v>
      </c>
      <c r="AL2" s="30" t="inlineStr">
        <is>
          <t>T-0151</t>
        </is>
      </c>
      <c r="AM2" s="30" t="inlineStr">
        <is>
          <t>B-01-01</t>
        </is>
      </c>
      <c r="AN2" s="30" t="inlineStr">
        <is>
          <t>T-0016</t>
        </is>
      </c>
      <c r="AO2" s="30" t="inlineStr">
        <is>
          <t>B-01-05</t>
        </is>
      </c>
    </row>
    <row r="3">
      <c r="A3" s="30" t="inlineStr">
        <is>
          <t>O0002</t>
        </is>
      </c>
      <c r="B3" s="30" t="inlineStr">
        <is>
          <t>D</t>
        </is>
      </c>
      <c r="C3" s="31" t="n">
        <v>22.4</v>
      </c>
      <c r="D3" s="31" t="n">
        <v>22.4</v>
      </c>
      <c r="E3" s="31" t="n">
        <v>32.9</v>
      </c>
      <c r="F3" s="31" t="n">
        <v>43.4</v>
      </c>
      <c r="G3" s="31" t="n">
        <v>65.2</v>
      </c>
      <c r="H3" s="31" t="n">
        <v>65.3</v>
      </c>
      <c r="I3" s="31" t="n">
        <v>76.8</v>
      </c>
      <c r="J3" s="31" t="n">
        <v>110.6</v>
      </c>
      <c r="K3" s="31" t="n">
        <v>88.2</v>
      </c>
      <c r="L3" s="31" t="n">
        <v>0</v>
      </c>
      <c r="M3" s="30" t="inlineStr">
        <is>
          <t>AMR1</t>
        </is>
      </c>
      <c r="N3" s="30" t="inlineStr">
        <is>
          <t>AMR1</t>
        </is>
      </c>
      <c r="O3" s="32" t="n">
        <v>1</v>
      </c>
      <c r="P3" s="32" t="n">
        <v>15</v>
      </c>
      <c r="Q3" s="32" t="n">
        <v>1</v>
      </c>
      <c r="R3" s="31" t="n">
        <v>41.9</v>
      </c>
      <c r="S3" s="31" t="n">
        <v>41.9</v>
      </c>
      <c r="T3" s="30" t="inlineStr">
        <is>
          <t>AMR1</t>
        </is>
      </c>
      <c r="U3" s="31" t="n">
        <v>41.5</v>
      </c>
      <c r="V3" s="31" t="n">
        <v>41.5</v>
      </c>
      <c r="W3" s="30" t="inlineStr">
        <is>
          <t>AMR1</t>
        </is>
      </c>
      <c r="X3" s="32" t="n">
        <v>0</v>
      </c>
      <c r="Y3" s="32" t="n">
        <v>0</v>
      </c>
      <c r="Z3" s="31" t="n">
        <v>0</v>
      </c>
      <c r="AA3" s="32" t="n">
        <v>0</v>
      </c>
      <c r="AB3" s="32" t="n">
        <v>0</v>
      </c>
      <c r="AC3" s="32" t="n">
        <v>0</v>
      </c>
      <c r="AD3" s="32" t="n">
        <v>1</v>
      </c>
      <c r="AE3" s="31" t="n">
        <v>2</v>
      </c>
      <c r="AF3" s="32" t="n">
        <v>0</v>
      </c>
      <c r="AG3" s="31" t="n">
        <v>0</v>
      </c>
      <c r="AH3" s="32" t="n">
        <v>46</v>
      </c>
      <c r="AI3" s="31" t="n">
        <v>44.3</v>
      </c>
      <c r="AJ3" s="31" t="n">
        <v>41.8</v>
      </c>
      <c r="AK3" s="31" t="n">
        <v>2</v>
      </c>
      <c r="AL3" s="30" t="inlineStr">
        <is>
          <t>T-0152</t>
        </is>
      </c>
      <c r="AM3" s="30" t="inlineStr">
        <is>
          <t>D-01-01</t>
        </is>
      </c>
      <c r="AN3" s="30" t="inlineStr">
        <is>
          <t>T-0046</t>
        </is>
      </c>
      <c r="AO3" s="30" t="inlineStr">
        <is>
          <t>D-04-03</t>
        </is>
      </c>
    </row>
    <row r="4">
      <c r="A4" s="30" t="inlineStr">
        <is>
          <t>O0003</t>
        </is>
      </c>
      <c r="B4" s="30" t="inlineStr">
        <is>
          <t>B</t>
        </is>
      </c>
      <c r="C4" s="31" t="n">
        <v>38.8</v>
      </c>
      <c r="D4" s="31" t="n">
        <v>61.2</v>
      </c>
      <c r="E4" s="31" t="n">
        <v>86.90000000000001</v>
      </c>
      <c r="F4" s="31" t="n">
        <v>99.90000000000001</v>
      </c>
      <c r="G4" s="31" t="n">
        <v>123.4</v>
      </c>
      <c r="H4" s="31" t="n">
        <v>123.5</v>
      </c>
      <c r="I4" s="31" t="n">
        <v>138.9</v>
      </c>
      <c r="J4" s="31" t="n">
        <v>169.6</v>
      </c>
      <c r="K4" s="31" t="n">
        <v>130.8</v>
      </c>
      <c r="L4" s="31" t="n">
        <v>22.4</v>
      </c>
      <c r="M4" s="30" t="inlineStr">
        <is>
          <t>AMR3</t>
        </is>
      </c>
      <c r="N4" s="30" t="inlineStr">
        <is>
          <t>AMR3</t>
        </is>
      </c>
      <c r="O4" s="32" t="n">
        <v>1</v>
      </c>
      <c r="P4" s="32" t="n">
        <v>31</v>
      </c>
      <c r="Q4" s="32" t="n">
        <v>1</v>
      </c>
      <c r="R4" s="31" t="n">
        <v>59.7</v>
      </c>
      <c r="S4" s="31" t="n">
        <v>50.3</v>
      </c>
      <c r="T4" s="30" t="inlineStr">
        <is>
          <t>AMR1</t>
        </is>
      </c>
      <c r="U4" s="31" t="n">
        <v>45.8</v>
      </c>
      <c r="V4" s="31" t="n">
        <v>45.8</v>
      </c>
      <c r="W4" s="30" t="inlineStr">
        <is>
          <t>AMR3</t>
        </is>
      </c>
      <c r="X4" s="32" t="n">
        <v>1</v>
      </c>
      <c r="Y4" s="32" t="n">
        <v>19</v>
      </c>
      <c r="Z4" s="31" t="n">
        <v>9.4</v>
      </c>
      <c r="AA4" s="32" t="n">
        <v>0</v>
      </c>
      <c r="AB4" s="32" t="n">
        <v>0</v>
      </c>
      <c r="AC4" s="32" t="n">
        <v>0</v>
      </c>
      <c r="AD4" s="32" t="n">
        <v>0</v>
      </c>
      <c r="AE4" s="31" t="n">
        <v>0</v>
      </c>
      <c r="AF4" s="32" t="n">
        <v>0</v>
      </c>
      <c r="AG4" s="31" t="n">
        <v>0</v>
      </c>
      <c r="AH4" s="32" t="n">
        <v>66</v>
      </c>
      <c r="AI4" s="31" t="n">
        <v>62.8</v>
      </c>
      <c r="AJ4" s="31" t="n">
        <v>45.5</v>
      </c>
      <c r="AK4" s="31" t="n">
        <v>0</v>
      </c>
      <c r="AL4" s="30" t="inlineStr">
        <is>
          <t>T-0153</t>
        </is>
      </c>
      <c r="AM4" s="30" t="inlineStr">
        <is>
          <t>B-02-01</t>
        </is>
      </c>
      <c r="AN4" s="30" t="inlineStr">
        <is>
          <t>T-0017</t>
        </is>
      </c>
      <c r="AO4" s="30" t="inlineStr">
        <is>
          <t>B-05-03</t>
        </is>
      </c>
    </row>
    <row r="5">
      <c r="A5" s="30" t="inlineStr">
        <is>
          <t>O0004</t>
        </is>
      </c>
      <c r="B5" s="30" t="inlineStr">
        <is>
          <t>I</t>
        </is>
      </c>
      <c r="C5" s="31" t="n">
        <v>61.2</v>
      </c>
      <c r="D5" s="31" t="n">
        <v>110.7</v>
      </c>
      <c r="E5" s="31" t="n">
        <v>139.2</v>
      </c>
      <c r="F5" s="31" t="n">
        <v>152.7</v>
      </c>
      <c r="G5" s="31" t="n">
        <v>177.4</v>
      </c>
      <c r="H5" s="31" t="n">
        <v>202.5</v>
      </c>
      <c r="I5" s="31" t="n">
        <v>229.7</v>
      </c>
      <c r="J5" s="31" t="n">
        <v>257.9</v>
      </c>
      <c r="K5" s="31" t="n">
        <v>196.7</v>
      </c>
      <c r="L5" s="31" t="n">
        <v>49.5</v>
      </c>
      <c r="M5" s="30" t="inlineStr">
        <is>
          <t>AMR1</t>
        </is>
      </c>
      <c r="N5" s="30" t="inlineStr">
        <is>
          <t>AMR2</t>
        </is>
      </c>
      <c r="O5" s="32" t="n">
        <v>1</v>
      </c>
      <c r="P5" s="32" t="n">
        <v>25</v>
      </c>
      <c r="Q5" s="32" t="n">
        <v>14</v>
      </c>
      <c r="R5" s="31" t="n">
        <v>59.9</v>
      </c>
      <c r="S5" s="31" t="n">
        <v>59.9</v>
      </c>
      <c r="T5" s="30" t="inlineStr">
        <is>
          <t>AMR1</t>
        </is>
      </c>
      <c r="U5" s="31" t="n">
        <v>52.6</v>
      </c>
      <c r="V5" s="31" t="n">
        <v>52.6</v>
      </c>
      <c r="W5" s="30" t="inlineStr">
        <is>
          <t>AMR2</t>
        </is>
      </c>
      <c r="X5" s="32" t="n">
        <v>0</v>
      </c>
      <c r="Y5" s="32" t="n">
        <v>0</v>
      </c>
      <c r="Z5" s="31" t="n">
        <v>0</v>
      </c>
      <c r="AA5" s="32" t="n">
        <v>0</v>
      </c>
      <c r="AB5" s="32" t="n">
        <v>0</v>
      </c>
      <c r="AC5" s="32" t="n">
        <v>0</v>
      </c>
      <c r="AD5" s="32" t="n">
        <v>0</v>
      </c>
      <c r="AE5" s="31" t="n">
        <v>0</v>
      </c>
      <c r="AF5" s="32" t="n">
        <v>0</v>
      </c>
      <c r="AG5" s="31" t="n">
        <v>0</v>
      </c>
      <c r="AH5" s="32" t="n">
        <v>69</v>
      </c>
      <c r="AI5" s="31" t="n">
        <v>71</v>
      </c>
      <c r="AJ5" s="31" t="n">
        <v>46.1</v>
      </c>
      <c r="AK5" s="31" t="n">
        <v>5</v>
      </c>
      <c r="AL5" s="30" t="inlineStr">
        <is>
          <t>T-0155</t>
        </is>
      </c>
      <c r="AM5" s="30" t="inlineStr">
        <is>
          <t>I-01-01</t>
        </is>
      </c>
      <c r="AN5" s="30" t="inlineStr">
        <is>
          <t>T-0121</t>
        </is>
      </c>
      <c r="AO5" s="30" t="inlineStr">
        <is>
          <t>I-04-03</t>
        </is>
      </c>
    </row>
    <row r="6">
      <c r="A6" s="30" t="inlineStr">
        <is>
          <t>O0005</t>
        </is>
      </c>
      <c r="B6" s="30" t="inlineStr">
        <is>
          <t>A</t>
        </is>
      </c>
      <c r="C6" s="31" t="n">
        <v>82.09999999999999</v>
      </c>
      <c r="D6" s="31" t="n">
        <v>96.5</v>
      </c>
      <c r="E6" s="31" t="n">
        <v>115</v>
      </c>
      <c r="F6" s="31" t="n">
        <v>127.7</v>
      </c>
      <c r="G6" s="31" t="n">
        <v>155.2</v>
      </c>
      <c r="H6" s="31" t="n">
        <v>155.3</v>
      </c>
      <c r="I6" s="31" t="n">
        <v>163.6</v>
      </c>
      <c r="J6" s="31" t="n">
        <v>202.4</v>
      </c>
      <c r="K6" s="31" t="n">
        <v>120.3</v>
      </c>
      <c r="L6" s="31" t="n">
        <v>14.4</v>
      </c>
      <c r="M6" s="30" t="inlineStr">
        <is>
          <t>AMR2</t>
        </is>
      </c>
      <c r="N6" s="30" t="inlineStr">
        <is>
          <t>AMR2</t>
        </is>
      </c>
      <c r="O6" s="32" t="n">
        <v>1</v>
      </c>
      <c r="P6" s="32" t="n">
        <v>20</v>
      </c>
      <c r="Q6" s="32" t="n">
        <v>1</v>
      </c>
      <c r="R6" s="31" t="n">
        <v>55.7</v>
      </c>
      <c r="S6" s="31" t="n">
        <v>55.7</v>
      </c>
      <c r="T6" s="30" t="inlineStr">
        <is>
          <t>AMR2</t>
        </is>
      </c>
      <c r="U6" s="31" t="n">
        <v>47.7</v>
      </c>
      <c r="V6" s="31" t="n">
        <v>47.7</v>
      </c>
      <c r="W6" s="30" t="inlineStr">
        <is>
          <t>AMR2</t>
        </is>
      </c>
      <c r="X6" s="32" t="n">
        <v>0</v>
      </c>
      <c r="Y6" s="32" t="n">
        <v>0</v>
      </c>
      <c r="Z6" s="31" t="n">
        <v>0</v>
      </c>
      <c r="AA6" s="32" t="n">
        <v>0</v>
      </c>
      <c r="AB6" s="32" t="n">
        <v>0</v>
      </c>
      <c r="AC6" s="32" t="n">
        <v>0</v>
      </c>
      <c r="AD6" s="32" t="n">
        <v>0</v>
      </c>
      <c r="AE6" s="31" t="n">
        <v>0</v>
      </c>
      <c r="AF6" s="32" t="n">
        <v>0</v>
      </c>
      <c r="AG6" s="31" t="n">
        <v>0</v>
      </c>
      <c r="AH6" s="32" t="n">
        <v>68</v>
      </c>
      <c r="AI6" s="31" t="n">
        <v>65.3</v>
      </c>
      <c r="AJ6" s="31" t="n">
        <v>40.5</v>
      </c>
      <c r="AK6" s="31" t="n">
        <v>0</v>
      </c>
      <c r="AL6" s="30" t="inlineStr">
        <is>
          <t>T-0154</t>
        </is>
      </c>
      <c r="AM6" s="30" t="inlineStr">
        <is>
          <t>A-02-01</t>
        </is>
      </c>
      <c r="AN6" s="30" t="inlineStr">
        <is>
          <t>T-0001</t>
        </is>
      </c>
      <c r="AO6" s="30" t="inlineStr">
        <is>
          <t>A-02-03</t>
        </is>
      </c>
    </row>
    <row r="7">
      <c r="A7" s="30" t="inlineStr">
        <is>
          <t>O0006</t>
        </is>
      </c>
      <c r="B7" s="30" t="inlineStr">
        <is>
          <t>D</t>
        </is>
      </c>
      <c r="C7" s="31" t="n">
        <v>98.09999999999999</v>
      </c>
      <c r="D7" s="31" t="n">
        <v>177.5</v>
      </c>
      <c r="E7" s="31" t="n">
        <v>207.5</v>
      </c>
      <c r="F7" s="31" t="n">
        <v>223.2</v>
      </c>
      <c r="G7" s="31" t="n">
        <v>246.3</v>
      </c>
      <c r="H7" s="31" t="n">
        <v>246.4</v>
      </c>
      <c r="I7" s="31" t="n">
        <v>256.6</v>
      </c>
      <c r="J7" s="31" t="n">
        <v>298.1</v>
      </c>
      <c r="K7" s="31" t="n">
        <v>200</v>
      </c>
      <c r="L7" s="31" t="n">
        <v>79.40000000000001</v>
      </c>
      <c r="M7" s="30" t="inlineStr">
        <is>
          <t>AMR1</t>
        </is>
      </c>
      <c r="N7" s="30" t="inlineStr">
        <is>
          <t>AMR1</t>
        </is>
      </c>
      <c r="O7" s="32" t="n">
        <v>1</v>
      </c>
      <c r="P7" s="32" t="n">
        <v>14</v>
      </c>
      <c r="Q7" s="32" t="n">
        <v>0</v>
      </c>
      <c r="R7" s="31" t="n">
        <v>51.3</v>
      </c>
      <c r="S7" s="31" t="n">
        <v>51.3</v>
      </c>
      <c r="T7" s="30" t="inlineStr">
        <is>
          <t>AMR1</t>
        </is>
      </c>
      <c r="U7" s="31" t="n">
        <v>39.2</v>
      </c>
      <c r="V7" s="31" t="n">
        <v>39.2</v>
      </c>
      <c r="W7" s="30" t="inlineStr">
        <is>
          <t>AMR1</t>
        </is>
      </c>
      <c r="X7" s="32" t="n">
        <v>0</v>
      </c>
      <c r="Y7" s="32" t="n">
        <v>0</v>
      </c>
      <c r="Z7" s="31" t="n">
        <v>0</v>
      </c>
      <c r="AA7" s="32" t="n">
        <v>0</v>
      </c>
      <c r="AB7" s="32" t="n">
        <v>0</v>
      </c>
      <c r="AC7" s="32" t="n">
        <v>0</v>
      </c>
      <c r="AD7" s="32" t="n">
        <v>1</v>
      </c>
      <c r="AE7" s="31" t="n">
        <v>12.2</v>
      </c>
      <c r="AF7" s="32" t="n">
        <v>2</v>
      </c>
      <c r="AG7" s="31" t="n">
        <v>18.2</v>
      </c>
      <c r="AH7" s="32" t="n">
        <v>43</v>
      </c>
      <c r="AI7" s="31" t="n">
        <v>46.4</v>
      </c>
      <c r="AJ7" s="31" t="n">
        <v>45.9</v>
      </c>
      <c r="AK7" s="31" t="n">
        <v>28.2</v>
      </c>
      <c r="AL7" s="30" t="inlineStr">
        <is>
          <t>T-0157</t>
        </is>
      </c>
      <c r="AM7" s="30" t="inlineStr">
        <is>
          <t>D-03-01</t>
        </is>
      </c>
      <c r="AN7" s="30" t="inlineStr">
        <is>
          <t>T-0047</t>
        </is>
      </c>
      <c r="AO7" s="30" t="inlineStr">
        <is>
          <t>D-01-02</t>
        </is>
      </c>
    </row>
    <row r="8">
      <c r="A8" s="30" t="inlineStr">
        <is>
          <t>O0007</t>
        </is>
      </c>
      <c r="B8" s="30" t="inlineStr">
        <is>
          <t>I</t>
        </is>
      </c>
      <c r="C8" s="31" t="n">
        <v>119.1</v>
      </c>
      <c r="D8" s="31" t="n">
        <v>258</v>
      </c>
      <c r="E8" s="31" t="n">
        <v>281.5</v>
      </c>
      <c r="F8" s="31" t="n">
        <v>296</v>
      </c>
      <c r="G8" s="31" t="n">
        <v>318.3</v>
      </c>
      <c r="H8" s="31" t="n">
        <v>318.4</v>
      </c>
      <c r="I8" s="31" t="n">
        <v>331.7</v>
      </c>
      <c r="J8" s="31" t="n">
        <v>360.2</v>
      </c>
      <c r="K8" s="31" t="n">
        <v>241.1</v>
      </c>
      <c r="L8" s="31" t="n">
        <v>138.9</v>
      </c>
      <c r="M8" s="30" t="inlineStr">
        <is>
          <t>AMR2</t>
        </is>
      </c>
      <c r="N8" s="30" t="inlineStr">
        <is>
          <t>AMR2</t>
        </is>
      </c>
      <c r="O8" s="32" t="n">
        <v>1</v>
      </c>
      <c r="P8" s="32" t="n">
        <v>25</v>
      </c>
      <c r="Q8" s="32" t="n">
        <v>1</v>
      </c>
      <c r="R8" s="31" t="n">
        <v>58.5</v>
      </c>
      <c r="S8" s="31" t="n">
        <v>58.5</v>
      </c>
      <c r="T8" s="30" t="inlineStr">
        <is>
          <t>AMR2</t>
        </is>
      </c>
      <c r="U8" s="31" t="n">
        <v>40.5</v>
      </c>
      <c r="V8" s="31" t="n">
        <v>40.5</v>
      </c>
      <c r="W8" s="30" t="inlineStr">
        <is>
          <t>AMR2</t>
        </is>
      </c>
      <c r="X8" s="32" t="n">
        <v>0</v>
      </c>
      <c r="Y8" s="32" t="n">
        <v>0</v>
      </c>
      <c r="Z8" s="31" t="n">
        <v>0</v>
      </c>
      <c r="AA8" s="32" t="n">
        <v>0</v>
      </c>
      <c r="AB8" s="32" t="n">
        <v>0</v>
      </c>
      <c r="AC8" s="32" t="n">
        <v>0</v>
      </c>
      <c r="AD8" s="32" t="n">
        <v>0</v>
      </c>
      <c r="AE8" s="31" t="n">
        <v>0</v>
      </c>
      <c r="AF8" s="32" t="n">
        <v>0</v>
      </c>
      <c r="AG8" s="31" t="n">
        <v>0</v>
      </c>
      <c r="AH8" s="32" t="n">
        <v>54</v>
      </c>
      <c r="AI8" s="31" t="n">
        <v>57.2</v>
      </c>
      <c r="AJ8" s="31" t="n">
        <v>44.9</v>
      </c>
      <c r="AK8" s="31" t="n">
        <v>0</v>
      </c>
      <c r="AL8" s="30" t="inlineStr">
        <is>
          <t>T-0158</t>
        </is>
      </c>
      <c r="AM8" s="30" t="inlineStr">
        <is>
          <t>I-02-01</t>
        </is>
      </c>
      <c r="AN8" s="30" t="inlineStr">
        <is>
          <t>T-0122</t>
        </is>
      </c>
      <c r="AO8" s="30" t="inlineStr">
        <is>
          <t>I-03-02</t>
        </is>
      </c>
    </row>
    <row r="9">
      <c r="A9" s="30" t="inlineStr">
        <is>
          <t>O0008</t>
        </is>
      </c>
      <c r="B9" s="30" t="inlineStr">
        <is>
          <t>I</t>
        </is>
      </c>
      <c r="C9" s="31" t="n">
        <v>141.2</v>
      </c>
      <c r="D9" s="31" t="n">
        <v>371.2</v>
      </c>
      <c r="E9" s="31" t="n">
        <v>398.8</v>
      </c>
      <c r="F9" s="31" t="n">
        <v>412.4</v>
      </c>
      <c r="G9" s="31" t="n">
        <v>439.9</v>
      </c>
      <c r="H9" s="31" t="n">
        <v>440</v>
      </c>
      <c r="I9" s="31" t="n">
        <v>450.6</v>
      </c>
      <c r="J9" s="31" t="n">
        <v>481.6</v>
      </c>
      <c r="K9" s="31" t="n">
        <v>340.4</v>
      </c>
      <c r="L9" s="31" t="n">
        <v>230</v>
      </c>
      <c r="M9" s="30" t="inlineStr">
        <is>
          <t>AMR1</t>
        </is>
      </c>
      <c r="N9" s="30" t="inlineStr">
        <is>
          <t>AMR1</t>
        </is>
      </c>
      <c r="O9" s="32" t="n">
        <v>1</v>
      </c>
      <c r="P9" s="32" t="n">
        <v>14</v>
      </c>
      <c r="Q9" s="32" t="n">
        <v>1</v>
      </c>
      <c r="R9" s="31" t="n">
        <v>52.3</v>
      </c>
      <c r="S9" s="31" t="n">
        <v>52.3</v>
      </c>
      <c r="T9" s="30" t="inlineStr">
        <is>
          <t>AMR1</t>
        </is>
      </c>
      <c r="U9" s="31" t="n">
        <v>38.2</v>
      </c>
      <c r="V9" s="31" t="n">
        <v>38.2</v>
      </c>
      <c r="W9" s="30" t="inlineStr">
        <is>
          <t>AMR1</t>
        </is>
      </c>
      <c r="X9" s="32" t="n">
        <v>0</v>
      </c>
      <c r="Y9" s="32" t="n">
        <v>0</v>
      </c>
      <c r="Z9" s="31" t="n">
        <v>0</v>
      </c>
      <c r="AA9" s="32" t="n">
        <v>0</v>
      </c>
      <c r="AB9" s="32" t="n">
        <v>0</v>
      </c>
      <c r="AC9" s="32" t="n">
        <v>0</v>
      </c>
      <c r="AD9" s="32" t="n">
        <v>1</v>
      </c>
      <c r="AE9" s="31" t="n">
        <v>3</v>
      </c>
      <c r="AF9" s="32" t="n">
        <v>1</v>
      </c>
      <c r="AG9" s="31" t="n">
        <v>8</v>
      </c>
      <c r="AH9" s="32" t="n">
        <v>45</v>
      </c>
      <c r="AI9" s="31" t="n">
        <v>49</v>
      </c>
      <c r="AJ9" s="31" t="n">
        <v>45.3</v>
      </c>
      <c r="AK9" s="31" t="n">
        <v>16</v>
      </c>
      <c r="AL9" s="30" t="inlineStr">
        <is>
          <t>T-0162</t>
        </is>
      </c>
      <c r="AM9" s="30" t="inlineStr">
        <is>
          <t>I-04-01</t>
        </is>
      </c>
      <c r="AN9" s="30" t="inlineStr">
        <is>
          <t>T-0123</t>
        </is>
      </c>
      <c r="AO9" s="30" t="inlineStr">
        <is>
          <t>I-03-01</t>
        </is>
      </c>
    </row>
    <row r="10">
      <c r="A10" s="30" t="inlineStr">
        <is>
          <t>O0009</t>
        </is>
      </c>
      <c r="B10" s="30" t="inlineStr">
        <is>
          <t>J</t>
        </is>
      </c>
      <c r="C10" s="31" t="n">
        <v>158.4</v>
      </c>
      <c r="D10" s="31" t="n">
        <v>169.7</v>
      </c>
      <c r="E10" s="31" t="n">
        <v>193.2</v>
      </c>
      <c r="F10" s="31" t="n">
        <v>207.1</v>
      </c>
      <c r="G10" s="31" t="n">
        <v>235.8</v>
      </c>
      <c r="H10" s="31" t="n">
        <v>235.9</v>
      </c>
      <c r="I10" s="31" t="n">
        <v>247.3</v>
      </c>
      <c r="J10" s="31" t="n">
        <v>280.3</v>
      </c>
      <c r="K10" s="31" t="n">
        <v>121.9</v>
      </c>
      <c r="L10" s="31" t="n">
        <v>11.3</v>
      </c>
      <c r="M10" s="30" t="inlineStr">
        <is>
          <t>AMR3</t>
        </is>
      </c>
      <c r="N10" s="30" t="inlineStr">
        <is>
          <t>AMR3</t>
        </is>
      </c>
      <c r="O10" s="32" t="n">
        <v>1</v>
      </c>
      <c r="P10" s="32" t="n">
        <v>25</v>
      </c>
      <c r="Q10" s="32" t="n">
        <v>1</v>
      </c>
      <c r="R10" s="31" t="n">
        <v>64.3</v>
      </c>
      <c r="S10" s="31" t="n">
        <v>63.8</v>
      </c>
      <c r="T10" s="30" t="inlineStr">
        <is>
          <t>AMR1</t>
        </is>
      </c>
      <c r="U10" s="31" t="n">
        <v>42.6</v>
      </c>
      <c r="V10" s="31" t="n">
        <v>42.6</v>
      </c>
      <c r="W10" s="30" t="inlineStr">
        <is>
          <t>AMR3</t>
        </is>
      </c>
      <c r="X10" s="32" t="n">
        <v>1</v>
      </c>
      <c r="Y10" s="32" t="n">
        <v>11</v>
      </c>
      <c r="Z10" s="31" t="n">
        <v>0.5</v>
      </c>
      <c r="AA10" s="32" t="n">
        <v>0</v>
      </c>
      <c r="AB10" s="32" t="n">
        <v>0</v>
      </c>
      <c r="AC10" s="32" t="n">
        <v>0</v>
      </c>
      <c r="AD10" s="32" t="n">
        <v>0</v>
      </c>
      <c r="AE10" s="31" t="n">
        <v>0</v>
      </c>
      <c r="AF10" s="32" t="n">
        <v>0</v>
      </c>
      <c r="AG10" s="31" t="n">
        <v>0</v>
      </c>
      <c r="AH10" s="32" t="n">
        <v>68</v>
      </c>
      <c r="AI10" s="31" t="n">
        <v>68.3</v>
      </c>
      <c r="AJ10" s="31" t="n">
        <v>42.2</v>
      </c>
      <c r="AK10" s="31" t="n">
        <v>0</v>
      </c>
      <c r="AL10" s="30" t="inlineStr">
        <is>
          <t>T-0156</t>
        </is>
      </c>
      <c r="AM10" s="30" t="inlineStr">
        <is>
          <t>J-01-01</t>
        </is>
      </c>
      <c r="AN10" s="30" t="inlineStr">
        <is>
          <t>T-0136</t>
        </is>
      </c>
      <c r="AO10" s="30" t="inlineStr">
        <is>
          <t>J-04-02</t>
        </is>
      </c>
    </row>
    <row r="11">
      <c r="A11" s="30" t="inlineStr">
        <is>
          <t>O0010</t>
        </is>
      </c>
      <c r="B11" s="30" t="inlineStr">
        <is>
          <t>A</t>
        </is>
      </c>
      <c r="C11" s="31" t="n">
        <v>181.5</v>
      </c>
      <c r="D11" s="31" t="n">
        <v>280.4</v>
      </c>
      <c r="E11" s="31" t="n">
        <v>305.9</v>
      </c>
      <c r="F11" s="31" t="n">
        <v>317</v>
      </c>
      <c r="G11" s="31" t="n">
        <v>346.4</v>
      </c>
      <c r="H11" s="31" t="n">
        <v>346.5</v>
      </c>
      <c r="I11" s="31" t="n">
        <v>360.8</v>
      </c>
      <c r="J11" s="31" t="n">
        <v>397.1</v>
      </c>
      <c r="K11" s="31" t="n">
        <v>215.6</v>
      </c>
      <c r="L11" s="31" t="n">
        <v>98.90000000000001</v>
      </c>
      <c r="M11" s="30" t="inlineStr">
        <is>
          <t>AMR3</t>
        </is>
      </c>
      <c r="N11" s="30" t="inlineStr">
        <is>
          <t>AMR3</t>
        </is>
      </c>
      <c r="O11" s="32" t="n">
        <v>1</v>
      </c>
      <c r="P11" s="32" t="n">
        <v>25</v>
      </c>
      <c r="Q11" s="32" t="n">
        <v>0</v>
      </c>
      <c r="R11" s="31" t="n">
        <v>61.3</v>
      </c>
      <c r="S11" s="31" t="n">
        <v>61.3</v>
      </c>
      <c r="T11" s="30" t="inlineStr">
        <is>
          <t>AMR3</t>
        </is>
      </c>
      <c r="U11" s="31" t="n">
        <v>51.3</v>
      </c>
      <c r="V11" s="31" t="n">
        <v>51.3</v>
      </c>
      <c r="W11" s="30" t="inlineStr">
        <is>
          <t>AMR3</t>
        </is>
      </c>
      <c r="X11" s="32" t="n">
        <v>0</v>
      </c>
      <c r="Y11" s="32" t="n">
        <v>0</v>
      </c>
      <c r="Z11" s="31" t="n">
        <v>0</v>
      </c>
      <c r="AA11" s="32" t="n">
        <v>0</v>
      </c>
      <c r="AB11" s="32" t="n">
        <v>0</v>
      </c>
      <c r="AC11" s="32" t="n">
        <v>0</v>
      </c>
      <c r="AD11" s="32" t="n">
        <v>0</v>
      </c>
      <c r="AE11" s="31" t="n">
        <v>0</v>
      </c>
      <c r="AF11" s="32" t="n">
        <v>0</v>
      </c>
      <c r="AG11" s="31" t="n">
        <v>0</v>
      </c>
      <c r="AH11" s="32" t="n">
        <v>70</v>
      </c>
      <c r="AI11" s="31" t="n">
        <v>68.7</v>
      </c>
      <c r="AJ11" s="31" t="n">
        <v>45.9</v>
      </c>
      <c r="AK11" s="31" t="n">
        <v>2</v>
      </c>
      <c r="AL11" s="30" t="inlineStr">
        <is>
          <t>T-0159</t>
        </is>
      </c>
      <c r="AM11" s="30" t="inlineStr">
        <is>
          <t>A-03-01</t>
        </is>
      </c>
      <c r="AN11" s="30" t="inlineStr">
        <is>
          <t>T-0002</t>
        </is>
      </c>
      <c r="AO11" s="30" t="inlineStr">
        <is>
          <t>A-05-03</t>
        </is>
      </c>
    </row>
    <row r="12">
      <c r="A12" s="30" t="inlineStr">
        <is>
          <t>O0011</t>
        </is>
      </c>
      <c r="B12" s="30" t="inlineStr">
        <is>
          <t>F</t>
        </is>
      </c>
      <c r="C12" s="31" t="n">
        <v>203.5</v>
      </c>
      <c r="D12" s="31" t="n">
        <v>481.7</v>
      </c>
      <c r="E12" s="31" t="n">
        <v>509.2</v>
      </c>
      <c r="F12" s="31" t="n">
        <v>525.4</v>
      </c>
      <c r="G12" s="31" t="n">
        <v>557.9</v>
      </c>
      <c r="H12" s="31" t="n">
        <v>558</v>
      </c>
      <c r="I12" s="31" t="n">
        <v>568.1</v>
      </c>
      <c r="J12" s="31" t="n">
        <v>599.9</v>
      </c>
      <c r="K12" s="31" t="n">
        <v>396.4</v>
      </c>
      <c r="L12" s="31" t="n">
        <v>278.2</v>
      </c>
      <c r="M12" s="30" t="inlineStr">
        <is>
          <t>AMR1</t>
        </is>
      </c>
      <c r="N12" s="30" t="inlineStr">
        <is>
          <t>AMR1</t>
        </is>
      </c>
      <c r="O12" s="32" t="n">
        <v>1</v>
      </c>
      <c r="P12" s="32" t="n">
        <v>25</v>
      </c>
      <c r="Q12" s="32" t="n">
        <v>0</v>
      </c>
      <c r="R12" s="31" t="n">
        <v>69.59999999999999</v>
      </c>
      <c r="S12" s="31" t="n">
        <v>69.59999999999999</v>
      </c>
      <c r="T12" s="30" t="inlineStr">
        <is>
          <t>AMR1</t>
        </is>
      </c>
      <c r="U12" s="31" t="n">
        <v>40.1</v>
      </c>
      <c r="V12" s="31" t="n">
        <v>40.1</v>
      </c>
      <c r="W12" s="30" t="inlineStr">
        <is>
          <t>AMR1</t>
        </is>
      </c>
      <c r="X12" s="32" t="n">
        <v>0</v>
      </c>
      <c r="Y12" s="32" t="n">
        <v>0</v>
      </c>
      <c r="Z12" s="31" t="n">
        <v>0</v>
      </c>
      <c r="AA12" s="32" t="n">
        <v>0</v>
      </c>
      <c r="AB12" s="32" t="n">
        <v>0</v>
      </c>
      <c r="AC12" s="32" t="n">
        <v>0</v>
      </c>
      <c r="AD12" s="32" t="n">
        <v>0</v>
      </c>
      <c r="AE12" s="31" t="n">
        <v>0</v>
      </c>
      <c r="AF12" s="32" t="n">
        <v>0</v>
      </c>
      <c r="AG12" s="31" t="n">
        <v>0</v>
      </c>
      <c r="AH12" s="32" t="n">
        <v>72</v>
      </c>
      <c r="AI12" s="31" t="n">
        <v>71.59999999999999</v>
      </c>
      <c r="AJ12" s="31" t="n">
        <v>42.5</v>
      </c>
      <c r="AK12" s="31" t="n">
        <v>4</v>
      </c>
      <c r="AL12" s="30" t="inlineStr">
        <is>
          <t>T-0165</t>
        </is>
      </c>
      <c r="AM12" s="30" t="inlineStr">
        <is>
          <t>F-03-01</t>
        </is>
      </c>
      <c r="AN12" s="30" t="inlineStr">
        <is>
          <t>T-0077</t>
        </is>
      </c>
      <c r="AO12" s="30" t="inlineStr">
        <is>
          <t>F-01-01</t>
        </is>
      </c>
    </row>
    <row r="13">
      <c r="A13" s="30" t="inlineStr">
        <is>
          <t>O0012</t>
        </is>
      </c>
      <c r="B13" s="30" t="inlineStr">
        <is>
          <t>F</t>
        </is>
      </c>
      <c r="C13" s="31" t="n">
        <v>220.1</v>
      </c>
      <c r="D13" s="31" t="n">
        <v>397.2</v>
      </c>
      <c r="E13" s="31" t="n">
        <v>422.7</v>
      </c>
      <c r="F13" s="31" t="n">
        <v>434</v>
      </c>
      <c r="G13" s="31" t="n">
        <v>468.5</v>
      </c>
      <c r="H13" s="31" t="n">
        <v>468.6</v>
      </c>
      <c r="I13" s="31" t="n">
        <v>479.6</v>
      </c>
      <c r="J13" s="31" t="n">
        <v>511.3</v>
      </c>
      <c r="K13" s="31" t="n">
        <v>291.2</v>
      </c>
      <c r="L13" s="31" t="n">
        <v>177.1</v>
      </c>
      <c r="M13" s="30" t="inlineStr">
        <is>
          <t>AMR3</t>
        </is>
      </c>
      <c r="N13" s="30" t="inlineStr">
        <is>
          <t>AMR3</t>
        </is>
      </c>
      <c r="O13" s="32" t="n">
        <v>1</v>
      </c>
      <c r="P13" s="32" t="n">
        <v>25</v>
      </c>
      <c r="Q13" s="32" t="n">
        <v>1</v>
      </c>
      <c r="R13" s="31" t="n">
        <v>65.90000000000001</v>
      </c>
      <c r="S13" s="31" t="n">
        <v>65.90000000000001</v>
      </c>
      <c r="T13" s="30" t="inlineStr">
        <is>
          <t>AMR3</t>
        </is>
      </c>
      <c r="U13" s="31" t="n">
        <v>43.4</v>
      </c>
      <c r="V13" s="31" t="n">
        <v>43.4</v>
      </c>
      <c r="W13" s="30" t="inlineStr">
        <is>
          <t>AMR3</t>
        </is>
      </c>
      <c r="X13" s="32" t="n">
        <v>0</v>
      </c>
      <c r="Y13" s="32" t="n">
        <v>0</v>
      </c>
      <c r="Z13" s="31" t="n">
        <v>0</v>
      </c>
      <c r="AA13" s="32" t="n">
        <v>0</v>
      </c>
      <c r="AB13" s="32" t="n">
        <v>0</v>
      </c>
      <c r="AC13" s="32" t="n">
        <v>0</v>
      </c>
      <c r="AD13" s="32" t="n">
        <v>0</v>
      </c>
      <c r="AE13" s="31" t="n">
        <v>0</v>
      </c>
      <c r="AF13" s="32" t="n">
        <v>0</v>
      </c>
      <c r="AG13" s="31" t="n">
        <v>0</v>
      </c>
      <c r="AH13" s="32" t="n">
        <v>72</v>
      </c>
      <c r="AI13" s="31" t="n">
        <v>70.59999999999999</v>
      </c>
      <c r="AJ13" s="31" t="n">
        <v>41.4</v>
      </c>
      <c r="AK13" s="31" t="n">
        <v>2</v>
      </c>
      <c r="AL13" s="30" t="inlineStr">
        <is>
          <t>T-0163</t>
        </is>
      </c>
      <c r="AM13" s="30" t="inlineStr">
        <is>
          <t>F-02-01</t>
        </is>
      </c>
      <c r="AN13" s="30" t="inlineStr">
        <is>
          <t>T-0076</t>
        </is>
      </c>
      <c r="AO13" s="30" t="inlineStr">
        <is>
          <t>F-05-05</t>
        </is>
      </c>
    </row>
    <row r="14">
      <c r="A14" s="30" t="inlineStr">
        <is>
          <t>O0013</t>
        </is>
      </c>
      <c r="B14" s="30" t="inlineStr">
        <is>
          <t>B</t>
        </is>
      </c>
      <c r="C14" s="31" t="n">
        <v>236</v>
      </c>
      <c r="D14" s="31" t="n">
        <v>360.3</v>
      </c>
      <c r="E14" s="31" t="n">
        <v>383.8</v>
      </c>
      <c r="F14" s="31" t="n">
        <v>394.2</v>
      </c>
      <c r="G14" s="31" t="n">
        <v>420.4</v>
      </c>
      <c r="H14" s="31" t="n">
        <v>420.5</v>
      </c>
      <c r="I14" s="31" t="n">
        <v>434.3</v>
      </c>
      <c r="J14" s="31" t="n">
        <v>461.7</v>
      </c>
      <c r="K14" s="31" t="n">
        <v>225.7</v>
      </c>
      <c r="L14" s="31" t="n">
        <v>124.3</v>
      </c>
      <c r="M14" s="30" t="inlineStr">
        <is>
          <t>AMR2</t>
        </is>
      </c>
      <c r="N14" s="30" t="inlineStr">
        <is>
          <t>AMR2</t>
        </is>
      </c>
      <c r="O14" s="32" t="n">
        <v>1</v>
      </c>
      <c r="P14" s="32" t="n">
        <v>25</v>
      </c>
      <c r="Q14" s="32" t="n">
        <v>1</v>
      </c>
      <c r="R14" s="31" t="n">
        <v>58.2</v>
      </c>
      <c r="S14" s="31" t="n">
        <v>58.2</v>
      </c>
      <c r="T14" s="30" t="inlineStr">
        <is>
          <t>AMR2</t>
        </is>
      </c>
      <c r="U14" s="31" t="n">
        <v>42.4</v>
      </c>
      <c r="V14" s="31" t="n">
        <v>42.4</v>
      </c>
      <c r="W14" s="30" t="inlineStr">
        <is>
          <t>AMR2</t>
        </is>
      </c>
      <c r="X14" s="32" t="n">
        <v>0</v>
      </c>
      <c r="Y14" s="32" t="n">
        <v>0</v>
      </c>
      <c r="Z14" s="31" t="n">
        <v>0</v>
      </c>
      <c r="AA14" s="32" t="n">
        <v>0</v>
      </c>
      <c r="AB14" s="32" t="n">
        <v>0</v>
      </c>
      <c r="AC14" s="32" t="n">
        <v>0</v>
      </c>
      <c r="AD14" s="32" t="n">
        <v>0</v>
      </c>
      <c r="AE14" s="31" t="n">
        <v>0</v>
      </c>
      <c r="AF14" s="32" t="n">
        <v>0</v>
      </c>
      <c r="AG14" s="31" t="n">
        <v>0</v>
      </c>
      <c r="AH14" s="32" t="n">
        <v>56</v>
      </c>
      <c r="AI14" s="31" t="n">
        <v>57.5</v>
      </c>
      <c r="AJ14" s="31" t="n">
        <v>43.8</v>
      </c>
      <c r="AK14" s="31" t="n">
        <v>0</v>
      </c>
      <c r="AL14" s="30" t="inlineStr">
        <is>
          <t>T-0161</t>
        </is>
      </c>
      <c r="AM14" s="30" t="inlineStr">
        <is>
          <t>B-04-01</t>
        </is>
      </c>
      <c r="AN14" s="30" t="inlineStr">
        <is>
          <t>T-0018</t>
        </is>
      </c>
      <c r="AO14" s="30" t="inlineStr">
        <is>
          <t>B-05-04</t>
        </is>
      </c>
    </row>
    <row r="15">
      <c r="A15" s="30" t="inlineStr">
        <is>
          <t>O0014</t>
        </is>
      </c>
      <c r="B15" s="30" t="inlineStr">
        <is>
          <t>J</t>
        </is>
      </c>
      <c r="C15" s="31" t="n">
        <v>259.5</v>
      </c>
      <c r="D15" s="31" t="n">
        <v>511.4</v>
      </c>
      <c r="E15" s="31" t="n">
        <v>534.9</v>
      </c>
      <c r="F15" s="31" t="n">
        <v>550.7</v>
      </c>
      <c r="G15" s="31" t="n">
        <v>582.5</v>
      </c>
      <c r="H15" s="31" t="n">
        <v>582.6</v>
      </c>
      <c r="I15" s="31" t="n">
        <v>595.6</v>
      </c>
      <c r="J15" s="31" t="n">
        <v>630.1</v>
      </c>
      <c r="K15" s="31" t="n">
        <v>370.6</v>
      </c>
      <c r="L15" s="31" t="n">
        <v>251.9</v>
      </c>
      <c r="M15" s="30" t="inlineStr">
        <is>
          <t>AMR3</t>
        </is>
      </c>
      <c r="N15" s="30" t="inlineStr">
        <is>
          <t>AMR3</t>
        </is>
      </c>
      <c r="O15" s="32" t="n">
        <v>1</v>
      </c>
      <c r="P15" s="32" t="n">
        <v>25</v>
      </c>
      <c r="Q15" s="32" t="n">
        <v>1</v>
      </c>
      <c r="R15" s="31" t="n">
        <v>69.3</v>
      </c>
      <c r="S15" s="31" t="n">
        <v>69.3</v>
      </c>
      <c r="T15" s="30" t="inlineStr">
        <is>
          <t>AMR3</t>
        </is>
      </c>
      <c r="U15" s="31" t="n">
        <v>44.2</v>
      </c>
      <c r="V15" s="31" t="n">
        <v>44.2</v>
      </c>
      <c r="W15" s="30" t="inlineStr">
        <is>
          <t>AMR3</t>
        </is>
      </c>
      <c r="X15" s="32" t="n">
        <v>0</v>
      </c>
      <c r="Y15" s="32" t="n">
        <v>0</v>
      </c>
      <c r="Z15" s="31" t="n">
        <v>0</v>
      </c>
      <c r="AA15" s="32" t="n">
        <v>0</v>
      </c>
      <c r="AB15" s="32" t="n">
        <v>0</v>
      </c>
      <c r="AC15" s="32" t="n">
        <v>0</v>
      </c>
      <c r="AD15" s="32" t="n">
        <v>0</v>
      </c>
      <c r="AE15" s="31" t="n">
        <v>0</v>
      </c>
      <c r="AF15" s="32" t="n">
        <v>0</v>
      </c>
      <c r="AG15" s="31" t="n">
        <v>0</v>
      </c>
      <c r="AH15" s="32" t="n">
        <v>70</v>
      </c>
      <c r="AI15" s="31" t="n">
        <v>69.8</v>
      </c>
      <c r="AJ15" s="31" t="n">
        <v>48.8</v>
      </c>
      <c r="AK15" s="31" t="n">
        <v>0</v>
      </c>
      <c r="AL15" s="30" t="inlineStr">
        <is>
          <t>T-0166</t>
        </is>
      </c>
      <c r="AM15" s="30" t="inlineStr">
        <is>
          <t>J-02-01</t>
        </is>
      </c>
      <c r="AN15" s="30" t="inlineStr">
        <is>
          <t>T-0137</t>
        </is>
      </c>
      <c r="AO15" s="30" t="inlineStr">
        <is>
          <t>J-06-03</t>
        </is>
      </c>
    </row>
    <row r="16">
      <c r="A16" s="30" t="inlineStr">
        <is>
          <t>O0015</t>
        </is>
      </c>
      <c r="B16" s="30" t="inlineStr">
        <is>
          <t>H</t>
        </is>
      </c>
      <c r="C16" s="31" t="n">
        <v>282.6</v>
      </c>
      <c r="D16" s="31" t="n">
        <v>298.2</v>
      </c>
      <c r="E16" s="31" t="n">
        <v>329.7</v>
      </c>
      <c r="F16" s="31" t="n">
        <v>344.3</v>
      </c>
      <c r="G16" s="31" t="n">
        <v>371.1</v>
      </c>
      <c r="H16" s="31" t="n">
        <v>600</v>
      </c>
      <c r="I16" s="31" t="n">
        <v>629.1</v>
      </c>
      <c r="J16" s="31" t="n">
        <v>668.3</v>
      </c>
      <c r="K16" s="31" t="n">
        <v>385.7</v>
      </c>
      <c r="L16" s="31" t="n">
        <v>15.6</v>
      </c>
      <c r="M16" s="30" t="inlineStr">
        <is>
          <t>AMR1</t>
        </is>
      </c>
      <c r="N16" s="30" t="inlineStr">
        <is>
          <t>AMR1</t>
        </is>
      </c>
      <c r="O16" s="32" t="n">
        <v>1</v>
      </c>
      <c r="P16" s="32" t="n">
        <v>25</v>
      </c>
      <c r="Q16" s="32" t="n">
        <v>14</v>
      </c>
      <c r="R16" s="31" t="n">
        <v>63.1</v>
      </c>
      <c r="S16" s="31" t="n">
        <v>63.1</v>
      </c>
      <c r="T16" s="30" t="inlineStr">
        <is>
          <t>AMR1</t>
        </is>
      </c>
      <c r="U16" s="31" t="n">
        <v>51.3</v>
      </c>
      <c r="V16" s="31" t="n">
        <v>51.3</v>
      </c>
      <c r="W16" s="30" t="inlineStr">
        <is>
          <t>AMR1</t>
        </is>
      </c>
      <c r="X16" s="32" t="n">
        <v>0</v>
      </c>
      <c r="Y16" s="32" t="n">
        <v>0</v>
      </c>
      <c r="Z16" s="31" t="n">
        <v>0</v>
      </c>
      <c r="AA16" s="32" t="n">
        <v>0</v>
      </c>
      <c r="AB16" s="32" t="n">
        <v>0</v>
      </c>
      <c r="AC16" s="32" t="n">
        <v>0</v>
      </c>
      <c r="AD16" s="32" t="n">
        <v>2</v>
      </c>
      <c r="AE16" s="31" t="n">
        <v>3.2</v>
      </c>
      <c r="AF16" s="32" t="n">
        <v>1</v>
      </c>
      <c r="AG16" s="31" t="n">
        <v>3</v>
      </c>
      <c r="AH16" s="32" t="n">
        <v>71</v>
      </c>
      <c r="AI16" s="31" t="n">
        <v>78</v>
      </c>
      <c r="AJ16" s="31" t="n">
        <v>48.5</v>
      </c>
      <c r="AK16" s="31" t="n">
        <v>14.7</v>
      </c>
      <c r="AL16" s="30" t="inlineStr">
        <is>
          <t>T-0160</t>
        </is>
      </c>
      <c r="AM16" s="30" t="inlineStr">
        <is>
          <t>H-04-01</t>
        </is>
      </c>
      <c r="AN16" s="30" t="inlineStr">
        <is>
          <t>T-0106</t>
        </is>
      </c>
      <c r="AO16" s="30" t="inlineStr">
        <is>
          <t>H-02-04</t>
        </is>
      </c>
    </row>
    <row r="17">
      <c r="A17" s="30" t="inlineStr">
        <is>
          <t>O0016</t>
        </is>
      </c>
      <c r="B17" s="30" t="inlineStr">
        <is>
          <t>G</t>
        </is>
      </c>
      <c r="C17" s="31" t="n">
        <v>298.8</v>
      </c>
      <c r="D17" s="31" t="n">
        <v>630.2</v>
      </c>
      <c r="E17" s="31" t="n">
        <v>653.7</v>
      </c>
      <c r="F17" s="31" t="n">
        <v>665.3</v>
      </c>
      <c r="G17" s="31" t="n">
        <v>695</v>
      </c>
      <c r="H17" s="31" t="n">
        <v>695.1</v>
      </c>
      <c r="I17" s="31" t="n">
        <v>707.1</v>
      </c>
      <c r="J17" s="31" t="n">
        <v>734.9</v>
      </c>
      <c r="K17" s="31" t="n">
        <v>436.1</v>
      </c>
      <c r="L17" s="31" t="n">
        <v>331.4</v>
      </c>
      <c r="M17" s="30" t="inlineStr">
        <is>
          <t>AMR3</t>
        </is>
      </c>
      <c r="N17" s="30" t="inlineStr">
        <is>
          <t>AMR3</t>
        </is>
      </c>
      <c r="O17" s="32" t="n">
        <v>1</v>
      </c>
      <c r="P17" s="32" t="n">
        <v>25</v>
      </c>
      <c r="Q17" s="32" t="n">
        <v>0</v>
      </c>
      <c r="R17" s="31" t="n">
        <v>62.2</v>
      </c>
      <c r="S17" s="31" t="n">
        <v>62.2</v>
      </c>
      <c r="T17" s="30" t="inlineStr">
        <is>
          <t>AMR3</t>
        </is>
      </c>
      <c r="U17" s="31" t="n">
        <v>39.5</v>
      </c>
      <c r="V17" s="31" t="n">
        <v>39.5</v>
      </c>
      <c r="W17" s="30" t="inlineStr">
        <is>
          <t>AMR3</t>
        </is>
      </c>
      <c r="X17" s="32" t="n">
        <v>0</v>
      </c>
      <c r="Y17" s="32" t="n">
        <v>0</v>
      </c>
      <c r="Z17" s="31" t="n">
        <v>0</v>
      </c>
      <c r="AA17" s="32" t="n">
        <v>0</v>
      </c>
      <c r="AB17" s="32" t="n">
        <v>0</v>
      </c>
      <c r="AC17" s="32" t="n">
        <v>0</v>
      </c>
      <c r="AD17" s="32" t="n">
        <v>0</v>
      </c>
      <c r="AE17" s="31" t="n">
        <v>0</v>
      </c>
      <c r="AF17" s="32" t="n">
        <v>0</v>
      </c>
      <c r="AG17" s="31" t="n">
        <v>0</v>
      </c>
      <c r="AH17" s="32" t="n">
        <v>58</v>
      </c>
      <c r="AI17" s="31" t="n">
        <v>59.5</v>
      </c>
      <c r="AJ17" s="31" t="n">
        <v>45.1</v>
      </c>
      <c r="AK17" s="31" t="n">
        <v>0</v>
      </c>
      <c r="AL17" s="30" t="inlineStr">
        <is>
          <t>T-0168</t>
        </is>
      </c>
      <c r="AM17" s="30" t="inlineStr">
        <is>
          <t>G-03-01</t>
        </is>
      </c>
      <c r="AN17" s="30" t="inlineStr">
        <is>
          <t>T-0091</t>
        </is>
      </c>
      <c r="AO17" s="30" t="inlineStr">
        <is>
          <t>G-05-02</t>
        </is>
      </c>
    </row>
    <row r="18">
      <c r="A18" s="30" t="inlineStr">
        <is>
          <t>O0017</t>
        </is>
      </c>
      <c r="B18" s="30" t="inlineStr">
        <is>
          <t>J</t>
        </is>
      </c>
      <c r="C18" s="31" t="n">
        <v>319.3</v>
      </c>
      <c r="D18" s="31" t="n">
        <v>715.8</v>
      </c>
      <c r="E18" s="31" t="n">
        <v>733.3</v>
      </c>
      <c r="F18" s="31" t="n">
        <v>747.2</v>
      </c>
      <c r="G18" s="31" t="n">
        <v>780.8</v>
      </c>
      <c r="H18" s="31" t="n">
        <v>780.9</v>
      </c>
      <c r="I18" s="31" t="n">
        <v>792.5</v>
      </c>
      <c r="J18" s="31" t="n">
        <v>822.3</v>
      </c>
      <c r="K18" s="31" t="n">
        <v>503</v>
      </c>
      <c r="L18" s="31" t="n">
        <v>396.5</v>
      </c>
      <c r="M18" s="30" t="inlineStr">
        <is>
          <t>AMR2</t>
        </is>
      </c>
      <c r="N18" s="30" t="inlineStr">
        <is>
          <t>AMR2</t>
        </is>
      </c>
      <c r="O18" s="32" t="n">
        <v>1</v>
      </c>
      <c r="P18" s="32" t="n">
        <v>19</v>
      </c>
      <c r="Q18" s="32" t="n">
        <v>1</v>
      </c>
      <c r="R18" s="31" t="n">
        <v>63.4</v>
      </c>
      <c r="S18" s="31" t="n">
        <v>63.4</v>
      </c>
      <c r="T18" s="30" t="inlineStr">
        <is>
          <t>AMR2</t>
        </is>
      </c>
      <c r="U18" s="31" t="n">
        <v>42</v>
      </c>
      <c r="V18" s="31" t="n">
        <v>42</v>
      </c>
      <c r="W18" s="30" t="inlineStr">
        <is>
          <t>AMR2</t>
        </is>
      </c>
      <c r="X18" s="32" t="n">
        <v>0</v>
      </c>
      <c r="Y18" s="32" t="n">
        <v>0</v>
      </c>
      <c r="Z18" s="31" t="n">
        <v>0</v>
      </c>
      <c r="AA18" s="32" t="n">
        <v>0</v>
      </c>
      <c r="AB18" s="32" t="n">
        <v>0</v>
      </c>
      <c r="AC18" s="32" t="n">
        <v>0</v>
      </c>
      <c r="AD18" s="32" t="n">
        <v>0</v>
      </c>
      <c r="AE18" s="31" t="n">
        <v>0</v>
      </c>
      <c r="AF18" s="32" t="n">
        <v>0</v>
      </c>
      <c r="AG18" s="31" t="n">
        <v>0</v>
      </c>
      <c r="AH18" s="32" t="n">
        <v>62</v>
      </c>
      <c r="AI18" s="31" t="n">
        <v>61.5</v>
      </c>
      <c r="AJ18" s="31" t="n">
        <v>44.9</v>
      </c>
      <c r="AK18" s="31" t="n">
        <v>0</v>
      </c>
      <c r="AL18" s="30" t="inlineStr">
        <is>
          <t>T-0171</t>
        </is>
      </c>
      <c r="AM18" s="30" t="inlineStr">
        <is>
          <t>J-04-01</t>
        </is>
      </c>
      <c r="AN18" s="30" t="inlineStr">
        <is>
          <t>T-0138</t>
        </is>
      </c>
      <c r="AO18" s="30" t="inlineStr">
        <is>
          <t>J-03-03</t>
        </is>
      </c>
    </row>
    <row r="19">
      <c r="A19" s="30" t="inlineStr">
        <is>
          <t>O0018</t>
        </is>
      </c>
      <c r="B19" s="30" t="inlineStr">
        <is>
          <t>B</t>
        </is>
      </c>
      <c r="C19" s="31" t="n">
        <v>340.1</v>
      </c>
      <c r="D19" s="31" t="n">
        <v>461.8</v>
      </c>
      <c r="E19" s="31" t="n">
        <v>485.3</v>
      </c>
      <c r="F19" s="31" t="n">
        <v>500.7</v>
      </c>
      <c r="G19" s="31" t="n">
        <v>525.7</v>
      </c>
      <c r="H19" s="31" t="n">
        <v>583.3</v>
      </c>
      <c r="I19" s="31" t="n">
        <v>599.4</v>
      </c>
      <c r="J19" s="31" t="n">
        <v>654.5</v>
      </c>
      <c r="K19" s="31" t="n">
        <v>314.4</v>
      </c>
      <c r="L19" s="31" t="n">
        <v>121.7</v>
      </c>
      <c r="M19" s="30" t="inlineStr">
        <is>
          <t>AMR2</t>
        </is>
      </c>
      <c r="N19" s="30" t="inlineStr">
        <is>
          <t>AMR2</t>
        </is>
      </c>
      <c r="O19" s="32" t="n">
        <v>1</v>
      </c>
      <c r="P19" s="32" t="n">
        <v>25</v>
      </c>
      <c r="Q19" s="32" t="n">
        <v>1</v>
      </c>
      <c r="R19" s="31" t="n">
        <v>62</v>
      </c>
      <c r="S19" s="31" t="n">
        <v>62</v>
      </c>
      <c r="T19" s="30" t="inlineStr">
        <is>
          <t>AMR2</t>
        </is>
      </c>
      <c r="U19" s="31" t="n">
        <v>45.6</v>
      </c>
      <c r="V19" s="31" t="n">
        <v>45.6</v>
      </c>
      <c r="W19" s="30" t="inlineStr">
        <is>
          <t>AMR2</t>
        </is>
      </c>
      <c r="X19" s="32" t="n">
        <v>0</v>
      </c>
      <c r="Y19" s="32" t="n">
        <v>0</v>
      </c>
      <c r="Z19" s="31" t="n">
        <v>0</v>
      </c>
      <c r="AA19" s="32" t="n">
        <v>0</v>
      </c>
      <c r="AB19" s="32" t="n">
        <v>0</v>
      </c>
      <c r="AC19" s="32" t="n">
        <v>0</v>
      </c>
      <c r="AD19" s="32" t="n">
        <v>1</v>
      </c>
      <c r="AE19" s="31" t="n">
        <v>22.2</v>
      </c>
      <c r="AF19" s="32" t="n">
        <v>1</v>
      </c>
      <c r="AG19" s="31" t="n">
        <v>17.2</v>
      </c>
      <c r="AH19" s="32" t="n">
        <v>58</v>
      </c>
      <c r="AI19" s="31" t="n">
        <v>62.1</v>
      </c>
      <c r="AJ19" s="31" t="n">
        <v>50.8</v>
      </c>
      <c r="AK19" s="31" t="n">
        <v>22.2</v>
      </c>
      <c r="AL19" s="30" t="inlineStr">
        <is>
          <t>T-0164</t>
        </is>
      </c>
      <c r="AM19" s="30" t="inlineStr">
        <is>
          <t>B-05-01</t>
        </is>
      </c>
      <c r="AN19" s="30" t="inlineStr">
        <is>
          <t>T-0019</t>
        </is>
      </c>
      <c r="AO19" s="30" t="inlineStr">
        <is>
          <t>B-04-02</t>
        </is>
      </c>
    </row>
    <row r="20">
      <c r="A20" s="30" t="inlineStr">
        <is>
          <t>O0019</t>
        </is>
      </c>
      <c r="B20" s="30" t="inlineStr">
        <is>
          <t>E</t>
        </is>
      </c>
      <c r="C20" s="31" t="n">
        <v>361.7</v>
      </c>
      <c r="D20" s="31" t="n">
        <v>654.6</v>
      </c>
      <c r="E20" s="31" t="n">
        <v>678.1</v>
      </c>
      <c r="F20" s="31" t="n">
        <v>689.6</v>
      </c>
      <c r="G20" s="31" t="n">
        <v>715.7</v>
      </c>
      <c r="H20" s="31" t="n">
        <v>910.7</v>
      </c>
      <c r="I20" s="31" t="n">
        <v>923.3</v>
      </c>
      <c r="J20" s="31" t="n">
        <v>958.2</v>
      </c>
      <c r="K20" s="31" t="n">
        <v>596.5</v>
      </c>
      <c r="L20" s="31" t="n">
        <v>292.9</v>
      </c>
      <c r="M20" s="30" t="inlineStr">
        <is>
          <t>AMR2</t>
        </is>
      </c>
      <c r="N20" s="30" t="inlineStr">
        <is>
          <t>AMR3</t>
        </is>
      </c>
      <c r="O20" s="32" t="n">
        <v>1</v>
      </c>
      <c r="P20" s="32" t="n">
        <v>25</v>
      </c>
      <c r="Q20" s="32" t="n">
        <v>1</v>
      </c>
      <c r="R20" s="31" t="n">
        <v>58.4</v>
      </c>
      <c r="S20" s="31" t="n">
        <v>58.4</v>
      </c>
      <c r="T20" s="30" t="inlineStr">
        <is>
          <t>AMR2</t>
        </is>
      </c>
      <c r="U20" s="31" t="n">
        <v>48.2</v>
      </c>
      <c r="V20" s="31" t="n">
        <v>48.2</v>
      </c>
      <c r="W20" s="30" t="inlineStr">
        <is>
          <t>AMR3</t>
        </is>
      </c>
      <c r="X20" s="32" t="n">
        <v>0</v>
      </c>
      <c r="Y20" s="32" t="n">
        <v>0</v>
      </c>
      <c r="Z20" s="31" t="n">
        <v>0</v>
      </c>
      <c r="AA20" s="32" t="n">
        <v>0</v>
      </c>
      <c r="AB20" s="32" t="n">
        <v>0</v>
      </c>
      <c r="AC20" s="32" t="n">
        <v>0</v>
      </c>
      <c r="AD20" s="32" t="n">
        <v>0</v>
      </c>
      <c r="AE20" s="31" t="n">
        <v>0</v>
      </c>
      <c r="AF20" s="32" t="n">
        <v>0</v>
      </c>
      <c r="AG20" s="31" t="n">
        <v>0</v>
      </c>
      <c r="AH20" s="32" t="n">
        <v>67</v>
      </c>
      <c r="AI20" s="31" t="n">
        <v>66.2</v>
      </c>
      <c r="AJ20" s="31" t="n">
        <v>42.4</v>
      </c>
      <c r="AK20" s="31" t="n">
        <v>0</v>
      </c>
      <c r="AL20" s="30" t="inlineStr">
        <is>
          <t>T-0169</t>
        </is>
      </c>
      <c r="AM20" s="30" t="inlineStr">
        <is>
          <t>E-03-01</t>
        </is>
      </c>
      <c r="AN20" s="30" t="inlineStr">
        <is>
          <t>T-0061</t>
        </is>
      </c>
      <c r="AO20" s="30" t="inlineStr">
        <is>
          <t>E-01-04</t>
        </is>
      </c>
    </row>
    <row r="21">
      <c r="A21" s="30" t="inlineStr">
        <is>
          <t>O0020</t>
        </is>
      </c>
      <c r="B21" s="30" t="inlineStr">
        <is>
          <t>B</t>
        </is>
      </c>
      <c r="C21" s="31" t="n">
        <v>385.3</v>
      </c>
      <c r="D21" s="31" t="n">
        <v>525.8</v>
      </c>
      <c r="E21" s="31" t="n">
        <v>549.8</v>
      </c>
      <c r="F21" s="31" t="n">
        <v>560.6</v>
      </c>
      <c r="G21" s="31" t="n">
        <v>583.2</v>
      </c>
      <c r="H21" s="31" t="n">
        <v>794.1</v>
      </c>
      <c r="I21" s="31" t="n">
        <v>807.7</v>
      </c>
      <c r="J21" s="31" t="n">
        <v>842.2</v>
      </c>
      <c r="K21" s="31" t="n">
        <v>456.9</v>
      </c>
      <c r="L21" s="31" t="n">
        <v>140.5</v>
      </c>
      <c r="M21" s="30" t="inlineStr">
        <is>
          <t>AMR2</t>
        </is>
      </c>
      <c r="N21" s="30" t="inlineStr">
        <is>
          <t>AMR3</t>
        </is>
      </c>
      <c r="O21" s="32" t="n">
        <v>1</v>
      </c>
      <c r="P21" s="32" t="n">
        <v>14</v>
      </c>
      <c r="Q21" s="32" t="n">
        <v>1</v>
      </c>
      <c r="R21" s="31" t="n">
        <v>44.5</v>
      </c>
      <c r="S21" s="31" t="n">
        <v>44.5</v>
      </c>
      <c r="T21" s="30" t="inlineStr">
        <is>
          <t>AMR2</t>
        </is>
      </c>
      <c r="U21" s="31" t="n">
        <v>42.8</v>
      </c>
      <c r="V21" s="31" t="n">
        <v>42.8</v>
      </c>
      <c r="W21" s="30" t="inlineStr">
        <is>
          <t>AMR3</t>
        </is>
      </c>
      <c r="X21" s="32" t="n">
        <v>0</v>
      </c>
      <c r="Y21" s="32" t="n">
        <v>0</v>
      </c>
      <c r="Z21" s="31" t="n">
        <v>0</v>
      </c>
      <c r="AA21" s="32" t="n">
        <v>0</v>
      </c>
      <c r="AB21" s="32" t="n">
        <v>0</v>
      </c>
      <c r="AC21" s="32" t="n">
        <v>0</v>
      </c>
      <c r="AD21" s="32" t="n">
        <v>1</v>
      </c>
      <c r="AE21" s="31" t="n">
        <v>5</v>
      </c>
      <c r="AF21" s="32" t="n">
        <v>1</v>
      </c>
      <c r="AG21" s="31" t="n">
        <v>5</v>
      </c>
      <c r="AH21" s="32" t="n">
        <v>49</v>
      </c>
      <c r="AI21" s="31" t="n">
        <v>51.1</v>
      </c>
      <c r="AJ21" s="31" t="n">
        <v>39.4</v>
      </c>
      <c r="AK21" s="31" t="n">
        <v>15</v>
      </c>
      <c r="AL21" s="30" t="inlineStr">
        <is>
          <t>T-0167</t>
        </is>
      </c>
      <c r="AM21" s="30" t="inlineStr">
        <is>
          <t>B-01-02</t>
        </is>
      </c>
      <c r="AN21" s="30" t="inlineStr">
        <is>
          <t>T-0020</t>
        </is>
      </c>
      <c r="AO21" s="30" t="inlineStr">
        <is>
          <t>B-04-05</t>
        </is>
      </c>
    </row>
    <row r="22">
      <c r="A22" s="30" t="inlineStr">
        <is>
          <t>O0021</t>
        </is>
      </c>
      <c r="B22" s="30" t="inlineStr">
        <is>
          <t>F</t>
        </is>
      </c>
      <c r="C22" s="31" t="n">
        <v>403</v>
      </c>
      <c r="D22" s="31" t="n">
        <v>774.1</v>
      </c>
      <c r="E22" s="31" t="n">
        <v>797.6</v>
      </c>
      <c r="F22" s="31" t="n">
        <v>813.2</v>
      </c>
      <c r="G22" s="31" t="n">
        <v>848.6</v>
      </c>
      <c r="H22" s="31" t="n">
        <v>848.7</v>
      </c>
      <c r="I22" s="31" t="n">
        <v>860.1</v>
      </c>
      <c r="J22" s="31" t="n">
        <v>892.7</v>
      </c>
      <c r="K22" s="31" t="n">
        <v>489.7</v>
      </c>
      <c r="L22" s="31" t="n">
        <v>371.1</v>
      </c>
      <c r="M22" s="30" t="inlineStr">
        <is>
          <t>AMR1</t>
        </is>
      </c>
      <c r="N22" s="30" t="inlineStr">
        <is>
          <t>AMR1</t>
        </is>
      </c>
      <c r="O22" s="32" t="n">
        <v>1</v>
      </c>
      <c r="P22" s="32" t="n">
        <v>25</v>
      </c>
      <c r="Q22" s="32" t="n">
        <v>1</v>
      </c>
      <c r="R22" s="31" t="n">
        <v>71.09999999999999</v>
      </c>
      <c r="S22" s="31" t="n">
        <v>71.09999999999999</v>
      </c>
      <c r="T22" s="30" t="inlineStr">
        <is>
          <t>AMR1</t>
        </is>
      </c>
      <c r="U22" s="31" t="n">
        <v>44.6</v>
      </c>
      <c r="V22" s="31" t="n">
        <v>44.6</v>
      </c>
      <c r="W22" s="30" t="inlineStr">
        <is>
          <t>AMR1</t>
        </is>
      </c>
      <c r="X22" s="32" t="n">
        <v>0</v>
      </c>
      <c r="Y22" s="32" t="n">
        <v>0</v>
      </c>
      <c r="Z22" s="31" t="n">
        <v>0</v>
      </c>
      <c r="AA22" s="32" t="n">
        <v>0</v>
      </c>
      <c r="AB22" s="32" t="n">
        <v>0</v>
      </c>
      <c r="AC22" s="32" t="n">
        <v>0</v>
      </c>
      <c r="AD22" s="32" t="n">
        <v>0</v>
      </c>
      <c r="AE22" s="31" t="n">
        <v>0</v>
      </c>
      <c r="AF22" s="32" t="n">
        <v>0</v>
      </c>
      <c r="AG22" s="31" t="n">
        <v>0</v>
      </c>
      <c r="AH22" s="32" t="n">
        <v>72</v>
      </c>
      <c r="AI22" s="31" t="n">
        <v>70.7</v>
      </c>
      <c r="AJ22" s="31" t="n">
        <v>47.8</v>
      </c>
      <c r="AK22" s="31" t="n">
        <v>0</v>
      </c>
      <c r="AL22" s="30" t="inlineStr">
        <is>
          <t>T-0173</t>
        </is>
      </c>
      <c r="AM22" s="30" t="inlineStr">
        <is>
          <t>F-01-01</t>
        </is>
      </c>
      <c r="AN22" s="30" t="inlineStr">
        <is>
          <t>T-0078</t>
        </is>
      </c>
      <c r="AO22" s="30" t="inlineStr">
        <is>
          <t>F-01-04</t>
        </is>
      </c>
    </row>
    <row r="23">
      <c r="A23" s="30" t="inlineStr">
        <is>
          <t>O0022</t>
        </is>
      </c>
      <c r="B23" s="30" t="inlineStr">
        <is>
          <t>D</t>
        </is>
      </c>
      <c r="C23" s="31" t="n">
        <v>421.7</v>
      </c>
      <c r="D23" s="31" t="n">
        <v>668.4</v>
      </c>
      <c r="E23" s="31" t="n">
        <v>701.9</v>
      </c>
      <c r="F23" s="31" t="n">
        <v>713.2</v>
      </c>
      <c r="G23" s="31" t="n">
        <v>734</v>
      </c>
      <c r="H23" s="31" t="n">
        <v>734.1</v>
      </c>
      <c r="I23" s="31" t="n">
        <v>746.2</v>
      </c>
      <c r="J23" s="31" t="n">
        <v>774</v>
      </c>
      <c r="K23" s="31" t="n">
        <v>352.3</v>
      </c>
      <c r="L23" s="31" t="n">
        <v>246.7</v>
      </c>
      <c r="M23" s="30" t="inlineStr">
        <is>
          <t>AMR1</t>
        </is>
      </c>
      <c r="N23" s="30" t="inlineStr">
        <is>
          <t>AMR1</t>
        </is>
      </c>
      <c r="O23" s="32" t="n">
        <v>1</v>
      </c>
      <c r="P23" s="32" t="n">
        <v>25</v>
      </c>
      <c r="Q23" s="32" t="n">
        <v>1</v>
      </c>
      <c r="R23" s="31" t="n">
        <v>52.1</v>
      </c>
      <c r="S23" s="31" t="n">
        <v>52.1</v>
      </c>
      <c r="T23" s="30" t="inlineStr">
        <is>
          <t>AMR1</t>
        </is>
      </c>
      <c r="U23" s="31" t="n">
        <v>39.1</v>
      </c>
      <c r="V23" s="31" t="n">
        <v>39.1</v>
      </c>
      <c r="W23" s="30" t="inlineStr">
        <is>
          <t>AMR1</t>
        </is>
      </c>
      <c r="X23" s="32" t="n">
        <v>0</v>
      </c>
      <c r="Y23" s="32" t="n">
        <v>0</v>
      </c>
      <c r="Z23" s="31" t="n">
        <v>0</v>
      </c>
      <c r="AA23" s="32" t="n">
        <v>0</v>
      </c>
      <c r="AB23" s="32" t="n">
        <v>0</v>
      </c>
      <c r="AC23" s="32" t="n">
        <v>0</v>
      </c>
      <c r="AD23" s="32" t="n">
        <v>0</v>
      </c>
      <c r="AE23" s="31" t="n">
        <v>0</v>
      </c>
      <c r="AF23" s="32" t="n">
        <v>1</v>
      </c>
      <c r="AG23" s="31" t="n">
        <v>5</v>
      </c>
      <c r="AH23" s="32" t="n">
        <v>56</v>
      </c>
      <c r="AI23" s="31" t="n">
        <v>57.9</v>
      </c>
      <c r="AJ23" s="31" t="n">
        <v>37.6</v>
      </c>
      <c r="AK23" s="31" t="n">
        <v>10</v>
      </c>
      <c r="AL23" s="30" t="inlineStr">
        <is>
          <t>T-0170</t>
        </is>
      </c>
      <c r="AM23" s="30" t="inlineStr">
        <is>
          <t>D-04-01</t>
        </is>
      </c>
      <c r="AN23" s="30" t="inlineStr">
        <is>
          <t>T-0048</t>
        </is>
      </c>
      <c r="AO23" s="30" t="inlineStr">
        <is>
          <t>D-05-05</t>
        </is>
      </c>
    </row>
    <row r="24">
      <c r="A24" s="30" t="inlineStr">
        <is>
          <t>O0023</t>
        </is>
      </c>
      <c r="B24" s="30" t="inlineStr">
        <is>
          <t>B</t>
        </is>
      </c>
      <c r="C24" s="31" t="n">
        <v>439.4</v>
      </c>
      <c r="D24" s="31" t="n">
        <v>735</v>
      </c>
      <c r="E24" s="31" t="n">
        <v>758.5</v>
      </c>
      <c r="F24" s="31" t="n">
        <v>771.5</v>
      </c>
      <c r="G24" s="31" t="n">
        <v>794</v>
      </c>
      <c r="H24" s="31" t="n">
        <v>958</v>
      </c>
      <c r="I24" s="31" t="n">
        <v>973.9</v>
      </c>
      <c r="J24" s="31" t="n">
        <v>1002.5</v>
      </c>
      <c r="K24" s="31" t="n">
        <v>563.1</v>
      </c>
      <c r="L24" s="31" t="n">
        <v>295.6</v>
      </c>
      <c r="M24" s="30" t="inlineStr">
        <is>
          <t>AMR3</t>
        </is>
      </c>
      <c r="N24" s="30" t="inlineStr">
        <is>
          <t>AMR1</t>
        </is>
      </c>
      <c r="O24" s="32" t="n">
        <v>1</v>
      </c>
      <c r="P24" s="32" t="n">
        <v>25</v>
      </c>
      <c r="Q24" s="32" t="n">
        <v>5</v>
      </c>
      <c r="R24" s="31" t="n">
        <v>55.5</v>
      </c>
      <c r="S24" s="31" t="n">
        <v>55.5</v>
      </c>
      <c r="T24" s="30" t="inlineStr">
        <is>
          <t>AMR3</t>
        </is>
      </c>
      <c r="U24" s="31" t="n">
        <v>44.1</v>
      </c>
      <c r="V24" s="31" t="n">
        <v>44.1</v>
      </c>
      <c r="W24" s="30" t="inlineStr">
        <is>
          <t>AMR1</t>
        </is>
      </c>
      <c r="X24" s="32" t="n">
        <v>0</v>
      </c>
      <c r="Y24" s="32" t="n">
        <v>0</v>
      </c>
      <c r="Z24" s="31" t="n">
        <v>0</v>
      </c>
      <c r="AA24" s="32" t="n">
        <v>0</v>
      </c>
      <c r="AB24" s="32" t="n">
        <v>0</v>
      </c>
      <c r="AC24" s="32" t="n">
        <v>0</v>
      </c>
      <c r="AD24" s="32" t="n">
        <v>0</v>
      </c>
      <c r="AE24" s="31" t="n">
        <v>0</v>
      </c>
      <c r="AF24" s="32" t="n">
        <v>0</v>
      </c>
      <c r="AG24" s="31" t="n">
        <v>0</v>
      </c>
      <c r="AH24" s="32" t="n">
        <v>64</v>
      </c>
      <c r="AI24" s="31" t="n">
        <v>64.7</v>
      </c>
      <c r="AJ24" s="31" t="n">
        <v>38.8</v>
      </c>
      <c r="AK24" s="31" t="n">
        <v>0</v>
      </c>
      <c r="AL24" s="30" t="inlineStr">
        <is>
          <t>T-0172</t>
        </is>
      </c>
      <c r="AM24" s="30" t="inlineStr">
        <is>
          <t>B-02-02</t>
        </is>
      </c>
      <c r="AN24" s="30" t="inlineStr">
        <is>
          <t>T-0021</t>
        </is>
      </c>
      <c r="AO24" s="30" t="inlineStr">
        <is>
          <t>B-03-04</t>
        </is>
      </c>
    </row>
    <row r="25">
      <c r="A25" s="30" t="inlineStr">
        <is>
          <t>O0024</t>
        </is>
      </c>
      <c r="B25" s="30" t="inlineStr">
        <is>
          <t>I</t>
        </is>
      </c>
      <c r="C25" s="31" t="n">
        <v>460.8</v>
      </c>
      <c r="D25" s="31" t="n">
        <v>822.4</v>
      </c>
      <c r="E25" s="31" t="n">
        <v>845.9</v>
      </c>
      <c r="F25" s="31" t="n">
        <v>859.8</v>
      </c>
      <c r="G25" s="31" t="n">
        <v>886.5</v>
      </c>
      <c r="H25" s="31" t="n">
        <v>886.6</v>
      </c>
      <c r="I25" s="31" t="n">
        <v>897.4</v>
      </c>
      <c r="J25" s="31" t="n">
        <v>922.8</v>
      </c>
      <c r="K25" s="31" t="n">
        <v>462</v>
      </c>
      <c r="L25" s="31" t="n">
        <v>361.6</v>
      </c>
      <c r="M25" s="30" t="inlineStr">
        <is>
          <t>AMR2</t>
        </is>
      </c>
      <c r="N25" s="30" t="inlineStr">
        <is>
          <t>AMR2</t>
        </is>
      </c>
      <c r="O25" s="32" t="n">
        <v>1</v>
      </c>
      <c r="P25" s="32" t="n">
        <v>25</v>
      </c>
      <c r="Q25" s="32" t="n">
        <v>0</v>
      </c>
      <c r="R25" s="31" t="n">
        <v>61.5</v>
      </c>
      <c r="S25" s="31" t="n">
        <v>61.5</v>
      </c>
      <c r="T25" s="30" t="inlineStr">
        <is>
          <t>AMR2</t>
        </is>
      </c>
      <c r="U25" s="31" t="n">
        <v>32.9</v>
      </c>
      <c r="V25" s="31" t="n">
        <v>32.9</v>
      </c>
      <c r="W25" s="30" t="inlineStr">
        <is>
          <t>AMR2</t>
        </is>
      </c>
      <c r="X25" s="32" t="n">
        <v>0</v>
      </c>
      <c r="Y25" s="32" t="n">
        <v>0</v>
      </c>
      <c r="Z25" s="31" t="n">
        <v>0</v>
      </c>
      <c r="AA25" s="32" t="n">
        <v>0</v>
      </c>
      <c r="AB25" s="32" t="n">
        <v>0</v>
      </c>
      <c r="AC25" s="32" t="n">
        <v>0</v>
      </c>
      <c r="AD25" s="32" t="n">
        <v>0</v>
      </c>
      <c r="AE25" s="31" t="n">
        <v>0</v>
      </c>
      <c r="AF25" s="32" t="n">
        <v>0</v>
      </c>
      <c r="AG25" s="31" t="n">
        <v>0</v>
      </c>
      <c r="AH25" s="32" t="n">
        <v>56</v>
      </c>
      <c r="AI25" s="31" t="n">
        <v>59.3</v>
      </c>
      <c r="AJ25" s="31" t="n">
        <v>41</v>
      </c>
      <c r="AK25" s="31" t="n">
        <v>0</v>
      </c>
      <c r="AL25" s="30" t="inlineStr">
        <is>
          <t>T-0174</t>
        </is>
      </c>
      <c r="AM25" s="30" t="inlineStr">
        <is>
          <t>I-03-01</t>
        </is>
      </c>
      <c r="AN25" s="30" t="inlineStr">
        <is>
          <t>T-0124</t>
        </is>
      </c>
      <c r="AO25" s="30" t="inlineStr">
        <is>
          <t>I-05-03</t>
        </is>
      </c>
    </row>
    <row r="26">
      <c r="A26" s="30" t="inlineStr">
        <is>
          <t>O0025</t>
        </is>
      </c>
      <c r="B26" s="30" t="inlineStr">
        <is>
          <t>H</t>
        </is>
      </c>
      <c r="C26" s="31" t="n">
        <v>478.2</v>
      </c>
      <c r="D26" s="31" t="n">
        <v>958.3</v>
      </c>
      <c r="E26" s="31" t="n">
        <v>981.8</v>
      </c>
      <c r="F26" s="31" t="n">
        <v>993.8</v>
      </c>
      <c r="G26" s="31" t="n">
        <v>1019.4</v>
      </c>
      <c r="H26" s="31" t="n">
        <v>1019.5</v>
      </c>
      <c r="I26" s="31" t="n">
        <v>1029.5</v>
      </c>
      <c r="J26" s="31" t="n">
        <v>1056.6</v>
      </c>
      <c r="K26" s="31" t="n">
        <v>578.4</v>
      </c>
      <c r="L26" s="31" t="n">
        <v>480.1</v>
      </c>
      <c r="M26" s="30" t="inlineStr">
        <is>
          <t>AMR3</t>
        </is>
      </c>
      <c r="N26" s="30" t="inlineStr">
        <is>
          <t>AMR3</t>
        </is>
      </c>
      <c r="O26" s="32" t="n">
        <v>1</v>
      </c>
      <c r="P26" s="32" t="n">
        <v>25</v>
      </c>
      <c r="Q26" s="32" t="n">
        <v>1</v>
      </c>
      <c r="R26" s="31" t="n">
        <v>59.3</v>
      </c>
      <c r="S26" s="31" t="n">
        <v>59.3</v>
      </c>
      <c r="T26" s="30" t="inlineStr">
        <is>
          <t>AMR3</t>
        </is>
      </c>
      <c r="U26" s="31" t="n">
        <v>36.2</v>
      </c>
      <c r="V26" s="31" t="n">
        <v>36.2</v>
      </c>
      <c r="W26" s="30" t="inlineStr">
        <is>
          <t>AMR3</t>
        </is>
      </c>
      <c r="X26" s="32" t="n">
        <v>0</v>
      </c>
      <c r="Y26" s="32" t="n">
        <v>0</v>
      </c>
      <c r="Z26" s="31" t="n">
        <v>0</v>
      </c>
      <c r="AA26" s="32" t="n">
        <v>0</v>
      </c>
      <c r="AB26" s="32" t="n">
        <v>0</v>
      </c>
      <c r="AC26" s="32" t="n">
        <v>0</v>
      </c>
      <c r="AD26" s="32" t="n">
        <v>0</v>
      </c>
      <c r="AE26" s="31" t="n">
        <v>0</v>
      </c>
      <c r="AF26" s="32" t="n">
        <v>0</v>
      </c>
      <c r="AG26" s="31" t="n">
        <v>0</v>
      </c>
      <c r="AH26" s="32" t="n">
        <v>54</v>
      </c>
      <c r="AI26" s="31" t="n">
        <v>56.3</v>
      </c>
      <c r="AJ26" s="31" t="n">
        <v>41.9</v>
      </c>
      <c r="AK26" s="31" t="n">
        <v>0</v>
      </c>
      <c r="AL26" s="30" t="inlineStr">
        <is>
          <t>T-0178</t>
        </is>
      </c>
      <c r="AM26" s="30" t="inlineStr">
        <is>
          <t>H-05-01</t>
        </is>
      </c>
      <c r="AN26" s="30" t="inlineStr">
        <is>
          <t>T-0107</t>
        </is>
      </c>
      <c r="AO26" s="30" t="inlineStr">
        <is>
          <t>H-03-04</t>
        </is>
      </c>
    </row>
    <row r="27">
      <c r="A27" s="30" t="inlineStr">
        <is>
          <t>O0026</t>
        </is>
      </c>
      <c r="B27" s="30" t="inlineStr">
        <is>
          <t>I</t>
        </is>
      </c>
      <c r="C27" s="31" t="n">
        <v>495.9</v>
      </c>
      <c r="D27" s="31" t="n">
        <v>1002.6</v>
      </c>
      <c r="E27" s="31" t="n">
        <v>1026.1</v>
      </c>
      <c r="F27" s="31" t="n">
        <v>1040.9</v>
      </c>
      <c r="G27" s="31" t="n">
        <v>1067.1</v>
      </c>
      <c r="H27" s="31" t="n">
        <v>1067.2</v>
      </c>
      <c r="I27" s="31" t="n">
        <v>1081.3</v>
      </c>
      <c r="J27" s="31" t="n">
        <v>1105.1</v>
      </c>
      <c r="K27" s="31" t="n">
        <v>609.2</v>
      </c>
      <c r="L27" s="31" t="n">
        <v>506.7</v>
      </c>
      <c r="M27" s="30" t="inlineStr">
        <is>
          <t>AMR1</t>
        </is>
      </c>
      <c r="N27" s="30" t="inlineStr">
        <is>
          <t>AMR1</t>
        </is>
      </c>
      <c r="O27" s="32" t="n">
        <v>1</v>
      </c>
      <c r="P27" s="32" t="n">
        <v>25</v>
      </c>
      <c r="Q27" s="32" t="n">
        <v>1</v>
      </c>
      <c r="R27" s="31" t="n">
        <v>61.1</v>
      </c>
      <c r="S27" s="31" t="n">
        <v>61.1</v>
      </c>
      <c r="T27" s="30" t="inlineStr">
        <is>
          <t>AMR1</t>
        </is>
      </c>
      <c r="U27" s="31" t="n">
        <v>37.6</v>
      </c>
      <c r="V27" s="31" t="n">
        <v>37.6</v>
      </c>
      <c r="W27" s="30" t="inlineStr">
        <is>
          <t>AMR1</t>
        </is>
      </c>
      <c r="X27" s="32" t="n">
        <v>0</v>
      </c>
      <c r="Y27" s="32" t="n">
        <v>0</v>
      </c>
      <c r="Z27" s="31" t="n">
        <v>0</v>
      </c>
      <c r="AA27" s="32" t="n">
        <v>0</v>
      </c>
      <c r="AB27" s="32" t="n">
        <v>0</v>
      </c>
      <c r="AC27" s="32" t="n">
        <v>0</v>
      </c>
      <c r="AD27" s="32" t="n">
        <v>0</v>
      </c>
      <c r="AE27" s="31" t="n">
        <v>0</v>
      </c>
      <c r="AF27" s="32" t="n">
        <v>0</v>
      </c>
      <c r="AG27" s="31" t="n">
        <v>0</v>
      </c>
      <c r="AH27" s="32" t="n">
        <v>56</v>
      </c>
      <c r="AI27" s="31" t="n">
        <v>57.8</v>
      </c>
      <c r="AJ27" s="31" t="n">
        <v>44.6</v>
      </c>
      <c r="AK27" s="31" t="n">
        <v>0</v>
      </c>
      <c r="AL27" s="30" t="inlineStr">
        <is>
          <t>T-0179</t>
        </is>
      </c>
      <c r="AM27" s="30" t="inlineStr">
        <is>
          <t>I-05-01</t>
        </is>
      </c>
      <c r="AN27" s="30" t="inlineStr">
        <is>
          <t>T-0125</t>
        </is>
      </c>
      <c r="AO27" s="30" t="inlineStr">
        <is>
          <t>I-01-05</t>
        </is>
      </c>
    </row>
    <row r="28">
      <c r="A28" s="30" t="inlineStr">
        <is>
          <t>O0027</t>
        </is>
      </c>
      <c r="B28" s="30" t="inlineStr">
        <is>
          <t>A</t>
        </is>
      </c>
      <c r="C28" s="31" t="n">
        <v>517.8</v>
      </c>
      <c r="D28" s="31" t="n">
        <v>892.8</v>
      </c>
      <c r="E28" s="31" t="n">
        <v>916.3</v>
      </c>
      <c r="F28" s="31" t="n">
        <v>929.6</v>
      </c>
      <c r="G28" s="31" t="n">
        <v>957.9</v>
      </c>
      <c r="H28" s="31" t="n">
        <v>1282.4</v>
      </c>
      <c r="I28" s="31" t="n">
        <v>1298.9</v>
      </c>
      <c r="J28" s="31" t="n">
        <v>1333.2</v>
      </c>
      <c r="K28" s="31" t="n">
        <v>815.4</v>
      </c>
      <c r="L28" s="31" t="n">
        <v>375</v>
      </c>
      <c r="M28" s="30" t="inlineStr">
        <is>
          <t>AMR1</t>
        </is>
      </c>
      <c r="N28" s="30" t="inlineStr">
        <is>
          <t>AMR1</t>
        </is>
      </c>
      <c r="O28" s="32" t="n">
        <v>1</v>
      </c>
      <c r="P28" s="32" t="n">
        <v>25</v>
      </c>
      <c r="Q28" s="32" t="n">
        <v>1</v>
      </c>
      <c r="R28" s="31" t="n">
        <v>63.2</v>
      </c>
      <c r="S28" s="31" t="n">
        <v>63.2</v>
      </c>
      <c r="T28" s="30" t="inlineStr">
        <is>
          <t>AMR1</t>
        </is>
      </c>
      <c r="U28" s="31" t="n">
        <v>51.6</v>
      </c>
      <c r="V28" s="31" t="n">
        <v>51.6</v>
      </c>
      <c r="W28" s="30" t="inlineStr">
        <is>
          <t>AMR1</t>
        </is>
      </c>
      <c r="X28" s="32" t="n">
        <v>0</v>
      </c>
      <c r="Y28" s="32" t="n">
        <v>0</v>
      </c>
      <c r="Z28" s="31" t="n">
        <v>0</v>
      </c>
      <c r="AA28" s="32" t="n">
        <v>0</v>
      </c>
      <c r="AB28" s="32" t="n">
        <v>0</v>
      </c>
      <c r="AC28" s="32" t="n">
        <v>0</v>
      </c>
      <c r="AD28" s="32" t="n">
        <v>0</v>
      </c>
      <c r="AE28" s="31" t="n">
        <v>0</v>
      </c>
      <c r="AF28" s="32" t="n">
        <v>0</v>
      </c>
      <c r="AG28" s="31" t="n">
        <v>0</v>
      </c>
      <c r="AH28" s="32" t="n">
        <v>70</v>
      </c>
      <c r="AI28" s="31" t="n">
        <v>68.5</v>
      </c>
      <c r="AJ28" s="31" t="n">
        <v>47.4</v>
      </c>
      <c r="AK28" s="31" t="n">
        <v>0</v>
      </c>
      <c r="AL28" s="30" t="inlineStr">
        <is>
          <t>T-0176</t>
        </is>
      </c>
      <c r="AM28" s="30" t="inlineStr">
        <is>
          <t>A-05-01</t>
        </is>
      </c>
      <c r="AN28" s="30" t="inlineStr">
        <is>
          <t>T-0003</t>
        </is>
      </c>
      <c r="AO28" s="30" t="inlineStr">
        <is>
          <t>A-06-03</t>
        </is>
      </c>
    </row>
    <row r="29">
      <c r="A29" s="30" t="inlineStr">
        <is>
          <t>O0028</t>
        </is>
      </c>
      <c r="B29" s="30" t="inlineStr">
        <is>
          <t>F</t>
        </is>
      </c>
      <c r="C29" s="31" t="n">
        <v>541</v>
      </c>
      <c r="D29" s="31" t="n">
        <v>1032.3</v>
      </c>
      <c r="E29" s="31" t="n">
        <v>1055.8</v>
      </c>
      <c r="F29" s="31" t="n">
        <v>1069.9</v>
      </c>
      <c r="G29" s="31" t="n">
        <v>1102.3</v>
      </c>
      <c r="H29" s="31" t="n">
        <v>1102.4</v>
      </c>
      <c r="I29" s="31" t="n">
        <v>1115.8</v>
      </c>
      <c r="J29" s="31" t="n">
        <v>1150.3</v>
      </c>
      <c r="K29" s="31" t="n">
        <v>609.3</v>
      </c>
      <c r="L29" s="31" t="n">
        <v>491.3</v>
      </c>
      <c r="M29" s="30" t="inlineStr">
        <is>
          <t>AMR2</t>
        </is>
      </c>
      <c r="N29" s="30" t="inlineStr">
        <is>
          <t>AMR2</t>
        </is>
      </c>
      <c r="O29" s="32" t="n">
        <v>1</v>
      </c>
      <c r="P29" s="32" t="n">
        <v>25</v>
      </c>
      <c r="Q29" s="32" t="n">
        <v>1</v>
      </c>
      <c r="R29" s="31" t="n">
        <v>68.2</v>
      </c>
      <c r="S29" s="31" t="n">
        <v>68.2</v>
      </c>
      <c r="T29" s="30" t="inlineStr">
        <is>
          <t>AMR2</t>
        </is>
      </c>
      <c r="U29" s="31" t="n">
        <v>46.1</v>
      </c>
      <c r="V29" s="31" t="n">
        <v>46.1</v>
      </c>
      <c r="W29" s="30" t="inlineStr">
        <is>
          <t>AMR2</t>
        </is>
      </c>
      <c r="X29" s="32" t="n">
        <v>0</v>
      </c>
      <c r="Y29" s="32" t="n">
        <v>0</v>
      </c>
      <c r="Z29" s="31" t="n">
        <v>0</v>
      </c>
      <c r="AA29" s="32" t="n">
        <v>0</v>
      </c>
      <c r="AB29" s="32" t="n">
        <v>0</v>
      </c>
      <c r="AC29" s="32" t="n">
        <v>0</v>
      </c>
      <c r="AD29" s="32" t="n">
        <v>0</v>
      </c>
      <c r="AE29" s="31" t="n">
        <v>0</v>
      </c>
      <c r="AF29" s="32" t="n">
        <v>0</v>
      </c>
      <c r="AG29" s="31" t="n">
        <v>0</v>
      </c>
      <c r="AH29" s="32" t="n">
        <v>72</v>
      </c>
      <c r="AI29" s="31" t="n">
        <v>71.5</v>
      </c>
      <c r="AJ29" s="31" t="n">
        <v>46.4</v>
      </c>
      <c r="AK29" s="31" t="n">
        <v>0</v>
      </c>
      <c r="AL29" s="30" t="inlineStr">
        <is>
          <t>T-0180</t>
        </is>
      </c>
      <c r="AM29" s="30" t="inlineStr">
        <is>
          <t>F-05-01</t>
        </is>
      </c>
      <c r="AN29" s="30" t="inlineStr">
        <is>
          <t>T-0079</t>
        </is>
      </c>
      <c r="AO29" s="30" t="inlineStr">
        <is>
          <t>F-01-05</t>
        </is>
      </c>
    </row>
    <row r="30">
      <c r="A30" s="30" t="inlineStr">
        <is>
          <t>O0029</t>
        </is>
      </c>
      <c r="B30" s="30" t="inlineStr">
        <is>
          <t>D</t>
        </is>
      </c>
      <c r="C30" s="31" t="n">
        <v>558.6</v>
      </c>
      <c r="D30" s="31" t="n">
        <v>922.9</v>
      </c>
      <c r="E30" s="31" t="n">
        <v>946.4</v>
      </c>
      <c r="F30" s="31" t="n">
        <v>960.6</v>
      </c>
      <c r="G30" s="31" t="n">
        <v>988.7</v>
      </c>
      <c r="H30" s="31" t="n">
        <v>1170.2</v>
      </c>
      <c r="I30" s="31" t="n">
        <v>1185.8</v>
      </c>
      <c r="J30" s="31" t="n">
        <v>1212.6</v>
      </c>
      <c r="K30" s="31" t="n">
        <v>654</v>
      </c>
      <c r="L30" s="31" t="n">
        <v>364.3</v>
      </c>
      <c r="M30" s="30" t="inlineStr">
        <is>
          <t>AMR2</t>
        </is>
      </c>
      <c r="N30" s="30" t="inlineStr">
        <is>
          <t>AMR1</t>
        </is>
      </c>
      <c r="O30" s="32" t="n">
        <v>1</v>
      </c>
      <c r="P30" s="32" t="n">
        <v>25</v>
      </c>
      <c r="Q30" s="32" t="n">
        <v>4</v>
      </c>
      <c r="R30" s="31" t="n">
        <v>59.9</v>
      </c>
      <c r="S30" s="31" t="n">
        <v>59.9</v>
      </c>
      <c r="T30" s="30" t="inlineStr">
        <is>
          <t>AMR2</t>
        </is>
      </c>
      <c r="U30" s="31" t="n">
        <v>41</v>
      </c>
      <c r="V30" s="31" t="n">
        <v>41</v>
      </c>
      <c r="W30" s="30" t="inlineStr">
        <is>
          <t>AMR1</t>
        </is>
      </c>
      <c r="X30" s="32" t="n">
        <v>0</v>
      </c>
      <c r="Y30" s="32" t="n">
        <v>0</v>
      </c>
      <c r="Z30" s="31" t="n">
        <v>0</v>
      </c>
      <c r="AA30" s="32" t="n">
        <v>0</v>
      </c>
      <c r="AB30" s="32" t="n">
        <v>0</v>
      </c>
      <c r="AC30" s="32" t="n">
        <v>0</v>
      </c>
      <c r="AD30" s="32" t="n">
        <v>0</v>
      </c>
      <c r="AE30" s="31" t="n">
        <v>0</v>
      </c>
      <c r="AF30" s="32" t="n">
        <v>0</v>
      </c>
      <c r="AG30" s="31" t="n">
        <v>0</v>
      </c>
      <c r="AH30" s="32" t="n">
        <v>62</v>
      </c>
      <c r="AI30" s="31" t="n">
        <v>64</v>
      </c>
      <c r="AJ30" s="31" t="n">
        <v>44.2</v>
      </c>
      <c r="AK30" s="31" t="n">
        <v>0</v>
      </c>
      <c r="AL30" s="30" t="inlineStr">
        <is>
          <t>T-0177</t>
        </is>
      </c>
      <c r="AM30" s="30" t="inlineStr">
        <is>
          <t>D-06-01</t>
        </is>
      </c>
      <c r="AN30" s="30" t="inlineStr">
        <is>
          <t>T-0049</t>
        </is>
      </c>
      <c r="AO30" s="30" t="inlineStr">
        <is>
          <t>D-05-01</t>
        </is>
      </c>
    </row>
    <row r="31">
      <c r="A31" s="30" t="inlineStr">
        <is>
          <t>O0030</t>
        </is>
      </c>
      <c r="B31" s="30" t="inlineStr">
        <is>
          <t>F</t>
        </is>
      </c>
      <c r="C31" s="31" t="n">
        <v>582.4</v>
      </c>
      <c r="D31" s="31" t="n">
        <v>1119.1</v>
      </c>
      <c r="E31" s="31" t="n">
        <v>1146.5</v>
      </c>
      <c r="F31" s="31" t="n">
        <v>1161.1</v>
      </c>
      <c r="G31" s="31" t="n">
        <v>1193.8</v>
      </c>
      <c r="H31" s="31" t="n">
        <v>1193.9</v>
      </c>
      <c r="I31" s="31" t="n">
        <v>1210.3</v>
      </c>
      <c r="J31" s="31" t="n">
        <v>1242.7</v>
      </c>
      <c r="K31" s="31" t="n">
        <v>660.3</v>
      </c>
      <c r="L31" s="31" t="n">
        <v>536.7</v>
      </c>
      <c r="M31" s="30" t="inlineStr">
        <is>
          <t>AMR3</t>
        </is>
      </c>
      <c r="N31" s="30" t="inlineStr">
        <is>
          <t>AMR3</t>
        </is>
      </c>
      <c r="O31" s="32" t="n">
        <v>1</v>
      </c>
      <c r="P31" s="32" t="n">
        <v>18</v>
      </c>
      <c r="Q31" s="32" t="n">
        <v>2</v>
      </c>
      <c r="R31" s="31" t="n">
        <v>64.3</v>
      </c>
      <c r="S31" s="31" t="n">
        <v>64.3</v>
      </c>
      <c r="T31" s="30" t="inlineStr">
        <is>
          <t>AMR3</t>
        </is>
      </c>
      <c r="U31" s="31" t="n">
        <v>47</v>
      </c>
      <c r="V31" s="31" t="n">
        <v>47</v>
      </c>
      <c r="W31" s="30" t="inlineStr">
        <is>
          <t>AMR3</t>
        </is>
      </c>
      <c r="X31" s="32" t="n">
        <v>0</v>
      </c>
      <c r="Y31" s="32" t="n">
        <v>0</v>
      </c>
      <c r="Z31" s="31" t="n">
        <v>0</v>
      </c>
      <c r="AA31" s="32" t="n">
        <v>0</v>
      </c>
      <c r="AB31" s="32" t="n">
        <v>0</v>
      </c>
      <c r="AC31" s="32" t="n">
        <v>0</v>
      </c>
      <c r="AD31" s="32" t="n">
        <v>0</v>
      </c>
      <c r="AE31" s="31" t="n">
        <v>0</v>
      </c>
      <c r="AF31" s="32" t="n">
        <v>1</v>
      </c>
      <c r="AG31" s="31" t="n">
        <v>5</v>
      </c>
      <c r="AH31" s="32" t="n">
        <v>65</v>
      </c>
      <c r="AI31" s="31" t="n">
        <v>65.3</v>
      </c>
      <c r="AJ31" s="31" t="n">
        <v>48.2</v>
      </c>
      <c r="AK31" s="31" t="n">
        <v>10</v>
      </c>
      <c r="AL31" s="30" t="inlineStr">
        <is>
          <t>T-0183</t>
        </is>
      </c>
      <c r="AM31" s="30" t="inlineStr">
        <is>
          <t>F-06-01</t>
        </is>
      </c>
      <c r="AN31" s="30" t="inlineStr">
        <is>
          <t>T-0080</t>
        </is>
      </c>
      <c r="AO31" s="30" t="inlineStr">
        <is>
          <t>F-02-04</t>
        </is>
      </c>
    </row>
    <row r="32">
      <c r="A32" s="30" t="inlineStr">
        <is>
          <t>O0031</t>
        </is>
      </c>
      <c r="B32" s="30" t="inlineStr">
        <is>
          <t>G</t>
        </is>
      </c>
      <c r="C32" s="31" t="n">
        <v>604</v>
      </c>
      <c r="D32" s="31" t="n">
        <v>1150.4</v>
      </c>
      <c r="E32" s="31" t="n">
        <v>1173.9</v>
      </c>
      <c r="F32" s="31" t="n">
        <v>1188.7</v>
      </c>
      <c r="G32" s="31" t="n">
        <v>1215.9</v>
      </c>
      <c r="H32" s="31" t="n">
        <v>1216</v>
      </c>
      <c r="I32" s="31" t="n">
        <v>1227.1</v>
      </c>
      <c r="J32" s="31" t="n">
        <v>1260.7</v>
      </c>
      <c r="K32" s="31" t="n">
        <v>656.7</v>
      </c>
      <c r="L32" s="31" t="n">
        <v>546.4</v>
      </c>
      <c r="M32" s="30" t="inlineStr">
        <is>
          <t>AMR2</t>
        </is>
      </c>
      <c r="N32" s="30" t="inlineStr">
        <is>
          <t>AMR2</t>
        </is>
      </c>
      <c r="O32" s="32" t="n">
        <v>1</v>
      </c>
      <c r="P32" s="32" t="n">
        <v>25</v>
      </c>
      <c r="Q32" s="32" t="n">
        <v>0</v>
      </c>
      <c r="R32" s="31" t="n">
        <v>62.9</v>
      </c>
      <c r="S32" s="31" t="n">
        <v>62.9</v>
      </c>
      <c r="T32" s="30" t="inlineStr">
        <is>
          <t>AMR2</t>
        </is>
      </c>
      <c r="U32" s="31" t="n">
        <v>37.4</v>
      </c>
      <c r="V32" s="31" t="n">
        <v>37.4</v>
      </c>
      <c r="W32" s="30" t="inlineStr">
        <is>
          <t>AMR2</t>
        </is>
      </c>
      <c r="X32" s="32" t="n">
        <v>0</v>
      </c>
      <c r="Y32" s="32" t="n">
        <v>0</v>
      </c>
      <c r="Z32" s="31" t="n">
        <v>0</v>
      </c>
      <c r="AA32" s="32" t="n">
        <v>0</v>
      </c>
      <c r="AB32" s="32" t="n">
        <v>0</v>
      </c>
      <c r="AC32" s="32" t="n">
        <v>0</v>
      </c>
      <c r="AD32" s="32" t="n">
        <v>1</v>
      </c>
      <c r="AE32" s="31" t="n">
        <v>7</v>
      </c>
      <c r="AF32" s="32" t="n">
        <v>1</v>
      </c>
      <c r="AG32" s="31" t="n">
        <v>2</v>
      </c>
      <c r="AH32" s="32" t="n">
        <v>58</v>
      </c>
      <c r="AI32" s="31" t="n">
        <v>59.5</v>
      </c>
      <c r="AJ32" s="31" t="n">
        <v>43.7</v>
      </c>
      <c r="AK32" s="31" t="n">
        <v>7</v>
      </c>
      <c r="AL32" s="30" t="inlineStr">
        <is>
          <t>T-0184</t>
        </is>
      </c>
      <c r="AM32" s="30" t="inlineStr">
        <is>
          <t>G-03-02</t>
        </is>
      </c>
      <c r="AN32" s="30" t="inlineStr">
        <is>
          <t>T-0092</t>
        </is>
      </c>
      <c r="AO32" s="30" t="inlineStr">
        <is>
          <t>G-04-01</t>
        </is>
      </c>
    </row>
    <row r="33">
      <c r="A33" s="30" t="inlineStr">
        <is>
          <t>O0032</t>
        </is>
      </c>
      <c r="B33" s="30" t="inlineStr">
        <is>
          <t>E</t>
        </is>
      </c>
      <c r="C33" s="31" t="n">
        <v>623.5</v>
      </c>
      <c r="D33" s="31" t="n">
        <v>842.3</v>
      </c>
      <c r="E33" s="31" t="n">
        <v>869.8</v>
      </c>
      <c r="F33" s="31" t="n">
        <v>882.3</v>
      </c>
      <c r="G33" s="31" t="n">
        <v>910.6</v>
      </c>
      <c r="H33" s="31" t="n">
        <v>988.8</v>
      </c>
      <c r="I33" s="31" t="n">
        <v>1002</v>
      </c>
      <c r="J33" s="31" t="n">
        <v>1032.2</v>
      </c>
      <c r="K33" s="31" t="n">
        <v>408.7</v>
      </c>
      <c r="L33" s="31" t="n">
        <v>218.8</v>
      </c>
      <c r="M33" s="30" t="inlineStr">
        <is>
          <t>AMR3</t>
        </is>
      </c>
      <c r="N33" s="30" t="inlineStr">
        <is>
          <t>AMR2</t>
        </is>
      </c>
      <c r="O33" s="32" t="n">
        <v>1</v>
      </c>
      <c r="P33" s="32" t="n">
        <v>25</v>
      </c>
      <c r="Q33" s="32" t="n">
        <v>4</v>
      </c>
      <c r="R33" s="31" t="n">
        <v>60.8</v>
      </c>
      <c r="S33" s="31" t="n">
        <v>60.8</v>
      </c>
      <c r="T33" s="30" t="inlineStr">
        <is>
          <t>AMR3</t>
        </is>
      </c>
      <c r="U33" s="31" t="n">
        <v>45.7</v>
      </c>
      <c r="V33" s="31" t="n">
        <v>45.7</v>
      </c>
      <c r="W33" s="30" t="inlineStr">
        <is>
          <t>AMR2</t>
        </is>
      </c>
      <c r="X33" s="32" t="n">
        <v>0</v>
      </c>
      <c r="Y33" s="32" t="n">
        <v>0</v>
      </c>
      <c r="Z33" s="31" t="n">
        <v>0</v>
      </c>
      <c r="AA33" s="32" t="n">
        <v>0</v>
      </c>
      <c r="AB33" s="32" t="n">
        <v>0</v>
      </c>
      <c r="AC33" s="32" t="n">
        <v>0</v>
      </c>
      <c r="AD33" s="32" t="n">
        <v>0</v>
      </c>
      <c r="AE33" s="31" t="n">
        <v>0</v>
      </c>
      <c r="AF33" s="32" t="n">
        <v>0</v>
      </c>
      <c r="AG33" s="31" t="n">
        <v>0</v>
      </c>
      <c r="AH33" s="32" t="n">
        <v>69</v>
      </c>
      <c r="AI33" s="31" t="n">
        <v>68.7</v>
      </c>
      <c r="AJ33" s="31" t="n">
        <v>39</v>
      </c>
      <c r="AK33" s="31" t="n">
        <v>4</v>
      </c>
      <c r="AL33" s="30" t="inlineStr">
        <is>
          <t>T-0175</t>
        </is>
      </c>
      <c r="AM33" s="30" t="inlineStr">
        <is>
          <t>E-04-01</t>
        </is>
      </c>
      <c r="AN33" s="30" t="inlineStr">
        <is>
          <t>T-0062</t>
        </is>
      </c>
      <c r="AO33" s="30" t="inlineStr">
        <is>
          <t>E-02-05</t>
        </is>
      </c>
    </row>
    <row r="34">
      <c r="A34" s="30" t="inlineStr">
        <is>
          <t>O0033</t>
        </is>
      </c>
      <c r="B34" s="30" t="inlineStr">
        <is>
          <t>I</t>
        </is>
      </c>
      <c r="C34" s="31" t="n">
        <v>641</v>
      </c>
      <c r="D34" s="31" t="n">
        <v>1105.2</v>
      </c>
      <c r="E34" s="31" t="n">
        <v>1128.7</v>
      </c>
      <c r="F34" s="31" t="n">
        <v>1141.3</v>
      </c>
      <c r="G34" s="31" t="n">
        <v>1170.1</v>
      </c>
      <c r="H34" s="31" t="n">
        <v>1242.8</v>
      </c>
      <c r="I34" s="31" t="n">
        <v>1268.2</v>
      </c>
      <c r="J34" s="31" t="n">
        <v>1298.5</v>
      </c>
      <c r="K34" s="31" t="n">
        <v>657.5</v>
      </c>
      <c r="L34" s="31" t="n">
        <v>464.2</v>
      </c>
      <c r="M34" s="30" t="inlineStr">
        <is>
          <t>AMR1</t>
        </is>
      </c>
      <c r="N34" s="30" t="inlineStr">
        <is>
          <t>AMR3</t>
        </is>
      </c>
      <c r="O34" s="32" t="n">
        <v>1</v>
      </c>
      <c r="P34" s="32" t="n">
        <v>25</v>
      </c>
      <c r="Q34" s="32" t="n">
        <v>14</v>
      </c>
      <c r="R34" s="31" t="n">
        <v>60.7</v>
      </c>
      <c r="S34" s="31" t="n">
        <v>60.7</v>
      </c>
      <c r="T34" s="30" t="inlineStr">
        <is>
          <t>AMR1</t>
        </is>
      </c>
      <c r="U34" s="31" t="n">
        <v>51.3</v>
      </c>
      <c r="V34" s="31" t="n">
        <v>51.3</v>
      </c>
      <c r="W34" s="30" t="inlineStr">
        <is>
          <t>AMR3</t>
        </is>
      </c>
      <c r="X34" s="32" t="n">
        <v>0</v>
      </c>
      <c r="Y34" s="32" t="n">
        <v>0</v>
      </c>
      <c r="Z34" s="31" t="n">
        <v>0</v>
      </c>
      <c r="AA34" s="32" t="n">
        <v>0</v>
      </c>
      <c r="AB34" s="32" t="n">
        <v>0</v>
      </c>
      <c r="AC34" s="32" t="n">
        <v>0</v>
      </c>
      <c r="AD34" s="32" t="n">
        <v>2</v>
      </c>
      <c r="AE34" s="31" t="n">
        <v>3</v>
      </c>
      <c r="AF34" s="32" t="n">
        <v>0</v>
      </c>
      <c r="AG34" s="31" t="n">
        <v>0</v>
      </c>
      <c r="AH34" s="32" t="n">
        <v>70</v>
      </c>
      <c r="AI34" s="31" t="n">
        <v>72</v>
      </c>
      <c r="AJ34" s="31" t="n">
        <v>45.6</v>
      </c>
      <c r="AK34" s="31" t="n">
        <v>3</v>
      </c>
      <c r="AL34" s="30" t="inlineStr">
        <is>
          <t>T-0182</t>
        </is>
      </c>
      <c r="AM34" s="30" t="inlineStr">
        <is>
          <t>I-06-01</t>
        </is>
      </c>
      <c r="AN34" s="30" t="inlineStr">
        <is>
          <t>T-0126</t>
        </is>
      </c>
      <c r="AO34" s="30" t="inlineStr">
        <is>
          <t>I-02-04</t>
        </is>
      </c>
    </row>
    <row r="35">
      <c r="A35" s="30" t="inlineStr">
        <is>
          <t>O0034</t>
        </is>
      </c>
      <c r="B35" s="30" t="inlineStr">
        <is>
          <t>J</t>
        </is>
      </c>
      <c r="C35" s="31" t="n">
        <v>658.6</v>
      </c>
      <c r="D35" s="31" t="n">
        <v>1353.8</v>
      </c>
      <c r="E35" s="31" t="n">
        <v>1380.3</v>
      </c>
      <c r="F35" s="31" t="n">
        <v>1392.1</v>
      </c>
      <c r="G35" s="31" t="n">
        <v>1423.8</v>
      </c>
      <c r="H35" s="31" t="n">
        <v>1423.9</v>
      </c>
      <c r="I35" s="31" t="n">
        <v>1436.4</v>
      </c>
      <c r="J35" s="31" t="n">
        <v>1470.1</v>
      </c>
      <c r="K35" s="31" t="n">
        <v>811.5</v>
      </c>
      <c r="L35" s="31" t="n">
        <v>695.2</v>
      </c>
      <c r="M35" s="30" t="inlineStr">
        <is>
          <t>AMR3</t>
        </is>
      </c>
      <c r="N35" s="30" t="inlineStr">
        <is>
          <t>AMR3</t>
        </is>
      </c>
      <c r="O35" s="32" t="n">
        <v>1</v>
      </c>
      <c r="P35" s="32" t="n">
        <v>25</v>
      </c>
      <c r="Q35" s="32" t="n">
        <v>2</v>
      </c>
      <c r="R35" s="31" t="n">
        <v>62.8</v>
      </c>
      <c r="S35" s="31" t="n">
        <v>62.8</v>
      </c>
      <c r="T35" s="30" t="inlineStr">
        <is>
          <t>AMR3</t>
        </is>
      </c>
      <c r="U35" s="31" t="n">
        <v>46.8</v>
      </c>
      <c r="V35" s="31" t="n">
        <v>46.8</v>
      </c>
      <c r="W35" s="30" t="inlineStr">
        <is>
          <t>AMR3</t>
        </is>
      </c>
      <c r="X35" s="32" t="n">
        <v>0</v>
      </c>
      <c r="Y35" s="32" t="n">
        <v>0</v>
      </c>
      <c r="Z35" s="31" t="n">
        <v>0</v>
      </c>
      <c r="AA35" s="32" t="n">
        <v>0</v>
      </c>
      <c r="AB35" s="32" t="n">
        <v>0</v>
      </c>
      <c r="AC35" s="32" t="n">
        <v>0</v>
      </c>
      <c r="AD35" s="32" t="n">
        <v>0</v>
      </c>
      <c r="AE35" s="31" t="n">
        <v>0</v>
      </c>
      <c r="AF35" s="32" t="n">
        <v>0</v>
      </c>
      <c r="AG35" s="31" t="n">
        <v>0</v>
      </c>
      <c r="AH35" s="32" t="n">
        <v>70</v>
      </c>
      <c r="AI35" s="31" t="n">
        <v>69</v>
      </c>
      <c r="AJ35" s="31" t="n">
        <v>44.2</v>
      </c>
      <c r="AK35" s="31" t="n">
        <v>3</v>
      </c>
      <c r="AL35" s="30" t="inlineStr">
        <is>
          <t>T-0189</t>
        </is>
      </c>
      <c r="AM35" s="30" t="inlineStr">
        <is>
          <t>J-06-01</t>
        </is>
      </c>
      <c r="AN35" s="30" t="inlineStr">
        <is>
          <t>T-0139</t>
        </is>
      </c>
      <c r="AO35" s="30" t="inlineStr">
        <is>
          <t>J-03-01</t>
        </is>
      </c>
    </row>
    <row r="36">
      <c r="A36" s="30" t="inlineStr">
        <is>
          <t>O0035</t>
        </is>
      </c>
      <c r="B36" s="30" t="inlineStr">
        <is>
          <t>G</t>
        </is>
      </c>
      <c r="C36" s="31" t="n">
        <v>682.6</v>
      </c>
      <c r="D36" s="31" t="n">
        <v>1056.7</v>
      </c>
      <c r="E36" s="31" t="n">
        <v>1080.2</v>
      </c>
      <c r="F36" s="31" t="n">
        <v>1093.8</v>
      </c>
      <c r="G36" s="31" t="n">
        <v>1119</v>
      </c>
      <c r="H36" s="31" t="n">
        <v>1298.6</v>
      </c>
      <c r="I36" s="31" t="n">
        <v>1323</v>
      </c>
      <c r="J36" s="31" t="n">
        <v>1353.7</v>
      </c>
      <c r="K36" s="31" t="n">
        <v>671.1</v>
      </c>
      <c r="L36" s="31" t="n">
        <v>374.1</v>
      </c>
      <c r="M36" s="30" t="inlineStr">
        <is>
          <t>AMR3</t>
        </is>
      </c>
      <c r="N36" s="30" t="inlineStr">
        <is>
          <t>AMR3</t>
        </is>
      </c>
      <c r="O36" s="32" t="n">
        <v>1</v>
      </c>
      <c r="P36" s="32" t="n">
        <v>25</v>
      </c>
      <c r="Q36" s="32" t="n">
        <v>16</v>
      </c>
      <c r="R36" s="31" t="n">
        <v>58.9</v>
      </c>
      <c r="S36" s="31" t="n">
        <v>58.9</v>
      </c>
      <c r="T36" s="30" t="inlineStr">
        <is>
          <t>AMR3</t>
        </is>
      </c>
      <c r="U36" s="31" t="n">
        <v>53.8</v>
      </c>
      <c r="V36" s="31" t="n">
        <v>53.8</v>
      </c>
      <c r="W36" s="30" t="inlineStr">
        <is>
          <t>AMR3</t>
        </is>
      </c>
      <c r="X36" s="32" t="n">
        <v>0</v>
      </c>
      <c r="Y36" s="32" t="n">
        <v>0</v>
      </c>
      <c r="Z36" s="31" t="n">
        <v>0</v>
      </c>
      <c r="AA36" s="32" t="n">
        <v>0</v>
      </c>
      <c r="AB36" s="32" t="n">
        <v>0</v>
      </c>
      <c r="AC36" s="32" t="n">
        <v>0</v>
      </c>
      <c r="AD36" s="32" t="n">
        <v>0</v>
      </c>
      <c r="AE36" s="31" t="n">
        <v>0</v>
      </c>
      <c r="AF36" s="32" t="n">
        <v>0</v>
      </c>
      <c r="AG36" s="31" t="n">
        <v>0</v>
      </c>
      <c r="AH36" s="32" t="n">
        <v>75</v>
      </c>
      <c r="AI36" s="31" t="n">
        <v>75.7</v>
      </c>
      <c r="AJ36" s="31" t="n">
        <v>41.7</v>
      </c>
      <c r="AK36" s="31" t="n">
        <v>0</v>
      </c>
      <c r="AL36" s="30" t="inlineStr">
        <is>
          <t>T-0181</t>
        </is>
      </c>
      <c r="AM36" s="30" t="inlineStr">
        <is>
          <t>G-01-02</t>
        </is>
      </c>
      <c r="AN36" s="30" t="inlineStr">
        <is>
          <t>T-0093</t>
        </is>
      </c>
      <c r="AO36" s="30" t="inlineStr">
        <is>
          <t>G-03-05</t>
        </is>
      </c>
    </row>
    <row r="37">
      <c r="A37" s="30" t="inlineStr">
        <is>
          <t>O0036</t>
        </is>
      </c>
      <c r="B37" s="30" t="inlineStr">
        <is>
          <t>C</t>
        </is>
      </c>
      <c r="C37" s="31" t="n">
        <v>699.8</v>
      </c>
      <c r="D37" s="31" t="n">
        <v>1317.9</v>
      </c>
      <c r="E37" s="31" t="n">
        <v>1329.9</v>
      </c>
      <c r="F37" s="31" t="n">
        <v>1341.4</v>
      </c>
      <c r="G37" s="31" t="n">
        <v>1366.2</v>
      </c>
      <c r="H37" s="31" t="n">
        <v>1571.1</v>
      </c>
      <c r="I37" s="31" t="n">
        <v>1584.9</v>
      </c>
      <c r="J37" s="31" t="n">
        <v>1616.3</v>
      </c>
      <c r="K37" s="31" t="n">
        <v>916.5</v>
      </c>
      <c r="L37" s="31" t="n">
        <v>618.1</v>
      </c>
      <c r="M37" s="30" t="inlineStr">
        <is>
          <t>AMR2</t>
        </is>
      </c>
      <c r="N37" s="30" t="inlineStr">
        <is>
          <t>AMR2</t>
        </is>
      </c>
      <c r="O37" s="32" t="n">
        <v>1</v>
      </c>
      <c r="P37" s="32" t="n">
        <v>12</v>
      </c>
      <c r="Q37" s="32" t="n">
        <v>3</v>
      </c>
      <c r="R37" s="31" t="n">
        <v>47</v>
      </c>
      <c r="S37" s="31" t="n">
        <v>47</v>
      </c>
      <c r="T37" s="30" t="inlineStr">
        <is>
          <t>AMR2</t>
        </is>
      </c>
      <c r="U37" s="31" t="n">
        <v>43.9</v>
      </c>
      <c r="V37" s="31" t="n">
        <v>43.9</v>
      </c>
      <c r="W37" s="30" t="inlineStr">
        <is>
          <t>AMR2</t>
        </is>
      </c>
      <c r="X37" s="32" t="n">
        <v>0</v>
      </c>
      <c r="Y37" s="32" t="n">
        <v>0</v>
      </c>
      <c r="Z37" s="31" t="n">
        <v>0</v>
      </c>
      <c r="AA37" s="32" t="n">
        <v>0</v>
      </c>
      <c r="AB37" s="32" t="n">
        <v>0</v>
      </c>
      <c r="AC37" s="32" t="n">
        <v>0</v>
      </c>
      <c r="AD37" s="32" t="n">
        <v>1</v>
      </c>
      <c r="AE37" s="31" t="n">
        <v>2</v>
      </c>
      <c r="AF37" s="32" t="n">
        <v>0</v>
      </c>
      <c r="AG37" s="31" t="n">
        <v>0</v>
      </c>
      <c r="AH37" s="32" t="n">
        <v>41</v>
      </c>
      <c r="AI37" s="31" t="n">
        <v>45.2</v>
      </c>
      <c r="AJ37" s="31" t="n">
        <v>46.3</v>
      </c>
      <c r="AK37" s="31" t="n">
        <v>2</v>
      </c>
      <c r="AL37" s="30" t="inlineStr">
        <is>
          <t>T-0187</t>
        </is>
      </c>
      <c r="AM37" s="30" t="inlineStr">
        <is>
          <t>C-05-01</t>
        </is>
      </c>
      <c r="AN37" s="30" t="inlineStr">
        <is>
          <t>T-0032</t>
        </is>
      </c>
      <c r="AO37" s="30" t="inlineStr">
        <is>
          <t>C-05-03</t>
        </is>
      </c>
    </row>
    <row r="38">
      <c r="A38" s="30" t="inlineStr">
        <is>
          <t>O0037</t>
        </is>
      </c>
      <c r="B38" s="30" t="inlineStr">
        <is>
          <t>A</t>
        </is>
      </c>
      <c r="C38" s="31" t="n">
        <v>719.8</v>
      </c>
      <c r="D38" s="31" t="n">
        <v>1212.7</v>
      </c>
      <c r="E38" s="31" t="n">
        <v>1236.2</v>
      </c>
      <c r="F38" s="31" t="n">
        <v>1249.6</v>
      </c>
      <c r="G38" s="31" t="n">
        <v>1282.3</v>
      </c>
      <c r="H38" s="31" t="n">
        <v>1553.2</v>
      </c>
      <c r="I38" s="31" t="n">
        <v>1563.9</v>
      </c>
      <c r="J38" s="31" t="n">
        <v>1596</v>
      </c>
      <c r="K38" s="31" t="n">
        <v>876.2</v>
      </c>
      <c r="L38" s="31" t="n">
        <v>492.9</v>
      </c>
      <c r="M38" s="30" t="inlineStr">
        <is>
          <t>AMR1</t>
        </is>
      </c>
      <c r="N38" s="30" t="inlineStr">
        <is>
          <t>AMR1</t>
        </is>
      </c>
      <c r="O38" s="32" t="n">
        <v>1</v>
      </c>
      <c r="P38" s="32" t="n">
        <v>25</v>
      </c>
      <c r="Q38" s="32" t="n">
        <v>0</v>
      </c>
      <c r="R38" s="31" t="n">
        <v>66.09999999999999</v>
      </c>
      <c r="S38" s="31" t="n">
        <v>63.2</v>
      </c>
      <c r="T38" s="30" t="inlineStr">
        <is>
          <t>AMR2</t>
        </is>
      </c>
      <c r="U38" s="31" t="n">
        <v>43.5</v>
      </c>
      <c r="V38" s="31" t="n">
        <v>43.5</v>
      </c>
      <c r="W38" s="30" t="inlineStr">
        <is>
          <t>AMR1</t>
        </is>
      </c>
      <c r="X38" s="32" t="n">
        <v>1</v>
      </c>
      <c r="Y38" s="32" t="n">
        <v>8</v>
      </c>
      <c r="Z38" s="31" t="n">
        <v>2.9</v>
      </c>
      <c r="AA38" s="32" t="n">
        <v>0</v>
      </c>
      <c r="AB38" s="32" t="n">
        <v>0</v>
      </c>
      <c r="AC38" s="32" t="n">
        <v>0</v>
      </c>
      <c r="AD38" s="32" t="n">
        <v>0</v>
      </c>
      <c r="AE38" s="31" t="n">
        <v>0</v>
      </c>
      <c r="AF38" s="32" t="n">
        <v>0</v>
      </c>
      <c r="AG38" s="31" t="n">
        <v>0</v>
      </c>
      <c r="AH38" s="32" t="n">
        <v>71</v>
      </c>
      <c r="AI38" s="31" t="n">
        <v>69.5</v>
      </c>
      <c r="AJ38" s="31" t="n">
        <v>42.9</v>
      </c>
      <c r="AK38" s="31" t="n">
        <v>0</v>
      </c>
      <c r="AL38" s="30" t="inlineStr">
        <is>
          <t>T-0185</t>
        </is>
      </c>
      <c r="AM38" s="30" t="inlineStr">
        <is>
          <t>A-01-02</t>
        </is>
      </c>
      <c r="AN38" s="30" t="inlineStr">
        <is>
          <t>T-0004</t>
        </is>
      </c>
      <c r="AO38" s="30" t="inlineStr">
        <is>
          <t>A-05-04</t>
        </is>
      </c>
    </row>
    <row r="39">
      <c r="A39" s="30" t="inlineStr">
        <is>
          <t>O0038</t>
        </is>
      </c>
      <c r="B39" s="30" t="inlineStr">
        <is>
          <t>C</t>
        </is>
      </c>
      <c r="C39" s="31" t="n">
        <v>736.3</v>
      </c>
      <c r="D39" s="31" t="n">
        <v>1260.8</v>
      </c>
      <c r="E39" s="31" t="n">
        <v>1284.3</v>
      </c>
      <c r="F39" s="31" t="n">
        <v>1297.8</v>
      </c>
      <c r="G39" s="31" t="n">
        <v>1317.8</v>
      </c>
      <c r="H39" s="31" t="n">
        <v>1366.3</v>
      </c>
      <c r="I39" s="31" t="n">
        <v>1379.2</v>
      </c>
      <c r="J39" s="31" t="n">
        <v>1406.2</v>
      </c>
      <c r="K39" s="31" t="n">
        <v>669.9</v>
      </c>
      <c r="L39" s="31" t="n">
        <v>524.5</v>
      </c>
      <c r="M39" s="30" t="inlineStr">
        <is>
          <t>AMR2</t>
        </is>
      </c>
      <c r="N39" s="30" t="inlineStr">
        <is>
          <t>AMR2</t>
        </is>
      </c>
      <c r="O39" s="32" t="n">
        <v>1</v>
      </c>
      <c r="P39" s="32" t="n">
        <v>25</v>
      </c>
      <c r="Q39" s="32" t="n">
        <v>1</v>
      </c>
      <c r="R39" s="31" t="n">
        <v>55.1</v>
      </c>
      <c r="S39" s="31" t="n">
        <v>55.1</v>
      </c>
      <c r="T39" s="30" t="inlineStr">
        <is>
          <t>AMR2</t>
        </is>
      </c>
      <c r="U39" s="31" t="n">
        <v>40.6</v>
      </c>
      <c r="V39" s="31" t="n">
        <v>40.6</v>
      </c>
      <c r="W39" s="30" t="inlineStr">
        <is>
          <t>AMR2</t>
        </is>
      </c>
      <c r="X39" s="32" t="n">
        <v>0</v>
      </c>
      <c r="Y39" s="32" t="n">
        <v>0</v>
      </c>
      <c r="Z39" s="31" t="n">
        <v>0</v>
      </c>
      <c r="AA39" s="32" t="n">
        <v>0</v>
      </c>
      <c r="AB39" s="32" t="n">
        <v>0</v>
      </c>
      <c r="AC39" s="32" t="n">
        <v>0</v>
      </c>
      <c r="AD39" s="32" t="n">
        <v>0</v>
      </c>
      <c r="AE39" s="31" t="n">
        <v>0</v>
      </c>
      <c r="AF39" s="32" t="n">
        <v>0</v>
      </c>
      <c r="AG39" s="31" t="n">
        <v>0</v>
      </c>
      <c r="AH39" s="32" t="n">
        <v>52</v>
      </c>
      <c r="AI39" s="31" t="n">
        <v>54.3</v>
      </c>
      <c r="AJ39" s="31" t="n">
        <v>42.6</v>
      </c>
      <c r="AK39" s="31" t="n">
        <v>0</v>
      </c>
      <c r="AL39" s="30" t="inlineStr">
        <is>
          <t>T-0186</t>
        </is>
      </c>
      <c r="AM39" s="30" t="inlineStr">
        <is>
          <t>C-01-01</t>
        </is>
      </c>
      <c r="AN39" s="30" t="inlineStr">
        <is>
          <t>T-0031</t>
        </is>
      </c>
      <c r="AO39" s="30" t="inlineStr">
        <is>
          <t>C-04-01</t>
        </is>
      </c>
    </row>
    <row r="40">
      <c r="A40" s="30" t="inlineStr">
        <is>
          <t>O0039</t>
        </is>
      </c>
      <c r="B40" s="30" t="inlineStr">
        <is>
          <t>B</t>
        </is>
      </c>
      <c r="C40" s="31" t="n">
        <v>755.5</v>
      </c>
      <c r="D40" s="31" t="n">
        <v>1333.3</v>
      </c>
      <c r="E40" s="31" t="n">
        <v>1356.8</v>
      </c>
      <c r="F40" s="31" t="n">
        <v>1368.1</v>
      </c>
      <c r="G40" s="31" t="n">
        <v>1393.9</v>
      </c>
      <c r="H40" s="31" t="n">
        <v>1394</v>
      </c>
      <c r="I40" s="31" t="n">
        <v>1405</v>
      </c>
      <c r="J40" s="31" t="n">
        <v>1435.6</v>
      </c>
      <c r="K40" s="31" t="n">
        <v>680.1</v>
      </c>
      <c r="L40" s="31" t="n">
        <v>577.8</v>
      </c>
      <c r="M40" s="30" t="inlineStr">
        <is>
          <t>AMR1</t>
        </is>
      </c>
      <c r="N40" s="30" t="inlineStr">
        <is>
          <t>AMR1</t>
        </is>
      </c>
      <c r="O40" s="32" t="n">
        <v>1</v>
      </c>
      <c r="P40" s="32" t="n">
        <v>25</v>
      </c>
      <c r="Q40" s="32" t="n">
        <v>0</v>
      </c>
      <c r="R40" s="31" t="n">
        <v>57.9</v>
      </c>
      <c r="S40" s="31" t="n">
        <v>57.9</v>
      </c>
      <c r="T40" s="30" t="inlineStr">
        <is>
          <t>AMR1</t>
        </is>
      </c>
      <c r="U40" s="31" t="n">
        <v>39.8</v>
      </c>
      <c r="V40" s="31" t="n">
        <v>39.8</v>
      </c>
      <c r="W40" s="30" t="inlineStr">
        <is>
          <t>AMR1</t>
        </is>
      </c>
      <c r="X40" s="32" t="n">
        <v>0</v>
      </c>
      <c r="Y40" s="32" t="n">
        <v>0</v>
      </c>
      <c r="Z40" s="31" t="n">
        <v>0</v>
      </c>
      <c r="AA40" s="32" t="n">
        <v>0</v>
      </c>
      <c r="AB40" s="32" t="n">
        <v>0</v>
      </c>
      <c r="AC40" s="32" t="n">
        <v>0</v>
      </c>
      <c r="AD40" s="32" t="n">
        <v>0</v>
      </c>
      <c r="AE40" s="31" t="n">
        <v>0</v>
      </c>
      <c r="AF40" s="32" t="n">
        <v>0</v>
      </c>
      <c r="AG40" s="31" t="n">
        <v>0</v>
      </c>
      <c r="AH40" s="32" t="n">
        <v>60</v>
      </c>
      <c r="AI40" s="31" t="n">
        <v>60.6</v>
      </c>
      <c r="AJ40" s="31" t="n">
        <v>41.6</v>
      </c>
      <c r="AK40" s="31" t="n">
        <v>0</v>
      </c>
      <c r="AL40" s="30" t="inlineStr">
        <is>
          <t>T-0188</t>
        </is>
      </c>
      <c r="AM40" s="30" t="inlineStr">
        <is>
          <t>B-03-02</t>
        </is>
      </c>
      <c r="AN40" s="30" t="inlineStr">
        <is>
          <t>T-0022</t>
        </is>
      </c>
      <c r="AO40" s="30" t="inlineStr">
        <is>
          <t>B-01-03</t>
        </is>
      </c>
    </row>
    <row r="41">
      <c r="A41" s="30" t="inlineStr">
        <is>
          <t>O0040</t>
        </is>
      </c>
      <c r="B41" s="30" t="inlineStr">
        <is>
          <t>H</t>
        </is>
      </c>
      <c r="C41" s="31" t="n">
        <v>774.3</v>
      </c>
      <c r="D41" s="31" t="n">
        <v>1406.3</v>
      </c>
      <c r="E41" s="31" t="n">
        <v>1429.8</v>
      </c>
      <c r="F41" s="31" t="n">
        <v>1443</v>
      </c>
      <c r="G41" s="31" t="n">
        <v>1468.6</v>
      </c>
      <c r="H41" s="31" t="n">
        <v>1468.7</v>
      </c>
      <c r="I41" s="31" t="n">
        <v>1479.6</v>
      </c>
      <c r="J41" s="31" t="n">
        <v>1505.8</v>
      </c>
      <c r="K41" s="31" t="n">
        <v>731.5</v>
      </c>
      <c r="L41" s="31" t="n">
        <v>632</v>
      </c>
      <c r="M41" s="30" t="inlineStr">
        <is>
          <t>AMR2</t>
        </is>
      </c>
      <c r="N41" s="30" t="inlineStr">
        <is>
          <t>AMR2</t>
        </is>
      </c>
      <c r="O41" s="32" t="n">
        <v>1</v>
      </c>
      <c r="P41" s="32" t="n">
        <v>25</v>
      </c>
      <c r="Q41" s="32" t="n">
        <v>1</v>
      </c>
      <c r="R41" s="31" t="n">
        <v>60.5</v>
      </c>
      <c r="S41" s="31" t="n">
        <v>60.5</v>
      </c>
      <c r="T41" s="30" t="inlineStr">
        <is>
          <t>AMR2</t>
        </is>
      </c>
      <c r="U41" s="31" t="n">
        <v>36.3</v>
      </c>
      <c r="V41" s="31" t="n">
        <v>36.3</v>
      </c>
      <c r="W41" s="30" t="inlineStr">
        <is>
          <t>AMR2</t>
        </is>
      </c>
      <c r="X41" s="32" t="n">
        <v>0</v>
      </c>
      <c r="Y41" s="32" t="n">
        <v>0</v>
      </c>
      <c r="Z41" s="31" t="n">
        <v>0</v>
      </c>
      <c r="AA41" s="32" t="n">
        <v>0</v>
      </c>
      <c r="AB41" s="32" t="n">
        <v>0</v>
      </c>
      <c r="AC41" s="32" t="n">
        <v>0</v>
      </c>
      <c r="AD41" s="32" t="n">
        <v>0</v>
      </c>
      <c r="AE41" s="31" t="n">
        <v>0</v>
      </c>
      <c r="AF41" s="32" t="n">
        <v>0</v>
      </c>
      <c r="AG41" s="31" t="n">
        <v>0</v>
      </c>
      <c r="AH41" s="32" t="n">
        <v>54</v>
      </c>
      <c r="AI41" s="31" t="n">
        <v>56.2</v>
      </c>
      <c r="AJ41" s="31" t="n">
        <v>43.2</v>
      </c>
      <c r="AK41" s="31" t="n">
        <v>0</v>
      </c>
      <c r="AL41" s="30" t="inlineStr">
        <is>
          <t>T-0190</t>
        </is>
      </c>
      <c r="AM41" s="30" t="inlineStr">
        <is>
          <t>H-02-02</t>
        </is>
      </c>
      <c r="AN41" s="30" t="inlineStr">
        <is>
          <t>T-0108</t>
        </is>
      </c>
      <c r="AO41" s="30" t="inlineStr">
        <is>
          <t>H-04-02</t>
        </is>
      </c>
    </row>
    <row r="42">
      <c r="A42" s="30" t="inlineStr">
        <is>
          <t>O0041</t>
        </is>
      </c>
      <c r="B42" s="30" t="inlineStr">
        <is>
          <t>I</t>
        </is>
      </c>
      <c r="C42" s="31" t="n">
        <v>791.8</v>
      </c>
      <c r="D42" s="31" t="n">
        <v>1435.7</v>
      </c>
      <c r="E42" s="31" t="n">
        <v>1459.2</v>
      </c>
      <c r="F42" s="31" t="n">
        <v>1471.3</v>
      </c>
      <c r="G42" s="31" t="n">
        <v>1497</v>
      </c>
      <c r="H42" s="31" t="n">
        <v>1582.1</v>
      </c>
      <c r="I42" s="31" t="n">
        <v>1593.6</v>
      </c>
      <c r="J42" s="31" t="n">
        <v>1632.1</v>
      </c>
      <c r="K42" s="31" t="n">
        <v>840.3</v>
      </c>
      <c r="L42" s="31" t="n">
        <v>643.9</v>
      </c>
      <c r="M42" s="30" t="inlineStr">
        <is>
          <t>AMR1</t>
        </is>
      </c>
      <c r="N42" s="30" t="inlineStr">
        <is>
          <t>AMR3</t>
        </is>
      </c>
      <c r="O42" s="32" t="n">
        <v>1</v>
      </c>
      <c r="P42" s="32" t="n">
        <v>25</v>
      </c>
      <c r="Q42" s="32" t="n">
        <v>1</v>
      </c>
      <c r="R42" s="31" t="n">
        <v>59.5</v>
      </c>
      <c r="S42" s="31" t="n">
        <v>59.5</v>
      </c>
      <c r="T42" s="30" t="inlineStr">
        <is>
          <t>AMR1</t>
        </is>
      </c>
      <c r="U42" s="31" t="n">
        <v>37.5</v>
      </c>
      <c r="V42" s="31" t="n">
        <v>37.5</v>
      </c>
      <c r="W42" s="30" t="inlineStr">
        <is>
          <t>AMR3</t>
        </is>
      </c>
      <c r="X42" s="32" t="n">
        <v>0</v>
      </c>
      <c r="Y42" s="32" t="n">
        <v>0</v>
      </c>
      <c r="Z42" s="31" t="n">
        <v>0</v>
      </c>
      <c r="AA42" s="32" t="n">
        <v>0</v>
      </c>
      <c r="AB42" s="32" t="n">
        <v>0</v>
      </c>
      <c r="AC42" s="32" t="n">
        <v>0</v>
      </c>
      <c r="AD42" s="32" t="n">
        <v>1</v>
      </c>
      <c r="AE42" s="31" t="n">
        <v>9.699999999999999</v>
      </c>
      <c r="AF42" s="32" t="n">
        <v>1</v>
      </c>
      <c r="AG42" s="31" t="n">
        <v>4.7</v>
      </c>
      <c r="AH42" s="32" t="n">
        <v>56</v>
      </c>
      <c r="AI42" s="31" t="n">
        <v>58.7</v>
      </c>
      <c r="AJ42" s="31" t="n">
        <v>42.9</v>
      </c>
      <c r="AK42" s="31" t="n">
        <v>9.699999999999999</v>
      </c>
      <c r="AL42" s="30" t="inlineStr">
        <is>
          <t>T-0191</t>
        </is>
      </c>
      <c r="AM42" s="30" t="inlineStr">
        <is>
          <t>I-01-02</t>
        </is>
      </c>
      <c r="AN42" s="30" t="inlineStr">
        <is>
          <t>T-0127</t>
        </is>
      </c>
      <c r="AO42" s="30" t="inlineStr">
        <is>
          <t>I-05-02</t>
        </is>
      </c>
    </row>
    <row r="43">
      <c r="A43" s="30" t="inlineStr">
        <is>
          <t>O0042</t>
        </is>
      </c>
      <c r="B43" s="30" t="inlineStr">
        <is>
          <t>B</t>
        </is>
      </c>
      <c r="C43" s="31" t="n">
        <v>813.6</v>
      </c>
      <c r="D43" s="31" t="n">
        <v>1596.1</v>
      </c>
      <c r="E43" s="31" t="n">
        <v>1619.6</v>
      </c>
      <c r="F43" s="31" t="n">
        <v>1632.9</v>
      </c>
      <c r="G43" s="31" t="n">
        <v>1659.4</v>
      </c>
      <c r="H43" s="31" t="n">
        <v>1659.5</v>
      </c>
      <c r="I43" s="31" t="n">
        <v>1671</v>
      </c>
      <c r="J43" s="31" t="n">
        <v>1699.8</v>
      </c>
      <c r="K43" s="31" t="n">
        <v>886.2</v>
      </c>
      <c r="L43" s="31" t="n">
        <v>782.5</v>
      </c>
      <c r="M43" s="30" t="inlineStr">
        <is>
          <t>AMR1</t>
        </is>
      </c>
      <c r="N43" s="30" t="inlineStr">
        <is>
          <t>AMR1</t>
        </is>
      </c>
      <c r="O43" s="32" t="n">
        <v>1</v>
      </c>
      <c r="P43" s="32" t="n">
        <v>25</v>
      </c>
      <c r="Q43" s="32" t="n">
        <v>1</v>
      </c>
      <c r="R43" s="31" t="n">
        <v>61.4</v>
      </c>
      <c r="S43" s="31" t="n">
        <v>61.4</v>
      </c>
      <c r="T43" s="30" t="inlineStr">
        <is>
          <t>AMR1</t>
        </is>
      </c>
      <c r="U43" s="31" t="n">
        <v>38.5</v>
      </c>
      <c r="V43" s="31" t="n">
        <v>38.5</v>
      </c>
      <c r="W43" s="30" t="inlineStr">
        <is>
          <t>AMR1</t>
        </is>
      </c>
      <c r="X43" s="32" t="n">
        <v>0</v>
      </c>
      <c r="Y43" s="32" t="n">
        <v>0</v>
      </c>
      <c r="Z43" s="31" t="n">
        <v>0</v>
      </c>
      <c r="AA43" s="32" t="n">
        <v>0</v>
      </c>
      <c r="AB43" s="32" t="n">
        <v>0</v>
      </c>
      <c r="AC43" s="32" t="n">
        <v>0</v>
      </c>
      <c r="AD43" s="32" t="n">
        <v>0</v>
      </c>
      <c r="AE43" s="31" t="n">
        <v>0</v>
      </c>
      <c r="AF43" s="32" t="n">
        <v>0</v>
      </c>
      <c r="AG43" s="31" t="n">
        <v>0</v>
      </c>
      <c r="AH43" s="32" t="n">
        <v>60</v>
      </c>
      <c r="AI43" s="31" t="n">
        <v>60.5</v>
      </c>
      <c r="AJ43" s="31" t="n">
        <v>43.1</v>
      </c>
      <c r="AK43" s="31" t="n">
        <v>0</v>
      </c>
      <c r="AL43" s="30" t="inlineStr">
        <is>
          <t>T-0196</t>
        </is>
      </c>
      <c r="AM43" s="30" t="inlineStr">
        <is>
          <t>B-04-02</t>
        </is>
      </c>
      <c r="AN43" s="30" t="inlineStr">
        <is>
          <t>T-0023</t>
        </is>
      </c>
      <c r="AO43" s="30" t="inlineStr">
        <is>
          <t>B-01-04</t>
        </is>
      </c>
    </row>
    <row r="44">
      <c r="A44" s="30" t="inlineStr">
        <is>
          <t>O0043</t>
        </is>
      </c>
      <c r="B44" s="30" t="inlineStr">
        <is>
          <t>E</t>
        </is>
      </c>
      <c r="C44" s="31" t="n">
        <v>837.5</v>
      </c>
      <c r="D44" s="31" t="n">
        <v>1807.5</v>
      </c>
      <c r="E44" s="31" t="n">
        <v>1831</v>
      </c>
      <c r="F44" s="31" t="n">
        <v>1846.7</v>
      </c>
      <c r="G44" s="31" t="n">
        <v>1877.3</v>
      </c>
      <c r="H44" s="31" t="n">
        <v>1877.4</v>
      </c>
      <c r="I44" s="31" t="n">
        <v>1886.4</v>
      </c>
      <c r="J44" s="31" t="n">
        <v>1921.7</v>
      </c>
      <c r="K44" s="31" t="n">
        <v>1084.2</v>
      </c>
      <c r="L44" s="31" t="n">
        <v>970</v>
      </c>
      <c r="M44" s="30" t="inlineStr">
        <is>
          <t>AMR1</t>
        </is>
      </c>
      <c r="N44" s="30" t="inlineStr">
        <is>
          <t>AMR1</t>
        </is>
      </c>
      <c r="O44" s="32" t="n">
        <v>1</v>
      </c>
      <c r="P44" s="32" t="n">
        <v>25</v>
      </c>
      <c r="Q44" s="32" t="n">
        <v>1</v>
      </c>
      <c r="R44" s="31" t="n">
        <v>66.3</v>
      </c>
      <c r="S44" s="31" t="n">
        <v>66.3</v>
      </c>
      <c r="T44" s="30" t="inlineStr">
        <is>
          <t>AMR1</t>
        </is>
      </c>
      <c r="U44" s="31" t="n">
        <v>44.9</v>
      </c>
      <c r="V44" s="31" t="n">
        <v>44.9</v>
      </c>
      <c r="W44" s="30" t="inlineStr">
        <is>
          <t>AMR1</t>
        </is>
      </c>
      <c r="X44" s="32" t="n">
        <v>0</v>
      </c>
      <c r="Y44" s="32" t="n">
        <v>0</v>
      </c>
      <c r="Z44" s="31" t="n">
        <v>0</v>
      </c>
      <c r="AA44" s="32" t="n">
        <v>0</v>
      </c>
      <c r="AB44" s="32" t="n">
        <v>0</v>
      </c>
      <c r="AC44" s="32" t="n">
        <v>0</v>
      </c>
      <c r="AD44" s="32" t="n">
        <v>0</v>
      </c>
      <c r="AE44" s="31" t="n">
        <v>0</v>
      </c>
      <c r="AF44" s="32" t="n">
        <v>0</v>
      </c>
      <c r="AG44" s="31" t="n">
        <v>0</v>
      </c>
      <c r="AH44" s="32" t="n">
        <v>68</v>
      </c>
      <c r="AI44" s="31" t="n">
        <v>67.09999999999999</v>
      </c>
      <c r="AJ44" s="31" t="n">
        <v>47</v>
      </c>
      <c r="AK44" s="31" t="n">
        <v>0</v>
      </c>
      <c r="AL44" s="30" t="inlineStr">
        <is>
          <t>T-0202</t>
        </is>
      </c>
      <c r="AM44" s="30" t="inlineStr">
        <is>
          <t>E-04-02</t>
        </is>
      </c>
      <c r="AN44" s="30" t="inlineStr">
        <is>
          <t>T-0064</t>
        </is>
      </c>
      <c r="AO44" s="30" t="inlineStr">
        <is>
          <t>E-05-01</t>
        </is>
      </c>
    </row>
    <row r="45">
      <c r="A45" s="30" t="inlineStr">
        <is>
          <t>O0044</t>
        </is>
      </c>
      <c r="B45" s="30" t="inlineStr">
        <is>
          <t>E</t>
        </is>
      </c>
      <c r="C45" s="31" t="n">
        <v>855.9</v>
      </c>
      <c r="D45" s="31" t="n">
        <v>1699.9</v>
      </c>
      <c r="E45" s="31" t="n">
        <v>1723.4</v>
      </c>
      <c r="F45" s="31" t="n">
        <v>1736.3</v>
      </c>
      <c r="G45" s="31" t="n">
        <v>1760.7</v>
      </c>
      <c r="H45" s="31" t="n">
        <v>1760.8</v>
      </c>
      <c r="I45" s="31" t="n">
        <v>1774.6</v>
      </c>
      <c r="J45" s="31" t="n">
        <v>1807.4</v>
      </c>
      <c r="K45" s="31" t="n">
        <v>951.5</v>
      </c>
      <c r="L45" s="31" t="n">
        <v>844</v>
      </c>
      <c r="M45" s="30" t="inlineStr">
        <is>
          <t>AMR1</t>
        </is>
      </c>
      <c r="N45" s="30" t="inlineStr">
        <is>
          <t>AMR1</t>
        </is>
      </c>
      <c r="O45" s="32" t="n">
        <v>1</v>
      </c>
      <c r="P45" s="32" t="n">
        <v>25</v>
      </c>
      <c r="Q45" s="32" t="n">
        <v>1</v>
      </c>
      <c r="R45" s="31" t="n">
        <v>58.9</v>
      </c>
      <c r="S45" s="31" t="n">
        <v>58.9</v>
      </c>
      <c r="T45" s="30" t="inlineStr">
        <is>
          <t>AMR1</t>
        </is>
      </c>
      <c r="U45" s="31" t="n">
        <v>44.3</v>
      </c>
      <c r="V45" s="31" t="n">
        <v>44.3</v>
      </c>
      <c r="W45" s="30" t="inlineStr">
        <is>
          <t>AMR1</t>
        </is>
      </c>
      <c r="X45" s="32" t="n">
        <v>0</v>
      </c>
      <c r="Y45" s="32" t="n">
        <v>0</v>
      </c>
      <c r="Z45" s="31" t="n">
        <v>0</v>
      </c>
      <c r="AA45" s="32" t="n">
        <v>0</v>
      </c>
      <c r="AB45" s="32" t="n">
        <v>0</v>
      </c>
      <c r="AC45" s="32" t="n">
        <v>0</v>
      </c>
      <c r="AD45" s="32" t="n">
        <v>0</v>
      </c>
      <c r="AE45" s="31" t="n">
        <v>0</v>
      </c>
      <c r="AF45" s="32" t="n">
        <v>0</v>
      </c>
      <c r="AG45" s="31" t="n">
        <v>0</v>
      </c>
      <c r="AH45" s="32" t="n">
        <v>70</v>
      </c>
      <c r="AI45" s="31" t="n">
        <v>68.40000000000001</v>
      </c>
      <c r="AJ45" s="31" t="n">
        <v>39</v>
      </c>
      <c r="AK45" s="31" t="n">
        <v>0</v>
      </c>
      <c r="AL45" s="30" t="inlineStr">
        <is>
          <t>T-0199</t>
        </is>
      </c>
      <c r="AM45" s="30" t="inlineStr">
        <is>
          <t>E-01-02</t>
        </is>
      </c>
      <c r="AN45" s="30" t="inlineStr">
        <is>
          <t>T-0063</t>
        </is>
      </c>
      <c r="AO45" s="30" t="inlineStr">
        <is>
          <t>E-06-03</t>
        </is>
      </c>
    </row>
    <row r="46">
      <c r="A46" s="30" t="inlineStr">
        <is>
          <t>O0045</t>
        </is>
      </c>
      <c r="B46" s="30" t="inlineStr">
        <is>
          <t>A</t>
        </is>
      </c>
      <c r="C46" s="31" t="n">
        <v>872.5</v>
      </c>
      <c r="D46" s="31" t="n">
        <v>1497.1</v>
      </c>
      <c r="E46" s="31" t="n">
        <v>1511.1</v>
      </c>
      <c r="F46" s="31" t="n">
        <v>1525.2</v>
      </c>
      <c r="G46" s="31" t="n">
        <v>1553.1</v>
      </c>
      <c r="H46" s="31" t="n">
        <v>1843.8</v>
      </c>
      <c r="I46" s="31" t="n">
        <v>1861.1</v>
      </c>
      <c r="J46" s="31" t="n">
        <v>1892.8</v>
      </c>
      <c r="K46" s="31" t="n">
        <v>1020.3</v>
      </c>
      <c r="L46" s="31" t="n">
        <v>624.6</v>
      </c>
      <c r="M46" s="30" t="inlineStr">
        <is>
          <t>AMR1</t>
        </is>
      </c>
      <c r="N46" s="30" t="inlineStr">
        <is>
          <t>AMR2</t>
        </is>
      </c>
      <c r="O46" s="32" t="n">
        <v>1</v>
      </c>
      <c r="P46" s="32" t="n">
        <v>14</v>
      </c>
      <c r="Q46" s="32" t="n">
        <v>3</v>
      </c>
      <c r="R46" s="31" t="n">
        <v>54.5</v>
      </c>
      <c r="S46" s="31" t="n">
        <v>54.5</v>
      </c>
      <c r="T46" s="30" t="inlineStr">
        <is>
          <t>AMR1</t>
        </is>
      </c>
      <c r="U46" s="31" t="n">
        <v>48.8</v>
      </c>
      <c r="V46" s="31" t="n">
        <v>48.8</v>
      </c>
      <c r="W46" s="30" t="inlineStr">
        <is>
          <t>AMR2</t>
        </is>
      </c>
      <c r="X46" s="32" t="n">
        <v>0</v>
      </c>
      <c r="Y46" s="32" t="n">
        <v>0</v>
      </c>
      <c r="Z46" s="31" t="n">
        <v>0</v>
      </c>
      <c r="AA46" s="32" t="n">
        <v>0</v>
      </c>
      <c r="AB46" s="32" t="n">
        <v>0</v>
      </c>
      <c r="AC46" s="32" t="n">
        <v>0</v>
      </c>
      <c r="AD46" s="32" t="n">
        <v>0</v>
      </c>
      <c r="AE46" s="31" t="n">
        <v>0</v>
      </c>
      <c r="AF46" s="32" t="n">
        <v>0</v>
      </c>
      <c r="AG46" s="31" t="n">
        <v>0</v>
      </c>
      <c r="AH46" s="32" t="n">
        <v>62</v>
      </c>
      <c r="AI46" s="31" t="n">
        <v>63.2</v>
      </c>
      <c r="AJ46" s="31" t="n">
        <v>41.8</v>
      </c>
      <c r="AK46" s="31" t="n">
        <v>0</v>
      </c>
      <c r="AL46" s="30" t="inlineStr">
        <is>
          <t>T-0193</t>
        </is>
      </c>
      <c r="AM46" s="30" t="inlineStr">
        <is>
          <t>A-03-02</t>
        </is>
      </c>
      <c r="AN46" s="30" t="inlineStr">
        <is>
          <t>T-0005</t>
        </is>
      </c>
      <c r="AO46" s="30" t="inlineStr">
        <is>
          <t>A-04-01</t>
        </is>
      </c>
    </row>
    <row r="47">
      <c r="A47" s="30" t="inlineStr">
        <is>
          <t>O0046</t>
        </is>
      </c>
      <c r="B47" s="30" t="inlineStr">
        <is>
          <t>C</t>
        </is>
      </c>
      <c r="C47" s="31" t="n">
        <v>897.2</v>
      </c>
      <c r="D47" s="31" t="n">
        <v>1632.2</v>
      </c>
      <c r="E47" s="31" t="n">
        <v>1655.7</v>
      </c>
      <c r="F47" s="31" t="n">
        <v>1666.5</v>
      </c>
      <c r="G47" s="31" t="n">
        <v>1690.1</v>
      </c>
      <c r="H47" s="31" t="n">
        <v>1790.9</v>
      </c>
      <c r="I47" s="31" t="n">
        <v>1803.5</v>
      </c>
      <c r="J47" s="31" t="n">
        <v>1832.5</v>
      </c>
      <c r="K47" s="31" t="n">
        <v>935.3</v>
      </c>
      <c r="L47" s="31" t="n">
        <v>735</v>
      </c>
      <c r="M47" s="30" t="inlineStr">
        <is>
          <t>AMR3</t>
        </is>
      </c>
      <c r="N47" s="30" t="inlineStr">
        <is>
          <t>AMR3</t>
        </is>
      </c>
      <c r="O47" s="32" t="n">
        <v>1</v>
      </c>
      <c r="P47" s="32" t="n">
        <v>25</v>
      </c>
      <c r="Q47" s="32" t="n">
        <v>0</v>
      </c>
      <c r="R47" s="31" t="n">
        <v>56.8</v>
      </c>
      <c r="S47" s="31" t="n">
        <v>56.8</v>
      </c>
      <c r="T47" s="30" t="inlineStr">
        <is>
          <t>AMR3</t>
        </is>
      </c>
      <c r="U47" s="31" t="n">
        <v>41.8</v>
      </c>
      <c r="V47" s="31" t="n">
        <v>41.8</v>
      </c>
      <c r="W47" s="30" t="inlineStr">
        <is>
          <t>AMR3</t>
        </is>
      </c>
      <c r="X47" s="32" t="n">
        <v>0</v>
      </c>
      <c r="Y47" s="32" t="n">
        <v>0</v>
      </c>
      <c r="Z47" s="31" t="n">
        <v>0</v>
      </c>
      <c r="AA47" s="32" t="n">
        <v>0</v>
      </c>
      <c r="AB47" s="32" t="n">
        <v>0</v>
      </c>
      <c r="AC47" s="32" t="n">
        <v>0</v>
      </c>
      <c r="AD47" s="32" t="n">
        <v>0</v>
      </c>
      <c r="AE47" s="31" t="n">
        <v>0</v>
      </c>
      <c r="AF47" s="32" t="n">
        <v>0</v>
      </c>
      <c r="AG47" s="31" t="n">
        <v>0</v>
      </c>
      <c r="AH47" s="32" t="n">
        <v>52</v>
      </c>
      <c r="AI47" s="31" t="n">
        <v>53.3</v>
      </c>
      <c r="AJ47" s="31" t="n">
        <v>46.2</v>
      </c>
      <c r="AK47" s="31" t="n">
        <v>0</v>
      </c>
      <c r="AL47" s="30" t="inlineStr">
        <is>
          <t>T-0197</t>
        </is>
      </c>
      <c r="AM47" s="30" t="inlineStr">
        <is>
          <t>C-06-01</t>
        </is>
      </c>
      <c r="AN47" s="30" t="inlineStr">
        <is>
          <t>T-0034</t>
        </is>
      </c>
      <c r="AO47" s="30" t="inlineStr">
        <is>
          <t>C-01-04</t>
        </is>
      </c>
    </row>
    <row r="48">
      <c r="A48" s="30" t="inlineStr">
        <is>
          <t>O0047</t>
        </is>
      </c>
      <c r="B48" s="30" t="inlineStr">
        <is>
          <t>E</t>
        </is>
      </c>
      <c r="C48" s="31" t="n">
        <v>921.3</v>
      </c>
      <c r="D48" s="31" t="n">
        <v>1892.9</v>
      </c>
      <c r="E48" s="31" t="n">
        <v>1916.4</v>
      </c>
      <c r="F48" s="31" t="n">
        <v>1928.5</v>
      </c>
      <c r="G48" s="31" t="n">
        <v>1957.7</v>
      </c>
      <c r="H48" s="31" t="n">
        <v>1957.8</v>
      </c>
      <c r="I48" s="31" t="n">
        <v>1972.8</v>
      </c>
      <c r="J48" s="31" t="n">
        <v>2005.6</v>
      </c>
      <c r="K48" s="31" t="n">
        <v>1084.3</v>
      </c>
      <c r="L48" s="31" t="n">
        <v>971.6</v>
      </c>
      <c r="M48" s="30" t="inlineStr">
        <is>
          <t>AMR2</t>
        </is>
      </c>
      <c r="N48" s="30" t="inlineStr">
        <is>
          <t>AMR2</t>
        </is>
      </c>
      <c r="O48" s="32" t="n">
        <v>1</v>
      </c>
      <c r="P48" s="32" t="n">
        <v>25</v>
      </c>
      <c r="Q48" s="32" t="n">
        <v>1</v>
      </c>
      <c r="R48" s="31" t="n">
        <v>61.3</v>
      </c>
      <c r="S48" s="31" t="n">
        <v>61.3</v>
      </c>
      <c r="T48" s="30" t="inlineStr">
        <is>
          <t>AMR2</t>
        </is>
      </c>
      <c r="U48" s="31" t="n">
        <v>48.5</v>
      </c>
      <c r="V48" s="31" t="n">
        <v>48.5</v>
      </c>
      <c r="W48" s="30" t="inlineStr">
        <is>
          <t>AMR2</t>
        </is>
      </c>
      <c r="X48" s="32" t="n">
        <v>0</v>
      </c>
      <c r="Y48" s="32" t="n">
        <v>0</v>
      </c>
      <c r="Z48" s="31" t="n">
        <v>0</v>
      </c>
      <c r="AA48" s="32" t="n">
        <v>0</v>
      </c>
      <c r="AB48" s="32" t="n">
        <v>0</v>
      </c>
      <c r="AC48" s="32" t="n">
        <v>0</v>
      </c>
      <c r="AD48" s="32" t="n">
        <v>0</v>
      </c>
      <c r="AE48" s="31" t="n">
        <v>0</v>
      </c>
      <c r="AF48" s="32" t="n">
        <v>0</v>
      </c>
      <c r="AG48" s="31" t="n">
        <v>0</v>
      </c>
      <c r="AH48" s="32" t="n">
        <v>68</v>
      </c>
      <c r="AI48" s="31" t="n">
        <v>67</v>
      </c>
      <c r="AJ48" s="31" t="n">
        <v>45.6</v>
      </c>
      <c r="AK48" s="31" t="n">
        <v>0</v>
      </c>
      <c r="AL48" s="30" t="inlineStr">
        <is>
          <t>T-0204</t>
        </is>
      </c>
      <c r="AM48" s="30" t="inlineStr">
        <is>
          <t>E-05-01</t>
        </is>
      </c>
      <c r="AN48" s="30" t="inlineStr">
        <is>
          <t>T-0065</t>
        </is>
      </c>
      <c r="AO48" s="30" t="inlineStr">
        <is>
          <t>E-02-02</t>
        </is>
      </c>
    </row>
    <row r="49">
      <c r="A49" s="30" t="inlineStr">
        <is>
          <t>O0048</t>
        </is>
      </c>
      <c r="B49" s="30" t="inlineStr">
        <is>
          <t>D</t>
        </is>
      </c>
      <c r="C49" s="31" t="n">
        <v>941.4</v>
      </c>
      <c r="D49" s="31" t="n">
        <v>1667.4</v>
      </c>
      <c r="E49" s="31" t="n">
        <v>1690.9</v>
      </c>
      <c r="F49" s="31" t="n">
        <v>1703.8</v>
      </c>
      <c r="G49" s="31" t="n">
        <v>1730.9</v>
      </c>
      <c r="H49" s="31" t="n">
        <v>1731</v>
      </c>
      <c r="I49" s="31" t="n">
        <v>1745.7</v>
      </c>
      <c r="J49" s="31" t="n">
        <v>1775.5</v>
      </c>
      <c r="K49" s="31" t="n">
        <v>834.1</v>
      </c>
      <c r="L49" s="31" t="n">
        <v>726</v>
      </c>
      <c r="M49" s="30" t="inlineStr">
        <is>
          <t>AMR2</t>
        </is>
      </c>
      <c r="N49" s="30" t="inlineStr">
        <is>
          <t>AMR2</t>
        </is>
      </c>
      <c r="O49" s="32" t="n">
        <v>1</v>
      </c>
      <c r="P49" s="32" t="n">
        <v>25</v>
      </c>
      <c r="Q49" s="32" t="n">
        <v>1</v>
      </c>
      <c r="R49" s="31" t="n">
        <v>57.5</v>
      </c>
      <c r="S49" s="31" t="n">
        <v>57.5</v>
      </c>
      <c r="T49" s="30" t="inlineStr">
        <is>
          <t>AMR2</t>
        </is>
      </c>
      <c r="U49" s="31" t="n">
        <v>43.3</v>
      </c>
      <c r="V49" s="31" t="n">
        <v>43.3</v>
      </c>
      <c r="W49" s="30" t="inlineStr">
        <is>
          <t>AMR2</t>
        </is>
      </c>
      <c r="X49" s="32" t="n">
        <v>0</v>
      </c>
      <c r="Y49" s="32" t="n">
        <v>0</v>
      </c>
      <c r="Z49" s="31" t="n">
        <v>0</v>
      </c>
      <c r="AA49" s="32" t="n">
        <v>0</v>
      </c>
      <c r="AB49" s="32" t="n">
        <v>0</v>
      </c>
      <c r="AC49" s="32" t="n">
        <v>0</v>
      </c>
      <c r="AD49" s="32" t="n">
        <v>0</v>
      </c>
      <c r="AE49" s="31" t="n">
        <v>0</v>
      </c>
      <c r="AF49" s="32" t="n">
        <v>0</v>
      </c>
      <c r="AG49" s="31" t="n">
        <v>0</v>
      </c>
      <c r="AH49" s="32" t="n">
        <v>56</v>
      </c>
      <c r="AI49" s="31" t="n">
        <v>58.8</v>
      </c>
      <c r="AJ49" s="31" t="n">
        <v>47.2</v>
      </c>
      <c r="AK49" s="31" t="n">
        <v>2</v>
      </c>
      <c r="AL49" s="30" t="inlineStr">
        <is>
          <t>T-0198</t>
        </is>
      </c>
      <c r="AM49" s="30" t="inlineStr">
        <is>
          <t>D-05-01</t>
        </is>
      </c>
      <c r="AN49" s="30" t="inlineStr">
        <is>
          <t>T-0050</t>
        </is>
      </c>
      <c r="AO49" s="30" t="inlineStr">
        <is>
          <t>D-03-02</t>
        </is>
      </c>
    </row>
    <row r="50">
      <c r="A50" s="30" t="inlineStr">
        <is>
          <t>O0049</t>
        </is>
      </c>
      <c r="B50" s="30" t="inlineStr">
        <is>
          <t>C</t>
        </is>
      </c>
      <c r="C50" s="31" t="n">
        <v>960.1</v>
      </c>
      <c r="D50" s="31" t="n">
        <v>1470.2</v>
      </c>
      <c r="E50" s="31" t="n">
        <v>1493.7</v>
      </c>
      <c r="F50" s="31" t="n">
        <v>1505.3</v>
      </c>
      <c r="G50" s="31" t="n">
        <v>1527.1</v>
      </c>
      <c r="H50" s="31" t="n">
        <v>1690.2</v>
      </c>
      <c r="I50" s="31" t="n">
        <v>1704.5</v>
      </c>
      <c r="J50" s="31" t="n">
        <v>1732.4</v>
      </c>
      <c r="K50" s="31" t="n">
        <v>772.3</v>
      </c>
      <c r="L50" s="31" t="n">
        <v>510.1</v>
      </c>
      <c r="M50" s="30" t="inlineStr">
        <is>
          <t>AMR3</t>
        </is>
      </c>
      <c r="N50" s="30" t="inlineStr">
        <is>
          <t>AMR3</t>
        </is>
      </c>
      <c r="O50" s="32" t="n">
        <v>1</v>
      </c>
      <c r="P50" s="32" t="n">
        <v>25</v>
      </c>
      <c r="Q50" s="32" t="n">
        <v>2</v>
      </c>
      <c r="R50" s="31" t="n">
        <v>55</v>
      </c>
      <c r="S50" s="31" t="n">
        <v>55</v>
      </c>
      <c r="T50" s="30" t="inlineStr">
        <is>
          <t>AMR3</t>
        </is>
      </c>
      <c r="U50" s="31" t="n">
        <v>42.3</v>
      </c>
      <c r="V50" s="31" t="n">
        <v>42.3</v>
      </c>
      <c r="W50" s="30" t="inlineStr">
        <is>
          <t>AMR3</t>
        </is>
      </c>
      <c r="X50" s="32" t="n">
        <v>0</v>
      </c>
      <c r="Y50" s="32" t="n">
        <v>0</v>
      </c>
      <c r="Z50" s="31" t="n">
        <v>0</v>
      </c>
      <c r="AA50" s="32" t="n">
        <v>0</v>
      </c>
      <c r="AB50" s="32" t="n">
        <v>0</v>
      </c>
      <c r="AC50" s="32" t="n">
        <v>0</v>
      </c>
      <c r="AD50" s="32" t="n">
        <v>0</v>
      </c>
      <c r="AE50" s="31" t="n">
        <v>0</v>
      </c>
      <c r="AF50" s="32" t="n">
        <v>0</v>
      </c>
      <c r="AG50" s="31" t="n">
        <v>0</v>
      </c>
      <c r="AH50" s="32" t="n">
        <v>55</v>
      </c>
      <c r="AI50" s="31" t="n">
        <v>55.6</v>
      </c>
      <c r="AJ50" s="31" t="n">
        <v>43.5</v>
      </c>
      <c r="AK50" s="31" t="n">
        <v>0</v>
      </c>
      <c r="AL50" s="30" t="inlineStr">
        <is>
          <t>T-0192</t>
        </is>
      </c>
      <c r="AM50" s="30" t="inlineStr">
        <is>
          <t>C-04-01</t>
        </is>
      </c>
      <c r="AN50" s="30" t="inlineStr">
        <is>
          <t>T-0033</t>
        </is>
      </c>
      <c r="AO50" s="30" t="inlineStr">
        <is>
          <t>C-03-01</t>
        </is>
      </c>
    </row>
    <row r="51">
      <c r="A51" s="30" t="inlineStr">
        <is>
          <t>O0050</t>
        </is>
      </c>
      <c r="B51" s="30" t="inlineStr">
        <is>
          <t>I</t>
        </is>
      </c>
      <c r="C51" s="31" t="n">
        <v>984.7</v>
      </c>
      <c r="D51" s="31" t="n">
        <v>1527.2</v>
      </c>
      <c r="E51" s="31" t="n">
        <v>1548.8</v>
      </c>
      <c r="F51" s="31" t="n">
        <v>1560.1</v>
      </c>
      <c r="G51" s="31" t="n">
        <v>1582</v>
      </c>
      <c r="H51" s="31" t="n">
        <v>2004</v>
      </c>
      <c r="I51" s="31" t="n">
        <v>2017.8</v>
      </c>
      <c r="J51" s="31" t="n">
        <v>2055.8</v>
      </c>
      <c r="K51" s="31" t="n">
        <v>1071.1</v>
      </c>
      <c r="L51" s="31" t="n">
        <v>542.5</v>
      </c>
      <c r="M51" s="30" t="inlineStr">
        <is>
          <t>AMR3</t>
        </is>
      </c>
      <c r="N51" s="30" t="inlineStr">
        <is>
          <t>AMR3</t>
        </is>
      </c>
      <c r="O51" s="32" t="n">
        <v>1</v>
      </c>
      <c r="P51" s="32" t="n">
        <v>12</v>
      </c>
      <c r="Q51" s="32" t="n">
        <v>0</v>
      </c>
      <c r="R51" s="31" t="n">
        <v>44</v>
      </c>
      <c r="S51" s="31" t="n">
        <v>44</v>
      </c>
      <c r="T51" s="30" t="inlineStr">
        <is>
          <t>AMR3</t>
        </is>
      </c>
      <c r="U51" s="31" t="n">
        <v>39.5</v>
      </c>
      <c r="V51" s="31" t="n">
        <v>39.5</v>
      </c>
      <c r="W51" s="30" t="inlineStr">
        <is>
          <t>AMR3</t>
        </is>
      </c>
      <c r="X51" s="32" t="n">
        <v>0</v>
      </c>
      <c r="Y51" s="32" t="n">
        <v>0</v>
      </c>
      <c r="Z51" s="31" t="n">
        <v>0</v>
      </c>
      <c r="AA51" s="32" t="n">
        <v>0</v>
      </c>
      <c r="AB51" s="32" t="n">
        <v>0</v>
      </c>
      <c r="AC51" s="32" t="n">
        <v>0</v>
      </c>
      <c r="AD51" s="32" t="n">
        <v>1</v>
      </c>
      <c r="AE51" s="31" t="n">
        <v>8</v>
      </c>
      <c r="AF51" s="32" t="n">
        <v>2</v>
      </c>
      <c r="AG51" s="31" t="n">
        <v>7</v>
      </c>
      <c r="AH51" s="32" t="n">
        <v>44</v>
      </c>
      <c r="AI51" s="31" t="n">
        <v>48.6</v>
      </c>
      <c r="AJ51" s="31" t="n">
        <v>41</v>
      </c>
      <c r="AK51" s="31" t="n">
        <v>17</v>
      </c>
      <c r="AL51" s="30" t="inlineStr">
        <is>
          <t>T-0195</t>
        </is>
      </c>
      <c r="AM51" s="30" t="inlineStr">
        <is>
          <t>I-02-02</t>
        </is>
      </c>
      <c r="AN51" s="30" t="inlineStr">
        <is>
          <t>T-0128</t>
        </is>
      </c>
      <c r="AO51" s="30" t="inlineStr">
        <is>
          <t>I-06-03</t>
        </is>
      </c>
    </row>
    <row r="52">
      <c r="A52" s="30" t="inlineStr">
        <is>
          <t>O0051</t>
        </is>
      </c>
      <c r="B52" s="30" t="inlineStr">
        <is>
          <t>H</t>
        </is>
      </c>
      <c r="C52" s="31" t="n">
        <v>1005.7</v>
      </c>
      <c r="D52" s="31" t="n">
        <v>1505.9</v>
      </c>
      <c r="E52" s="31" t="n">
        <v>1535.4</v>
      </c>
      <c r="F52" s="31" t="n">
        <v>1548.6</v>
      </c>
      <c r="G52" s="31" t="n">
        <v>1571</v>
      </c>
      <c r="H52" s="31" t="n">
        <v>1616.4</v>
      </c>
      <c r="I52" s="31" t="n">
        <v>1642.8</v>
      </c>
      <c r="J52" s="31" t="n">
        <v>1667.3</v>
      </c>
      <c r="K52" s="31" t="n">
        <v>661.6</v>
      </c>
      <c r="L52" s="31" t="n">
        <v>500.2</v>
      </c>
      <c r="M52" s="30" t="inlineStr">
        <is>
          <t>AMR2</t>
        </is>
      </c>
      <c r="N52" s="30" t="inlineStr">
        <is>
          <t>AMR2</t>
        </is>
      </c>
      <c r="O52" s="32" t="n">
        <v>1</v>
      </c>
      <c r="P52" s="32" t="n">
        <v>25</v>
      </c>
      <c r="Q52" s="32" t="n">
        <v>14</v>
      </c>
      <c r="R52" s="31" t="n">
        <v>57.3</v>
      </c>
      <c r="S52" s="31" t="n">
        <v>57.3</v>
      </c>
      <c r="T52" s="30" t="inlineStr">
        <is>
          <t>AMR2</t>
        </is>
      </c>
      <c r="U52" s="31" t="n">
        <v>49.2</v>
      </c>
      <c r="V52" s="31" t="n">
        <v>49.2</v>
      </c>
      <c r="W52" s="30" t="inlineStr">
        <is>
          <t>AMR2</t>
        </is>
      </c>
      <c r="X52" s="32" t="n">
        <v>0</v>
      </c>
      <c r="Y52" s="32" t="n">
        <v>0</v>
      </c>
      <c r="Z52" s="31" t="n">
        <v>0</v>
      </c>
      <c r="AA52" s="32" t="n">
        <v>0</v>
      </c>
      <c r="AB52" s="32" t="n">
        <v>0</v>
      </c>
      <c r="AC52" s="32" t="n">
        <v>0</v>
      </c>
      <c r="AD52" s="32" t="n">
        <v>0</v>
      </c>
      <c r="AE52" s="31" t="n">
        <v>0</v>
      </c>
      <c r="AF52" s="32" t="n">
        <v>1</v>
      </c>
      <c r="AG52" s="31" t="n">
        <v>1</v>
      </c>
      <c r="AH52" s="32" t="n">
        <v>67</v>
      </c>
      <c r="AI52" s="31" t="n">
        <v>69.40000000000001</v>
      </c>
      <c r="AJ52" s="31" t="n">
        <v>40.6</v>
      </c>
      <c r="AK52" s="31" t="n">
        <v>6</v>
      </c>
      <c r="AL52" s="30" t="inlineStr">
        <is>
          <t>T-0194</t>
        </is>
      </c>
      <c r="AM52" s="30" t="inlineStr">
        <is>
          <t>H-04-02</t>
        </is>
      </c>
      <c r="AN52" s="30" t="inlineStr">
        <is>
          <t>T-0109</t>
        </is>
      </c>
      <c r="AO52" s="30" t="inlineStr">
        <is>
          <t>H-05-05</t>
        </is>
      </c>
    </row>
    <row r="53">
      <c r="A53" s="30" t="inlineStr">
        <is>
          <t>O0052</t>
        </is>
      </c>
      <c r="B53" s="30" t="inlineStr">
        <is>
          <t>F</t>
        </is>
      </c>
      <c r="C53" s="31" t="n">
        <v>1021.8</v>
      </c>
      <c r="D53" s="31" t="n">
        <v>1775.6</v>
      </c>
      <c r="E53" s="31" t="n">
        <v>1799.1</v>
      </c>
      <c r="F53" s="31" t="n">
        <v>1812.6</v>
      </c>
      <c r="G53" s="31" t="n">
        <v>1843.7</v>
      </c>
      <c r="H53" s="31" t="n">
        <v>1983.5</v>
      </c>
      <c r="I53" s="31" t="n">
        <v>2003.1</v>
      </c>
      <c r="J53" s="31" t="n">
        <v>2033.4</v>
      </c>
      <c r="K53" s="31" t="n">
        <v>1011.6</v>
      </c>
      <c r="L53" s="31" t="n">
        <v>753.8</v>
      </c>
      <c r="M53" s="30" t="inlineStr">
        <is>
          <t>AMR2</t>
        </is>
      </c>
      <c r="N53" s="30" t="inlineStr">
        <is>
          <t>AMR1</t>
        </is>
      </c>
      <c r="O53" s="32" t="n">
        <v>1</v>
      </c>
      <c r="P53" s="32" t="n">
        <v>25</v>
      </c>
      <c r="Q53" s="32" t="n">
        <v>7</v>
      </c>
      <c r="R53" s="31" t="n">
        <v>64.7</v>
      </c>
      <c r="S53" s="31" t="n">
        <v>64.7</v>
      </c>
      <c r="T53" s="30" t="inlineStr">
        <is>
          <t>AMR2</t>
        </is>
      </c>
      <c r="U53" s="31" t="n">
        <v>50.6</v>
      </c>
      <c r="V53" s="31" t="n">
        <v>50.6</v>
      </c>
      <c r="W53" s="30" t="inlineStr">
        <is>
          <t>AMR1</t>
        </is>
      </c>
      <c r="X53" s="32" t="n">
        <v>0</v>
      </c>
      <c r="Y53" s="32" t="n">
        <v>0</v>
      </c>
      <c r="Z53" s="31" t="n">
        <v>0</v>
      </c>
      <c r="AA53" s="32" t="n">
        <v>0</v>
      </c>
      <c r="AB53" s="32" t="n">
        <v>0</v>
      </c>
      <c r="AC53" s="32" t="n">
        <v>0</v>
      </c>
      <c r="AD53" s="32" t="n">
        <v>0</v>
      </c>
      <c r="AE53" s="31" t="n">
        <v>0</v>
      </c>
      <c r="AF53" s="32" t="n">
        <v>0</v>
      </c>
      <c r="AG53" s="31" t="n">
        <v>0</v>
      </c>
      <c r="AH53" s="32" t="n">
        <v>78</v>
      </c>
      <c r="AI53" s="31" t="n">
        <v>77</v>
      </c>
      <c r="AJ53" s="31" t="n">
        <v>41</v>
      </c>
      <c r="AK53" s="31" t="n">
        <v>0</v>
      </c>
      <c r="AL53" s="30" t="inlineStr">
        <is>
          <t>T-0201</t>
        </is>
      </c>
      <c r="AM53" s="30" t="inlineStr">
        <is>
          <t>F-02-02</t>
        </is>
      </c>
      <c r="AN53" s="30" t="inlineStr">
        <is>
          <t>T-0081</t>
        </is>
      </c>
      <c r="AO53" s="30" t="inlineStr">
        <is>
          <t>F-03-04</t>
        </is>
      </c>
    </row>
    <row r="54">
      <c r="A54" s="30" t="inlineStr">
        <is>
          <t>O0053</t>
        </is>
      </c>
      <c r="B54" s="30" t="inlineStr">
        <is>
          <t>D</t>
        </is>
      </c>
      <c r="C54" s="31" t="n">
        <v>1039.2</v>
      </c>
      <c r="D54" s="31" t="n">
        <v>1832.6</v>
      </c>
      <c r="E54" s="31" t="n">
        <v>1856.1</v>
      </c>
      <c r="F54" s="31" t="n">
        <v>1867</v>
      </c>
      <c r="G54" s="31" t="n">
        <v>1886.3</v>
      </c>
      <c r="H54" s="31" t="n">
        <v>1886.4</v>
      </c>
      <c r="I54" s="31" t="n">
        <v>1899.5</v>
      </c>
      <c r="J54" s="31" t="n">
        <v>1938.4</v>
      </c>
      <c r="K54" s="31" t="n">
        <v>899.2</v>
      </c>
      <c r="L54" s="31" t="n">
        <v>793.4</v>
      </c>
      <c r="M54" s="30" t="inlineStr">
        <is>
          <t>AMR3</t>
        </is>
      </c>
      <c r="N54" s="30" t="inlineStr">
        <is>
          <t>AMR3</t>
        </is>
      </c>
      <c r="O54" s="32" t="n">
        <v>1</v>
      </c>
      <c r="P54" s="32" t="n">
        <v>25</v>
      </c>
      <c r="Q54" s="32" t="n">
        <v>1</v>
      </c>
      <c r="R54" s="31" t="n">
        <v>51.8</v>
      </c>
      <c r="S54" s="31" t="n">
        <v>51.8</v>
      </c>
      <c r="T54" s="30" t="inlineStr">
        <is>
          <t>AMR3</t>
        </is>
      </c>
      <c r="U54" s="31" t="n">
        <v>37.7</v>
      </c>
      <c r="V54" s="31" t="n">
        <v>37.7</v>
      </c>
      <c r="W54" s="30" t="inlineStr">
        <is>
          <t>AMR3</t>
        </is>
      </c>
      <c r="X54" s="32" t="n">
        <v>0</v>
      </c>
      <c r="Y54" s="32" t="n">
        <v>0</v>
      </c>
      <c r="Z54" s="31" t="n">
        <v>0</v>
      </c>
      <c r="AA54" s="32" t="n">
        <v>0</v>
      </c>
      <c r="AB54" s="32" t="n">
        <v>0</v>
      </c>
      <c r="AC54" s="32" t="n">
        <v>0</v>
      </c>
      <c r="AD54" s="32" t="n">
        <v>1</v>
      </c>
      <c r="AE54" s="31" t="n">
        <v>11</v>
      </c>
      <c r="AF54" s="32" t="n">
        <v>1</v>
      </c>
      <c r="AG54" s="31" t="n">
        <v>6</v>
      </c>
      <c r="AH54" s="32" t="n">
        <v>58</v>
      </c>
      <c r="AI54" s="31" t="n">
        <v>58.8</v>
      </c>
      <c r="AJ54" s="31" t="n">
        <v>35.9</v>
      </c>
      <c r="AK54" s="31" t="n">
        <v>11</v>
      </c>
      <c r="AL54" s="30" t="inlineStr">
        <is>
          <t>T-0203</t>
        </is>
      </c>
      <c r="AM54" s="30" t="inlineStr">
        <is>
          <t>D-01-02</t>
        </is>
      </c>
      <c r="AN54" s="30" t="inlineStr">
        <is>
          <t>T-0051</t>
        </is>
      </c>
      <c r="AO54" s="30" t="inlineStr">
        <is>
          <t>D-06-04</t>
        </is>
      </c>
    </row>
    <row r="55">
      <c r="A55" s="30" t="inlineStr">
        <is>
          <t>O0054</t>
        </is>
      </c>
      <c r="B55" s="30" t="inlineStr">
        <is>
          <t>B</t>
        </is>
      </c>
      <c r="C55" s="31" t="n">
        <v>1063.6</v>
      </c>
      <c r="D55" s="31" t="n">
        <v>1921.8</v>
      </c>
      <c r="E55" s="31" t="n">
        <v>1945.3</v>
      </c>
      <c r="F55" s="31" t="n">
        <v>1959.8</v>
      </c>
      <c r="G55" s="31" t="n">
        <v>1983.4</v>
      </c>
      <c r="H55" s="31" t="n">
        <v>2070.1</v>
      </c>
      <c r="I55" s="31" t="n">
        <v>2085</v>
      </c>
      <c r="J55" s="31" t="n">
        <v>2125.3</v>
      </c>
      <c r="K55" s="31" t="n">
        <v>1061.7</v>
      </c>
      <c r="L55" s="31" t="n">
        <v>858.2</v>
      </c>
      <c r="M55" s="30" t="inlineStr">
        <is>
          <t>AMR1</t>
        </is>
      </c>
      <c r="N55" s="30" t="inlineStr">
        <is>
          <t>AMR2</t>
        </is>
      </c>
      <c r="O55" s="32" t="n">
        <v>1</v>
      </c>
      <c r="P55" s="32" t="n">
        <v>25</v>
      </c>
      <c r="Q55" s="32" t="n">
        <v>1</v>
      </c>
      <c r="R55" s="31" t="n">
        <v>58.1</v>
      </c>
      <c r="S55" s="31" t="n">
        <v>58.1</v>
      </c>
      <c r="T55" s="30" t="inlineStr">
        <is>
          <t>AMR1</t>
        </is>
      </c>
      <c r="U55" s="31" t="n">
        <v>43</v>
      </c>
      <c r="V55" s="31" t="n">
        <v>43</v>
      </c>
      <c r="W55" s="30" t="inlineStr">
        <is>
          <t>AMR2</t>
        </is>
      </c>
      <c r="X55" s="32" t="n">
        <v>0</v>
      </c>
      <c r="Y55" s="32" t="n">
        <v>0</v>
      </c>
      <c r="Z55" s="31" t="n">
        <v>0</v>
      </c>
      <c r="AA55" s="32" t="n">
        <v>0</v>
      </c>
      <c r="AB55" s="32" t="n">
        <v>0</v>
      </c>
      <c r="AC55" s="32" t="n">
        <v>0</v>
      </c>
      <c r="AD55" s="32" t="n">
        <v>1</v>
      </c>
      <c r="AE55" s="31" t="n">
        <v>12</v>
      </c>
      <c r="AF55" s="32" t="n">
        <v>1</v>
      </c>
      <c r="AG55" s="31" t="n">
        <v>7</v>
      </c>
      <c r="AH55" s="32" t="n">
        <v>60</v>
      </c>
      <c r="AI55" s="31" t="n">
        <v>60.5</v>
      </c>
      <c r="AJ55" s="31" t="n">
        <v>44.3</v>
      </c>
      <c r="AK55" s="31" t="n">
        <v>12</v>
      </c>
      <c r="AL55" s="30" t="inlineStr">
        <is>
          <t>T-0205</t>
        </is>
      </c>
      <c r="AM55" s="30" t="inlineStr">
        <is>
          <t>B-01-03</t>
        </is>
      </c>
      <c r="AN55" s="30" t="inlineStr">
        <is>
          <t>T-0024</t>
        </is>
      </c>
      <c r="AO55" s="30" t="inlineStr">
        <is>
          <t>B-06-04</t>
        </is>
      </c>
    </row>
    <row r="56">
      <c r="A56" s="30" t="inlineStr">
        <is>
          <t>O0055</t>
        </is>
      </c>
      <c r="B56" s="30" t="inlineStr">
        <is>
          <t>B</t>
        </is>
      </c>
      <c r="C56" s="31" t="n">
        <v>1083.5</v>
      </c>
      <c r="D56" s="31" t="n">
        <v>2005.7</v>
      </c>
      <c r="E56" s="31" t="n">
        <v>2029.2</v>
      </c>
      <c r="F56" s="31" t="n">
        <v>2045.5</v>
      </c>
      <c r="G56" s="31" t="n">
        <v>2070</v>
      </c>
      <c r="H56" s="31" t="n">
        <v>2192.4</v>
      </c>
      <c r="I56" s="31" t="n">
        <v>2207.3</v>
      </c>
      <c r="J56" s="31" t="n">
        <v>2235</v>
      </c>
      <c r="K56" s="31" t="n">
        <v>1151.5</v>
      </c>
      <c r="L56" s="31" t="n">
        <v>922.2</v>
      </c>
      <c r="M56" s="30" t="inlineStr">
        <is>
          <t>AMR2</t>
        </is>
      </c>
      <c r="N56" s="30" t="inlineStr">
        <is>
          <t>AMR2</t>
        </is>
      </c>
      <c r="O56" s="32" t="n">
        <v>1</v>
      </c>
      <c r="P56" s="32" t="n">
        <v>25</v>
      </c>
      <c r="Q56" s="32" t="n">
        <v>0</v>
      </c>
      <c r="R56" s="31" t="n">
        <v>60.8</v>
      </c>
      <c r="S56" s="31" t="n">
        <v>60.8</v>
      </c>
      <c r="T56" s="30" t="inlineStr">
        <is>
          <t>AMR2</t>
        </is>
      </c>
      <c r="U56" s="31" t="n">
        <v>42.3</v>
      </c>
      <c r="V56" s="31" t="n">
        <v>42.3</v>
      </c>
      <c r="W56" s="30" t="inlineStr">
        <is>
          <t>AMR2</t>
        </is>
      </c>
      <c r="X56" s="32" t="n">
        <v>0</v>
      </c>
      <c r="Y56" s="32" t="n">
        <v>0</v>
      </c>
      <c r="Z56" s="31" t="n">
        <v>0</v>
      </c>
      <c r="AA56" s="32" t="n">
        <v>0</v>
      </c>
      <c r="AB56" s="32" t="n">
        <v>0</v>
      </c>
      <c r="AC56" s="32" t="n">
        <v>0</v>
      </c>
      <c r="AD56" s="32" t="n">
        <v>0</v>
      </c>
      <c r="AE56" s="31" t="n">
        <v>0</v>
      </c>
      <c r="AF56" s="32" t="n">
        <v>0</v>
      </c>
      <c r="AG56" s="31" t="n">
        <v>0</v>
      </c>
      <c r="AH56" s="32" t="n">
        <v>59</v>
      </c>
      <c r="AI56" s="31" t="n">
        <v>59.9</v>
      </c>
      <c r="AJ56" s="31" t="n">
        <v>47</v>
      </c>
      <c r="AK56" s="31" t="n">
        <v>0</v>
      </c>
      <c r="AL56" s="30" t="inlineStr">
        <is>
          <t>T-0207</t>
        </is>
      </c>
      <c r="AM56" s="30" t="inlineStr">
        <is>
          <t>B-02-03</t>
        </is>
      </c>
      <c r="AN56" s="30" t="inlineStr">
        <is>
          <t>T-0025</t>
        </is>
      </c>
      <c r="AO56" s="30" t="inlineStr">
        <is>
          <t>B-05-02</t>
        </is>
      </c>
    </row>
    <row r="57">
      <c r="A57" s="30" t="inlineStr">
        <is>
          <t>O0056</t>
        </is>
      </c>
      <c r="B57" s="30" t="inlineStr">
        <is>
          <t>C</t>
        </is>
      </c>
      <c r="C57" s="31" t="n">
        <v>1106.2</v>
      </c>
      <c r="D57" s="31" t="n">
        <v>1732.5</v>
      </c>
      <c r="E57" s="31" t="n">
        <v>1756</v>
      </c>
      <c r="F57" s="31" t="n">
        <v>1766.5</v>
      </c>
      <c r="G57" s="31" t="n">
        <v>1790.8</v>
      </c>
      <c r="H57" s="31" t="n">
        <v>2055.9</v>
      </c>
      <c r="I57" s="31" t="n">
        <v>2080.7</v>
      </c>
      <c r="J57" s="31" t="n">
        <v>2108.2</v>
      </c>
      <c r="K57" s="31" t="n">
        <v>1002</v>
      </c>
      <c r="L57" s="31" t="n">
        <v>626.3</v>
      </c>
      <c r="M57" s="30" t="inlineStr">
        <is>
          <t>AMR3</t>
        </is>
      </c>
      <c r="N57" s="30" t="inlineStr">
        <is>
          <t>AMR3</t>
        </is>
      </c>
      <c r="O57" s="32" t="n">
        <v>1</v>
      </c>
      <c r="P57" s="32" t="n">
        <v>25</v>
      </c>
      <c r="Q57" s="32" t="n">
        <v>16</v>
      </c>
      <c r="R57" s="31" t="n">
        <v>55.6</v>
      </c>
      <c r="S57" s="31" t="n">
        <v>55.6</v>
      </c>
      <c r="T57" s="30" t="inlineStr">
        <is>
          <t>AMR3</t>
        </is>
      </c>
      <c r="U57" s="31" t="n">
        <v>52.8</v>
      </c>
      <c r="V57" s="31" t="n">
        <v>52.8</v>
      </c>
      <c r="W57" s="30" t="inlineStr">
        <is>
          <t>AMR3</t>
        </is>
      </c>
      <c r="X57" s="32" t="n">
        <v>0</v>
      </c>
      <c r="Y57" s="32" t="n">
        <v>0</v>
      </c>
      <c r="Z57" s="31" t="n">
        <v>0</v>
      </c>
      <c r="AA57" s="32" t="n">
        <v>0</v>
      </c>
      <c r="AB57" s="32" t="n">
        <v>0</v>
      </c>
      <c r="AC57" s="32" t="n">
        <v>0</v>
      </c>
      <c r="AD57" s="32" t="n">
        <v>0</v>
      </c>
      <c r="AE57" s="31" t="n">
        <v>0</v>
      </c>
      <c r="AF57" s="32" t="n">
        <v>0</v>
      </c>
      <c r="AG57" s="31" t="n">
        <v>0</v>
      </c>
      <c r="AH57" s="32" t="n">
        <v>68</v>
      </c>
      <c r="AI57" s="31" t="n">
        <v>70.2</v>
      </c>
      <c r="AJ57" s="31" t="n">
        <v>40.4</v>
      </c>
      <c r="AK57" s="31" t="n">
        <v>0</v>
      </c>
      <c r="AL57" s="30" t="inlineStr">
        <is>
          <t>T-0200</t>
        </is>
      </c>
      <c r="AM57" s="30" t="inlineStr">
        <is>
          <t>C-03-01</t>
        </is>
      </c>
      <c r="AN57" s="30" t="inlineStr">
        <is>
          <t>T-0035</t>
        </is>
      </c>
      <c r="AO57" s="30" t="inlineStr">
        <is>
          <t>C-06-05</t>
        </is>
      </c>
    </row>
    <row r="58">
      <c r="A58" s="30" t="inlineStr">
        <is>
          <t>O0057</t>
        </is>
      </c>
      <c r="B58" s="30" t="inlineStr">
        <is>
          <t>I</t>
        </is>
      </c>
      <c r="C58" s="31" t="n">
        <v>1125.9</v>
      </c>
      <c r="D58" s="31" t="n">
        <v>2033.5</v>
      </c>
      <c r="E58" s="31" t="n">
        <v>2057</v>
      </c>
      <c r="F58" s="31" t="n">
        <v>2068.9</v>
      </c>
      <c r="G58" s="31" t="n">
        <v>2097.9</v>
      </c>
      <c r="H58" s="31" t="n">
        <v>2098</v>
      </c>
      <c r="I58" s="31" t="n">
        <v>2109.4</v>
      </c>
      <c r="J58" s="31" t="n">
        <v>2145.2</v>
      </c>
      <c r="K58" s="31" t="n">
        <v>1019.3</v>
      </c>
      <c r="L58" s="31" t="n">
        <v>907.6</v>
      </c>
      <c r="M58" s="30" t="inlineStr">
        <is>
          <t>AMR1</t>
        </is>
      </c>
      <c r="N58" s="30" t="inlineStr">
        <is>
          <t>AMR1</t>
        </is>
      </c>
      <c r="O58" s="32" t="n">
        <v>1</v>
      </c>
      <c r="P58" s="32" t="n">
        <v>25</v>
      </c>
      <c r="Q58" s="32" t="n">
        <v>1</v>
      </c>
      <c r="R58" s="31" t="n">
        <v>61</v>
      </c>
      <c r="S58" s="31" t="n">
        <v>61</v>
      </c>
      <c r="T58" s="30" t="inlineStr">
        <is>
          <t>AMR1</t>
        </is>
      </c>
      <c r="U58" s="31" t="n">
        <v>36</v>
      </c>
      <c r="V58" s="31" t="n">
        <v>36</v>
      </c>
      <c r="W58" s="30" t="inlineStr">
        <is>
          <t>AMR1</t>
        </is>
      </c>
      <c r="X58" s="32" t="n">
        <v>0</v>
      </c>
      <c r="Y58" s="32" t="n">
        <v>0</v>
      </c>
      <c r="Z58" s="31" t="n">
        <v>0</v>
      </c>
      <c r="AA58" s="32" t="n">
        <v>0</v>
      </c>
      <c r="AB58" s="32" t="n">
        <v>0</v>
      </c>
      <c r="AC58" s="32" t="n">
        <v>0</v>
      </c>
      <c r="AD58" s="32" t="n">
        <v>2</v>
      </c>
      <c r="AE58" s="31" t="n">
        <v>7.6</v>
      </c>
      <c r="AF58" s="32" t="n">
        <v>0</v>
      </c>
      <c r="AG58" s="31" t="n">
        <v>0</v>
      </c>
      <c r="AH58" s="32" t="n">
        <v>60</v>
      </c>
      <c r="AI58" s="31" t="n">
        <v>61.1</v>
      </c>
      <c r="AJ58" s="31" t="n">
        <v>42.9</v>
      </c>
      <c r="AK58" s="31" t="n">
        <v>7.6</v>
      </c>
      <c r="AL58" s="30" t="inlineStr">
        <is>
          <t>T-0208</t>
        </is>
      </c>
      <c r="AM58" s="30" t="inlineStr">
        <is>
          <t>I-05-02</t>
        </is>
      </c>
      <c r="AN58" s="30" t="inlineStr">
        <is>
          <t>T-0129</t>
        </is>
      </c>
      <c r="AO58" s="30" t="inlineStr">
        <is>
          <t>I-06-05</t>
        </is>
      </c>
    </row>
    <row r="59">
      <c r="A59" s="30" t="inlineStr">
        <is>
          <t>O0058</t>
        </is>
      </c>
      <c r="B59" s="30" t="inlineStr">
        <is>
          <t>J</t>
        </is>
      </c>
      <c r="C59" s="31" t="n">
        <v>1143.6</v>
      </c>
      <c r="D59" s="31" t="n">
        <v>2235.1</v>
      </c>
      <c r="E59" s="31" t="n">
        <v>2258.6</v>
      </c>
      <c r="F59" s="31" t="n">
        <v>2272.9</v>
      </c>
      <c r="G59" s="31" t="n">
        <v>2302</v>
      </c>
      <c r="H59" s="31" t="n">
        <v>2302.1</v>
      </c>
      <c r="I59" s="31" t="n">
        <v>2313.3</v>
      </c>
      <c r="J59" s="31" t="n">
        <v>2344.6</v>
      </c>
      <c r="K59" s="31" t="n">
        <v>1201</v>
      </c>
      <c r="L59" s="31" t="n">
        <v>1091.5</v>
      </c>
      <c r="M59" s="30" t="inlineStr">
        <is>
          <t>AMR2</t>
        </is>
      </c>
      <c r="N59" s="30" t="inlineStr">
        <is>
          <t>AMR2</t>
        </is>
      </c>
      <c r="O59" s="32" t="n">
        <v>1</v>
      </c>
      <c r="P59" s="32" t="n">
        <v>25</v>
      </c>
      <c r="Q59" s="32" t="n">
        <v>0</v>
      </c>
      <c r="R59" s="31" t="n">
        <v>64.3</v>
      </c>
      <c r="S59" s="31" t="n">
        <v>64.3</v>
      </c>
      <c r="T59" s="30" t="inlineStr">
        <is>
          <t>AMR2</t>
        </is>
      </c>
      <c r="U59" s="31" t="n">
        <v>40.7</v>
      </c>
      <c r="V59" s="31" t="n">
        <v>40.7</v>
      </c>
      <c r="W59" s="30" t="inlineStr">
        <is>
          <t>AMR2</t>
        </is>
      </c>
      <c r="X59" s="32" t="n">
        <v>0</v>
      </c>
      <c r="Y59" s="32" t="n">
        <v>0</v>
      </c>
      <c r="Z59" s="31" t="n">
        <v>0</v>
      </c>
      <c r="AA59" s="32" t="n">
        <v>0</v>
      </c>
      <c r="AB59" s="32" t="n">
        <v>0</v>
      </c>
      <c r="AC59" s="32" t="n">
        <v>0</v>
      </c>
      <c r="AD59" s="32" t="n">
        <v>0</v>
      </c>
      <c r="AE59" s="31" t="n">
        <v>0</v>
      </c>
      <c r="AF59" s="32" t="n">
        <v>0</v>
      </c>
      <c r="AG59" s="31" t="n">
        <v>0</v>
      </c>
      <c r="AH59" s="32" t="n">
        <v>68</v>
      </c>
      <c r="AI59" s="31" t="n">
        <v>68.40000000000001</v>
      </c>
      <c r="AJ59" s="31" t="n">
        <v>41</v>
      </c>
      <c r="AK59" s="31" t="n">
        <v>0</v>
      </c>
      <c r="AL59" s="30" t="inlineStr">
        <is>
          <t>T-0213</t>
        </is>
      </c>
      <c r="AM59" s="30" t="inlineStr">
        <is>
          <t>J-03-01</t>
        </is>
      </c>
      <c r="AN59" s="30" t="inlineStr">
        <is>
          <t>T-0140</t>
        </is>
      </c>
      <c r="AO59" s="30" t="inlineStr">
        <is>
          <t>J-05-02</t>
        </is>
      </c>
    </row>
    <row r="60">
      <c r="A60" s="30" t="inlineStr">
        <is>
          <t>O0059</t>
        </is>
      </c>
      <c r="B60" s="30" t="inlineStr">
        <is>
          <t>I</t>
        </is>
      </c>
      <c r="C60" s="31" t="n">
        <v>1168.2</v>
      </c>
      <c r="D60" s="31" t="n">
        <v>1938.5</v>
      </c>
      <c r="E60" s="31" t="n">
        <v>1969</v>
      </c>
      <c r="F60" s="31" t="n">
        <v>1980.7</v>
      </c>
      <c r="G60" s="31" t="n">
        <v>2003.9</v>
      </c>
      <c r="H60" s="31" t="n">
        <v>2220.1</v>
      </c>
      <c r="I60" s="31" t="n">
        <v>2231.7</v>
      </c>
      <c r="J60" s="31" t="n">
        <v>2258.8</v>
      </c>
      <c r="K60" s="31" t="n">
        <v>1090.6</v>
      </c>
      <c r="L60" s="31" t="n">
        <v>770.3</v>
      </c>
      <c r="M60" s="30" t="inlineStr">
        <is>
          <t>AMR3</t>
        </is>
      </c>
      <c r="N60" s="30" t="inlineStr">
        <is>
          <t>AMR1</t>
        </is>
      </c>
      <c r="O60" s="32" t="n">
        <v>1</v>
      </c>
      <c r="P60" s="32" t="n">
        <v>25</v>
      </c>
      <c r="Q60" s="32" t="n">
        <v>2</v>
      </c>
      <c r="R60" s="31" t="n">
        <v>55.8</v>
      </c>
      <c r="S60" s="31" t="n">
        <v>55.8</v>
      </c>
      <c r="T60" s="30" t="inlineStr">
        <is>
          <t>AMR3</t>
        </is>
      </c>
      <c r="U60" s="31" t="n">
        <v>38.2</v>
      </c>
      <c r="V60" s="31" t="n">
        <v>38.2</v>
      </c>
      <c r="W60" s="30" t="inlineStr">
        <is>
          <t>AMR1</t>
        </is>
      </c>
      <c r="X60" s="32" t="n">
        <v>0</v>
      </c>
      <c r="Y60" s="32" t="n">
        <v>0</v>
      </c>
      <c r="Z60" s="31" t="n">
        <v>0</v>
      </c>
      <c r="AA60" s="32" t="n">
        <v>0</v>
      </c>
      <c r="AB60" s="32" t="n">
        <v>0</v>
      </c>
      <c r="AC60" s="32" t="n">
        <v>0</v>
      </c>
      <c r="AD60" s="32" t="n">
        <v>0</v>
      </c>
      <c r="AE60" s="31" t="n">
        <v>0</v>
      </c>
      <c r="AF60" s="32" t="n">
        <v>1</v>
      </c>
      <c r="AG60" s="31" t="n">
        <v>2</v>
      </c>
      <c r="AH60" s="32" t="n">
        <v>56</v>
      </c>
      <c r="AI60" s="31" t="n">
        <v>57.9</v>
      </c>
      <c r="AJ60" s="31" t="n">
        <v>39.2</v>
      </c>
      <c r="AK60" s="31" t="n">
        <v>7</v>
      </c>
      <c r="AL60" s="30" t="inlineStr">
        <is>
          <t>T-0206</t>
        </is>
      </c>
      <c r="AM60" s="30" t="inlineStr">
        <is>
          <t>I-03-02</t>
        </is>
      </c>
      <c r="AN60" s="30" t="inlineStr">
        <is>
          <t>T-0130</t>
        </is>
      </c>
      <c r="AO60" s="30" t="inlineStr">
        <is>
          <t>I-04-05</t>
        </is>
      </c>
    </row>
    <row r="61">
      <c r="A61" s="30" t="inlineStr">
        <is>
          <t>O0060</t>
        </is>
      </c>
      <c r="B61" s="30" t="inlineStr">
        <is>
          <t>E</t>
        </is>
      </c>
      <c r="C61" s="31" t="n">
        <v>1190.1</v>
      </c>
      <c r="D61" s="31" t="n">
        <v>2360.9</v>
      </c>
      <c r="E61" s="31" t="n">
        <v>2392.4</v>
      </c>
      <c r="F61" s="31" t="n">
        <v>2404.9</v>
      </c>
      <c r="G61" s="31" t="n">
        <v>2434.7</v>
      </c>
      <c r="H61" s="31" t="n">
        <v>2434.8</v>
      </c>
      <c r="I61" s="31" t="n">
        <v>2449.5</v>
      </c>
      <c r="J61" s="31" t="n">
        <v>2483.7</v>
      </c>
      <c r="K61" s="31" t="n">
        <v>1293.6</v>
      </c>
      <c r="L61" s="31" t="n">
        <v>1170.8</v>
      </c>
      <c r="M61" s="30" t="inlineStr">
        <is>
          <t>AMR3</t>
        </is>
      </c>
      <c r="N61" s="30" t="inlineStr">
        <is>
          <t>AMR3</t>
        </is>
      </c>
      <c r="O61" s="32" t="n">
        <v>1</v>
      </c>
      <c r="P61" s="32" t="n">
        <v>25</v>
      </c>
      <c r="Q61" s="32" t="n">
        <v>1</v>
      </c>
      <c r="R61" s="31" t="n">
        <v>63.9</v>
      </c>
      <c r="S61" s="31" t="n">
        <v>63.9</v>
      </c>
      <c r="T61" s="30" t="inlineStr">
        <is>
          <t>AMR3</t>
        </is>
      </c>
      <c r="U61" s="31" t="n">
        <v>48.1</v>
      </c>
      <c r="V61" s="31" t="n">
        <v>48.1</v>
      </c>
      <c r="W61" s="30" t="inlineStr">
        <is>
          <t>AMR3</t>
        </is>
      </c>
      <c r="X61" s="32" t="n">
        <v>0</v>
      </c>
      <c r="Y61" s="32" t="n">
        <v>0</v>
      </c>
      <c r="Z61" s="31" t="n">
        <v>0</v>
      </c>
      <c r="AA61" s="32" t="n">
        <v>0</v>
      </c>
      <c r="AB61" s="32" t="n">
        <v>0</v>
      </c>
      <c r="AC61" s="32" t="n">
        <v>0</v>
      </c>
      <c r="AD61" s="32" t="n">
        <v>0</v>
      </c>
      <c r="AE61" s="31" t="n">
        <v>0</v>
      </c>
      <c r="AF61" s="32" t="n">
        <v>1</v>
      </c>
      <c r="AG61" s="31" t="n">
        <v>3</v>
      </c>
      <c r="AH61" s="32" t="n">
        <v>68</v>
      </c>
      <c r="AI61" s="31" t="n">
        <v>66.90000000000001</v>
      </c>
      <c r="AJ61" s="31" t="n">
        <v>47.8</v>
      </c>
      <c r="AK61" s="31" t="n">
        <v>8</v>
      </c>
      <c r="AL61" s="30" t="inlineStr">
        <is>
          <t>T-0216</t>
        </is>
      </c>
      <c r="AM61" s="30" t="inlineStr">
        <is>
          <t>E-02-02</t>
        </is>
      </c>
      <c r="AN61" s="30" t="inlineStr">
        <is>
          <t>T-0066</t>
        </is>
      </c>
      <c r="AO61" s="30" t="inlineStr">
        <is>
          <t>E-04-03</t>
        </is>
      </c>
    </row>
    <row r="62">
      <c r="A62" s="30" t="inlineStr">
        <is>
          <t>O0061</t>
        </is>
      </c>
      <c r="B62" s="30" t="inlineStr">
        <is>
          <t>F</t>
        </is>
      </c>
      <c r="C62" s="31" t="n">
        <v>1215</v>
      </c>
      <c r="D62" s="31" t="n">
        <v>2585.1</v>
      </c>
      <c r="E62" s="31" t="n">
        <v>2608.6</v>
      </c>
      <c r="F62" s="31" t="n">
        <v>2623</v>
      </c>
      <c r="G62" s="31" t="n">
        <v>2656.2</v>
      </c>
      <c r="H62" s="31" t="n">
        <v>2656.3</v>
      </c>
      <c r="I62" s="31" t="n">
        <v>2668.2</v>
      </c>
      <c r="J62" s="31" t="n">
        <v>2699.7</v>
      </c>
      <c r="K62" s="31" t="n">
        <v>1484.7</v>
      </c>
      <c r="L62" s="31" t="n">
        <v>1370.1</v>
      </c>
      <c r="M62" s="30" t="inlineStr">
        <is>
          <t>AMR3</t>
        </is>
      </c>
      <c r="N62" s="30" t="inlineStr">
        <is>
          <t>AMR3</t>
        </is>
      </c>
      <c r="O62" s="32" t="n">
        <v>1</v>
      </c>
      <c r="P62" s="32" t="n">
        <v>25</v>
      </c>
      <c r="Q62" s="32" t="n">
        <v>0</v>
      </c>
      <c r="R62" s="31" t="n">
        <v>68.5</v>
      </c>
      <c r="S62" s="31" t="n">
        <v>68.5</v>
      </c>
      <c r="T62" s="30" t="inlineStr">
        <is>
          <t>AMR3</t>
        </is>
      </c>
      <c r="U62" s="31" t="n">
        <v>44.2</v>
      </c>
      <c r="V62" s="31" t="n">
        <v>44.2</v>
      </c>
      <c r="W62" s="30" t="inlineStr">
        <is>
          <t>AMR3</t>
        </is>
      </c>
      <c r="X62" s="32" t="n">
        <v>0</v>
      </c>
      <c r="Y62" s="32" t="n">
        <v>0</v>
      </c>
      <c r="Z62" s="31" t="n">
        <v>0</v>
      </c>
      <c r="AA62" s="32" t="n">
        <v>0</v>
      </c>
      <c r="AB62" s="32" t="n">
        <v>0</v>
      </c>
      <c r="AC62" s="32" t="n">
        <v>0</v>
      </c>
      <c r="AD62" s="32" t="n">
        <v>0</v>
      </c>
      <c r="AE62" s="31" t="n">
        <v>0</v>
      </c>
      <c r="AF62" s="32" t="n">
        <v>0</v>
      </c>
      <c r="AG62" s="31" t="n">
        <v>0</v>
      </c>
      <c r="AH62" s="32" t="n">
        <v>70</v>
      </c>
      <c r="AI62" s="31" t="n">
        <v>69</v>
      </c>
      <c r="AJ62" s="31" t="n">
        <v>45.5</v>
      </c>
      <c r="AK62" s="31" t="n">
        <v>0</v>
      </c>
      <c r="AL62" s="30" t="inlineStr">
        <is>
          <t>T-0222</t>
        </is>
      </c>
      <c r="AM62" s="30" t="inlineStr">
        <is>
          <t>F-03-02</t>
        </is>
      </c>
      <c r="AN62" s="30" t="inlineStr">
        <is>
          <t>T-0082</t>
        </is>
      </c>
      <c r="AO62" s="30" t="inlineStr">
        <is>
          <t>F-06-03</t>
        </is>
      </c>
    </row>
    <row r="63">
      <c r="A63" s="30" t="inlineStr">
        <is>
          <t>O0062</t>
        </is>
      </c>
      <c r="B63" s="30" t="inlineStr">
        <is>
          <t>H</t>
        </is>
      </c>
      <c r="C63" s="31" t="n">
        <v>1239</v>
      </c>
      <c r="D63" s="31" t="n">
        <v>2108.3</v>
      </c>
      <c r="E63" s="31" t="n">
        <v>2131.8</v>
      </c>
      <c r="F63" s="31" t="n">
        <v>2143.9</v>
      </c>
      <c r="G63" s="31" t="n">
        <v>2170.4</v>
      </c>
      <c r="H63" s="31" t="n">
        <v>2170.5</v>
      </c>
      <c r="I63" s="31" t="n">
        <v>2183.8</v>
      </c>
      <c r="J63" s="31" t="n">
        <v>2209.8</v>
      </c>
      <c r="K63" s="31" t="n">
        <v>970.8</v>
      </c>
      <c r="L63" s="31" t="n">
        <v>869.3</v>
      </c>
      <c r="M63" s="30" t="inlineStr">
        <is>
          <t>AMR3</t>
        </is>
      </c>
      <c r="N63" s="30" t="inlineStr">
        <is>
          <t>AMR3</t>
        </is>
      </c>
      <c r="O63" s="32" t="n">
        <v>1</v>
      </c>
      <c r="P63" s="32" t="n">
        <v>25</v>
      </c>
      <c r="Q63" s="32" t="n">
        <v>1</v>
      </c>
      <c r="R63" s="31" t="n">
        <v>60.3</v>
      </c>
      <c r="S63" s="31" t="n">
        <v>60.3</v>
      </c>
      <c r="T63" s="30" t="inlineStr">
        <is>
          <t>AMR3</t>
        </is>
      </c>
      <c r="U63" s="31" t="n">
        <v>38.4</v>
      </c>
      <c r="V63" s="31" t="n">
        <v>38.4</v>
      </c>
      <c r="W63" s="30" t="inlineStr">
        <is>
          <t>AMR3</t>
        </is>
      </c>
      <c r="X63" s="32" t="n">
        <v>0</v>
      </c>
      <c r="Y63" s="32" t="n">
        <v>0</v>
      </c>
      <c r="Z63" s="31" t="n">
        <v>0</v>
      </c>
      <c r="AA63" s="32" t="n">
        <v>0</v>
      </c>
      <c r="AB63" s="32" t="n">
        <v>0</v>
      </c>
      <c r="AC63" s="32" t="n">
        <v>0</v>
      </c>
      <c r="AD63" s="32" t="n">
        <v>0</v>
      </c>
      <c r="AE63" s="31" t="n">
        <v>0</v>
      </c>
      <c r="AF63" s="32" t="n">
        <v>0</v>
      </c>
      <c r="AG63" s="31" t="n">
        <v>0</v>
      </c>
      <c r="AH63" s="32" t="n">
        <v>54</v>
      </c>
      <c r="AI63" s="31" t="n">
        <v>56.3</v>
      </c>
      <c r="AJ63" s="31" t="n">
        <v>45.1</v>
      </c>
      <c r="AK63" s="31" t="n">
        <v>0</v>
      </c>
      <c r="AL63" s="30" t="inlineStr">
        <is>
          <t>T-0209</t>
        </is>
      </c>
      <c r="AM63" s="30" t="inlineStr">
        <is>
          <t>H-05-02</t>
        </is>
      </c>
      <c r="AN63" s="30" t="inlineStr">
        <is>
          <t>T-0110</t>
        </is>
      </c>
      <c r="AO63" s="30" t="inlineStr">
        <is>
          <t>H-03-01</t>
        </is>
      </c>
    </row>
    <row r="64">
      <c r="A64" s="30" t="inlineStr">
        <is>
          <t>O0063</t>
        </is>
      </c>
      <c r="B64" s="30" t="inlineStr">
        <is>
          <t>B</t>
        </is>
      </c>
      <c r="C64" s="31" t="n">
        <v>1256.5</v>
      </c>
      <c r="D64" s="31" t="n">
        <v>2125.4</v>
      </c>
      <c r="E64" s="31" t="n">
        <v>2155.9</v>
      </c>
      <c r="F64" s="31" t="n">
        <v>2169.2</v>
      </c>
      <c r="G64" s="31" t="n">
        <v>2192.3</v>
      </c>
      <c r="H64" s="31" t="n">
        <v>2407.5</v>
      </c>
      <c r="I64" s="31" t="n">
        <v>2422.1</v>
      </c>
      <c r="J64" s="31" t="n">
        <v>2451.9</v>
      </c>
      <c r="K64" s="31" t="n">
        <v>1195.4</v>
      </c>
      <c r="L64" s="31" t="n">
        <v>868.9</v>
      </c>
      <c r="M64" s="30" t="inlineStr">
        <is>
          <t>AMR2</t>
        </is>
      </c>
      <c r="N64" s="30" t="inlineStr">
        <is>
          <t>AMR2</t>
        </is>
      </c>
      <c r="O64" s="32" t="n">
        <v>1</v>
      </c>
      <c r="P64" s="32" t="n">
        <v>25</v>
      </c>
      <c r="Q64" s="32" t="n">
        <v>1</v>
      </c>
      <c r="R64" s="31" t="n">
        <v>57.2</v>
      </c>
      <c r="S64" s="31" t="n">
        <v>57.2</v>
      </c>
      <c r="T64" s="30" t="inlineStr">
        <is>
          <t>AMR2</t>
        </is>
      </c>
      <c r="U64" s="31" t="n">
        <v>45.6</v>
      </c>
      <c r="V64" s="31" t="n">
        <v>45.6</v>
      </c>
      <c r="W64" s="30" t="inlineStr">
        <is>
          <t>AMR2</t>
        </is>
      </c>
      <c r="X64" s="32" t="n">
        <v>0</v>
      </c>
      <c r="Y64" s="32" t="n">
        <v>0</v>
      </c>
      <c r="Z64" s="31" t="n">
        <v>0</v>
      </c>
      <c r="AA64" s="32" t="n">
        <v>0</v>
      </c>
      <c r="AB64" s="32" t="n">
        <v>0</v>
      </c>
      <c r="AC64" s="32" t="n">
        <v>0</v>
      </c>
      <c r="AD64" s="32" t="n">
        <v>0</v>
      </c>
      <c r="AE64" s="31" t="n">
        <v>0</v>
      </c>
      <c r="AF64" s="32" t="n">
        <v>1</v>
      </c>
      <c r="AG64" s="31" t="n">
        <v>2</v>
      </c>
      <c r="AH64" s="32" t="n">
        <v>57</v>
      </c>
      <c r="AI64" s="31" t="n">
        <v>58.3</v>
      </c>
      <c r="AJ64" s="31" t="n">
        <v>46</v>
      </c>
      <c r="AK64" s="31" t="n">
        <v>7</v>
      </c>
      <c r="AL64" s="30" t="inlineStr">
        <is>
          <t>T-0210</t>
        </is>
      </c>
      <c r="AM64" s="30" t="inlineStr">
        <is>
          <t>B-03-03</t>
        </is>
      </c>
      <c r="AN64" s="30" t="inlineStr">
        <is>
          <t>T-0026</t>
        </is>
      </c>
      <c r="AO64" s="30" t="inlineStr">
        <is>
          <t>B-06-02</t>
        </is>
      </c>
    </row>
    <row r="65">
      <c r="A65" s="30" t="inlineStr">
        <is>
          <t>O0064</t>
        </is>
      </c>
      <c r="B65" s="30" t="inlineStr">
        <is>
          <t>I</t>
        </is>
      </c>
      <c r="C65" s="31" t="n">
        <v>1271.7</v>
      </c>
      <c r="D65" s="31" t="n">
        <v>2145.3</v>
      </c>
      <c r="E65" s="31" t="n">
        <v>2179.8</v>
      </c>
      <c r="F65" s="31" t="n">
        <v>2195.8</v>
      </c>
      <c r="G65" s="31" t="n">
        <v>2220</v>
      </c>
      <c r="H65" s="31" t="n">
        <v>2306</v>
      </c>
      <c r="I65" s="31" t="n">
        <v>2333.2</v>
      </c>
      <c r="J65" s="31" t="n">
        <v>2360.8</v>
      </c>
      <c r="K65" s="31" t="n">
        <v>1089.1</v>
      </c>
      <c r="L65" s="31" t="n">
        <v>873.6</v>
      </c>
      <c r="M65" s="30" t="inlineStr">
        <is>
          <t>AMR1</t>
        </is>
      </c>
      <c r="N65" s="30" t="inlineStr">
        <is>
          <t>AMR3</t>
        </is>
      </c>
      <c r="O65" s="32" t="n">
        <v>1</v>
      </c>
      <c r="P65" s="32" t="n">
        <v>25</v>
      </c>
      <c r="Q65" s="32" t="n">
        <v>14</v>
      </c>
      <c r="R65" s="31" t="n">
        <v>59.5</v>
      </c>
      <c r="S65" s="31" t="n">
        <v>59.5</v>
      </c>
      <c r="T65" s="30" t="inlineStr">
        <is>
          <t>AMR1</t>
        </is>
      </c>
      <c r="U65" s="31" t="n">
        <v>50</v>
      </c>
      <c r="V65" s="31" t="n">
        <v>50</v>
      </c>
      <c r="W65" s="30" t="inlineStr">
        <is>
          <t>AMR3</t>
        </is>
      </c>
      <c r="X65" s="32" t="n">
        <v>0</v>
      </c>
      <c r="Y65" s="32" t="n">
        <v>0</v>
      </c>
      <c r="Z65" s="31" t="n">
        <v>0</v>
      </c>
      <c r="AA65" s="32" t="n">
        <v>0</v>
      </c>
      <c r="AB65" s="32" t="n">
        <v>0</v>
      </c>
      <c r="AC65" s="32" t="n">
        <v>0</v>
      </c>
      <c r="AD65" s="32" t="n">
        <v>1</v>
      </c>
      <c r="AE65" s="31" t="n">
        <v>2</v>
      </c>
      <c r="AF65" s="32" t="n">
        <v>1</v>
      </c>
      <c r="AG65" s="31" t="n">
        <v>6</v>
      </c>
      <c r="AH65" s="32" t="n">
        <v>72</v>
      </c>
      <c r="AI65" s="31" t="n">
        <v>73.40000000000001</v>
      </c>
      <c r="AJ65" s="31" t="n">
        <v>43.1</v>
      </c>
      <c r="AK65" s="31" t="n">
        <v>13</v>
      </c>
      <c r="AL65" s="30" t="inlineStr">
        <is>
          <t>T-0211</t>
        </is>
      </c>
      <c r="AM65" s="30" t="inlineStr">
        <is>
          <t>I-06-02</t>
        </is>
      </c>
      <c r="AN65" s="30" t="inlineStr">
        <is>
          <t>T-0131</t>
        </is>
      </c>
      <c r="AO65" s="30" t="inlineStr">
        <is>
          <t>I-04-02</t>
        </is>
      </c>
    </row>
    <row r="66">
      <c r="A66" s="30" t="inlineStr">
        <is>
          <t>O0065</t>
        </is>
      </c>
      <c r="B66" s="30" t="inlineStr">
        <is>
          <t>A</t>
        </is>
      </c>
      <c r="C66" s="31" t="n">
        <v>1292.6</v>
      </c>
      <c r="D66" s="31" t="n">
        <v>2258.9</v>
      </c>
      <c r="E66" s="31" t="n">
        <v>2282.4</v>
      </c>
      <c r="F66" s="31" t="n">
        <v>2296.5</v>
      </c>
      <c r="G66" s="31" t="n">
        <v>2324</v>
      </c>
      <c r="H66" s="31" t="n">
        <v>2324.1</v>
      </c>
      <c r="I66" s="31" t="n">
        <v>2336.8</v>
      </c>
      <c r="J66" s="31" t="n">
        <v>2382.4</v>
      </c>
      <c r="K66" s="31" t="n">
        <v>1089.8</v>
      </c>
      <c r="L66" s="31" t="n">
        <v>966.3</v>
      </c>
      <c r="M66" s="30" t="inlineStr">
        <is>
          <t>AMR1</t>
        </is>
      </c>
      <c r="N66" s="30" t="inlineStr">
        <is>
          <t>AMR1</t>
        </is>
      </c>
      <c r="O66" s="32" t="n">
        <v>1</v>
      </c>
      <c r="P66" s="32" t="n">
        <v>25</v>
      </c>
      <c r="Q66" s="32" t="n">
        <v>1</v>
      </c>
      <c r="R66" s="31" t="n">
        <v>63.2</v>
      </c>
      <c r="S66" s="31" t="n">
        <v>61.2</v>
      </c>
      <c r="T66" s="30" t="inlineStr">
        <is>
          <t>AMR3</t>
        </is>
      </c>
      <c r="U66" s="31" t="n">
        <v>47.8</v>
      </c>
      <c r="V66" s="31" t="n">
        <v>47.8</v>
      </c>
      <c r="W66" s="30" t="inlineStr">
        <is>
          <t>AMR1</t>
        </is>
      </c>
      <c r="X66" s="32" t="n">
        <v>1</v>
      </c>
      <c r="Y66" s="32" t="n">
        <v>12</v>
      </c>
      <c r="Z66" s="31" t="n">
        <v>2</v>
      </c>
      <c r="AA66" s="32" t="n">
        <v>0</v>
      </c>
      <c r="AB66" s="32" t="n">
        <v>0</v>
      </c>
      <c r="AC66" s="32" t="n">
        <v>0</v>
      </c>
      <c r="AD66" s="32" t="n">
        <v>1</v>
      </c>
      <c r="AE66" s="31" t="n">
        <v>12.7</v>
      </c>
      <c r="AF66" s="32" t="n">
        <v>1</v>
      </c>
      <c r="AG66" s="31" t="n">
        <v>7.7</v>
      </c>
      <c r="AH66" s="32" t="n">
        <v>68</v>
      </c>
      <c r="AI66" s="31" t="n">
        <v>67.09999999999999</v>
      </c>
      <c r="AJ66" s="31" t="n">
        <v>43.6</v>
      </c>
      <c r="AK66" s="31" t="n">
        <v>12.7</v>
      </c>
      <c r="AL66" s="30" t="inlineStr">
        <is>
          <t>T-0214</t>
        </is>
      </c>
      <c r="AM66" s="30" t="inlineStr">
        <is>
          <t>A-04-01</t>
        </is>
      </c>
      <c r="AN66" s="30" t="inlineStr">
        <is>
          <t>T-0006</t>
        </is>
      </c>
      <c r="AO66" s="30" t="inlineStr">
        <is>
          <t>A-06-01</t>
        </is>
      </c>
    </row>
    <row r="67">
      <c r="A67" s="30" t="inlineStr">
        <is>
          <t>O0066</t>
        </is>
      </c>
      <c r="B67" s="30" t="inlineStr">
        <is>
          <t>A</t>
        </is>
      </c>
      <c r="C67" s="31" t="n">
        <v>1314.7</v>
      </c>
      <c r="D67" s="31" t="n">
        <v>2551.9</v>
      </c>
      <c r="E67" s="31" t="n">
        <v>2575.4</v>
      </c>
      <c r="F67" s="31" t="n">
        <v>2587.4</v>
      </c>
      <c r="G67" s="31" t="n">
        <v>2616</v>
      </c>
      <c r="H67" s="31" t="n">
        <v>2616.1</v>
      </c>
      <c r="I67" s="31" t="n">
        <v>2629.4</v>
      </c>
      <c r="J67" s="31" t="n">
        <v>2664.3</v>
      </c>
      <c r="K67" s="31" t="n">
        <v>1349.6</v>
      </c>
      <c r="L67" s="31" t="n">
        <v>1237.2</v>
      </c>
      <c r="M67" s="30" t="inlineStr">
        <is>
          <t>AMR2</t>
        </is>
      </c>
      <c r="N67" s="30" t="inlineStr">
        <is>
          <t>AMR2</t>
        </is>
      </c>
      <c r="O67" s="32" t="n">
        <v>1</v>
      </c>
      <c r="P67" s="32" t="n">
        <v>25</v>
      </c>
      <c r="Q67" s="32" t="n">
        <v>2</v>
      </c>
      <c r="R67" s="31" t="n">
        <v>63</v>
      </c>
      <c r="S67" s="31" t="n">
        <v>63</v>
      </c>
      <c r="T67" s="30" t="inlineStr">
        <is>
          <t>AMR2</t>
        </is>
      </c>
      <c r="U67" s="31" t="n">
        <v>47.4</v>
      </c>
      <c r="V67" s="31" t="n">
        <v>47.4</v>
      </c>
      <c r="W67" s="30" t="inlineStr">
        <is>
          <t>AMR2</t>
        </is>
      </c>
      <c r="X67" s="32" t="n">
        <v>0</v>
      </c>
      <c r="Y67" s="32" t="n">
        <v>0</v>
      </c>
      <c r="Z67" s="31" t="n">
        <v>0</v>
      </c>
      <c r="AA67" s="32" t="n">
        <v>0</v>
      </c>
      <c r="AB67" s="32" t="n">
        <v>0</v>
      </c>
      <c r="AC67" s="32" t="n">
        <v>0</v>
      </c>
      <c r="AD67" s="32" t="n">
        <v>0</v>
      </c>
      <c r="AE67" s="31" t="n">
        <v>0</v>
      </c>
      <c r="AF67" s="32" t="n">
        <v>0</v>
      </c>
      <c r="AG67" s="31" t="n">
        <v>0</v>
      </c>
      <c r="AH67" s="32" t="n">
        <v>72</v>
      </c>
      <c r="AI67" s="31" t="n">
        <v>70</v>
      </c>
      <c r="AJ67" s="31" t="n">
        <v>42.3</v>
      </c>
      <c r="AK67" s="31" t="n">
        <v>0</v>
      </c>
      <c r="AL67" s="30" t="inlineStr">
        <is>
          <t>T-0221</t>
        </is>
      </c>
      <c r="AM67" s="30" t="inlineStr">
        <is>
          <t>A-06-01</t>
        </is>
      </c>
      <c r="AN67" s="30" t="inlineStr">
        <is>
          <t>T-0007</t>
        </is>
      </c>
      <c r="AO67" s="30" t="inlineStr">
        <is>
          <t>A-01-03</t>
        </is>
      </c>
    </row>
    <row r="68">
      <c r="A68" s="30" t="inlineStr">
        <is>
          <t>O0067</t>
        </is>
      </c>
      <c r="B68" s="30" t="inlineStr">
        <is>
          <t>A</t>
        </is>
      </c>
      <c r="C68" s="31" t="n">
        <v>1330.4</v>
      </c>
      <c r="D68" s="31" t="n">
        <v>2889.3</v>
      </c>
      <c r="E68" s="31" t="n">
        <v>2912.8</v>
      </c>
      <c r="F68" s="31" t="n">
        <v>2929.1</v>
      </c>
      <c r="G68" s="31" t="n">
        <v>2959.9</v>
      </c>
      <c r="H68" s="31" t="n">
        <v>2960</v>
      </c>
      <c r="I68" s="31" t="n">
        <v>2969.7</v>
      </c>
      <c r="J68" s="31" t="n">
        <v>3007.1</v>
      </c>
      <c r="K68" s="31" t="n">
        <v>1676.7</v>
      </c>
      <c r="L68" s="31" t="n">
        <v>1558.9</v>
      </c>
      <c r="M68" s="30" t="inlineStr">
        <is>
          <t>AMR1</t>
        </is>
      </c>
      <c r="N68" s="30" t="inlineStr">
        <is>
          <t>AMR1</t>
        </is>
      </c>
      <c r="O68" s="32" t="n">
        <v>1</v>
      </c>
      <c r="P68" s="32" t="n">
        <v>25</v>
      </c>
      <c r="Q68" s="32" t="n">
        <v>1</v>
      </c>
      <c r="R68" s="31" t="n">
        <v>68.7</v>
      </c>
      <c r="S68" s="31" t="n">
        <v>68.7</v>
      </c>
      <c r="T68" s="30" t="inlineStr">
        <is>
          <t>AMR1</t>
        </is>
      </c>
      <c r="U68" s="31" t="n">
        <v>46.3</v>
      </c>
      <c r="V68" s="31" t="n">
        <v>46.3</v>
      </c>
      <c r="W68" s="30" t="inlineStr">
        <is>
          <t>AMR1</t>
        </is>
      </c>
      <c r="X68" s="32" t="n">
        <v>0</v>
      </c>
      <c r="Y68" s="32" t="n">
        <v>0</v>
      </c>
      <c r="Z68" s="31" t="n">
        <v>0</v>
      </c>
      <c r="AA68" s="32" t="n">
        <v>0</v>
      </c>
      <c r="AB68" s="32" t="n">
        <v>0</v>
      </c>
      <c r="AC68" s="32" t="n">
        <v>0</v>
      </c>
      <c r="AD68" s="32" t="n">
        <v>0</v>
      </c>
      <c r="AE68" s="31" t="n">
        <v>0</v>
      </c>
      <c r="AF68" s="32" t="n">
        <v>0</v>
      </c>
      <c r="AG68" s="31" t="n">
        <v>0</v>
      </c>
      <c r="AH68" s="32" t="n">
        <v>72</v>
      </c>
      <c r="AI68" s="31" t="n">
        <v>70.09999999999999</v>
      </c>
      <c r="AJ68" s="31" t="n">
        <v>47.6</v>
      </c>
      <c r="AK68" s="31" t="n">
        <v>0</v>
      </c>
      <c r="AL68" s="30" t="inlineStr">
        <is>
          <t>T-0231</t>
        </is>
      </c>
      <c r="AM68" s="30" t="inlineStr">
        <is>
          <t>A-05-02</t>
        </is>
      </c>
      <c r="AN68" s="30" t="inlineStr">
        <is>
          <t>T-0008</t>
        </is>
      </c>
      <c r="AO68" s="30" t="inlineStr">
        <is>
          <t>A-02-02</t>
        </is>
      </c>
    </row>
    <row r="69">
      <c r="A69" s="30" t="inlineStr">
        <is>
          <t>O0068</t>
        </is>
      </c>
      <c r="B69" s="30" t="inlineStr">
        <is>
          <t>D</t>
        </is>
      </c>
      <c r="C69" s="31" t="n">
        <v>1346.1</v>
      </c>
      <c r="D69" s="31" t="n">
        <v>2452</v>
      </c>
      <c r="E69" s="31" t="n">
        <v>2475.5</v>
      </c>
      <c r="F69" s="31" t="n">
        <v>2488.6</v>
      </c>
      <c r="G69" s="31" t="n">
        <v>2513.8</v>
      </c>
      <c r="H69" s="31" t="n">
        <v>2513.9</v>
      </c>
      <c r="I69" s="31" t="n">
        <v>2523.3</v>
      </c>
      <c r="J69" s="31" t="n">
        <v>2551.8</v>
      </c>
      <c r="K69" s="31" t="n">
        <v>1205.7</v>
      </c>
      <c r="L69" s="31" t="n">
        <v>1105.9</v>
      </c>
      <c r="M69" s="30" t="inlineStr">
        <is>
          <t>AMR2</t>
        </is>
      </c>
      <c r="N69" s="30" t="inlineStr">
        <is>
          <t>AMR2</t>
        </is>
      </c>
      <c r="O69" s="32" t="n">
        <v>1</v>
      </c>
      <c r="P69" s="32" t="n">
        <v>25</v>
      </c>
      <c r="Q69" s="32" t="n">
        <v>1</v>
      </c>
      <c r="R69" s="31" t="n">
        <v>58.4</v>
      </c>
      <c r="S69" s="31" t="n">
        <v>53.4</v>
      </c>
      <c r="T69" s="30" t="inlineStr">
        <is>
          <t>AMR1</t>
        </is>
      </c>
      <c r="U69" s="31" t="n">
        <v>39.6</v>
      </c>
      <c r="V69" s="31" t="n">
        <v>39.6</v>
      </c>
      <c r="W69" s="30" t="inlineStr">
        <is>
          <t>AMR2</t>
        </is>
      </c>
      <c r="X69" s="32" t="n">
        <v>1</v>
      </c>
      <c r="Y69" s="32" t="n">
        <v>9</v>
      </c>
      <c r="Z69" s="31" t="n">
        <v>5</v>
      </c>
      <c r="AA69" s="32" t="n">
        <v>0</v>
      </c>
      <c r="AB69" s="32" t="n">
        <v>0</v>
      </c>
      <c r="AC69" s="32" t="n">
        <v>0</v>
      </c>
      <c r="AD69" s="32" t="n">
        <v>0</v>
      </c>
      <c r="AE69" s="31" t="n">
        <v>0</v>
      </c>
      <c r="AF69" s="32" t="n">
        <v>0</v>
      </c>
      <c r="AG69" s="31" t="n">
        <v>0</v>
      </c>
      <c r="AH69" s="32" t="n">
        <v>52</v>
      </c>
      <c r="AI69" s="31" t="n">
        <v>53.8</v>
      </c>
      <c r="AJ69" s="31" t="n">
        <v>44.4</v>
      </c>
      <c r="AK69" s="31" t="n">
        <v>1.5</v>
      </c>
      <c r="AL69" s="30" t="inlineStr">
        <is>
          <t>T-0218</t>
        </is>
      </c>
      <c r="AM69" s="30" t="inlineStr">
        <is>
          <t>D-02-02</t>
        </is>
      </c>
      <c r="AN69" s="30" t="inlineStr">
        <is>
          <t>T-0053</t>
        </is>
      </c>
      <c r="AO69" s="30" t="inlineStr">
        <is>
          <t>D-02-01</t>
        </is>
      </c>
    </row>
    <row r="70">
      <c r="A70" s="30" t="inlineStr">
        <is>
          <t>O0069</t>
        </is>
      </c>
      <c r="B70" s="30" t="inlineStr">
        <is>
          <t>D</t>
        </is>
      </c>
      <c r="C70" s="31" t="n">
        <v>1367.8</v>
      </c>
      <c r="D70" s="31" t="n">
        <v>2209.9</v>
      </c>
      <c r="E70" s="31" t="n">
        <v>2233.4</v>
      </c>
      <c r="F70" s="31" t="n">
        <v>2245.4</v>
      </c>
      <c r="G70" s="31" t="n">
        <v>2266.4</v>
      </c>
      <c r="H70" s="31" t="n">
        <v>2266.5</v>
      </c>
      <c r="I70" s="31" t="n">
        <v>2278.7</v>
      </c>
      <c r="J70" s="31" t="n">
        <v>2305.9</v>
      </c>
      <c r="K70" s="31" t="n">
        <v>938.1</v>
      </c>
      <c r="L70" s="31" t="n">
        <v>842.1</v>
      </c>
      <c r="M70" s="30" t="inlineStr">
        <is>
          <t>AMR3</t>
        </is>
      </c>
      <c r="N70" s="30" t="inlineStr">
        <is>
          <t>AMR3</t>
        </is>
      </c>
      <c r="O70" s="32" t="n">
        <v>1</v>
      </c>
      <c r="P70" s="32" t="n">
        <v>25</v>
      </c>
      <c r="Q70" s="32" t="n">
        <v>0</v>
      </c>
      <c r="R70" s="31" t="n">
        <v>53.8</v>
      </c>
      <c r="S70" s="31" t="n">
        <v>53.8</v>
      </c>
      <c r="T70" s="30" t="inlineStr">
        <is>
          <t>AMR3</t>
        </is>
      </c>
      <c r="U70" s="31" t="n">
        <v>39.1</v>
      </c>
      <c r="V70" s="31" t="n">
        <v>39.1</v>
      </c>
      <c r="W70" s="30" t="inlineStr">
        <is>
          <t>AMR3</t>
        </is>
      </c>
      <c r="X70" s="32" t="n">
        <v>0</v>
      </c>
      <c r="Y70" s="32" t="n">
        <v>0</v>
      </c>
      <c r="Z70" s="31" t="n">
        <v>0</v>
      </c>
      <c r="AA70" s="32" t="n">
        <v>0</v>
      </c>
      <c r="AB70" s="32" t="n">
        <v>0</v>
      </c>
      <c r="AC70" s="32" t="n">
        <v>0</v>
      </c>
      <c r="AD70" s="32" t="n">
        <v>0</v>
      </c>
      <c r="AE70" s="31" t="n">
        <v>0</v>
      </c>
      <c r="AF70" s="32" t="n">
        <v>0</v>
      </c>
      <c r="AG70" s="31" t="n">
        <v>0</v>
      </c>
      <c r="AH70" s="32" t="n">
        <v>54</v>
      </c>
      <c r="AI70" s="31" t="n">
        <v>55.9</v>
      </c>
      <c r="AJ70" s="31" t="n">
        <v>40</v>
      </c>
      <c r="AK70" s="31" t="n">
        <v>0</v>
      </c>
      <c r="AL70" s="30" t="inlineStr">
        <is>
          <t>T-0212</t>
        </is>
      </c>
      <c r="AM70" s="30" t="inlineStr">
        <is>
          <t>D-03-02</t>
        </is>
      </c>
      <c r="AN70" s="30" t="inlineStr">
        <is>
          <t>T-0052</t>
        </is>
      </c>
      <c r="AO70" s="30" t="inlineStr">
        <is>
          <t>D-02-02</t>
        </is>
      </c>
    </row>
    <row r="71">
      <c r="A71" s="30" t="inlineStr">
        <is>
          <t>O0070</t>
        </is>
      </c>
      <c r="B71" s="30" t="inlineStr">
        <is>
          <t>J</t>
        </is>
      </c>
      <c r="C71" s="31" t="n">
        <v>1384.1</v>
      </c>
      <c r="D71" s="31" t="n">
        <v>2863.5</v>
      </c>
      <c r="E71" s="31" t="n">
        <v>2887</v>
      </c>
      <c r="F71" s="31" t="n">
        <v>2899.7</v>
      </c>
      <c r="G71" s="31" t="n">
        <v>2929.5</v>
      </c>
      <c r="H71" s="31" t="n">
        <v>2929.6</v>
      </c>
      <c r="I71" s="31" t="n">
        <v>2943.4</v>
      </c>
      <c r="J71" s="31" t="n">
        <v>2972.8</v>
      </c>
      <c r="K71" s="31" t="n">
        <v>1588.7</v>
      </c>
      <c r="L71" s="31" t="n">
        <v>1479.4</v>
      </c>
      <c r="M71" s="30" t="inlineStr">
        <is>
          <t>AMR2</t>
        </is>
      </c>
      <c r="N71" s="30" t="inlineStr">
        <is>
          <t>AMR2</t>
        </is>
      </c>
      <c r="O71" s="32" t="n">
        <v>1</v>
      </c>
      <c r="P71" s="32" t="n">
        <v>25</v>
      </c>
      <c r="Q71" s="32" t="n">
        <v>1</v>
      </c>
      <c r="R71" s="31" t="n">
        <v>64.2</v>
      </c>
      <c r="S71" s="31" t="n">
        <v>64.2</v>
      </c>
      <c r="T71" s="30" t="inlineStr">
        <is>
          <t>AMR2</t>
        </is>
      </c>
      <c r="U71" s="31" t="n">
        <v>42.9</v>
      </c>
      <c r="V71" s="31" t="n">
        <v>42.9</v>
      </c>
      <c r="W71" s="30" t="inlineStr">
        <is>
          <t>AMR2</t>
        </is>
      </c>
      <c r="X71" s="32" t="n">
        <v>0</v>
      </c>
      <c r="Y71" s="32" t="n">
        <v>0</v>
      </c>
      <c r="Z71" s="31" t="n">
        <v>0</v>
      </c>
      <c r="AA71" s="32" t="n">
        <v>0</v>
      </c>
      <c r="AB71" s="32" t="n">
        <v>0</v>
      </c>
      <c r="AC71" s="32" t="n">
        <v>0</v>
      </c>
      <c r="AD71" s="32" t="n">
        <v>0</v>
      </c>
      <c r="AE71" s="31" t="n">
        <v>0</v>
      </c>
      <c r="AF71" s="32" t="n">
        <v>0</v>
      </c>
      <c r="AG71" s="31" t="n">
        <v>0</v>
      </c>
      <c r="AH71" s="32" t="n">
        <v>66</v>
      </c>
      <c r="AI71" s="31" t="n">
        <v>66.8</v>
      </c>
      <c r="AJ71" s="31" t="n">
        <v>42.4</v>
      </c>
      <c r="AK71" s="31" t="n">
        <v>0</v>
      </c>
      <c r="AL71" s="30" t="inlineStr">
        <is>
          <t>T-0230</t>
        </is>
      </c>
      <c r="AM71" s="30" t="inlineStr">
        <is>
          <t>J-01-02</t>
        </is>
      </c>
      <c r="AN71" s="30" t="inlineStr">
        <is>
          <t>T-0141</t>
        </is>
      </c>
      <c r="AO71" s="30" t="inlineStr">
        <is>
          <t>J-03-02</t>
        </is>
      </c>
    </row>
    <row r="72">
      <c r="A72" s="30" t="inlineStr">
        <is>
          <t>O0071</t>
        </is>
      </c>
      <c r="B72" s="30" t="inlineStr">
        <is>
          <t>H</t>
        </is>
      </c>
      <c r="C72" s="31" t="n">
        <v>1403.8</v>
      </c>
      <c r="D72" s="31" t="n">
        <v>2483.8</v>
      </c>
      <c r="E72" s="31" t="n">
        <v>2507.3</v>
      </c>
      <c r="F72" s="31" t="n">
        <v>2523.6</v>
      </c>
      <c r="G72" s="31" t="n">
        <v>2548.3</v>
      </c>
      <c r="H72" s="31" t="n">
        <v>2548.4</v>
      </c>
      <c r="I72" s="31" t="n">
        <v>2559</v>
      </c>
      <c r="J72" s="31" t="n">
        <v>2585</v>
      </c>
      <c r="K72" s="31" t="n">
        <v>1181.2</v>
      </c>
      <c r="L72" s="31" t="n">
        <v>1080</v>
      </c>
      <c r="M72" s="30" t="inlineStr">
        <is>
          <t>AMR3</t>
        </is>
      </c>
      <c r="N72" s="30" t="inlineStr">
        <is>
          <t>AMR3</t>
        </is>
      </c>
      <c r="O72" s="32" t="n">
        <v>1</v>
      </c>
      <c r="P72" s="32" t="n">
        <v>25</v>
      </c>
      <c r="Q72" s="32" t="n">
        <v>0</v>
      </c>
      <c r="R72" s="31" t="n">
        <v>61.9</v>
      </c>
      <c r="S72" s="31" t="n">
        <v>61.9</v>
      </c>
      <c r="T72" s="30" t="inlineStr">
        <is>
          <t>AMR3</t>
        </is>
      </c>
      <c r="U72" s="31" t="n">
        <v>35.8</v>
      </c>
      <c r="V72" s="31" t="n">
        <v>35.8</v>
      </c>
      <c r="W72" s="30" t="inlineStr">
        <is>
          <t>AMR3</t>
        </is>
      </c>
      <c r="X72" s="32" t="n">
        <v>0</v>
      </c>
      <c r="Y72" s="32" t="n">
        <v>0</v>
      </c>
      <c r="Z72" s="31" t="n">
        <v>0</v>
      </c>
      <c r="AA72" s="32" t="n">
        <v>0</v>
      </c>
      <c r="AB72" s="32" t="n">
        <v>0</v>
      </c>
      <c r="AC72" s="32" t="n">
        <v>0</v>
      </c>
      <c r="AD72" s="32" t="n">
        <v>0</v>
      </c>
      <c r="AE72" s="31" t="n">
        <v>0</v>
      </c>
      <c r="AF72" s="32" t="n">
        <v>0</v>
      </c>
      <c r="AG72" s="31" t="n">
        <v>0</v>
      </c>
      <c r="AH72" s="32" t="n">
        <v>54</v>
      </c>
      <c r="AI72" s="31" t="n">
        <v>56.3</v>
      </c>
      <c r="AJ72" s="31" t="n">
        <v>44.8</v>
      </c>
      <c r="AK72" s="31" t="n">
        <v>0</v>
      </c>
      <c r="AL72" s="30" t="inlineStr">
        <is>
          <t>T-0219</t>
        </is>
      </c>
      <c r="AM72" s="30" t="inlineStr">
        <is>
          <t>H-03-01</t>
        </is>
      </c>
      <c r="AN72" s="30" t="inlineStr">
        <is>
          <t>T-0111</t>
        </is>
      </c>
      <c r="AO72" s="30" t="inlineStr">
        <is>
          <t>H-03-02</t>
        </is>
      </c>
    </row>
    <row r="73">
      <c r="A73" s="30" t="inlineStr">
        <is>
          <t>O0072</t>
        </is>
      </c>
      <c r="B73" s="30" t="inlineStr">
        <is>
          <t>B</t>
        </is>
      </c>
      <c r="C73" s="31" t="n">
        <v>1420.7</v>
      </c>
      <c r="D73" s="31" t="n">
        <v>2344.7</v>
      </c>
      <c r="E73" s="31" t="n">
        <v>2368.2</v>
      </c>
      <c r="F73" s="31" t="n">
        <v>2382.1</v>
      </c>
      <c r="G73" s="31" t="n">
        <v>2407.4</v>
      </c>
      <c r="H73" s="31" t="n">
        <v>2453.9</v>
      </c>
      <c r="I73" s="31" t="n">
        <v>2466.8</v>
      </c>
      <c r="J73" s="31" t="n">
        <v>2504.2</v>
      </c>
      <c r="K73" s="31" t="n">
        <v>1083.5</v>
      </c>
      <c r="L73" s="31" t="n">
        <v>924</v>
      </c>
      <c r="M73" s="30" t="inlineStr">
        <is>
          <t>AMR2</t>
        </is>
      </c>
      <c r="N73" s="30" t="inlineStr">
        <is>
          <t>AMR1</t>
        </is>
      </c>
      <c r="O73" s="32" t="n">
        <v>1</v>
      </c>
      <c r="P73" s="32" t="n">
        <v>25</v>
      </c>
      <c r="Q73" s="32" t="n">
        <v>3</v>
      </c>
      <c r="R73" s="31" t="n">
        <v>60.8</v>
      </c>
      <c r="S73" s="31" t="n">
        <v>60.8</v>
      </c>
      <c r="T73" s="30" t="inlineStr">
        <is>
          <t>AMR2</t>
        </is>
      </c>
      <c r="U73" s="31" t="n">
        <v>42</v>
      </c>
      <c r="V73" s="31" t="n">
        <v>42</v>
      </c>
      <c r="W73" s="30" t="inlineStr">
        <is>
          <t>AMR1</t>
        </is>
      </c>
      <c r="X73" s="32" t="n">
        <v>0</v>
      </c>
      <c r="Y73" s="32" t="n">
        <v>0</v>
      </c>
      <c r="Z73" s="31" t="n">
        <v>0</v>
      </c>
      <c r="AA73" s="32" t="n">
        <v>0</v>
      </c>
      <c r="AB73" s="32" t="n">
        <v>0</v>
      </c>
      <c r="AC73" s="32" t="n">
        <v>0</v>
      </c>
      <c r="AD73" s="32" t="n">
        <v>1</v>
      </c>
      <c r="AE73" s="31" t="n">
        <v>7</v>
      </c>
      <c r="AF73" s="32" t="n">
        <v>1</v>
      </c>
      <c r="AG73" s="31" t="n">
        <v>2</v>
      </c>
      <c r="AH73" s="32" t="n">
        <v>60</v>
      </c>
      <c r="AI73" s="31" t="n">
        <v>62.4</v>
      </c>
      <c r="AJ73" s="31" t="n">
        <v>43.6</v>
      </c>
      <c r="AK73" s="31" t="n">
        <v>7</v>
      </c>
      <c r="AL73" s="30" t="inlineStr">
        <is>
          <t>T-0215</t>
        </is>
      </c>
      <c r="AM73" s="30" t="inlineStr">
        <is>
          <t>B-05-02</t>
        </is>
      </c>
      <c r="AN73" s="30" t="inlineStr">
        <is>
          <t>T-0027</t>
        </is>
      </c>
      <c r="AO73" s="30" t="inlineStr">
        <is>
          <t>B-03-01</t>
        </is>
      </c>
    </row>
    <row r="74">
      <c r="A74" s="30" t="inlineStr">
        <is>
          <t>O0073</t>
        </is>
      </c>
      <c r="B74" s="30" t="inlineStr">
        <is>
          <t>G</t>
        </is>
      </c>
      <c r="C74" s="31" t="n">
        <v>1440</v>
      </c>
      <c r="D74" s="31" t="n">
        <v>2504.3</v>
      </c>
      <c r="E74" s="31" t="n">
        <v>2531.8</v>
      </c>
      <c r="F74" s="31" t="n">
        <v>2544.6</v>
      </c>
      <c r="G74" s="31" t="n">
        <v>2571.7</v>
      </c>
      <c r="H74" s="31" t="n">
        <v>2571.8</v>
      </c>
      <c r="I74" s="31" t="n">
        <v>2584.8</v>
      </c>
      <c r="J74" s="31" t="n">
        <v>2615.2</v>
      </c>
      <c r="K74" s="31" t="n">
        <v>1175.2</v>
      </c>
      <c r="L74" s="31" t="n">
        <v>1064.3</v>
      </c>
      <c r="M74" s="30" t="inlineStr">
        <is>
          <t>AMR1</t>
        </is>
      </c>
      <c r="N74" s="30" t="inlineStr">
        <is>
          <t>AMR1</t>
        </is>
      </c>
      <c r="O74" s="32" t="n">
        <v>1</v>
      </c>
      <c r="P74" s="32" t="n">
        <v>25</v>
      </c>
      <c r="Q74" s="32" t="n">
        <v>1</v>
      </c>
      <c r="R74" s="31" t="n">
        <v>61.6</v>
      </c>
      <c r="S74" s="31" t="n">
        <v>60.9</v>
      </c>
      <c r="T74" s="30" t="inlineStr">
        <is>
          <t>AMR2</t>
        </is>
      </c>
      <c r="U74" s="31" t="n">
        <v>40.6</v>
      </c>
      <c r="V74" s="31" t="n">
        <v>40.6</v>
      </c>
      <c r="W74" s="30" t="inlineStr">
        <is>
          <t>AMR1</t>
        </is>
      </c>
      <c r="X74" s="32" t="n">
        <v>1</v>
      </c>
      <c r="Y74" s="32" t="n">
        <v>13</v>
      </c>
      <c r="Z74" s="31" t="n">
        <v>0.7</v>
      </c>
      <c r="AA74" s="32" t="n">
        <v>0</v>
      </c>
      <c r="AB74" s="32" t="n">
        <v>0</v>
      </c>
      <c r="AC74" s="32" t="n">
        <v>0</v>
      </c>
      <c r="AD74" s="32" t="n">
        <v>0</v>
      </c>
      <c r="AE74" s="31" t="n">
        <v>0</v>
      </c>
      <c r="AF74" s="32" t="n">
        <v>0</v>
      </c>
      <c r="AG74" s="31" t="n">
        <v>0</v>
      </c>
      <c r="AH74" s="32" t="n">
        <v>60</v>
      </c>
      <c r="AI74" s="31" t="n">
        <v>61.9</v>
      </c>
      <c r="AJ74" s="31" t="n">
        <v>44.9</v>
      </c>
      <c r="AK74" s="31" t="n">
        <v>4</v>
      </c>
      <c r="AL74" s="30" t="inlineStr">
        <is>
          <t>T-0220</t>
        </is>
      </c>
      <c r="AM74" s="30" t="inlineStr">
        <is>
          <t>G-04-02</t>
        </is>
      </c>
      <c r="AN74" s="30" t="inlineStr">
        <is>
          <t>T-0094</t>
        </is>
      </c>
      <c r="AO74" s="30" t="inlineStr">
        <is>
          <t>G-02-02</t>
        </is>
      </c>
    </row>
    <row r="75">
      <c r="A75" s="30" t="inlineStr">
        <is>
          <t>O0074</t>
        </is>
      </c>
      <c r="B75" s="30" t="inlineStr">
        <is>
          <t>A</t>
        </is>
      </c>
      <c r="C75" s="31" t="n">
        <v>1459.7</v>
      </c>
      <c r="D75" s="31" t="n">
        <v>3007.2</v>
      </c>
      <c r="E75" s="31" t="n">
        <v>3032.7</v>
      </c>
      <c r="F75" s="31" t="n">
        <v>3047.9</v>
      </c>
      <c r="G75" s="31" t="n">
        <v>3080.8</v>
      </c>
      <c r="H75" s="31" t="n">
        <v>3080.9</v>
      </c>
      <c r="I75" s="31" t="n">
        <v>3097</v>
      </c>
      <c r="J75" s="31" t="n">
        <v>3129.7</v>
      </c>
      <c r="K75" s="31" t="n">
        <v>1670</v>
      </c>
      <c r="L75" s="31" t="n">
        <v>1547.5</v>
      </c>
      <c r="M75" s="30" t="inlineStr">
        <is>
          <t>AMR1</t>
        </is>
      </c>
      <c r="N75" s="30" t="inlineStr">
        <is>
          <t>AMR1</t>
        </is>
      </c>
      <c r="O75" s="32" t="n">
        <v>1</v>
      </c>
      <c r="P75" s="32" t="n">
        <v>25</v>
      </c>
      <c r="Q75" s="32" t="n">
        <v>1</v>
      </c>
      <c r="R75" s="31" t="n">
        <v>68.09999999999999</v>
      </c>
      <c r="S75" s="31" t="n">
        <v>68.09999999999999</v>
      </c>
      <c r="T75" s="30" t="inlineStr">
        <is>
          <t>AMR1</t>
        </is>
      </c>
      <c r="U75" s="31" t="n">
        <v>49.5</v>
      </c>
      <c r="V75" s="31" t="n">
        <v>49.5</v>
      </c>
      <c r="W75" s="30" t="inlineStr">
        <is>
          <t>AMR1</t>
        </is>
      </c>
      <c r="X75" s="32" t="n">
        <v>0</v>
      </c>
      <c r="Y75" s="32" t="n">
        <v>0</v>
      </c>
      <c r="Z75" s="31" t="n">
        <v>0</v>
      </c>
      <c r="AA75" s="32" t="n">
        <v>0</v>
      </c>
      <c r="AB75" s="32" t="n">
        <v>0</v>
      </c>
      <c r="AC75" s="32" t="n">
        <v>0</v>
      </c>
      <c r="AD75" s="32" t="n">
        <v>0</v>
      </c>
      <c r="AE75" s="31" t="n">
        <v>0</v>
      </c>
      <c r="AF75" s="32" t="n">
        <v>0</v>
      </c>
      <c r="AG75" s="31" t="n">
        <v>0</v>
      </c>
      <c r="AH75" s="32" t="n">
        <v>72</v>
      </c>
      <c r="AI75" s="31" t="n">
        <v>70.2</v>
      </c>
      <c r="AJ75" s="31" t="n">
        <v>50.2</v>
      </c>
      <c r="AK75" s="31" t="n">
        <v>2</v>
      </c>
      <c r="AL75" s="30" t="inlineStr">
        <is>
          <t>T-0235</t>
        </is>
      </c>
      <c r="AM75" s="30" t="inlineStr">
        <is>
          <t>A-02-02</t>
        </is>
      </c>
      <c r="AN75" s="30" t="inlineStr">
        <is>
          <t>T-0009</t>
        </is>
      </c>
      <c r="AO75" s="30" t="inlineStr">
        <is>
          <t>A-04-02</t>
        </is>
      </c>
    </row>
    <row r="76">
      <c r="A76" s="30" t="inlineStr">
        <is>
          <t>O0075</t>
        </is>
      </c>
      <c r="B76" s="30" t="inlineStr">
        <is>
          <t>F</t>
        </is>
      </c>
      <c r="C76" s="31" t="n">
        <v>1475.3</v>
      </c>
      <c r="D76" s="31" t="n">
        <v>2803.8</v>
      </c>
      <c r="E76" s="31" t="n">
        <v>2838.3</v>
      </c>
      <c r="F76" s="31" t="n">
        <v>2848.8</v>
      </c>
      <c r="G76" s="31" t="n">
        <v>2881.8</v>
      </c>
      <c r="H76" s="31" t="n">
        <v>3279</v>
      </c>
      <c r="I76" s="31" t="n">
        <v>3297.8</v>
      </c>
      <c r="J76" s="31" t="n">
        <v>3331.3</v>
      </c>
      <c r="K76" s="31" t="n">
        <v>1856</v>
      </c>
      <c r="L76" s="31" t="n">
        <v>1328.5</v>
      </c>
      <c r="M76" s="30" t="inlineStr">
        <is>
          <t>AMR3</t>
        </is>
      </c>
      <c r="N76" s="30" t="inlineStr">
        <is>
          <t>AMR2</t>
        </is>
      </c>
      <c r="O76" s="32" t="n">
        <v>1</v>
      </c>
      <c r="P76" s="32" t="n">
        <v>25</v>
      </c>
      <c r="Q76" s="32" t="n">
        <v>3</v>
      </c>
      <c r="R76" s="31" t="n">
        <v>65.2</v>
      </c>
      <c r="S76" s="31" t="n">
        <v>65.2</v>
      </c>
      <c r="T76" s="30" t="inlineStr">
        <is>
          <t>AMR3</t>
        </is>
      </c>
      <c r="U76" s="31" t="n">
        <v>52.7</v>
      </c>
      <c r="V76" s="31" t="n">
        <v>52.7</v>
      </c>
      <c r="W76" s="30" t="inlineStr">
        <is>
          <t>AMR2</t>
        </is>
      </c>
      <c r="X76" s="32" t="n">
        <v>0</v>
      </c>
      <c r="Y76" s="32" t="n">
        <v>0</v>
      </c>
      <c r="Z76" s="31" t="n">
        <v>0</v>
      </c>
      <c r="AA76" s="32" t="n">
        <v>0</v>
      </c>
      <c r="AB76" s="32" t="n">
        <v>0</v>
      </c>
      <c r="AC76" s="32" t="n">
        <v>0</v>
      </c>
      <c r="AD76" s="32" t="n">
        <v>0</v>
      </c>
      <c r="AE76" s="31" t="n">
        <v>0</v>
      </c>
      <c r="AF76" s="32" t="n">
        <v>1</v>
      </c>
      <c r="AG76" s="31" t="n">
        <v>6</v>
      </c>
      <c r="AH76" s="32" t="n">
        <v>72</v>
      </c>
      <c r="AI76" s="31" t="n">
        <v>71.7</v>
      </c>
      <c r="AJ76" s="31" t="n">
        <v>47.6</v>
      </c>
      <c r="AK76" s="31" t="n">
        <v>11</v>
      </c>
      <c r="AL76" s="30" t="inlineStr">
        <is>
          <t>T-0229</t>
        </is>
      </c>
      <c r="AM76" s="30" t="inlineStr">
        <is>
          <t>F-05-02</t>
        </is>
      </c>
      <c r="AN76" s="30" t="inlineStr">
        <is>
          <t>T-0083</t>
        </is>
      </c>
      <c r="AO76" s="30" t="inlineStr">
        <is>
          <t>F-06-04</t>
        </is>
      </c>
    </row>
    <row r="77">
      <c r="A77" s="30" t="inlineStr">
        <is>
          <t>O0076</t>
        </is>
      </c>
      <c r="B77" s="30" t="inlineStr">
        <is>
          <t>D</t>
        </is>
      </c>
      <c r="C77" s="31" t="n">
        <v>1492.8</v>
      </c>
      <c r="D77" s="31" t="n">
        <v>2615.3</v>
      </c>
      <c r="E77" s="31" t="n">
        <v>2638.8</v>
      </c>
      <c r="F77" s="31" t="n">
        <v>2654.2</v>
      </c>
      <c r="G77" s="31" t="n">
        <v>2676.1</v>
      </c>
      <c r="H77" s="31" t="n">
        <v>2850.6</v>
      </c>
      <c r="I77" s="31" t="n">
        <v>2862.3</v>
      </c>
      <c r="J77" s="31" t="n">
        <v>2889.2</v>
      </c>
      <c r="K77" s="31" t="n">
        <v>1396.4</v>
      </c>
      <c r="L77" s="31" t="n">
        <v>1122.5</v>
      </c>
      <c r="M77" s="30" t="inlineStr">
        <is>
          <t>AMR1</t>
        </is>
      </c>
      <c r="N77" s="30" t="inlineStr">
        <is>
          <t>AMR1</t>
        </is>
      </c>
      <c r="O77" s="32" t="n">
        <v>1</v>
      </c>
      <c r="P77" s="32" t="n">
        <v>25</v>
      </c>
      <c r="Q77" s="32" t="n">
        <v>1</v>
      </c>
      <c r="R77" s="31" t="n">
        <v>58.9</v>
      </c>
      <c r="S77" s="31" t="n">
        <v>55.5</v>
      </c>
      <c r="T77" s="30" t="inlineStr">
        <is>
          <t>AMR2</t>
        </is>
      </c>
      <c r="U77" s="31" t="n">
        <v>40.3</v>
      </c>
      <c r="V77" s="31" t="n">
        <v>40.3</v>
      </c>
      <c r="W77" s="30" t="inlineStr">
        <is>
          <t>AMR1</t>
        </is>
      </c>
      <c r="X77" s="32" t="n">
        <v>1</v>
      </c>
      <c r="Y77" s="32" t="n">
        <v>6</v>
      </c>
      <c r="Z77" s="31" t="n">
        <v>3.4</v>
      </c>
      <c r="AA77" s="32" t="n">
        <v>0</v>
      </c>
      <c r="AB77" s="32" t="n">
        <v>0</v>
      </c>
      <c r="AC77" s="32" t="n">
        <v>0</v>
      </c>
      <c r="AD77" s="32" t="n">
        <v>0</v>
      </c>
      <c r="AE77" s="31" t="n">
        <v>0</v>
      </c>
      <c r="AF77" s="32" t="n">
        <v>0</v>
      </c>
      <c r="AG77" s="31" t="n">
        <v>0</v>
      </c>
      <c r="AH77" s="32" t="n">
        <v>52</v>
      </c>
      <c r="AI77" s="31" t="n">
        <v>53.8</v>
      </c>
      <c r="AJ77" s="31" t="n">
        <v>45.6</v>
      </c>
      <c r="AK77" s="31" t="n">
        <v>0</v>
      </c>
      <c r="AL77" s="30" t="inlineStr">
        <is>
          <t>T-0223</t>
        </is>
      </c>
      <c r="AM77" s="30" t="inlineStr">
        <is>
          <t>D-02-01</t>
        </is>
      </c>
      <c r="AN77" s="30" t="inlineStr">
        <is>
          <t>T-0055</t>
        </is>
      </c>
      <c r="AO77" s="30" t="inlineStr">
        <is>
          <t>D-02-03</t>
        </is>
      </c>
    </row>
    <row r="78">
      <c r="A78" s="30" t="inlineStr">
        <is>
          <t>O0077</t>
        </is>
      </c>
      <c r="B78" s="30" t="inlineStr">
        <is>
          <t>G</t>
        </is>
      </c>
      <c r="C78" s="31" t="n">
        <v>1512.3</v>
      </c>
      <c r="D78" s="31" t="n">
        <v>2382.5</v>
      </c>
      <c r="E78" s="31" t="n">
        <v>2416</v>
      </c>
      <c r="F78" s="31" t="n">
        <v>2427.9</v>
      </c>
      <c r="G78" s="31" t="n">
        <v>2453.8</v>
      </c>
      <c r="H78" s="31" t="n">
        <v>2881.9</v>
      </c>
      <c r="I78" s="31" t="n">
        <v>2898.3</v>
      </c>
      <c r="J78" s="31" t="n">
        <v>2925.9</v>
      </c>
      <c r="K78" s="31" t="n">
        <v>1413.6</v>
      </c>
      <c r="L78" s="31" t="n">
        <v>870.2</v>
      </c>
      <c r="M78" s="30" t="inlineStr">
        <is>
          <t>AMR1</t>
        </is>
      </c>
      <c r="N78" s="30" t="inlineStr">
        <is>
          <t>AMR3</t>
        </is>
      </c>
      <c r="O78" s="32" t="n">
        <v>1</v>
      </c>
      <c r="P78" s="32" t="n">
        <v>25</v>
      </c>
      <c r="Q78" s="32" t="n">
        <v>5</v>
      </c>
      <c r="R78" s="31" t="n">
        <v>59.5</v>
      </c>
      <c r="S78" s="31" t="n">
        <v>59.5</v>
      </c>
      <c r="T78" s="30" t="inlineStr">
        <is>
          <t>AMR1</t>
        </is>
      </c>
      <c r="U78" s="31" t="n">
        <v>43.5</v>
      </c>
      <c r="V78" s="31" t="n">
        <v>43.5</v>
      </c>
      <c r="W78" s="30" t="inlineStr">
        <is>
          <t>AMR3</t>
        </is>
      </c>
      <c r="X78" s="32" t="n">
        <v>0</v>
      </c>
      <c r="Y78" s="32" t="n">
        <v>0</v>
      </c>
      <c r="Z78" s="31" t="n">
        <v>0</v>
      </c>
      <c r="AA78" s="32" t="n">
        <v>0</v>
      </c>
      <c r="AB78" s="32" t="n">
        <v>0</v>
      </c>
      <c r="AC78" s="32" t="n">
        <v>0</v>
      </c>
      <c r="AD78" s="32" t="n">
        <v>0</v>
      </c>
      <c r="AE78" s="31" t="n">
        <v>0</v>
      </c>
      <c r="AF78" s="32" t="n">
        <v>1</v>
      </c>
      <c r="AG78" s="31" t="n">
        <v>5</v>
      </c>
      <c r="AH78" s="32" t="n">
        <v>62</v>
      </c>
      <c r="AI78" s="31" t="n">
        <v>63.6</v>
      </c>
      <c r="AJ78" s="31" t="n">
        <v>41.7</v>
      </c>
      <c r="AK78" s="31" t="n">
        <v>10</v>
      </c>
      <c r="AL78" s="30" t="inlineStr">
        <is>
          <t>T-0217</t>
        </is>
      </c>
      <c r="AM78" s="30" t="inlineStr">
        <is>
          <t>G-04-01</t>
        </is>
      </c>
      <c r="AN78" s="30" t="inlineStr">
        <is>
          <t>T-0095</t>
        </is>
      </c>
      <c r="AO78" s="30" t="inlineStr">
        <is>
          <t>G-02-04</t>
        </is>
      </c>
    </row>
    <row r="79">
      <c r="A79" s="30" t="inlineStr">
        <is>
          <t>O0078</t>
        </is>
      </c>
      <c r="B79" s="30" t="inlineStr">
        <is>
          <t>D</t>
        </is>
      </c>
      <c r="C79" s="31" t="n">
        <v>1530.1</v>
      </c>
      <c r="D79" s="31" t="n">
        <v>2676.2</v>
      </c>
      <c r="E79" s="31" t="n">
        <v>2701.8</v>
      </c>
      <c r="F79" s="31" t="n">
        <v>2714.1</v>
      </c>
      <c r="G79" s="31" t="n">
        <v>2737.8</v>
      </c>
      <c r="H79" s="31" t="n">
        <v>2737.9</v>
      </c>
      <c r="I79" s="31" t="n">
        <v>2746.3</v>
      </c>
      <c r="J79" s="31" t="n">
        <v>2782.9</v>
      </c>
      <c r="K79" s="31" t="n">
        <v>1252.8</v>
      </c>
      <c r="L79" s="31" t="n">
        <v>1146.1</v>
      </c>
      <c r="M79" s="30" t="inlineStr">
        <is>
          <t>AMR1</t>
        </is>
      </c>
      <c r="N79" s="30" t="inlineStr">
        <is>
          <t>AMR1</t>
        </is>
      </c>
      <c r="O79" s="32" t="n">
        <v>1</v>
      </c>
      <c r="P79" s="32" t="n">
        <v>12</v>
      </c>
      <c r="Q79" s="32" t="n">
        <v>1</v>
      </c>
      <c r="R79" s="31" t="n">
        <v>45.7</v>
      </c>
      <c r="S79" s="31" t="n">
        <v>45.7</v>
      </c>
      <c r="T79" s="30" t="inlineStr">
        <is>
          <t>AMR1</t>
        </is>
      </c>
      <c r="U79" s="31" t="n">
        <v>36.6</v>
      </c>
      <c r="V79" s="31" t="n">
        <v>36.6</v>
      </c>
      <c r="W79" s="30" t="inlineStr">
        <is>
          <t>AMR1</t>
        </is>
      </c>
      <c r="X79" s="32" t="n">
        <v>0</v>
      </c>
      <c r="Y79" s="32" t="n">
        <v>0</v>
      </c>
      <c r="Z79" s="31" t="n">
        <v>0</v>
      </c>
      <c r="AA79" s="32" t="n">
        <v>0</v>
      </c>
      <c r="AB79" s="32" t="n">
        <v>0</v>
      </c>
      <c r="AC79" s="32" t="n">
        <v>0</v>
      </c>
      <c r="AD79" s="32" t="n">
        <v>1</v>
      </c>
      <c r="AE79" s="31" t="n">
        <v>8</v>
      </c>
      <c r="AF79" s="32" t="n">
        <v>2</v>
      </c>
      <c r="AG79" s="31" t="n">
        <v>10</v>
      </c>
      <c r="AH79" s="32" t="n">
        <v>43</v>
      </c>
      <c r="AI79" s="31" t="n">
        <v>46</v>
      </c>
      <c r="AJ79" s="31" t="n">
        <v>39</v>
      </c>
      <c r="AK79" s="31" t="n">
        <v>21.6</v>
      </c>
      <c r="AL79" s="30" t="inlineStr">
        <is>
          <t>T-0225</t>
        </is>
      </c>
      <c r="AM79" s="30" t="inlineStr">
        <is>
          <t>D-04-02</t>
        </is>
      </c>
      <c r="AN79" s="30" t="inlineStr">
        <is>
          <t>T-0054</t>
        </is>
      </c>
      <c r="AO79" s="30" t="inlineStr">
        <is>
          <t>D-05-04</t>
        </is>
      </c>
    </row>
    <row r="80">
      <c r="A80" s="30" t="inlineStr">
        <is>
          <t>O0079</t>
        </is>
      </c>
      <c r="B80" s="30" t="inlineStr">
        <is>
          <t>I</t>
        </is>
      </c>
      <c r="C80" s="31" t="n">
        <v>1549.5</v>
      </c>
      <c r="D80" s="31" t="n">
        <v>2766.9</v>
      </c>
      <c r="E80" s="31" t="n">
        <v>2790.4</v>
      </c>
      <c r="F80" s="31" t="n">
        <v>2802.8</v>
      </c>
      <c r="G80" s="31" t="n">
        <v>2826.8</v>
      </c>
      <c r="H80" s="31" t="n">
        <v>2826.9</v>
      </c>
      <c r="I80" s="31" t="n">
        <v>2835</v>
      </c>
      <c r="J80" s="31" t="n">
        <v>2863.4</v>
      </c>
      <c r="K80" s="31" t="n">
        <v>1313.9</v>
      </c>
      <c r="L80" s="31" t="n">
        <v>1217.4</v>
      </c>
      <c r="M80" s="30" t="inlineStr">
        <is>
          <t>AMR2</t>
        </is>
      </c>
      <c r="N80" s="30" t="inlineStr">
        <is>
          <t>AMR2</t>
        </is>
      </c>
      <c r="O80" s="32" t="n">
        <v>1</v>
      </c>
      <c r="P80" s="32" t="n">
        <v>25</v>
      </c>
      <c r="Q80" s="32" t="n">
        <v>1</v>
      </c>
      <c r="R80" s="31" t="n">
        <v>58.1</v>
      </c>
      <c r="S80" s="31" t="n">
        <v>58.1</v>
      </c>
      <c r="T80" s="30" t="inlineStr">
        <is>
          <t>AMR2</t>
        </is>
      </c>
      <c r="U80" s="31" t="n">
        <v>38.2</v>
      </c>
      <c r="V80" s="31" t="n">
        <v>38.2</v>
      </c>
      <c r="W80" s="30" t="inlineStr">
        <is>
          <t>AMR2</t>
        </is>
      </c>
      <c r="X80" s="32" t="n">
        <v>0</v>
      </c>
      <c r="Y80" s="32" t="n">
        <v>0</v>
      </c>
      <c r="Z80" s="31" t="n">
        <v>0</v>
      </c>
      <c r="AA80" s="32" t="n">
        <v>0</v>
      </c>
      <c r="AB80" s="32" t="n">
        <v>0</v>
      </c>
      <c r="AC80" s="32" t="n">
        <v>0</v>
      </c>
      <c r="AD80" s="32" t="n">
        <v>0</v>
      </c>
      <c r="AE80" s="31" t="n">
        <v>0</v>
      </c>
      <c r="AF80" s="32" t="n">
        <v>0</v>
      </c>
      <c r="AG80" s="31" t="n">
        <v>0</v>
      </c>
      <c r="AH80" s="32" t="n">
        <v>52</v>
      </c>
      <c r="AI80" s="31" t="n">
        <v>54.2</v>
      </c>
      <c r="AJ80" s="31" t="n">
        <v>42.2</v>
      </c>
      <c r="AK80" s="31" t="n">
        <v>0</v>
      </c>
      <c r="AL80" s="30" t="inlineStr">
        <is>
          <t>T-0227</t>
        </is>
      </c>
      <c r="AM80" s="30" t="inlineStr">
        <is>
          <t>I-02-03</t>
        </is>
      </c>
      <c r="AN80" s="30" t="inlineStr">
        <is>
          <t>T-0133</t>
        </is>
      </c>
      <c r="AO80" s="30" t="inlineStr">
        <is>
          <t>I-02-05</t>
        </is>
      </c>
    </row>
    <row r="81">
      <c r="A81" s="30" t="inlineStr">
        <is>
          <t>O0080</t>
        </is>
      </c>
      <c r="B81" s="30" t="inlineStr">
        <is>
          <t>I</t>
        </is>
      </c>
      <c r="C81" s="31" t="n">
        <v>1565</v>
      </c>
      <c r="D81" s="31" t="n">
        <v>2664.4</v>
      </c>
      <c r="E81" s="31" t="n">
        <v>2687.9</v>
      </c>
      <c r="F81" s="31" t="n">
        <v>2701.8</v>
      </c>
      <c r="G81" s="31" t="n">
        <v>2725.3</v>
      </c>
      <c r="H81" s="31" t="n">
        <v>2725.4</v>
      </c>
      <c r="I81" s="31" t="n">
        <v>2736.7</v>
      </c>
      <c r="J81" s="31" t="n">
        <v>2766.8</v>
      </c>
      <c r="K81" s="31" t="n">
        <v>1201.8</v>
      </c>
      <c r="L81" s="31" t="n">
        <v>1099.4</v>
      </c>
      <c r="M81" s="30" t="inlineStr">
        <is>
          <t>AMR2</t>
        </is>
      </c>
      <c r="N81" s="30" t="inlineStr">
        <is>
          <t>AMR2</t>
        </is>
      </c>
      <c r="O81" s="32" t="n">
        <v>1</v>
      </c>
      <c r="P81" s="32" t="n">
        <v>25</v>
      </c>
      <c r="Q81" s="32" t="n">
        <v>1</v>
      </c>
      <c r="R81" s="31" t="n">
        <v>57.5</v>
      </c>
      <c r="S81" s="31" t="n">
        <v>57.5</v>
      </c>
      <c r="T81" s="30" t="inlineStr">
        <is>
          <t>AMR2</t>
        </is>
      </c>
      <c r="U81" s="31" t="n">
        <v>41</v>
      </c>
      <c r="V81" s="31" t="n">
        <v>41</v>
      </c>
      <c r="W81" s="30" t="inlineStr">
        <is>
          <t>AMR2</t>
        </is>
      </c>
      <c r="X81" s="32" t="n">
        <v>0</v>
      </c>
      <c r="Y81" s="32" t="n">
        <v>0</v>
      </c>
      <c r="Z81" s="31" t="n">
        <v>0</v>
      </c>
      <c r="AA81" s="32" t="n">
        <v>0</v>
      </c>
      <c r="AB81" s="32" t="n">
        <v>0</v>
      </c>
      <c r="AC81" s="32" t="n">
        <v>0</v>
      </c>
      <c r="AD81" s="32" t="n">
        <v>0</v>
      </c>
      <c r="AE81" s="31" t="n">
        <v>0</v>
      </c>
      <c r="AF81" s="32" t="n">
        <v>0</v>
      </c>
      <c r="AG81" s="31" t="n">
        <v>0</v>
      </c>
      <c r="AH81" s="32" t="n">
        <v>56</v>
      </c>
      <c r="AI81" s="31" t="n">
        <v>57.9</v>
      </c>
      <c r="AJ81" s="31" t="n">
        <v>44.4</v>
      </c>
      <c r="AK81" s="31" t="n">
        <v>0</v>
      </c>
      <c r="AL81" s="30" t="inlineStr">
        <is>
          <t>T-0224</t>
        </is>
      </c>
      <c r="AM81" s="30" t="inlineStr">
        <is>
          <t>I-04-02</t>
        </is>
      </c>
      <c r="AN81" s="30" t="inlineStr">
        <is>
          <t>T-0132</t>
        </is>
      </c>
      <c r="AO81" s="30" t="inlineStr">
        <is>
          <t>I-04-04</t>
        </is>
      </c>
    </row>
    <row r="82">
      <c r="A82" s="30" t="inlineStr">
        <is>
          <t>O0081</t>
        </is>
      </c>
      <c r="B82" s="30" t="inlineStr">
        <is>
          <t>D</t>
        </is>
      </c>
      <c r="C82" s="31" t="n">
        <v>1589.7</v>
      </c>
      <c r="D82" s="31" t="n">
        <v>2783</v>
      </c>
      <c r="E82" s="31" t="n">
        <v>2814.5</v>
      </c>
      <c r="F82" s="31" t="n">
        <v>2829.9</v>
      </c>
      <c r="G82" s="31" t="n">
        <v>2850.5</v>
      </c>
      <c r="H82" s="31" t="n">
        <v>3034.9</v>
      </c>
      <c r="I82" s="31" t="n">
        <v>3047.7</v>
      </c>
      <c r="J82" s="31" t="n">
        <v>3074.7</v>
      </c>
      <c r="K82" s="31" t="n">
        <v>1485</v>
      </c>
      <c r="L82" s="31" t="n">
        <v>1193.3</v>
      </c>
      <c r="M82" s="30" t="inlineStr">
        <is>
          <t>AMR1</t>
        </is>
      </c>
      <c r="N82" s="30" t="inlineStr">
        <is>
          <t>AMR2</t>
        </is>
      </c>
      <c r="O82" s="32" t="n">
        <v>1</v>
      </c>
      <c r="P82" s="32" t="n">
        <v>25</v>
      </c>
      <c r="Q82" s="32" t="n">
        <v>2</v>
      </c>
      <c r="R82" s="31" t="n">
        <v>57.6</v>
      </c>
      <c r="S82" s="31" t="n">
        <v>57.6</v>
      </c>
      <c r="T82" s="30" t="inlineStr">
        <is>
          <t>AMR1</t>
        </is>
      </c>
      <c r="U82" s="31" t="n">
        <v>36</v>
      </c>
      <c r="V82" s="31" t="n">
        <v>36</v>
      </c>
      <c r="W82" s="30" t="inlineStr">
        <is>
          <t>AMR2</t>
        </is>
      </c>
      <c r="X82" s="32" t="n">
        <v>0</v>
      </c>
      <c r="Y82" s="32" t="n">
        <v>0</v>
      </c>
      <c r="Z82" s="31" t="n">
        <v>0</v>
      </c>
      <c r="AA82" s="32" t="n">
        <v>0</v>
      </c>
      <c r="AB82" s="32" t="n">
        <v>0</v>
      </c>
      <c r="AC82" s="32" t="n">
        <v>0</v>
      </c>
      <c r="AD82" s="32" t="n">
        <v>0</v>
      </c>
      <c r="AE82" s="31" t="n">
        <v>0</v>
      </c>
      <c r="AF82" s="32" t="n">
        <v>1</v>
      </c>
      <c r="AG82" s="31" t="n">
        <v>3</v>
      </c>
      <c r="AH82" s="32" t="n">
        <v>57</v>
      </c>
      <c r="AI82" s="31" t="n">
        <v>60</v>
      </c>
      <c r="AJ82" s="31" t="n">
        <v>39.3</v>
      </c>
      <c r="AK82" s="31" t="n">
        <v>8</v>
      </c>
      <c r="AL82" s="30" t="inlineStr">
        <is>
          <t>T-0228</t>
        </is>
      </c>
      <c r="AM82" s="30" t="inlineStr">
        <is>
          <t>D-01-03</t>
        </is>
      </c>
      <c r="AN82" s="30" t="inlineStr">
        <is>
          <t>T-0056</t>
        </is>
      </c>
      <c r="AO82" s="30" t="inlineStr">
        <is>
          <t>D-04-04</t>
        </is>
      </c>
    </row>
    <row r="83">
      <c r="A83" s="30" t="inlineStr">
        <is>
          <t>O0082</t>
        </is>
      </c>
      <c r="B83" s="30" t="inlineStr">
        <is>
          <t>H</t>
        </is>
      </c>
      <c r="C83" s="31" t="n">
        <v>1608.8</v>
      </c>
      <c r="D83" s="31" t="n">
        <v>2699.8</v>
      </c>
      <c r="E83" s="31" t="n">
        <v>2725.3</v>
      </c>
      <c r="F83" s="31" t="n">
        <v>2738.3</v>
      </c>
      <c r="G83" s="31" t="n">
        <v>2762.9</v>
      </c>
      <c r="H83" s="31" t="n">
        <v>2763</v>
      </c>
      <c r="I83" s="31" t="n">
        <v>2778.5</v>
      </c>
      <c r="J83" s="31" t="n">
        <v>2803.7</v>
      </c>
      <c r="K83" s="31" t="n">
        <v>1194.9</v>
      </c>
      <c r="L83" s="31" t="n">
        <v>1091</v>
      </c>
      <c r="M83" s="30" t="inlineStr">
        <is>
          <t>AMR3</t>
        </is>
      </c>
      <c r="N83" s="30" t="inlineStr">
        <is>
          <t>AMR3</t>
        </is>
      </c>
      <c r="O83" s="32" t="n">
        <v>1</v>
      </c>
      <c r="P83" s="32" t="n">
        <v>25</v>
      </c>
      <c r="Q83" s="32" t="n">
        <v>0</v>
      </c>
      <c r="R83" s="31" t="n">
        <v>58.5</v>
      </c>
      <c r="S83" s="31" t="n">
        <v>58.5</v>
      </c>
      <c r="T83" s="30" t="inlineStr">
        <is>
          <t>AMR3</t>
        </is>
      </c>
      <c r="U83" s="31" t="n">
        <v>38.3</v>
      </c>
      <c r="V83" s="31" t="n">
        <v>38.3</v>
      </c>
      <c r="W83" s="30" t="inlineStr">
        <is>
          <t>AMR3</t>
        </is>
      </c>
      <c r="X83" s="32" t="n">
        <v>0</v>
      </c>
      <c r="Y83" s="32" t="n">
        <v>0</v>
      </c>
      <c r="Z83" s="31" t="n">
        <v>0</v>
      </c>
      <c r="AA83" s="32" t="n">
        <v>0</v>
      </c>
      <c r="AB83" s="32" t="n">
        <v>0</v>
      </c>
      <c r="AC83" s="32" t="n">
        <v>0</v>
      </c>
      <c r="AD83" s="32" t="n">
        <v>1</v>
      </c>
      <c r="AE83" s="31" t="n">
        <v>1.6</v>
      </c>
      <c r="AF83" s="32" t="n">
        <v>0</v>
      </c>
      <c r="AG83" s="31" t="n">
        <v>0</v>
      </c>
      <c r="AH83" s="32" t="n">
        <v>54</v>
      </c>
      <c r="AI83" s="31" t="n">
        <v>56.3</v>
      </c>
      <c r="AJ83" s="31" t="n">
        <v>43.9</v>
      </c>
      <c r="AK83" s="31" t="n">
        <v>3.6</v>
      </c>
      <c r="AL83" s="30" t="inlineStr">
        <is>
          <t>T-0226</t>
        </is>
      </c>
      <c r="AM83" s="30" t="inlineStr">
        <is>
          <t>H-03-02</t>
        </is>
      </c>
      <c r="AN83" s="30" t="inlineStr">
        <is>
          <t>T-0112</t>
        </is>
      </c>
      <c r="AO83" s="30" t="inlineStr">
        <is>
          <t>H-02-05</t>
        </is>
      </c>
    </row>
    <row r="84">
      <c r="A84" s="30" t="inlineStr">
        <is>
          <t>O0083</t>
        </is>
      </c>
      <c r="B84" s="30" t="inlineStr">
        <is>
          <t>A</t>
        </is>
      </c>
      <c r="C84" s="31" t="n">
        <v>1632.4</v>
      </c>
      <c r="D84" s="31" t="n">
        <v>3129.8</v>
      </c>
      <c r="E84" s="31" t="n">
        <v>3153.3</v>
      </c>
      <c r="F84" s="31" t="n">
        <v>3166.4</v>
      </c>
      <c r="G84" s="31" t="n">
        <v>3196.7</v>
      </c>
      <c r="H84" s="31" t="n">
        <v>3196.8</v>
      </c>
      <c r="I84" s="31" t="n">
        <v>3208.1</v>
      </c>
      <c r="J84" s="31" t="n">
        <v>3246.6</v>
      </c>
      <c r="K84" s="31" t="n">
        <v>1614.2</v>
      </c>
      <c r="L84" s="31" t="n">
        <v>1497.4</v>
      </c>
      <c r="M84" s="30" t="inlineStr">
        <is>
          <t>AMR1</t>
        </is>
      </c>
      <c r="N84" s="30" t="inlineStr">
        <is>
          <t>AMR1</t>
        </is>
      </c>
      <c r="O84" s="32" t="n">
        <v>1</v>
      </c>
      <c r="P84" s="32" t="n">
        <v>25</v>
      </c>
      <c r="Q84" s="32" t="n">
        <v>1</v>
      </c>
      <c r="R84" s="31" t="n">
        <v>65</v>
      </c>
      <c r="S84" s="31" t="n">
        <v>65</v>
      </c>
      <c r="T84" s="30" t="inlineStr">
        <is>
          <t>AMR1</t>
        </is>
      </c>
      <c r="U84" s="31" t="n">
        <v>49</v>
      </c>
      <c r="V84" s="31" t="n">
        <v>49</v>
      </c>
      <c r="W84" s="30" t="inlineStr">
        <is>
          <t>AMR1</t>
        </is>
      </c>
      <c r="X84" s="32" t="n">
        <v>0</v>
      </c>
      <c r="Y84" s="32" t="n">
        <v>0</v>
      </c>
      <c r="Z84" s="31" t="n">
        <v>0</v>
      </c>
      <c r="AA84" s="32" t="n">
        <v>0</v>
      </c>
      <c r="AB84" s="32" t="n">
        <v>0</v>
      </c>
      <c r="AC84" s="32" t="n">
        <v>0</v>
      </c>
      <c r="AD84" s="32" t="n">
        <v>0</v>
      </c>
      <c r="AE84" s="31" t="n">
        <v>0</v>
      </c>
      <c r="AF84" s="32" t="n">
        <v>0</v>
      </c>
      <c r="AG84" s="31" t="n">
        <v>0</v>
      </c>
      <c r="AH84" s="32" t="n">
        <v>72</v>
      </c>
      <c r="AI84" s="31" t="n">
        <v>70.09999999999999</v>
      </c>
      <c r="AJ84" s="31" t="n">
        <v>46.6</v>
      </c>
      <c r="AK84" s="31" t="n">
        <v>0</v>
      </c>
      <c r="AL84" s="30" t="inlineStr">
        <is>
          <t>T-0237</t>
        </is>
      </c>
      <c r="AM84" s="30" t="inlineStr">
        <is>
          <t>A-04-02</t>
        </is>
      </c>
      <c r="AN84" s="30" t="inlineStr">
        <is>
          <t>T-0010</t>
        </is>
      </c>
      <c r="AO84" s="30" t="inlineStr">
        <is>
          <t>A-01-01</t>
        </is>
      </c>
    </row>
    <row r="85">
      <c r="A85" s="30" t="inlineStr">
        <is>
          <t>O0084</t>
        </is>
      </c>
      <c r="B85" s="30" t="inlineStr">
        <is>
          <t>G</t>
        </is>
      </c>
      <c r="C85" s="31" t="n">
        <v>1651.2</v>
      </c>
      <c r="D85" s="31" t="n">
        <v>3091.6</v>
      </c>
      <c r="E85" s="31" t="n">
        <v>3115.1</v>
      </c>
      <c r="F85" s="31" t="n">
        <v>3130.5</v>
      </c>
      <c r="G85" s="31" t="n">
        <v>3159.4</v>
      </c>
      <c r="H85" s="31" t="n">
        <v>3159.5</v>
      </c>
      <c r="I85" s="31" t="n">
        <v>3175</v>
      </c>
      <c r="J85" s="31" t="n">
        <v>3200.8</v>
      </c>
      <c r="K85" s="31" t="n">
        <v>1549.6</v>
      </c>
      <c r="L85" s="31" t="n">
        <v>1440.4</v>
      </c>
      <c r="M85" s="30" t="inlineStr">
        <is>
          <t>AMR3</t>
        </is>
      </c>
      <c r="N85" s="30" t="inlineStr">
        <is>
          <t>AMR3</t>
        </is>
      </c>
      <c r="O85" s="32" t="n">
        <v>1</v>
      </c>
      <c r="P85" s="32" t="n">
        <v>25</v>
      </c>
      <c r="Q85" s="32" t="n">
        <v>1</v>
      </c>
      <c r="R85" s="31" t="n">
        <v>64.40000000000001</v>
      </c>
      <c r="S85" s="31" t="n">
        <v>64.40000000000001</v>
      </c>
      <c r="T85" s="30" t="inlineStr">
        <is>
          <t>AMR3</t>
        </is>
      </c>
      <c r="U85" s="31" t="n">
        <v>41</v>
      </c>
      <c r="V85" s="31" t="n">
        <v>41</v>
      </c>
      <c r="W85" s="30" t="inlineStr">
        <is>
          <t>AMR3</t>
        </is>
      </c>
      <c r="X85" s="32" t="n">
        <v>0</v>
      </c>
      <c r="Y85" s="32" t="n">
        <v>0</v>
      </c>
      <c r="Z85" s="31" t="n">
        <v>0</v>
      </c>
      <c r="AA85" s="32" t="n">
        <v>0</v>
      </c>
      <c r="AB85" s="32" t="n">
        <v>0</v>
      </c>
      <c r="AC85" s="32" t="n">
        <v>0</v>
      </c>
      <c r="AD85" s="32" t="n">
        <v>0</v>
      </c>
      <c r="AE85" s="31" t="n">
        <v>0</v>
      </c>
      <c r="AF85" s="32" t="n">
        <v>0</v>
      </c>
      <c r="AG85" s="31" t="n">
        <v>0</v>
      </c>
      <c r="AH85" s="32" t="n">
        <v>60</v>
      </c>
      <c r="AI85" s="31" t="n">
        <v>61</v>
      </c>
      <c r="AJ85" s="31" t="n">
        <v>48.1</v>
      </c>
      <c r="AK85" s="31" t="n">
        <v>0</v>
      </c>
      <c r="AL85" s="30" t="inlineStr">
        <is>
          <t>T-0236</t>
        </is>
      </c>
      <c r="AM85" s="30" t="inlineStr">
        <is>
          <t>G-02-02</t>
        </is>
      </c>
      <c r="AN85" s="30" t="inlineStr">
        <is>
          <t>T-0096</t>
        </is>
      </c>
      <c r="AO85" s="30" t="inlineStr">
        <is>
          <t>G-05-04</t>
        </is>
      </c>
    </row>
    <row r="86">
      <c r="A86" s="30" t="inlineStr">
        <is>
          <t>O0085</t>
        </is>
      </c>
      <c r="B86" s="30" t="inlineStr">
        <is>
          <t>H</t>
        </is>
      </c>
      <c r="C86" s="31" t="n">
        <v>1675.5</v>
      </c>
      <c r="D86" s="31" t="n">
        <v>2986.6</v>
      </c>
      <c r="E86" s="31" t="n">
        <v>3008.6</v>
      </c>
      <c r="F86" s="31" t="n">
        <v>3021.6</v>
      </c>
      <c r="G86" s="31" t="n">
        <v>3044.4</v>
      </c>
      <c r="H86" s="31" t="n">
        <v>3044.5</v>
      </c>
      <c r="I86" s="31" t="n">
        <v>3060.3</v>
      </c>
      <c r="J86" s="31" t="n">
        <v>3091.5</v>
      </c>
      <c r="K86" s="31" t="n">
        <v>1416</v>
      </c>
      <c r="L86" s="31" t="n">
        <v>1311.1</v>
      </c>
      <c r="M86" s="30" t="inlineStr">
        <is>
          <t>AMR3</t>
        </is>
      </c>
      <c r="N86" s="30" t="inlineStr">
        <is>
          <t>AMR3</t>
        </is>
      </c>
      <c r="O86" s="32" t="n">
        <v>1</v>
      </c>
      <c r="P86" s="32" t="n">
        <v>12</v>
      </c>
      <c r="Q86" s="32" t="n">
        <v>2</v>
      </c>
      <c r="R86" s="31" t="n">
        <v>47.4</v>
      </c>
      <c r="S86" s="31" t="n">
        <v>47.4</v>
      </c>
      <c r="T86" s="30" t="inlineStr">
        <is>
          <t>AMR3</t>
        </is>
      </c>
      <c r="U86" s="31" t="n">
        <v>39.2</v>
      </c>
      <c r="V86" s="31" t="n">
        <v>39.2</v>
      </c>
      <c r="W86" s="30" t="inlineStr">
        <is>
          <t>AMR3</t>
        </is>
      </c>
      <c r="X86" s="32" t="n">
        <v>0</v>
      </c>
      <c r="Y86" s="32" t="n">
        <v>0</v>
      </c>
      <c r="Z86" s="31" t="n">
        <v>0</v>
      </c>
      <c r="AA86" s="32" t="n">
        <v>0</v>
      </c>
      <c r="AB86" s="32" t="n">
        <v>0</v>
      </c>
      <c r="AC86" s="32" t="n">
        <v>0</v>
      </c>
      <c r="AD86" s="32" t="n">
        <v>1</v>
      </c>
      <c r="AE86" s="31" t="n">
        <v>7</v>
      </c>
      <c r="AF86" s="32" t="n">
        <v>2</v>
      </c>
      <c r="AG86" s="31" t="n">
        <v>7</v>
      </c>
      <c r="AH86" s="32" t="n">
        <v>41</v>
      </c>
      <c r="AI86" s="31" t="n">
        <v>44.6</v>
      </c>
      <c r="AJ86" s="31" t="n">
        <v>43.2</v>
      </c>
      <c r="AK86" s="31" t="n">
        <v>17</v>
      </c>
      <c r="AL86" s="30" t="inlineStr">
        <is>
          <t>T-0234</t>
        </is>
      </c>
      <c r="AM86" s="30" t="inlineStr">
        <is>
          <t>H-06-02</t>
        </is>
      </c>
      <c r="AN86" s="30" t="inlineStr">
        <is>
          <t>T-0113</t>
        </is>
      </c>
      <c r="AO86" s="30" t="inlineStr">
        <is>
          <t>H-01-01</t>
        </is>
      </c>
    </row>
    <row r="87">
      <c r="A87" s="30" t="inlineStr">
        <is>
          <t>O0086</t>
        </is>
      </c>
      <c r="B87" s="30" t="inlineStr">
        <is>
          <t>I</t>
        </is>
      </c>
      <c r="C87" s="31" t="n">
        <v>1694.7</v>
      </c>
      <c r="D87" s="31" t="n">
        <v>2972.9</v>
      </c>
      <c r="E87" s="31" t="n">
        <v>2996.4</v>
      </c>
      <c r="F87" s="31" t="n">
        <v>3007.3</v>
      </c>
      <c r="G87" s="31" t="n">
        <v>3034.8</v>
      </c>
      <c r="H87" s="31" t="n">
        <v>3074.8</v>
      </c>
      <c r="I87" s="31" t="n">
        <v>3099.7</v>
      </c>
      <c r="J87" s="31" t="n">
        <v>3142.5</v>
      </c>
      <c r="K87" s="31" t="n">
        <v>1447.8</v>
      </c>
      <c r="L87" s="31" t="n">
        <v>1278.2</v>
      </c>
      <c r="M87" s="30" t="inlineStr">
        <is>
          <t>AMR2</t>
        </is>
      </c>
      <c r="N87" s="30" t="inlineStr">
        <is>
          <t>AMR2</t>
        </is>
      </c>
      <c r="O87" s="32" t="n">
        <v>1</v>
      </c>
      <c r="P87" s="32" t="n">
        <v>25</v>
      </c>
      <c r="Q87" s="32" t="n">
        <v>14</v>
      </c>
      <c r="R87" s="31" t="n">
        <v>59.3</v>
      </c>
      <c r="S87" s="31" t="n">
        <v>59.3</v>
      </c>
      <c r="T87" s="30" t="inlineStr">
        <is>
          <t>AMR2</t>
        </is>
      </c>
      <c r="U87" s="31" t="n">
        <v>48.4</v>
      </c>
      <c r="V87" s="31" t="n">
        <v>48.4</v>
      </c>
      <c r="W87" s="30" t="inlineStr">
        <is>
          <t>AMR2</t>
        </is>
      </c>
      <c r="X87" s="32" t="n">
        <v>0</v>
      </c>
      <c r="Y87" s="32" t="n">
        <v>0</v>
      </c>
      <c r="Z87" s="31" t="n">
        <v>0</v>
      </c>
      <c r="AA87" s="32" t="n">
        <v>0</v>
      </c>
      <c r="AB87" s="32" t="n">
        <v>0</v>
      </c>
      <c r="AC87" s="32" t="n">
        <v>0</v>
      </c>
      <c r="AD87" s="32" t="n">
        <v>1</v>
      </c>
      <c r="AE87" s="31" t="n">
        <v>20</v>
      </c>
      <c r="AF87" s="32" t="n">
        <v>1</v>
      </c>
      <c r="AG87" s="31" t="n">
        <v>15</v>
      </c>
      <c r="AH87" s="32" t="n">
        <v>66</v>
      </c>
      <c r="AI87" s="31" t="n">
        <v>68.3</v>
      </c>
      <c r="AJ87" s="31" t="n">
        <v>41.3</v>
      </c>
      <c r="AK87" s="31" t="n">
        <v>20</v>
      </c>
      <c r="AL87" s="30" t="inlineStr">
        <is>
          <t>T-0233</t>
        </is>
      </c>
      <c r="AM87" s="30" t="inlineStr">
        <is>
          <t>I-03-03</t>
        </is>
      </c>
      <c r="AN87" s="30" t="inlineStr">
        <is>
          <t>T-0134</t>
        </is>
      </c>
      <c r="AO87" s="30" t="inlineStr">
        <is>
          <t>I-01-03</t>
        </is>
      </c>
    </row>
    <row r="88">
      <c r="A88" s="30" t="inlineStr">
        <is>
          <t>O0087</t>
        </is>
      </c>
      <c r="B88" s="30" t="inlineStr">
        <is>
          <t>C</t>
        </is>
      </c>
      <c r="C88" s="31" t="n">
        <v>1716.9</v>
      </c>
      <c r="D88" s="31" t="n">
        <v>2926</v>
      </c>
      <c r="E88" s="31" t="n">
        <v>2949.5</v>
      </c>
      <c r="F88" s="31" t="n">
        <v>2962.5</v>
      </c>
      <c r="G88" s="31" t="n">
        <v>2986.5</v>
      </c>
      <c r="H88" s="31" t="n">
        <v>3377.9</v>
      </c>
      <c r="I88" s="31" t="n">
        <v>3391.3</v>
      </c>
      <c r="J88" s="31" t="n">
        <v>3431.7</v>
      </c>
      <c r="K88" s="31" t="n">
        <v>1714.8</v>
      </c>
      <c r="L88" s="31" t="n">
        <v>1209.1</v>
      </c>
      <c r="M88" s="30" t="inlineStr">
        <is>
          <t>AMR3</t>
        </is>
      </c>
      <c r="N88" s="30" t="inlineStr">
        <is>
          <t>AMR1</t>
        </is>
      </c>
      <c r="O88" s="32" t="n">
        <v>1</v>
      </c>
      <c r="P88" s="32" t="n">
        <v>25</v>
      </c>
      <c r="Q88" s="32" t="n">
        <v>1</v>
      </c>
      <c r="R88" s="31" t="n">
        <v>58.6</v>
      </c>
      <c r="S88" s="31" t="n">
        <v>58.6</v>
      </c>
      <c r="T88" s="30" t="inlineStr">
        <is>
          <t>AMR3</t>
        </is>
      </c>
      <c r="U88" s="31" t="n">
        <v>42.9</v>
      </c>
      <c r="V88" s="31" t="n">
        <v>42.9</v>
      </c>
      <c r="W88" s="30" t="inlineStr">
        <is>
          <t>AMR1</t>
        </is>
      </c>
      <c r="X88" s="32" t="n">
        <v>0</v>
      </c>
      <c r="Y88" s="32" t="n">
        <v>0</v>
      </c>
      <c r="Z88" s="31" t="n">
        <v>0</v>
      </c>
      <c r="AA88" s="32" t="n">
        <v>0</v>
      </c>
      <c r="AB88" s="32" t="n">
        <v>0</v>
      </c>
      <c r="AC88" s="32" t="n">
        <v>0</v>
      </c>
      <c r="AD88" s="32" t="n">
        <v>1</v>
      </c>
      <c r="AE88" s="31" t="n">
        <v>11</v>
      </c>
      <c r="AF88" s="32" t="n">
        <v>1</v>
      </c>
      <c r="AG88" s="31" t="n">
        <v>6</v>
      </c>
      <c r="AH88" s="32" t="n">
        <v>54</v>
      </c>
      <c r="AI88" s="31" t="n">
        <v>54.9</v>
      </c>
      <c r="AJ88" s="31" t="n">
        <v>48.4</v>
      </c>
      <c r="AK88" s="31" t="n">
        <v>11</v>
      </c>
      <c r="AL88" s="30" t="inlineStr">
        <is>
          <t>T-0232</t>
        </is>
      </c>
      <c r="AM88" s="30" t="inlineStr">
        <is>
          <t>C-01-02</t>
        </is>
      </c>
      <c r="AN88" s="30" t="inlineStr">
        <is>
          <t>T-0036</t>
        </is>
      </c>
      <c r="AO88" s="30" t="inlineStr">
        <is>
          <t>C-03-02</t>
        </is>
      </c>
    </row>
    <row r="89">
      <c r="A89" s="30" t="inlineStr">
        <is>
          <t>O0088</t>
        </is>
      </c>
      <c r="B89" s="30" t="inlineStr">
        <is>
          <t>A</t>
        </is>
      </c>
      <c r="C89" s="31" t="n">
        <v>1734.8</v>
      </c>
      <c r="D89" s="31" t="n">
        <v>3211.1</v>
      </c>
      <c r="E89" s="31" t="n">
        <v>3238.7</v>
      </c>
      <c r="F89" s="31" t="n">
        <v>3249.6</v>
      </c>
      <c r="G89" s="31" t="n">
        <v>3278.9</v>
      </c>
      <c r="H89" s="31" t="n">
        <v>3503.4</v>
      </c>
      <c r="I89" s="31" t="n">
        <v>3515.8</v>
      </c>
      <c r="J89" s="31" t="n">
        <v>3549.1</v>
      </c>
      <c r="K89" s="31" t="n">
        <v>1814.3</v>
      </c>
      <c r="L89" s="31" t="n">
        <v>1476.3</v>
      </c>
      <c r="M89" s="30" t="inlineStr">
        <is>
          <t>AMR2</t>
        </is>
      </c>
      <c r="N89" s="30" t="inlineStr">
        <is>
          <t>AMR1</t>
        </is>
      </c>
      <c r="O89" s="32" t="n">
        <v>1</v>
      </c>
      <c r="P89" s="32" t="n">
        <v>12</v>
      </c>
      <c r="Q89" s="32" t="n">
        <v>1</v>
      </c>
      <c r="R89" s="31" t="n">
        <v>49.9</v>
      </c>
      <c r="S89" s="31" t="n">
        <v>49.9</v>
      </c>
      <c r="T89" s="30" t="inlineStr">
        <is>
          <t>AMR2</t>
        </is>
      </c>
      <c r="U89" s="31" t="n">
        <v>46.3</v>
      </c>
      <c r="V89" s="31" t="n">
        <v>46.3</v>
      </c>
      <c r="W89" s="30" t="inlineStr">
        <is>
          <t>AMR1</t>
        </is>
      </c>
      <c r="X89" s="32" t="n">
        <v>0</v>
      </c>
      <c r="Y89" s="32" t="n">
        <v>0</v>
      </c>
      <c r="Z89" s="31" t="n">
        <v>0</v>
      </c>
      <c r="AA89" s="32" t="n">
        <v>0</v>
      </c>
      <c r="AB89" s="32" t="n">
        <v>0</v>
      </c>
      <c r="AC89" s="32" t="n">
        <v>0</v>
      </c>
      <c r="AD89" s="32" t="n">
        <v>0</v>
      </c>
      <c r="AE89" s="31" t="n">
        <v>0</v>
      </c>
      <c r="AF89" s="32" t="n">
        <v>1</v>
      </c>
      <c r="AG89" s="31" t="n">
        <v>9</v>
      </c>
      <c r="AH89" s="32" t="n">
        <v>59</v>
      </c>
      <c r="AI89" s="31" t="n">
        <v>58.8</v>
      </c>
      <c r="AJ89" s="31" t="n">
        <v>39.1</v>
      </c>
      <c r="AK89" s="31" t="n">
        <v>15.6</v>
      </c>
      <c r="AL89" s="30" t="inlineStr">
        <is>
          <t>T-0240</t>
        </is>
      </c>
      <c r="AM89" s="30" t="inlineStr">
        <is>
          <t>A-01-01</t>
        </is>
      </c>
      <c r="AN89" s="30" t="inlineStr">
        <is>
          <t>T-0012</t>
        </is>
      </c>
      <c r="AO89" s="30" t="inlineStr">
        <is>
          <t>A-02-05</t>
        </is>
      </c>
    </row>
    <row r="90">
      <c r="A90" s="30" t="inlineStr">
        <is>
          <t>O0089</t>
        </is>
      </c>
      <c r="B90" s="30" t="inlineStr">
        <is>
          <t>A</t>
        </is>
      </c>
      <c r="C90" s="31" t="n">
        <v>1757.3</v>
      </c>
      <c r="D90" s="31" t="n">
        <v>3302.8</v>
      </c>
      <c r="E90" s="31" t="n">
        <v>3326.3</v>
      </c>
      <c r="F90" s="31" t="n">
        <v>3338.7</v>
      </c>
      <c r="G90" s="31" t="n">
        <v>3365.4</v>
      </c>
      <c r="H90" s="31" t="n">
        <v>3365.5</v>
      </c>
      <c r="I90" s="31" t="n">
        <v>3377.7</v>
      </c>
      <c r="J90" s="31" t="n">
        <v>3411.1</v>
      </c>
      <c r="K90" s="31" t="n">
        <v>1653.8</v>
      </c>
      <c r="L90" s="31" t="n">
        <v>1545.5</v>
      </c>
      <c r="M90" s="30" t="inlineStr">
        <is>
          <t>AMR3</t>
        </is>
      </c>
      <c r="N90" s="30" t="inlineStr">
        <is>
          <t>AMR3</t>
        </is>
      </c>
      <c r="O90" s="32" t="n">
        <v>1</v>
      </c>
      <c r="P90" s="32" t="n">
        <v>25</v>
      </c>
      <c r="Q90" s="32" t="n">
        <v>2</v>
      </c>
      <c r="R90" s="31" t="n">
        <v>61.5</v>
      </c>
      <c r="S90" s="31" t="n">
        <v>61.5</v>
      </c>
      <c r="T90" s="30" t="inlineStr">
        <is>
          <t>AMR3</t>
        </is>
      </c>
      <c r="U90" s="31" t="n">
        <v>46.3</v>
      </c>
      <c r="V90" s="31" t="n">
        <v>46.3</v>
      </c>
      <c r="W90" s="30" t="inlineStr">
        <is>
          <t>AMR3</t>
        </is>
      </c>
      <c r="X90" s="32" t="n">
        <v>0</v>
      </c>
      <c r="Y90" s="32" t="n">
        <v>0</v>
      </c>
      <c r="Z90" s="31" t="n">
        <v>0</v>
      </c>
      <c r="AA90" s="32" t="n">
        <v>0</v>
      </c>
      <c r="AB90" s="32" t="n">
        <v>0</v>
      </c>
      <c r="AC90" s="32" t="n">
        <v>0</v>
      </c>
      <c r="AD90" s="32" t="n">
        <v>0</v>
      </c>
      <c r="AE90" s="31" t="n">
        <v>0</v>
      </c>
      <c r="AF90" s="32" t="n">
        <v>0</v>
      </c>
      <c r="AG90" s="31" t="n">
        <v>0</v>
      </c>
      <c r="AH90" s="32" t="n">
        <v>70</v>
      </c>
      <c r="AI90" s="31" t="n">
        <v>68.5</v>
      </c>
      <c r="AJ90" s="31" t="n">
        <v>39.7</v>
      </c>
      <c r="AK90" s="31" t="n">
        <v>0</v>
      </c>
      <c r="AL90" s="30" t="inlineStr">
        <is>
          <t>T-0242</t>
        </is>
      </c>
      <c r="AM90" s="30" t="inlineStr">
        <is>
          <t>A-06-02</t>
        </is>
      </c>
      <c r="AN90" s="30" t="inlineStr">
        <is>
          <t>T-0011</t>
        </is>
      </c>
      <c r="AO90" s="30" t="inlineStr">
        <is>
          <t>A-03-05</t>
        </is>
      </c>
    </row>
    <row r="91">
      <c r="A91" s="30" t="inlineStr">
        <is>
          <t>O0090</t>
        </is>
      </c>
      <c r="B91" s="30" t="inlineStr">
        <is>
          <t>I</t>
        </is>
      </c>
      <c r="C91" s="31" t="n">
        <v>1778.2</v>
      </c>
      <c r="D91" s="31" t="n">
        <v>3513.7</v>
      </c>
      <c r="E91" s="31" t="n">
        <v>3537.2</v>
      </c>
      <c r="F91" s="31" t="n">
        <v>3552.3</v>
      </c>
      <c r="G91" s="31" t="n">
        <v>3580.6</v>
      </c>
      <c r="H91" s="31" t="n">
        <v>3580.7</v>
      </c>
      <c r="I91" s="31" t="n">
        <v>3593.5</v>
      </c>
      <c r="J91" s="31" t="n">
        <v>3620.9</v>
      </c>
      <c r="K91" s="31" t="n">
        <v>1842.7</v>
      </c>
      <c r="L91" s="31" t="n">
        <v>1735.5</v>
      </c>
      <c r="M91" s="30" t="inlineStr">
        <is>
          <t>AMR3</t>
        </is>
      </c>
      <c r="N91" s="30" t="inlineStr">
        <is>
          <t>AMR3</t>
        </is>
      </c>
      <c r="O91" s="32" t="n">
        <v>1</v>
      </c>
      <c r="P91" s="32" t="n">
        <v>25</v>
      </c>
      <c r="Q91" s="32" t="n">
        <v>1</v>
      </c>
      <c r="R91" s="31" t="n">
        <v>63.5</v>
      </c>
      <c r="S91" s="31" t="n">
        <v>63.5</v>
      </c>
      <c r="T91" s="30" t="inlineStr">
        <is>
          <t>AMR3</t>
        </is>
      </c>
      <c r="U91" s="31" t="n">
        <v>39.9</v>
      </c>
      <c r="V91" s="31" t="n">
        <v>39.9</v>
      </c>
      <c r="W91" s="30" t="inlineStr">
        <is>
          <t>AMR3</t>
        </is>
      </c>
      <c r="X91" s="32" t="n">
        <v>0</v>
      </c>
      <c r="Y91" s="32" t="n">
        <v>0</v>
      </c>
      <c r="Z91" s="31" t="n">
        <v>0</v>
      </c>
      <c r="AA91" s="32" t="n">
        <v>0</v>
      </c>
      <c r="AB91" s="32" t="n">
        <v>0</v>
      </c>
      <c r="AC91" s="32" t="n">
        <v>0</v>
      </c>
      <c r="AD91" s="32" t="n">
        <v>0</v>
      </c>
      <c r="AE91" s="31" t="n">
        <v>0</v>
      </c>
      <c r="AF91" s="32" t="n">
        <v>0</v>
      </c>
      <c r="AG91" s="31" t="n">
        <v>0</v>
      </c>
      <c r="AH91" s="32" t="n">
        <v>56</v>
      </c>
      <c r="AI91" s="31" t="n">
        <v>57.8</v>
      </c>
      <c r="AJ91" s="31" t="n">
        <v>49.3</v>
      </c>
      <c r="AK91" s="31" t="n">
        <v>0</v>
      </c>
      <c r="AL91" s="30" t="inlineStr">
        <is>
          <t>T-0248</t>
        </is>
      </c>
      <c r="AM91" s="30" t="inlineStr">
        <is>
          <t>I-04-03</t>
        </is>
      </c>
      <c r="AN91" s="30" t="inlineStr">
        <is>
          <t>T-0155</t>
        </is>
      </c>
      <c r="AO91" s="30" t="inlineStr">
        <is>
          <t>I-01-01</t>
        </is>
      </c>
    </row>
    <row r="92">
      <c r="A92" s="30" t="inlineStr">
        <is>
          <t>O0091</t>
        </is>
      </c>
      <c r="B92" s="30" t="inlineStr">
        <is>
          <t>I</t>
        </is>
      </c>
      <c r="C92" s="31" t="n">
        <v>1794.7</v>
      </c>
      <c r="D92" s="31" t="n">
        <v>3200.9</v>
      </c>
      <c r="E92" s="31" t="n">
        <v>3224.4</v>
      </c>
      <c r="F92" s="31" t="n">
        <v>3238.6</v>
      </c>
      <c r="G92" s="31" t="n">
        <v>3263</v>
      </c>
      <c r="H92" s="31" t="n">
        <v>3263.1</v>
      </c>
      <c r="I92" s="31" t="n">
        <v>3273.5</v>
      </c>
      <c r="J92" s="31" t="n">
        <v>3302.7</v>
      </c>
      <c r="K92" s="31" t="n">
        <v>1508</v>
      </c>
      <c r="L92" s="31" t="n">
        <v>1406.2</v>
      </c>
      <c r="M92" s="30" t="inlineStr">
        <is>
          <t>AMR3</t>
        </is>
      </c>
      <c r="N92" s="30" t="inlineStr">
        <is>
          <t>AMR3</t>
        </is>
      </c>
      <c r="O92" s="32" t="n">
        <v>1</v>
      </c>
      <c r="P92" s="32" t="n">
        <v>25</v>
      </c>
      <c r="Q92" s="32" t="n">
        <v>1</v>
      </c>
      <c r="R92" s="31" t="n">
        <v>60.3</v>
      </c>
      <c r="S92" s="31" t="n">
        <v>60</v>
      </c>
      <c r="T92" s="30" t="inlineStr">
        <is>
          <t>AMR2</t>
        </is>
      </c>
      <c r="U92" s="31" t="n">
        <v>38.3</v>
      </c>
      <c r="V92" s="31" t="n">
        <v>38.3</v>
      </c>
      <c r="W92" s="30" t="inlineStr">
        <is>
          <t>AMR3</t>
        </is>
      </c>
      <c r="X92" s="32" t="n">
        <v>1</v>
      </c>
      <c r="Y92" s="32" t="n">
        <v>13</v>
      </c>
      <c r="Z92" s="31" t="n">
        <v>0.3</v>
      </c>
      <c r="AA92" s="32" t="n">
        <v>0</v>
      </c>
      <c r="AB92" s="32" t="n">
        <v>0</v>
      </c>
      <c r="AC92" s="32" t="n">
        <v>0</v>
      </c>
      <c r="AD92" s="32" t="n">
        <v>0</v>
      </c>
      <c r="AE92" s="31" t="n">
        <v>0</v>
      </c>
      <c r="AF92" s="32" t="n">
        <v>0</v>
      </c>
      <c r="AG92" s="31" t="n">
        <v>0</v>
      </c>
      <c r="AH92" s="32" t="n">
        <v>54</v>
      </c>
      <c r="AI92" s="31" t="n">
        <v>57.2</v>
      </c>
      <c r="AJ92" s="31" t="n">
        <v>44.5</v>
      </c>
      <c r="AK92" s="31" t="n">
        <v>0</v>
      </c>
      <c r="AL92" s="30" t="inlineStr">
        <is>
          <t>T-0239</t>
        </is>
      </c>
      <c r="AM92" s="30" t="inlineStr">
        <is>
          <t>I-01-03</t>
        </is>
      </c>
      <c r="AN92" s="30" t="inlineStr">
        <is>
          <t>T-0135</t>
        </is>
      </c>
      <c r="AO92" s="30" t="inlineStr">
        <is>
          <t>I-03-05</t>
        </is>
      </c>
    </row>
    <row r="93">
      <c r="A93" s="30" t="inlineStr">
        <is>
          <t>O0092</t>
        </is>
      </c>
      <c r="B93" s="30" t="inlineStr">
        <is>
          <t>B</t>
        </is>
      </c>
      <c r="C93" s="31" t="n">
        <v>1818.3</v>
      </c>
      <c r="D93" s="31" t="n">
        <v>3411.2</v>
      </c>
      <c r="E93" s="31" t="n">
        <v>3434.7</v>
      </c>
      <c r="F93" s="31" t="n">
        <v>3447.4</v>
      </c>
      <c r="G93" s="31" t="n">
        <v>3472.3</v>
      </c>
      <c r="H93" s="31" t="n">
        <v>3472.4</v>
      </c>
      <c r="I93" s="31" t="n">
        <v>3486.4</v>
      </c>
      <c r="J93" s="31" t="n">
        <v>3513.6</v>
      </c>
      <c r="K93" s="31" t="n">
        <v>1695.3</v>
      </c>
      <c r="L93" s="31" t="n">
        <v>1592.9</v>
      </c>
      <c r="M93" s="30" t="inlineStr">
        <is>
          <t>AMR3</t>
        </is>
      </c>
      <c r="N93" s="30" t="inlineStr">
        <is>
          <t>AMR3</t>
        </is>
      </c>
      <c r="O93" s="32" t="n">
        <v>1</v>
      </c>
      <c r="P93" s="32" t="n">
        <v>25</v>
      </c>
      <c r="Q93" s="32" t="n">
        <v>0</v>
      </c>
      <c r="R93" s="31" t="n">
        <v>58.4</v>
      </c>
      <c r="S93" s="31" t="n">
        <v>58.4</v>
      </c>
      <c r="T93" s="30" t="inlineStr">
        <is>
          <t>AMR3</t>
        </is>
      </c>
      <c r="U93" s="31" t="n">
        <v>41</v>
      </c>
      <c r="V93" s="31" t="n">
        <v>41</v>
      </c>
      <c r="W93" s="30" t="inlineStr">
        <is>
          <t>AMR3</t>
        </is>
      </c>
      <c r="X93" s="32" t="n">
        <v>0</v>
      </c>
      <c r="Y93" s="32" t="n">
        <v>0</v>
      </c>
      <c r="Z93" s="31" t="n">
        <v>0</v>
      </c>
      <c r="AA93" s="32" t="n">
        <v>0</v>
      </c>
      <c r="AB93" s="32" t="n">
        <v>0</v>
      </c>
      <c r="AC93" s="32" t="n">
        <v>0</v>
      </c>
      <c r="AD93" s="32" t="n">
        <v>0</v>
      </c>
      <c r="AE93" s="31" t="n">
        <v>0</v>
      </c>
      <c r="AF93" s="32" t="n">
        <v>0</v>
      </c>
      <c r="AG93" s="31" t="n">
        <v>0</v>
      </c>
      <c r="AH93" s="32" t="n">
        <v>58</v>
      </c>
      <c r="AI93" s="31" t="n">
        <v>59</v>
      </c>
      <c r="AJ93" s="31" t="n">
        <v>43.3</v>
      </c>
      <c r="AK93" s="31" t="n">
        <v>0</v>
      </c>
      <c r="AL93" s="30" t="inlineStr">
        <is>
          <t>T-0245</t>
        </is>
      </c>
      <c r="AM93" s="30" t="inlineStr">
        <is>
          <t>B-03-01</t>
        </is>
      </c>
      <c r="AN93" s="30" t="inlineStr">
        <is>
          <t>T-0028</t>
        </is>
      </c>
      <c r="AO93" s="30" t="inlineStr">
        <is>
          <t>B-06-05</t>
        </is>
      </c>
    </row>
    <row r="94">
      <c r="A94" s="30" t="inlineStr">
        <is>
          <t>O0093</t>
        </is>
      </c>
      <c r="B94" s="30" t="inlineStr">
        <is>
          <t>D</t>
        </is>
      </c>
      <c r="C94" s="31" t="n">
        <v>1833.9</v>
      </c>
      <c r="D94" s="31" t="n">
        <v>3142.6</v>
      </c>
      <c r="E94" s="31" t="n">
        <v>3177.1</v>
      </c>
      <c r="F94" s="31" t="n">
        <v>3189.8</v>
      </c>
      <c r="G94" s="31" t="n">
        <v>3211</v>
      </c>
      <c r="H94" s="31" t="n">
        <v>3658.4</v>
      </c>
      <c r="I94" s="31" t="n">
        <v>3671.6</v>
      </c>
      <c r="J94" s="31" t="n">
        <v>3714.5</v>
      </c>
      <c r="K94" s="31" t="n">
        <v>1880.6</v>
      </c>
      <c r="L94" s="31" t="n">
        <v>1308.7</v>
      </c>
      <c r="M94" s="30" t="inlineStr">
        <is>
          <t>AMR2</t>
        </is>
      </c>
      <c r="N94" s="30" t="inlineStr">
        <is>
          <t>AMR1</t>
        </is>
      </c>
      <c r="O94" s="32" t="n">
        <v>1</v>
      </c>
      <c r="P94" s="32" t="n">
        <v>25</v>
      </c>
      <c r="Q94" s="32" t="n">
        <v>1</v>
      </c>
      <c r="R94" s="31" t="n">
        <v>55.5</v>
      </c>
      <c r="S94" s="31" t="n">
        <v>55.5</v>
      </c>
      <c r="T94" s="30" t="inlineStr">
        <is>
          <t>AMR2</t>
        </is>
      </c>
      <c r="U94" s="31" t="n">
        <v>45.1</v>
      </c>
      <c r="V94" s="31" t="n">
        <v>45.1</v>
      </c>
      <c r="W94" s="30" t="inlineStr">
        <is>
          <t>AMR1</t>
        </is>
      </c>
      <c r="X94" s="32" t="n">
        <v>0</v>
      </c>
      <c r="Y94" s="32" t="n">
        <v>0</v>
      </c>
      <c r="Z94" s="31" t="n">
        <v>0</v>
      </c>
      <c r="AA94" s="32" t="n">
        <v>0</v>
      </c>
      <c r="AB94" s="32" t="n">
        <v>0</v>
      </c>
      <c r="AC94" s="32" t="n">
        <v>0</v>
      </c>
      <c r="AD94" s="32" t="n">
        <v>2</v>
      </c>
      <c r="AE94" s="31" t="n">
        <v>10.6</v>
      </c>
      <c r="AF94" s="32" t="n">
        <v>2</v>
      </c>
      <c r="AG94" s="31" t="n">
        <v>7</v>
      </c>
      <c r="AH94" s="32" t="n">
        <v>54</v>
      </c>
      <c r="AI94" s="31" t="n">
        <v>55.9</v>
      </c>
      <c r="AJ94" s="31" t="n">
        <v>47</v>
      </c>
      <c r="AK94" s="31" t="n">
        <v>21.6</v>
      </c>
      <c r="AL94" s="30" t="inlineStr">
        <is>
          <t>T-0238</t>
        </is>
      </c>
      <c r="AM94" s="30" t="inlineStr">
        <is>
          <t>D-02-03</t>
        </is>
      </c>
      <c r="AN94" s="30" t="inlineStr">
        <is>
          <t>T-0057</t>
        </is>
      </c>
      <c r="AO94" s="30" t="inlineStr">
        <is>
          <t>D-05-02</t>
        </is>
      </c>
    </row>
    <row r="95">
      <c r="A95" s="30" t="inlineStr">
        <is>
          <t>O0094</t>
        </is>
      </c>
      <c r="B95" s="30" t="inlineStr">
        <is>
          <t>J</t>
        </is>
      </c>
      <c r="C95" s="31" t="n">
        <v>1850.1</v>
      </c>
      <c r="D95" s="31" t="n">
        <v>3451.8</v>
      </c>
      <c r="E95" s="31" t="n">
        <v>3482.3</v>
      </c>
      <c r="F95" s="31" t="n">
        <v>3495.9</v>
      </c>
      <c r="G95" s="31" t="n">
        <v>3526.8</v>
      </c>
      <c r="H95" s="31" t="n">
        <v>3526.9</v>
      </c>
      <c r="I95" s="31" t="n">
        <v>3539.2</v>
      </c>
      <c r="J95" s="31" t="n">
        <v>3575</v>
      </c>
      <c r="K95" s="31" t="n">
        <v>1724.9</v>
      </c>
      <c r="L95" s="31" t="n">
        <v>1601.7</v>
      </c>
      <c r="M95" s="30" t="inlineStr">
        <is>
          <t>AMR2</t>
        </is>
      </c>
      <c r="N95" s="30" t="inlineStr">
        <is>
          <t>AMR2</t>
        </is>
      </c>
      <c r="O95" s="32" t="n">
        <v>1</v>
      </c>
      <c r="P95" s="32" t="n">
        <v>25</v>
      </c>
      <c r="Q95" s="32" t="n">
        <v>1</v>
      </c>
      <c r="R95" s="31" t="n">
        <v>64.59999999999999</v>
      </c>
      <c r="S95" s="31" t="n">
        <v>64.59999999999999</v>
      </c>
      <c r="T95" s="30" t="inlineStr">
        <is>
          <t>AMR2</t>
        </is>
      </c>
      <c r="U95" s="31" t="n">
        <v>44.2</v>
      </c>
      <c r="V95" s="31" t="n">
        <v>44.2</v>
      </c>
      <c r="W95" s="30" t="inlineStr">
        <is>
          <t>AMR2</t>
        </is>
      </c>
      <c r="X95" s="32" t="n">
        <v>0</v>
      </c>
      <c r="Y95" s="32" t="n">
        <v>0</v>
      </c>
      <c r="Z95" s="31" t="n">
        <v>0</v>
      </c>
      <c r="AA95" s="32" t="n">
        <v>0</v>
      </c>
      <c r="AB95" s="32" t="n">
        <v>0</v>
      </c>
      <c r="AC95" s="32" t="n">
        <v>0</v>
      </c>
      <c r="AD95" s="32" t="n">
        <v>1</v>
      </c>
      <c r="AE95" s="31" t="n">
        <v>2</v>
      </c>
      <c r="AF95" s="32" t="n">
        <v>1</v>
      </c>
      <c r="AG95" s="31" t="n">
        <v>2</v>
      </c>
      <c r="AH95" s="32" t="n">
        <v>70</v>
      </c>
      <c r="AI95" s="31" t="n">
        <v>70</v>
      </c>
      <c r="AJ95" s="31" t="n">
        <v>44.1</v>
      </c>
      <c r="AK95" s="31" t="n">
        <v>9</v>
      </c>
      <c r="AL95" s="30" t="inlineStr">
        <is>
          <t>T-0247</t>
        </is>
      </c>
      <c r="AM95" s="30" t="inlineStr">
        <is>
          <t>J-05-01</t>
        </is>
      </c>
      <c r="AN95" s="30" t="inlineStr">
        <is>
          <t>T-0143</t>
        </is>
      </c>
      <c r="AO95" s="30" t="inlineStr">
        <is>
          <t>J-06-04</t>
        </is>
      </c>
    </row>
    <row r="96">
      <c r="A96" s="30" t="inlineStr">
        <is>
          <t>O0095</t>
        </is>
      </c>
      <c r="B96" s="30" t="inlineStr">
        <is>
          <t>A</t>
        </is>
      </c>
      <c r="C96" s="31" t="n">
        <v>1870.9</v>
      </c>
      <c r="D96" s="31" t="n">
        <v>3431.8</v>
      </c>
      <c r="E96" s="31" t="n">
        <v>3458.3</v>
      </c>
      <c r="F96" s="31" t="n">
        <v>3472.8</v>
      </c>
      <c r="G96" s="31" t="n">
        <v>3503.3</v>
      </c>
      <c r="H96" s="31" t="n">
        <v>3740.9</v>
      </c>
      <c r="I96" s="31" t="n">
        <v>3752.9</v>
      </c>
      <c r="J96" s="31" t="n">
        <v>3788.6</v>
      </c>
      <c r="K96" s="31" t="n">
        <v>1917.7</v>
      </c>
      <c r="L96" s="31" t="n">
        <v>1560.9</v>
      </c>
      <c r="M96" s="30" t="inlineStr">
        <is>
          <t>AMR1</t>
        </is>
      </c>
      <c r="N96" s="30" t="inlineStr">
        <is>
          <t>AMR3</t>
        </is>
      </c>
      <c r="O96" s="32" t="n">
        <v>1</v>
      </c>
      <c r="P96" s="32" t="n">
        <v>25</v>
      </c>
      <c r="Q96" s="32" t="n">
        <v>3</v>
      </c>
      <c r="R96" s="31" t="n">
        <v>65</v>
      </c>
      <c r="S96" s="31" t="n">
        <v>65</v>
      </c>
      <c r="T96" s="30" t="inlineStr">
        <is>
          <t>AMR1</t>
        </is>
      </c>
      <c r="U96" s="31" t="n">
        <v>47.4</v>
      </c>
      <c r="V96" s="31" t="n">
        <v>47.4</v>
      </c>
      <c r="W96" s="30" t="inlineStr">
        <is>
          <t>AMR3</t>
        </is>
      </c>
      <c r="X96" s="32" t="n">
        <v>0</v>
      </c>
      <c r="Y96" s="32" t="n">
        <v>0</v>
      </c>
      <c r="Z96" s="31" t="n">
        <v>0</v>
      </c>
      <c r="AA96" s="32" t="n">
        <v>0</v>
      </c>
      <c r="AB96" s="32" t="n">
        <v>0</v>
      </c>
      <c r="AC96" s="32" t="n">
        <v>0</v>
      </c>
      <c r="AD96" s="32" t="n">
        <v>0</v>
      </c>
      <c r="AE96" s="31" t="n">
        <v>0</v>
      </c>
      <c r="AF96" s="32" t="n">
        <v>0</v>
      </c>
      <c r="AG96" s="31" t="n">
        <v>0</v>
      </c>
      <c r="AH96" s="32" t="n">
        <v>74</v>
      </c>
      <c r="AI96" s="31" t="n">
        <v>73.59999999999999</v>
      </c>
      <c r="AJ96" s="31" t="n">
        <v>42.6</v>
      </c>
      <c r="AK96" s="31" t="n">
        <v>3</v>
      </c>
      <c r="AL96" s="30" t="inlineStr">
        <is>
          <t>T-0246</t>
        </is>
      </c>
      <c r="AM96" s="30" t="inlineStr">
        <is>
          <t>A-01-03</t>
        </is>
      </c>
      <c r="AN96" s="30" t="inlineStr">
        <is>
          <t>T-0013</t>
        </is>
      </c>
      <c r="AO96" s="30" t="inlineStr">
        <is>
          <t>A-03-04</t>
        </is>
      </c>
    </row>
    <row r="97">
      <c r="A97" s="30" t="inlineStr">
        <is>
          <t>O0096</t>
        </is>
      </c>
      <c r="B97" s="30" t="inlineStr">
        <is>
          <t>J</t>
        </is>
      </c>
      <c r="C97" s="31" t="n">
        <v>1890.1</v>
      </c>
      <c r="D97" s="31" t="n">
        <v>3331.4</v>
      </c>
      <c r="E97" s="31" t="n">
        <v>3358.6</v>
      </c>
      <c r="F97" s="31" t="n">
        <v>3372.1</v>
      </c>
      <c r="G97" s="31" t="n">
        <v>3400.9</v>
      </c>
      <c r="H97" s="31" t="n">
        <v>3401</v>
      </c>
      <c r="I97" s="31" t="n">
        <v>3412.6</v>
      </c>
      <c r="J97" s="31" t="n">
        <v>3451.7</v>
      </c>
      <c r="K97" s="31" t="n">
        <v>1561.6</v>
      </c>
      <c r="L97" s="31" t="n">
        <v>1441.3</v>
      </c>
      <c r="M97" s="30" t="inlineStr">
        <is>
          <t>AMR2</t>
        </is>
      </c>
      <c r="N97" s="30" t="inlineStr">
        <is>
          <t>AMR2</t>
        </is>
      </c>
      <c r="O97" s="32" t="n">
        <v>1</v>
      </c>
      <c r="P97" s="32" t="n">
        <v>25</v>
      </c>
      <c r="Q97" s="32" t="n">
        <v>1</v>
      </c>
      <c r="R97" s="31" t="n">
        <v>64</v>
      </c>
      <c r="S97" s="31" t="n">
        <v>64</v>
      </c>
      <c r="T97" s="30" t="inlineStr">
        <is>
          <t>AMR2</t>
        </is>
      </c>
      <c r="U97" s="31" t="n">
        <v>41.9</v>
      </c>
      <c r="V97" s="31" t="n">
        <v>41.9</v>
      </c>
      <c r="W97" s="30" t="inlineStr">
        <is>
          <t>AMR2</t>
        </is>
      </c>
      <c r="X97" s="32" t="n">
        <v>0</v>
      </c>
      <c r="Y97" s="32" t="n">
        <v>0</v>
      </c>
      <c r="Z97" s="31" t="n">
        <v>0</v>
      </c>
      <c r="AA97" s="32" t="n">
        <v>0</v>
      </c>
      <c r="AB97" s="32" t="n">
        <v>0</v>
      </c>
      <c r="AC97" s="32" t="n">
        <v>0</v>
      </c>
      <c r="AD97" s="32" t="n">
        <v>1</v>
      </c>
      <c r="AE97" s="31" t="n">
        <v>7</v>
      </c>
      <c r="AF97" s="32" t="n">
        <v>1</v>
      </c>
      <c r="AG97" s="31" t="n">
        <v>2</v>
      </c>
      <c r="AH97" s="32" t="n">
        <v>68</v>
      </c>
      <c r="AI97" s="31" t="n">
        <v>68.3</v>
      </c>
      <c r="AJ97" s="31" t="n">
        <v>41.2</v>
      </c>
      <c r="AK97" s="31" t="n">
        <v>10.7</v>
      </c>
      <c r="AL97" s="30" t="inlineStr">
        <is>
          <t>T-0244</t>
        </is>
      </c>
      <c r="AM97" s="30" t="inlineStr">
        <is>
          <t>J-02-02</t>
        </is>
      </c>
      <c r="AN97" s="30" t="inlineStr">
        <is>
          <t>T-0142</t>
        </is>
      </c>
      <c r="AO97" s="30" t="inlineStr">
        <is>
          <t>J-05-01</t>
        </is>
      </c>
    </row>
    <row r="98">
      <c r="A98" s="30" t="inlineStr">
        <is>
          <t>O0097</t>
        </is>
      </c>
      <c r="B98" s="30" t="inlineStr">
        <is>
          <t>E</t>
        </is>
      </c>
      <c r="C98" s="31" t="n">
        <v>1910.3</v>
      </c>
      <c r="D98" s="31" t="n">
        <v>3246.7</v>
      </c>
      <c r="E98" s="31" t="n">
        <v>3270.2</v>
      </c>
      <c r="F98" s="31" t="n">
        <v>3284.3</v>
      </c>
      <c r="G98" s="31" t="n">
        <v>3313</v>
      </c>
      <c r="H98" s="31" t="n">
        <v>3877.7</v>
      </c>
      <c r="I98" s="31" t="n">
        <v>3886.8</v>
      </c>
      <c r="J98" s="31" t="n">
        <v>3919</v>
      </c>
      <c r="K98" s="31" t="n">
        <v>2008.7</v>
      </c>
      <c r="L98" s="31" t="n">
        <v>1336.4</v>
      </c>
      <c r="M98" s="30" t="inlineStr">
        <is>
          <t>AMR1</t>
        </is>
      </c>
      <c r="N98" s="30" t="inlineStr">
        <is>
          <t>AMR2</t>
        </is>
      </c>
      <c r="O98" s="32" t="n">
        <v>1</v>
      </c>
      <c r="P98" s="32" t="n">
        <v>25</v>
      </c>
      <c r="Q98" s="32" t="n">
        <v>1</v>
      </c>
      <c r="R98" s="31" t="n">
        <v>62.8</v>
      </c>
      <c r="S98" s="31" t="n">
        <v>62.8</v>
      </c>
      <c r="T98" s="30" t="inlineStr">
        <is>
          <t>AMR1</t>
        </is>
      </c>
      <c r="U98" s="31" t="n">
        <v>42</v>
      </c>
      <c r="V98" s="31" t="n">
        <v>42</v>
      </c>
      <c r="W98" s="30" t="inlineStr">
        <is>
          <t>AMR2</t>
        </is>
      </c>
      <c r="X98" s="32" t="n">
        <v>0</v>
      </c>
      <c r="Y98" s="32" t="n">
        <v>0</v>
      </c>
      <c r="Z98" s="31" t="n">
        <v>0</v>
      </c>
      <c r="AA98" s="32" t="n">
        <v>0</v>
      </c>
      <c r="AB98" s="32" t="n">
        <v>0</v>
      </c>
      <c r="AC98" s="32" t="n">
        <v>0</v>
      </c>
      <c r="AD98" s="32" t="n">
        <v>0</v>
      </c>
      <c r="AE98" s="31" t="n">
        <v>0</v>
      </c>
      <c r="AF98" s="32" t="n">
        <v>0</v>
      </c>
      <c r="AG98" s="31" t="n">
        <v>0</v>
      </c>
      <c r="AH98" s="32" t="n">
        <v>68</v>
      </c>
      <c r="AI98" s="31" t="n">
        <v>67</v>
      </c>
      <c r="AJ98" s="31" t="n">
        <v>40.6</v>
      </c>
      <c r="AK98" s="31" t="n">
        <v>0</v>
      </c>
      <c r="AL98" s="30" t="inlineStr">
        <is>
          <t>T-0241</t>
        </is>
      </c>
      <c r="AM98" s="30" t="inlineStr">
        <is>
          <t>E-05-02</t>
        </is>
      </c>
      <c r="AN98" s="30" t="inlineStr">
        <is>
          <t>T-0067</t>
        </is>
      </c>
      <c r="AO98" s="30" t="inlineStr">
        <is>
          <t>E-03-03</t>
        </is>
      </c>
    </row>
    <row r="99">
      <c r="A99" s="30" t="inlineStr">
        <is>
          <t>O0098</t>
        </is>
      </c>
      <c r="B99" s="30" t="inlineStr">
        <is>
          <t>F</t>
        </is>
      </c>
      <c r="C99" s="31" t="n">
        <v>1932</v>
      </c>
      <c r="D99" s="31" t="n">
        <v>3575.1</v>
      </c>
      <c r="E99" s="31" t="n">
        <v>3598.6</v>
      </c>
      <c r="F99" s="31" t="n">
        <v>3609.6</v>
      </c>
      <c r="G99" s="31" t="n">
        <v>3644.3</v>
      </c>
      <c r="H99" s="31" t="n">
        <v>3644.4</v>
      </c>
      <c r="I99" s="31" t="n">
        <v>3656.6</v>
      </c>
      <c r="J99" s="31" t="n">
        <v>3689.1</v>
      </c>
      <c r="K99" s="31" t="n">
        <v>1757.1</v>
      </c>
      <c r="L99" s="31" t="n">
        <v>1643.1</v>
      </c>
      <c r="M99" s="30" t="inlineStr">
        <is>
          <t>AMR2</t>
        </is>
      </c>
      <c r="N99" s="30" t="inlineStr">
        <is>
          <t>AMR2</t>
        </is>
      </c>
      <c r="O99" s="32" t="n">
        <v>1</v>
      </c>
      <c r="P99" s="32" t="n">
        <v>25</v>
      </c>
      <c r="Q99" s="32" t="n">
        <v>1</v>
      </c>
      <c r="R99" s="31" t="n">
        <v>65.8</v>
      </c>
      <c r="S99" s="31" t="n">
        <v>64.5</v>
      </c>
      <c r="T99" s="30" t="inlineStr">
        <is>
          <t>AMR3</t>
        </is>
      </c>
      <c r="U99" s="31" t="n">
        <v>45.4</v>
      </c>
      <c r="V99" s="31" t="n">
        <v>45.4</v>
      </c>
      <c r="W99" s="30" t="inlineStr">
        <is>
          <t>AMR2</t>
        </is>
      </c>
      <c r="X99" s="32" t="n">
        <v>1</v>
      </c>
      <c r="Y99" s="32" t="n">
        <v>9</v>
      </c>
      <c r="Z99" s="31" t="n">
        <v>1.3</v>
      </c>
      <c r="AA99" s="32" t="n">
        <v>0</v>
      </c>
      <c r="AB99" s="32" t="n">
        <v>0</v>
      </c>
      <c r="AC99" s="32" t="n">
        <v>0</v>
      </c>
      <c r="AD99" s="32" t="n">
        <v>0</v>
      </c>
      <c r="AE99" s="31" t="n">
        <v>0</v>
      </c>
      <c r="AF99" s="32" t="n">
        <v>0</v>
      </c>
      <c r="AG99" s="31" t="n">
        <v>0</v>
      </c>
      <c r="AH99" s="32" t="n">
        <v>72</v>
      </c>
      <c r="AI99" s="31" t="n">
        <v>70.59999999999999</v>
      </c>
      <c r="AJ99" s="31" t="n">
        <v>43.3</v>
      </c>
      <c r="AK99" s="31" t="n">
        <v>0</v>
      </c>
      <c r="AL99" s="30" t="inlineStr">
        <is>
          <t>T-0249</t>
        </is>
      </c>
      <c r="AM99" s="30" t="inlineStr">
        <is>
          <t>F-02-03</t>
        </is>
      </c>
      <c r="AN99" s="30" t="inlineStr">
        <is>
          <t>T-0084</t>
        </is>
      </c>
      <c r="AO99" s="30" t="inlineStr">
        <is>
          <t>F-04-02</t>
        </is>
      </c>
    </row>
    <row r="100">
      <c r="A100" s="30" t="inlineStr">
        <is>
          <t>O0099</t>
        </is>
      </c>
      <c r="B100" s="30" t="inlineStr">
        <is>
          <t>C</t>
        </is>
      </c>
      <c r="C100" s="31" t="n">
        <v>1949.7</v>
      </c>
      <c r="D100" s="31" t="n">
        <v>3313.1</v>
      </c>
      <c r="E100" s="31" t="n">
        <v>3345.3</v>
      </c>
      <c r="F100" s="31" t="n">
        <v>3358.4</v>
      </c>
      <c r="G100" s="31" t="n">
        <v>3377.8</v>
      </c>
      <c r="H100" s="31" t="n">
        <v>3549.2</v>
      </c>
      <c r="I100" s="31" t="n">
        <v>3574.6</v>
      </c>
      <c r="J100" s="31" t="n">
        <v>3600.4</v>
      </c>
      <c r="K100" s="31" t="n">
        <v>1650.7</v>
      </c>
      <c r="L100" s="31" t="n">
        <v>1363.4</v>
      </c>
      <c r="M100" s="30" t="inlineStr">
        <is>
          <t>AMR1</t>
        </is>
      </c>
      <c r="N100" s="30" t="inlineStr">
        <is>
          <t>AMR1</t>
        </is>
      </c>
      <c r="O100" s="32" t="n">
        <v>1</v>
      </c>
      <c r="P100" s="32" t="n">
        <v>20</v>
      </c>
      <c r="Q100" s="32" t="n">
        <v>16</v>
      </c>
      <c r="R100" s="31" t="n">
        <v>50.6</v>
      </c>
      <c r="S100" s="31" t="n">
        <v>50.6</v>
      </c>
      <c r="T100" s="30" t="inlineStr">
        <is>
          <t>AMR1</t>
        </is>
      </c>
      <c r="U100" s="31" t="n">
        <v>49.7</v>
      </c>
      <c r="V100" s="31" t="n">
        <v>49.7</v>
      </c>
      <c r="W100" s="30" t="inlineStr">
        <is>
          <t>AMR1</t>
        </is>
      </c>
      <c r="X100" s="32" t="n">
        <v>0</v>
      </c>
      <c r="Y100" s="32" t="n">
        <v>0</v>
      </c>
      <c r="Z100" s="31" t="n">
        <v>0</v>
      </c>
      <c r="AA100" s="32" t="n">
        <v>0</v>
      </c>
      <c r="AB100" s="32" t="n">
        <v>0</v>
      </c>
      <c r="AC100" s="32" t="n">
        <v>0</v>
      </c>
      <c r="AD100" s="32" t="n">
        <v>0</v>
      </c>
      <c r="AE100" s="31" t="n">
        <v>0</v>
      </c>
      <c r="AF100" s="32" t="n">
        <v>1</v>
      </c>
      <c r="AG100" s="31" t="n">
        <v>9</v>
      </c>
      <c r="AH100" s="32" t="n">
        <v>64</v>
      </c>
      <c r="AI100" s="31" t="n">
        <v>66.09999999999999</v>
      </c>
      <c r="AJ100" s="31" t="n">
        <v>35.8</v>
      </c>
      <c r="AK100" s="31" t="n">
        <v>14</v>
      </c>
      <c r="AL100" s="30" t="inlineStr">
        <is>
          <t>T-0243</t>
        </is>
      </c>
      <c r="AM100" s="30" t="inlineStr">
        <is>
          <t>C-02-02</t>
        </is>
      </c>
      <c r="AN100" s="30" t="inlineStr">
        <is>
          <t>T-0037</t>
        </is>
      </c>
      <c r="AO100" s="30" t="inlineStr">
        <is>
          <t>C-05-02</t>
        </is>
      </c>
    </row>
    <row r="101">
      <c r="A101" s="30" t="inlineStr">
        <is>
          <t>O0100</t>
        </is>
      </c>
      <c r="B101" s="30" t="inlineStr">
        <is>
          <t>H</t>
        </is>
      </c>
      <c r="C101" s="31" t="n">
        <v>1971.2</v>
      </c>
      <c r="D101" s="31" t="n">
        <v>3689.2</v>
      </c>
      <c r="E101" s="31" t="n">
        <v>3721.7</v>
      </c>
      <c r="F101" s="31" t="n">
        <v>3737.9</v>
      </c>
      <c r="G101" s="31" t="n">
        <v>3763.7</v>
      </c>
      <c r="H101" s="31" t="n">
        <v>3763.8</v>
      </c>
      <c r="I101" s="31" t="n">
        <v>3773.1</v>
      </c>
      <c r="J101" s="31" t="n">
        <v>3804.1</v>
      </c>
      <c r="K101" s="31" t="n">
        <v>1832.9</v>
      </c>
      <c r="L101" s="31" t="n">
        <v>1718</v>
      </c>
      <c r="M101" s="30" t="inlineStr">
        <is>
          <t>AMR2</t>
        </is>
      </c>
      <c r="N101" s="30" t="inlineStr">
        <is>
          <t>AMR2</t>
        </is>
      </c>
      <c r="O101" s="32" t="n">
        <v>1</v>
      </c>
      <c r="P101" s="32" t="n">
        <v>25</v>
      </c>
      <c r="Q101" s="32" t="n">
        <v>1</v>
      </c>
      <c r="R101" s="31" t="n">
        <v>63.7</v>
      </c>
      <c r="S101" s="31" t="n">
        <v>63.7</v>
      </c>
      <c r="T101" s="30" t="inlineStr">
        <is>
          <t>AMR2</t>
        </is>
      </c>
      <c r="U101" s="31" t="n">
        <v>36.5</v>
      </c>
      <c r="V101" s="31" t="n">
        <v>36.5</v>
      </c>
      <c r="W101" s="30" t="inlineStr">
        <is>
          <t>AMR2</t>
        </is>
      </c>
      <c r="X101" s="32" t="n">
        <v>0</v>
      </c>
      <c r="Y101" s="32" t="n">
        <v>0</v>
      </c>
      <c r="Z101" s="31" t="n">
        <v>0</v>
      </c>
      <c r="AA101" s="32" t="n">
        <v>0</v>
      </c>
      <c r="AB101" s="32" t="n">
        <v>0</v>
      </c>
      <c r="AC101" s="32" t="n">
        <v>0</v>
      </c>
      <c r="AD101" s="32" t="n">
        <v>1</v>
      </c>
      <c r="AE101" s="31" t="n">
        <v>5</v>
      </c>
      <c r="AF101" s="32" t="n">
        <v>1</v>
      </c>
      <c r="AG101" s="31" t="n">
        <v>4</v>
      </c>
      <c r="AH101" s="32" t="n">
        <v>52</v>
      </c>
      <c r="AI101" s="31" t="n">
        <v>54.2</v>
      </c>
      <c r="AJ101" s="31" t="n">
        <v>46.6</v>
      </c>
      <c r="AK101" s="31" t="n">
        <v>14</v>
      </c>
      <c r="AL101" s="30" t="inlineStr">
        <is>
          <t>T-0253</t>
        </is>
      </c>
      <c r="AM101" s="30" t="inlineStr">
        <is>
          <t>H-01-01</t>
        </is>
      </c>
      <c r="AN101" s="30" t="inlineStr">
        <is>
          <t>T-0114</t>
        </is>
      </c>
      <c r="AO101" s="30" t="inlineStr">
        <is>
          <t>H-02-03</t>
        </is>
      </c>
    </row>
    <row r="102">
      <c r="A102" s="30" t="inlineStr">
        <is>
          <t>O0101</t>
        </is>
      </c>
      <c r="B102" s="30" t="inlineStr">
        <is>
          <t>B</t>
        </is>
      </c>
      <c r="C102" s="31" t="n">
        <v>1995.4</v>
      </c>
      <c r="D102" s="31" t="n">
        <v>3621</v>
      </c>
      <c r="E102" s="31" t="n">
        <v>3647.5</v>
      </c>
      <c r="F102" s="31" t="n">
        <v>3660.4</v>
      </c>
      <c r="G102" s="31" t="n">
        <v>3685.2</v>
      </c>
      <c r="H102" s="31" t="n">
        <v>3779.6</v>
      </c>
      <c r="I102" s="31" t="n">
        <v>3789.4</v>
      </c>
      <c r="J102" s="31" t="n">
        <v>3824.2</v>
      </c>
      <c r="K102" s="31" t="n">
        <v>1828.8</v>
      </c>
      <c r="L102" s="31" t="n">
        <v>1625.6</v>
      </c>
      <c r="M102" s="30" t="inlineStr">
        <is>
          <t>AMR3</t>
        </is>
      </c>
      <c r="N102" s="30" t="inlineStr">
        <is>
          <t>AMR1</t>
        </is>
      </c>
      <c r="O102" s="32" t="n">
        <v>1</v>
      </c>
      <c r="P102" s="32" t="n">
        <v>25</v>
      </c>
      <c r="Q102" s="32" t="n">
        <v>1</v>
      </c>
      <c r="R102" s="31" t="n">
        <v>60.1</v>
      </c>
      <c r="S102" s="31" t="n">
        <v>60.1</v>
      </c>
      <c r="T102" s="30" t="inlineStr">
        <is>
          <t>AMR3</t>
        </is>
      </c>
      <c r="U102" s="31" t="n">
        <v>37.2</v>
      </c>
      <c r="V102" s="31" t="n">
        <v>37.2</v>
      </c>
      <c r="W102" s="30" t="inlineStr">
        <is>
          <t>AMR1</t>
        </is>
      </c>
      <c r="X102" s="32" t="n">
        <v>0</v>
      </c>
      <c r="Y102" s="32" t="n">
        <v>0</v>
      </c>
      <c r="Z102" s="31" t="n">
        <v>0</v>
      </c>
      <c r="AA102" s="32" t="n">
        <v>0</v>
      </c>
      <c r="AB102" s="32" t="n">
        <v>0</v>
      </c>
      <c r="AC102" s="32" t="n">
        <v>0</v>
      </c>
      <c r="AD102" s="32" t="n">
        <v>2</v>
      </c>
      <c r="AE102" s="31" t="n">
        <v>7.1</v>
      </c>
      <c r="AF102" s="32" t="n">
        <v>0</v>
      </c>
      <c r="AG102" s="31" t="n">
        <v>0</v>
      </c>
      <c r="AH102" s="32" t="n">
        <v>57</v>
      </c>
      <c r="AI102" s="31" t="n">
        <v>58.2</v>
      </c>
      <c r="AJ102" s="31" t="n">
        <v>40.5</v>
      </c>
      <c r="AK102" s="31" t="n">
        <v>10.1</v>
      </c>
      <c r="AL102" s="30" t="inlineStr">
        <is>
          <t>T-0251</t>
        </is>
      </c>
      <c r="AM102" s="30" t="inlineStr">
        <is>
          <t>B-06-02</t>
        </is>
      </c>
      <c r="AN102" s="30" t="inlineStr">
        <is>
          <t>T-0029</t>
        </is>
      </c>
      <c r="AO102" s="30" t="inlineStr">
        <is>
          <t>B-03-05</t>
        </is>
      </c>
    </row>
    <row r="103">
      <c r="A103" s="30" t="inlineStr">
        <is>
          <t>O0102</t>
        </is>
      </c>
      <c r="B103" s="30" t="inlineStr">
        <is>
          <t>J</t>
        </is>
      </c>
      <c r="C103" s="31" t="n">
        <v>2015</v>
      </c>
      <c r="D103" s="31" t="n">
        <v>4126.7</v>
      </c>
      <c r="E103" s="31" t="n">
        <v>4150.2</v>
      </c>
      <c r="F103" s="31" t="n">
        <v>4164.2</v>
      </c>
      <c r="G103" s="31" t="n">
        <v>4197.3</v>
      </c>
      <c r="H103" s="31" t="n">
        <v>4197.4</v>
      </c>
      <c r="I103" s="31" t="n">
        <v>4208.2</v>
      </c>
      <c r="J103" s="31" t="n">
        <v>4239.2</v>
      </c>
      <c r="K103" s="31" t="n">
        <v>2224.2</v>
      </c>
      <c r="L103" s="31" t="n">
        <v>2111.7</v>
      </c>
      <c r="M103" s="30" t="inlineStr">
        <is>
          <t>AMR3</t>
        </is>
      </c>
      <c r="N103" s="30" t="inlineStr">
        <is>
          <t>AMR3</t>
        </is>
      </c>
      <c r="O103" s="32" t="n">
        <v>1</v>
      </c>
      <c r="P103" s="32" t="n">
        <v>25</v>
      </c>
      <c r="Q103" s="32" t="n">
        <v>0</v>
      </c>
      <c r="R103" s="31" t="n">
        <v>68</v>
      </c>
      <c r="S103" s="31" t="n">
        <v>68</v>
      </c>
      <c r="T103" s="30" t="inlineStr">
        <is>
          <t>AMR3</t>
        </is>
      </c>
      <c r="U103" s="31" t="n">
        <v>40</v>
      </c>
      <c r="V103" s="31" t="n">
        <v>40</v>
      </c>
      <c r="W103" s="30" t="inlineStr">
        <is>
          <t>AMR3</t>
        </is>
      </c>
      <c r="X103" s="32" t="n">
        <v>0</v>
      </c>
      <c r="Y103" s="32" t="n">
        <v>0</v>
      </c>
      <c r="Z103" s="31" t="n">
        <v>0</v>
      </c>
      <c r="AA103" s="32" t="n">
        <v>0</v>
      </c>
      <c r="AB103" s="32" t="n">
        <v>0</v>
      </c>
      <c r="AC103" s="32" t="n">
        <v>0</v>
      </c>
      <c r="AD103" s="32" t="n">
        <v>0</v>
      </c>
      <c r="AE103" s="31" t="n">
        <v>0</v>
      </c>
      <c r="AF103" s="32" t="n">
        <v>0</v>
      </c>
      <c r="AG103" s="31" t="n">
        <v>0</v>
      </c>
      <c r="AH103" s="32" t="n">
        <v>68</v>
      </c>
      <c r="AI103" s="31" t="n">
        <v>68.40000000000001</v>
      </c>
      <c r="AJ103" s="31" t="n">
        <v>44</v>
      </c>
      <c r="AK103" s="31" t="n">
        <v>0</v>
      </c>
      <c r="AL103" s="30" t="inlineStr">
        <is>
          <t>T-0265</t>
        </is>
      </c>
      <c r="AM103" s="30" t="inlineStr">
        <is>
          <t>J-03-02</t>
        </is>
      </c>
      <c r="AN103" s="30" t="inlineStr">
        <is>
          <t>T-0144</t>
        </is>
      </c>
      <c r="AO103" s="30" t="inlineStr">
        <is>
          <t>J-04-04</t>
        </is>
      </c>
    </row>
    <row r="104">
      <c r="A104" s="30" t="inlineStr">
        <is>
          <t>O0103</t>
        </is>
      </c>
      <c r="B104" s="30" t="inlineStr">
        <is>
          <t>D</t>
        </is>
      </c>
      <c r="C104" s="31" t="n">
        <v>2030.8</v>
      </c>
      <c r="D104" s="31" t="n">
        <v>3600.5</v>
      </c>
      <c r="E104" s="31" t="n">
        <v>3624</v>
      </c>
      <c r="F104" s="31" t="n">
        <v>3637.4</v>
      </c>
      <c r="G104" s="31" t="n">
        <v>3658.3</v>
      </c>
      <c r="H104" s="31" t="n">
        <v>4077.1</v>
      </c>
      <c r="I104" s="31" t="n">
        <v>4093.5</v>
      </c>
      <c r="J104" s="31" t="n">
        <v>4126.6</v>
      </c>
      <c r="K104" s="31" t="n">
        <v>2095.8</v>
      </c>
      <c r="L104" s="31" t="n">
        <v>1569.7</v>
      </c>
      <c r="M104" s="30" t="inlineStr">
        <is>
          <t>AMR1</t>
        </is>
      </c>
      <c r="N104" s="30" t="inlineStr">
        <is>
          <t>AMR3</t>
        </is>
      </c>
      <c r="O104" s="32" t="n">
        <v>1</v>
      </c>
      <c r="P104" s="32" t="n">
        <v>25</v>
      </c>
      <c r="Q104" s="32" t="n">
        <v>5</v>
      </c>
      <c r="R104" s="31" t="n">
        <v>54.3</v>
      </c>
      <c r="S104" s="31" t="n">
        <v>54.3</v>
      </c>
      <c r="T104" s="30" t="inlineStr">
        <is>
          <t>AMR1</t>
        </is>
      </c>
      <c r="U104" s="31" t="n">
        <v>49</v>
      </c>
      <c r="V104" s="31" t="n">
        <v>49</v>
      </c>
      <c r="W104" s="30" t="inlineStr">
        <is>
          <t>AMR3</t>
        </is>
      </c>
      <c r="X104" s="32" t="n">
        <v>0</v>
      </c>
      <c r="Y104" s="32" t="n">
        <v>0</v>
      </c>
      <c r="Z104" s="31" t="n">
        <v>0</v>
      </c>
      <c r="AA104" s="32" t="n">
        <v>0</v>
      </c>
      <c r="AB104" s="32" t="n">
        <v>0</v>
      </c>
      <c r="AC104" s="32" t="n">
        <v>0</v>
      </c>
      <c r="AD104" s="32" t="n">
        <v>0</v>
      </c>
      <c r="AE104" s="31" t="n">
        <v>0</v>
      </c>
      <c r="AF104" s="32" t="n">
        <v>0</v>
      </c>
      <c r="AG104" s="31" t="n">
        <v>0</v>
      </c>
      <c r="AH104" s="32" t="n">
        <v>60</v>
      </c>
      <c r="AI104" s="31" t="n">
        <v>61.6</v>
      </c>
      <c r="AJ104" s="31" t="n">
        <v>45.7</v>
      </c>
      <c r="AK104" s="31" t="n">
        <v>0</v>
      </c>
      <c r="AL104" s="30" t="inlineStr">
        <is>
          <t>T-0250</t>
        </is>
      </c>
      <c r="AM104" s="30" t="inlineStr">
        <is>
          <t>D-04-03</t>
        </is>
      </c>
      <c r="AN104" s="30" t="inlineStr">
        <is>
          <t>T-0058</t>
        </is>
      </c>
      <c r="AO104" s="30" t="inlineStr">
        <is>
          <t>D-06-02</t>
        </is>
      </c>
    </row>
    <row r="105">
      <c r="A105" s="30" t="inlineStr">
        <is>
          <t>O0104</t>
        </is>
      </c>
      <c r="B105" s="30" t="inlineStr">
        <is>
          <t>F</t>
        </is>
      </c>
      <c r="C105" s="31" t="n">
        <v>2048.4</v>
      </c>
      <c r="D105" s="31" t="n">
        <v>3890.4</v>
      </c>
      <c r="E105" s="31" t="n">
        <v>3913.9</v>
      </c>
      <c r="F105" s="31" t="n">
        <v>3926.6</v>
      </c>
      <c r="G105" s="31" t="n">
        <v>3959.7</v>
      </c>
      <c r="H105" s="31" t="n">
        <v>4214.6</v>
      </c>
      <c r="I105" s="31" t="n">
        <v>4226.7</v>
      </c>
      <c r="J105" s="31" t="n">
        <v>4264.3</v>
      </c>
      <c r="K105" s="31" t="n">
        <v>2215.9</v>
      </c>
      <c r="L105" s="31" t="n">
        <v>1842</v>
      </c>
      <c r="M105" s="30" t="inlineStr">
        <is>
          <t>AMR3</t>
        </is>
      </c>
      <c r="N105" s="30" t="inlineStr">
        <is>
          <t>AMR2</t>
        </is>
      </c>
      <c r="O105" s="32" t="n">
        <v>1</v>
      </c>
      <c r="P105" s="32" t="n">
        <v>25</v>
      </c>
      <c r="Q105" s="32" t="n">
        <v>2</v>
      </c>
      <c r="R105" s="31" t="n">
        <v>66.7</v>
      </c>
      <c r="S105" s="31" t="n">
        <v>66.40000000000001</v>
      </c>
      <c r="T105" s="30" t="inlineStr">
        <is>
          <t>AMR1</t>
        </is>
      </c>
      <c r="U105" s="31" t="n">
        <v>47.9</v>
      </c>
      <c r="V105" s="31" t="n">
        <v>47.9</v>
      </c>
      <c r="W105" s="30" t="inlineStr">
        <is>
          <t>AMR2</t>
        </is>
      </c>
      <c r="X105" s="32" t="n">
        <v>1</v>
      </c>
      <c r="Y105" s="32" t="n">
        <v>11</v>
      </c>
      <c r="Z105" s="31" t="n">
        <v>0.3</v>
      </c>
      <c r="AA105" s="32" t="n">
        <v>0</v>
      </c>
      <c r="AB105" s="32" t="n">
        <v>0</v>
      </c>
      <c r="AC105" s="32" t="n">
        <v>0</v>
      </c>
      <c r="AD105" s="32" t="n">
        <v>1</v>
      </c>
      <c r="AE105" s="31" t="n">
        <v>3</v>
      </c>
      <c r="AF105" s="32" t="n">
        <v>0</v>
      </c>
      <c r="AG105" s="31" t="n">
        <v>0</v>
      </c>
      <c r="AH105" s="32" t="n">
        <v>70</v>
      </c>
      <c r="AI105" s="31" t="n">
        <v>70</v>
      </c>
      <c r="AJ105" s="31" t="n">
        <v>46</v>
      </c>
      <c r="AK105" s="31" t="n">
        <v>3</v>
      </c>
      <c r="AL105" s="30" t="inlineStr">
        <is>
          <t>T-0258</t>
        </is>
      </c>
      <c r="AM105" s="30" t="inlineStr">
        <is>
          <t>F-03-03</t>
        </is>
      </c>
      <c r="AN105" s="30" t="inlineStr">
        <is>
          <t>T-0086</t>
        </is>
      </c>
      <c r="AO105" s="30" t="inlineStr">
        <is>
          <t>F-04-05</t>
        </is>
      </c>
    </row>
    <row r="106">
      <c r="A106" s="30" t="inlineStr">
        <is>
          <t>O0105</t>
        </is>
      </c>
      <c r="B106" s="30" t="inlineStr">
        <is>
          <t>F</t>
        </is>
      </c>
      <c r="C106" s="31" t="n">
        <v>2072.2</v>
      </c>
      <c r="D106" s="31" t="n">
        <v>3685.3</v>
      </c>
      <c r="E106" s="31" t="n">
        <v>3698</v>
      </c>
      <c r="F106" s="31" t="n">
        <v>3709.1</v>
      </c>
      <c r="G106" s="31" t="n">
        <v>3740.8</v>
      </c>
      <c r="H106" s="31" t="n">
        <v>3959.8</v>
      </c>
      <c r="I106" s="31" t="n">
        <v>3970.5</v>
      </c>
      <c r="J106" s="31" t="n">
        <v>4000.7</v>
      </c>
      <c r="K106" s="31" t="n">
        <v>1928.5</v>
      </c>
      <c r="L106" s="31" t="n">
        <v>1613.1</v>
      </c>
      <c r="M106" s="30" t="inlineStr">
        <is>
          <t>AMR3</t>
        </is>
      </c>
      <c r="N106" s="30" t="inlineStr">
        <is>
          <t>AMR3</t>
        </is>
      </c>
      <c r="O106" s="32" t="n">
        <v>1</v>
      </c>
      <c r="P106" s="32" t="n">
        <v>13</v>
      </c>
      <c r="Q106" s="32" t="n">
        <v>0</v>
      </c>
      <c r="R106" s="31" t="n">
        <v>54.9</v>
      </c>
      <c r="S106" s="31" t="n">
        <v>54.9</v>
      </c>
      <c r="T106" s="30" t="inlineStr">
        <is>
          <t>AMR3</t>
        </is>
      </c>
      <c r="U106" s="31" t="n">
        <v>41.7</v>
      </c>
      <c r="V106" s="31" t="n">
        <v>41.7</v>
      </c>
      <c r="W106" s="30" t="inlineStr">
        <is>
          <t>AMR3</t>
        </is>
      </c>
      <c r="X106" s="32" t="n">
        <v>0</v>
      </c>
      <c r="Y106" s="32" t="n">
        <v>0</v>
      </c>
      <c r="Z106" s="31" t="n">
        <v>0</v>
      </c>
      <c r="AA106" s="32" t="n">
        <v>0</v>
      </c>
      <c r="AB106" s="32" t="n">
        <v>0</v>
      </c>
      <c r="AC106" s="32" t="n">
        <v>0</v>
      </c>
      <c r="AD106" s="32" t="n">
        <v>0</v>
      </c>
      <c r="AE106" s="31" t="n">
        <v>0</v>
      </c>
      <c r="AF106" s="32" t="n">
        <v>0</v>
      </c>
      <c r="AG106" s="31" t="n">
        <v>0</v>
      </c>
      <c r="AH106" s="32" t="n">
        <v>57</v>
      </c>
      <c r="AI106" s="31" t="n">
        <v>57.4</v>
      </c>
      <c r="AJ106" s="31" t="n">
        <v>39</v>
      </c>
      <c r="AK106" s="31" t="n">
        <v>0</v>
      </c>
      <c r="AL106" s="30" t="inlineStr">
        <is>
          <t>T-0252</t>
        </is>
      </c>
      <c r="AM106" s="30" t="inlineStr">
        <is>
          <t>F-04-02</t>
        </is>
      </c>
      <c r="AN106" s="30" t="inlineStr">
        <is>
          <t>T-0085</t>
        </is>
      </c>
      <c r="AO106" s="30" t="inlineStr">
        <is>
          <t>F-06-02</t>
        </is>
      </c>
    </row>
    <row r="107">
      <c r="A107" s="30" t="inlineStr">
        <is>
          <t>O0106</t>
        </is>
      </c>
      <c r="B107" s="30" t="inlineStr">
        <is>
          <t>I</t>
        </is>
      </c>
      <c r="C107" s="31" t="n">
        <v>2088.8</v>
      </c>
      <c r="D107" s="31" t="n">
        <v>3788.7</v>
      </c>
      <c r="E107" s="31" t="n">
        <v>3812.2</v>
      </c>
      <c r="F107" s="31" t="n">
        <v>3825</v>
      </c>
      <c r="G107" s="31" t="n">
        <v>3851.7</v>
      </c>
      <c r="H107" s="31" t="n">
        <v>3851.8</v>
      </c>
      <c r="I107" s="31" t="n">
        <v>3863.3</v>
      </c>
      <c r="J107" s="31" t="n">
        <v>3890.3</v>
      </c>
      <c r="K107" s="31" t="n">
        <v>1801.5</v>
      </c>
      <c r="L107" s="31" t="n">
        <v>1699.9</v>
      </c>
      <c r="M107" s="30" t="inlineStr">
        <is>
          <t>AMR3</t>
        </is>
      </c>
      <c r="N107" s="30" t="inlineStr">
        <is>
          <t>AMR3</t>
        </is>
      </c>
      <c r="O107" s="32" t="n">
        <v>1</v>
      </c>
      <c r="P107" s="32" t="n">
        <v>25</v>
      </c>
      <c r="Q107" s="32" t="n">
        <v>1</v>
      </c>
      <c r="R107" s="31" t="n">
        <v>61.2</v>
      </c>
      <c r="S107" s="31" t="n">
        <v>61.2</v>
      </c>
      <c r="T107" s="30" t="inlineStr">
        <is>
          <t>AMR3</t>
        </is>
      </c>
      <c r="U107" s="31" t="n">
        <v>40.2</v>
      </c>
      <c r="V107" s="31" t="n">
        <v>40.2</v>
      </c>
      <c r="W107" s="30" t="inlineStr">
        <is>
          <t>AMR3</t>
        </is>
      </c>
      <c r="X107" s="32" t="n">
        <v>0</v>
      </c>
      <c r="Y107" s="32" t="n">
        <v>0</v>
      </c>
      <c r="Z107" s="31" t="n">
        <v>0</v>
      </c>
      <c r="AA107" s="32" t="n">
        <v>0</v>
      </c>
      <c r="AB107" s="32" t="n">
        <v>0</v>
      </c>
      <c r="AC107" s="32" t="n">
        <v>0</v>
      </c>
      <c r="AD107" s="32" t="n">
        <v>0</v>
      </c>
      <c r="AE107" s="31" t="n">
        <v>0</v>
      </c>
      <c r="AF107" s="32" t="n">
        <v>0</v>
      </c>
      <c r="AG107" s="31" t="n">
        <v>0</v>
      </c>
      <c r="AH107" s="32" t="n">
        <v>52</v>
      </c>
      <c r="AI107" s="31" t="n">
        <v>54.2</v>
      </c>
      <c r="AJ107" s="31" t="n">
        <v>47.3</v>
      </c>
      <c r="AK107" s="31" t="n">
        <v>0</v>
      </c>
      <c r="AL107" s="30" t="inlineStr">
        <is>
          <t>T-0255</t>
        </is>
      </c>
      <c r="AM107" s="30" t="inlineStr">
        <is>
          <t>I-01-01</t>
        </is>
      </c>
      <c r="AN107" s="30" t="inlineStr">
        <is>
          <t>T-0158</t>
        </is>
      </c>
      <c r="AO107" s="30" t="inlineStr">
        <is>
          <t>I-02-01</t>
        </is>
      </c>
    </row>
    <row r="108">
      <c r="A108" s="30" t="inlineStr">
        <is>
          <t>O0107</t>
        </is>
      </c>
      <c r="B108" s="30" t="inlineStr">
        <is>
          <t>I</t>
        </is>
      </c>
      <c r="C108" s="31" t="n">
        <v>2106.8</v>
      </c>
      <c r="D108" s="31" t="n">
        <v>3997.7</v>
      </c>
      <c r="E108" s="31" t="n">
        <v>4010</v>
      </c>
      <c r="F108" s="31" t="n">
        <v>4024.8</v>
      </c>
      <c r="G108" s="31" t="n">
        <v>4052.9</v>
      </c>
      <c r="H108" s="31" t="n">
        <v>4053</v>
      </c>
      <c r="I108" s="31" t="n">
        <v>4064.9</v>
      </c>
      <c r="J108" s="31" t="n">
        <v>4088.9</v>
      </c>
      <c r="K108" s="31" t="n">
        <v>1982.1</v>
      </c>
      <c r="L108" s="31" t="n">
        <v>1890.9</v>
      </c>
      <c r="M108" s="30" t="inlineStr">
        <is>
          <t>AMR1</t>
        </is>
      </c>
      <c r="N108" s="30" t="inlineStr">
        <is>
          <t>AMR1</t>
        </is>
      </c>
      <c r="O108" s="32" t="n">
        <v>1</v>
      </c>
      <c r="P108" s="32" t="n">
        <v>13</v>
      </c>
      <c r="Q108" s="32" t="n">
        <v>1</v>
      </c>
      <c r="R108" s="31" t="n">
        <v>52.8</v>
      </c>
      <c r="S108" s="31" t="n">
        <v>52.8</v>
      </c>
      <c r="T108" s="30" t="inlineStr">
        <is>
          <t>AMR1</t>
        </is>
      </c>
      <c r="U108" s="31" t="n">
        <v>35.5</v>
      </c>
      <c r="V108" s="31" t="n">
        <v>35.5</v>
      </c>
      <c r="W108" s="30" t="inlineStr">
        <is>
          <t>AMR1</t>
        </is>
      </c>
      <c r="X108" s="32" t="n">
        <v>0</v>
      </c>
      <c r="Y108" s="32" t="n">
        <v>0</v>
      </c>
      <c r="Z108" s="31" t="n">
        <v>0</v>
      </c>
      <c r="AA108" s="32" t="n">
        <v>0</v>
      </c>
      <c r="AB108" s="32" t="n">
        <v>0</v>
      </c>
      <c r="AC108" s="32" t="n">
        <v>0</v>
      </c>
      <c r="AD108" s="32" t="n">
        <v>0</v>
      </c>
      <c r="AE108" s="31" t="n">
        <v>0</v>
      </c>
      <c r="AF108" s="32" t="n">
        <v>0</v>
      </c>
      <c r="AG108" s="31" t="n">
        <v>0</v>
      </c>
      <c r="AH108" s="32" t="n">
        <v>44</v>
      </c>
      <c r="AI108" s="31" t="n">
        <v>46.7</v>
      </c>
      <c r="AJ108" s="31" t="n">
        <v>44.4</v>
      </c>
      <c r="AK108" s="31" t="n">
        <v>0</v>
      </c>
      <c r="AL108" s="30" t="inlineStr">
        <is>
          <t>T-0261</t>
        </is>
      </c>
      <c r="AM108" s="30" t="inlineStr">
        <is>
          <t>I-04-01</t>
        </is>
      </c>
      <c r="AN108" s="30" t="inlineStr">
        <is>
          <t>T-0174</t>
        </is>
      </c>
      <c r="AO108" s="30" t="inlineStr">
        <is>
          <t>I-03-01</t>
        </is>
      </c>
    </row>
    <row r="109">
      <c r="A109" s="30" t="inlineStr">
        <is>
          <t>O0108</t>
        </is>
      </c>
      <c r="B109" s="30" t="inlineStr">
        <is>
          <t>I</t>
        </is>
      </c>
      <c r="C109" s="31" t="n">
        <v>2128.5</v>
      </c>
      <c r="D109" s="31" t="n">
        <v>3919.1</v>
      </c>
      <c r="E109" s="31" t="n">
        <v>3942.6</v>
      </c>
      <c r="F109" s="31" t="n">
        <v>3953.7</v>
      </c>
      <c r="G109" s="31" t="n">
        <v>3980</v>
      </c>
      <c r="H109" s="31" t="n">
        <v>3980.1</v>
      </c>
      <c r="I109" s="31" t="n">
        <v>3990.7</v>
      </c>
      <c r="J109" s="31" t="n">
        <v>4022</v>
      </c>
      <c r="K109" s="31" t="n">
        <v>1893.5</v>
      </c>
      <c r="L109" s="31" t="n">
        <v>1790.6</v>
      </c>
      <c r="M109" s="30" t="inlineStr">
        <is>
          <t>AMR2</t>
        </is>
      </c>
      <c r="N109" s="30" t="inlineStr">
        <is>
          <t>AMR2</t>
        </is>
      </c>
      <c r="O109" s="32" t="n">
        <v>1</v>
      </c>
      <c r="P109" s="32" t="n">
        <v>25</v>
      </c>
      <c r="Q109" s="32" t="n">
        <v>1</v>
      </c>
      <c r="R109" s="31" t="n">
        <v>59.1</v>
      </c>
      <c r="S109" s="31" t="n">
        <v>59.1</v>
      </c>
      <c r="T109" s="30" t="inlineStr">
        <is>
          <t>AMR2</t>
        </is>
      </c>
      <c r="U109" s="31" t="n">
        <v>32.5</v>
      </c>
      <c r="V109" s="31" t="n">
        <v>32.5</v>
      </c>
      <c r="W109" s="30" t="inlineStr">
        <is>
          <t>AMR2</t>
        </is>
      </c>
      <c r="X109" s="32" t="n">
        <v>0</v>
      </c>
      <c r="Y109" s="32" t="n">
        <v>0</v>
      </c>
      <c r="Z109" s="31" t="n">
        <v>0</v>
      </c>
      <c r="AA109" s="32" t="n">
        <v>0</v>
      </c>
      <c r="AB109" s="32" t="n">
        <v>0</v>
      </c>
      <c r="AC109" s="32" t="n">
        <v>0</v>
      </c>
      <c r="AD109" s="32" t="n">
        <v>1</v>
      </c>
      <c r="AE109" s="31" t="n">
        <v>6.6</v>
      </c>
      <c r="AF109" s="32" t="n">
        <v>1</v>
      </c>
      <c r="AG109" s="31" t="n">
        <v>1.6</v>
      </c>
      <c r="AH109" s="32" t="n">
        <v>56</v>
      </c>
      <c r="AI109" s="31" t="n">
        <v>58.7</v>
      </c>
      <c r="AJ109" s="31" t="n">
        <v>37.5</v>
      </c>
      <c r="AK109" s="31" t="n">
        <v>6.6</v>
      </c>
      <c r="AL109" s="30" t="inlineStr">
        <is>
          <t>T-0259</t>
        </is>
      </c>
      <c r="AM109" s="30" t="inlineStr">
        <is>
          <t>I-02-01</t>
        </is>
      </c>
      <c r="AN109" s="30" t="inlineStr">
        <is>
          <t>T-0162</t>
        </is>
      </c>
      <c r="AO109" s="30" t="inlineStr">
        <is>
          <t>I-04-01</t>
        </is>
      </c>
    </row>
    <row r="110">
      <c r="A110" s="30" t="inlineStr">
        <is>
          <t>O0109</t>
        </is>
      </c>
      <c r="B110" s="30" t="inlineStr">
        <is>
          <t>B</t>
        </is>
      </c>
      <c r="C110" s="31" t="n">
        <v>2152.8</v>
      </c>
      <c r="D110" s="31" t="n">
        <v>3824.3</v>
      </c>
      <c r="E110" s="31" t="n">
        <v>3860.8</v>
      </c>
      <c r="F110" s="31" t="n">
        <v>3875.9</v>
      </c>
      <c r="G110" s="31" t="n">
        <v>3898.9</v>
      </c>
      <c r="H110" s="31" t="n">
        <v>4333.3</v>
      </c>
      <c r="I110" s="31" t="n">
        <v>4351.7</v>
      </c>
      <c r="J110" s="31" t="n">
        <v>4386.1</v>
      </c>
      <c r="K110" s="31" t="n">
        <v>2233.3</v>
      </c>
      <c r="L110" s="31" t="n">
        <v>1671.5</v>
      </c>
      <c r="M110" s="30" t="inlineStr">
        <is>
          <t>AMR1</t>
        </is>
      </c>
      <c r="N110" s="30" t="inlineStr">
        <is>
          <t>AMR2</t>
        </is>
      </c>
      <c r="O110" s="32" t="n">
        <v>1</v>
      </c>
      <c r="P110" s="32" t="n">
        <v>25</v>
      </c>
      <c r="Q110" s="32" t="n">
        <v>7</v>
      </c>
      <c r="R110" s="31" t="n">
        <v>59.7</v>
      </c>
      <c r="S110" s="31" t="n">
        <v>59.7</v>
      </c>
      <c r="T110" s="30" t="inlineStr">
        <is>
          <t>AMR1</t>
        </is>
      </c>
      <c r="U110" s="31" t="n">
        <v>49.7</v>
      </c>
      <c r="V110" s="31" t="n">
        <v>49.7</v>
      </c>
      <c r="W110" s="30" t="inlineStr">
        <is>
          <t>AMR2</t>
        </is>
      </c>
      <c r="X110" s="32" t="n">
        <v>0</v>
      </c>
      <c r="Y110" s="32" t="n">
        <v>0</v>
      </c>
      <c r="Z110" s="31" t="n">
        <v>0</v>
      </c>
      <c r="AA110" s="32" t="n">
        <v>0</v>
      </c>
      <c r="AB110" s="32" t="n">
        <v>0</v>
      </c>
      <c r="AC110" s="32" t="n">
        <v>0</v>
      </c>
      <c r="AD110" s="32" t="n">
        <v>1</v>
      </c>
      <c r="AE110" s="31" t="n">
        <v>2.6</v>
      </c>
      <c r="AF110" s="32" t="n">
        <v>1</v>
      </c>
      <c r="AG110" s="31" t="n">
        <v>8</v>
      </c>
      <c r="AH110" s="32" t="n">
        <v>64</v>
      </c>
      <c r="AI110" s="31" t="n">
        <v>64.59999999999999</v>
      </c>
      <c r="AJ110" s="31" t="n">
        <v>47.2</v>
      </c>
      <c r="AK110" s="31" t="n">
        <v>15.6</v>
      </c>
      <c r="AL110" s="30" t="inlineStr">
        <is>
          <t>T-0257</t>
        </is>
      </c>
      <c r="AM110" s="30" t="inlineStr">
        <is>
          <t>B-05-03</t>
        </is>
      </c>
      <c r="AN110" s="30" t="inlineStr">
        <is>
          <t>T-0151</t>
        </is>
      </c>
      <c r="AO110" s="30" t="inlineStr">
        <is>
          <t>B-01-01</t>
        </is>
      </c>
    </row>
    <row r="111">
      <c r="A111" s="30" t="inlineStr">
        <is>
          <t>O0110</t>
        </is>
      </c>
      <c r="B111" s="30" t="inlineStr">
        <is>
          <t>B</t>
        </is>
      </c>
      <c r="C111" s="31" t="n">
        <v>2170.4</v>
      </c>
      <c r="D111" s="31" t="n">
        <v>3714.6</v>
      </c>
      <c r="E111" s="31" t="n">
        <v>3746.1</v>
      </c>
      <c r="F111" s="31" t="n">
        <v>3756.9</v>
      </c>
      <c r="G111" s="31" t="n">
        <v>3779.5</v>
      </c>
      <c r="H111" s="31" t="n">
        <v>3899</v>
      </c>
      <c r="I111" s="31" t="n">
        <v>3913.3</v>
      </c>
      <c r="J111" s="31" t="n">
        <v>3939.7</v>
      </c>
      <c r="K111" s="31" t="n">
        <v>1769.3</v>
      </c>
      <c r="L111" s="31" t="n">
        <v>1544.2</v>
      </c>
      <c r="M111" s="30" t="inlineStr">
        <is>
          <t>AMR1</t>
        </is>
      </c>
      <c r="N111" s="30" t="inlineStr">
        <is>
          <t>AMR1</t>
        </is>
      </c>
      <c r="O111" s="32" t="n">
        <v>1</v>
      </c>
      <c r="P111" s="32" t="n">
        <v>25</v>
      </c>
      <c r="Q111" s="32" t="n">
        <v>1</v>
      </c>
      <c r="R111" s="31" t="n">
        <v>55</v>
      </c>
      <c r="S111" s="31" t="n">
        <v>55</v>
      </c>
      <c r="T111" s="30" t="inlineStr">
        <is>
          <t>AMR1</t>
        </is>
      </c>
      <c r="U111" s="31" t="n">
        <v>41.9</v>
      </c>
      <c r="V111" s="31" t="n">
        <v>41.9</v>
      </c>
      <c r="W111" s="30" t="inlineStr">
        <is>
          <t>AMR1</t>
        </is>
      </c>
      <c r="X111" s="32" t="n">
        <v>0</v>
      </c>
      <c r="Y111" s="32" t="n">
        <v>0</v>
      </c>
      <c r="Z111" s="31" t="n">
        <v>0</v>
      </c>
      <c r="AA111" s="32" t="n">
        <v>0</v>
      </c>
      <c r="AB111" s="32" t="n">
        <v>0</v>
      </c>
      <c r="AC111" s="32" t="n">
        <v>0</v>
      </c>
      <c r="AD111" s="32" t="n">
        <v>0</v>
      </c>
      <c r="AE111" s="31" t="n">
        <v>0</v>
      </c>
      <c r="AF111" s="32" t="n">
        <v>1</v>
      </c>
      <c r="AG111" s="31" t="n">
        <v>3</v>
      </c>
      <c r="AH111" s="32" t="n">
        <v>56</v>
      </c>
      <c r="AI111" s="31" t="n">
        <v>57.5</v>
      </c>
      <c r="AJ111" s="31" t="n">
        <v>40.1</v>
      </c>
      <c r="AK111" s="31" t="n">
        <v>8</v>
      </c>
      <c r="AL111" s="30" t="inlineStr">
        <is>
          <t>T-0254</t>
        </is>
      </c>
      <c r="AM111" s="30" t="inlineStr">
        <is>
          <t>B-04-03</t>
        </is>
      </c>
      <c r="AN111" s="30" t="inlineStr">
        <is>
          <t>T-0030</t>
        </is>
      </c>
      <c r="AO111" s="30" t="inlineStr">
        <is>
          <t>B-06-01</t>
        </is>
      </c>
    </row>
    <row r="112">
      <c r="A112" s="30" t="inlineStr">
        <is>
          <t>O0111</t>
        </is>
      </c>
      <c r="B112" s="30" t="inlineStr">
        <is>
          <t>E</t>
        </is>
      </c>
      <c r="C112" s="31" t="n">
        <v>2191</v>
      </c>
      <c r="D112" s="31" t="n">
        <v>4000.8</v>
      </c>
      <c r="E112" s="31" t="n">
        <v>4034.3</v>
      </c>
      <c r="F112" s="31" t="n">
        <v>4050.4</v>
      </c>
      <c r="G112" s="31" t="n">
        <v>4077</v>
      </c>
      <c r="H112" s="31" t="n">
        <v>4775</v>
      </c>
      <c r="I112" s="31" t="n">
        <v>4792</v>
      </c>
      <c r="J112" s="31" t="n">
        <v>4826.1</v>
      </c>
      <c r="K112" s="31" t="n">
        <v>2635.1</v>
      </c>
      <c r="L112" s="31" t="n">
        <v>1809.8</v>
      </c>
      <c r="M112" s="30" t="inlineStr">
        <is>
          <t>AMR3</t>
        </is>
      </c>
      <c r="N112" s="30" t="inlineStr">
        <is>
          <t>AMR1</t>
        </is>
      </c>
      <c r="O112" s="32" t="n">
        <v>1</v>
      </c>
      <c r="P112" s="32" t="n">
        <v>25</v>
      </c>
      <c r="Q112" s="32" t="n">
        <v>4</v>
      </c>
      <c r="R112" s="31" t="n">
        <v>63.3</v>
      </c>
      <c r="S112" s="31" t="n">
        <v>63.3</v>
      </c>
      <c r="T112" s="30" t="inlineStr">
        <is>
          <t>AMR3</t>
        </is>
      </c>
      <c r="U112" s="31" t="n">
        <v>53.8</v>
      </c>
      <c r="V112" s="31" t="n">
        <v>53.8</v>
      </c>
      <c r="W112" s="30" t="inlineStr">
        <is>
          <t>AMR1</t>
        </is>
      </c>
      <c r="X112" s="32" t="n">
        <v>0</v>
      </c>
      <c r="Y112" s="32" t="n">
        <v>0</v>
      </c>
      <c r="Z112" s="31" t="n">
        <v>0</v>
      </c>
      <c r="AA112" s="32" t="n">
        <v>0</v>
      </c>
      <c r="AB112" s="32" t="n">
        <v>0</v>
      </c>
      <c r="AC112" s="32" t="n">
        <v>0</v>
      </c>
      <c r="AD112" s="32" t="n">
        <v>0</v>
      </c>
      <c r="AE112" s="31" t="n">
        <v>0</v>
      </c>
      <c r="AF112" s="32" t="n">
        <v>1</v>
      </c>
      <c r="AG112" s="31" t="n">
        <v>5</v>
      </c>
      <c r="AH112" s="32" t="n">
        <v>67</v>
      </c>
      <c r="AI112" s="31" t="n">
        <v>67.7</v>
      </c>
      <c r="AJ112" s="31" t="n">
        <v>49.6</v>
      </c>
      <c r="AK112" s="31" t="n">
        <v>10</v>
      </c>
      <c r="AL112" s="30" t="inlineStr">
        <is>
          <t>T-0262</t>
        </is>
      </c>
      <c r="AM112" s="30" t="inlineStr">
        <is>
          <t>E-02-03</t>
        </is>
      </c>
      <c r="AN112" s="30" t="inlineStr">
        <is>
          <t>T-0070</t>
        </is>
      </c>
      <c r="AO112" s="30" t="inlineStr">
        <is>
          <t>E-02-04</t>
        </is>
      </c>
    </row>
    <row r="113">
      <c r="A113" s="30" t="inlineStr">
        <is>
          <t>O0112</t>
        </is>
      </c>
      <c r="B113" s="30" t="inlineStr">
        <is>
          <t>F</t>
        </is>
      </c>
      <c r="C113" s="31" t="n">
        <v>2212</v>
      </c>
      <c r="D113" s="31" t="n">
        <v>4140.6</v>
      </c>
      <c r="E113" s="31" t="n">
        <v>4174.1</v>
      </c>
      <c r="F113" s="31" t="n">
        <v>4185.2</v>
      </c>
      <c r="G113" s="31" t="n">
        <v>4214.5</v>
      </c>
      <c r="H113" s="31" t="n">
        <v>4661.7</v>
      </c>
      <c r="I113" s="31" t="n">
        <v>4675.5</v>
      </c>
      <c r="J113" s="31" t="n">
        <v>4712.3</v>
      </c>
      <c r="K113" s="31" t="n">
        <v>2500.3</v>
      </c>
      <c r="L113" s="31" t="n">
        <v>1928.6</v>
      </c>
      <c r="M113" s="30" t="inlineStr">
        <is>
          <t>AMR2</t>
        </is>
      </c>
      <c r="N113" s="30" t="inlineStr">
        <is>
          <t>AMR1</t>
        </is>
      </c>
      <c r="O113" s="32" t="n">
        <v>1</v>
      </c>
      <c r="P113" s="32" t="n">
        <v>25</v>
      </c>
      <c r="Q113" s="32" t="n">
        <v>1</v>
      </c>
      <c r="R113" s="31" t="n">
        <v>62.9</v>
      </c>
      <c r="S113" s="31" t="n">
        <v>62.9</v>
      </c>
      <c r="T113" s="30" t="inlineStr">
        <is>
          <t>AMR2</t>
        </is>
      </c>
      <c r="U113" s="31" t="n">
        <v>48.8</v>
      </c>
      <c r="V113" s="31" t="n">
        <v>48.8</v>
      </c>
      <c r="W113" s="30" t="inlineStr">
        <is>
          <t>AMR1</t>
        </is>
      </c>
      <c r="X113" s="32" t="n">
        <v>0</v>
      </c>
      <c r="Y113" s="32" t="n">
        <v>0</v>
      </c>
      <c r="Z113" s="31" t="n">
        <v>0</v>
      </c>
      <c r="AA113" s="32" t="n">
        <v>0</v>
      </c>
      <c r="AB113" s="32" t="n">
        <v>0</v>
      </c>
      <c r="AC113" s="32" t="n">
        <v>0</v>
      </c>
      <c r="AD113" s="32" t="n">
        <v>0</v>
      </c>
      <c r="AE113" s="31" t="n">
        <v>0</v>
      </c>
      <c r="AF113" s="32" t="n">
        <v>1</v>
      </c>
      <c r="AG113" s="31" t="n">
        <v>5</v>
      </c>
      <c r="AH113" s="32" t="n">
        <v>71</v>
      </c>
      <c r="AI113" s="31" t="n">
        <v>70.7</v>
      </c>
      <c r="AJ113" s="31" t="n">
        <v>43.8</v>
      </c>
      <c r="AK113" s="31" t="n">
        <v>10</v>
      </c>
      <c r="AL113" s="30" t="inlineStr">
        <is>
          <t>T-0266</t>
        </is>
      </c>
      <c r="AM113" s="30" t="inlineStr">
        <is>
          <t>F-06-02</t>
        </is>
      </c>
      <c r="AN113" s="30" t="inlineStr">
        <is>
          <t>T-0087</t>
        </is>
      </c>
      <c r="AO113" s="30" t="inlineStr">
        <is>
          <t>F-01-02</t>
        </is>
      </c>
    </row>
    <row r="114">
      <c r="A114" s="30" t="inlineStr">
        <is>
          <t>O0113</t>
        </is>
      </c>
      <c r="B114" s="30" t="inlineStr">
        <is>
          <t>E</t>
        </is>
      </c>
      <c r="C114" s="31" t="n">
        <v>2233.9</v>
      </c>
      <c r="D114" s="31" t="n">
        <v>3804.2</v>
      </c>
      <c r="E114" s="31" t="n">
        <v>3836.7</v>
      </c>
      <c r="F114" s="31" t="n">
        <v>3850.6</v>
      </c>
      <c r="G114" s="31" t="n">
        <v>3877.6</v>
      </c>
      <c r="H114" s="31" t="n">
        <v>4151.2</v>
      </c>
      <c r="I114" s="31" t="n">
        <v>4159.9</v>
      </c>
      <c r="J114" s="31" t="n">
        <v>4193.1</v>
      </c>
      <c r="K114" s="31" t="n">
        <v>1959.2</v>
      </c>
      <c r="L114" s="31" t="n">
        <v>1570.3</v>
      </c>
      <c r="M114" s="30" t="inlineStr">
        <is>
          <t>AMR2</t>
        </is>
      </c>
      <c r="N114" s="30" t="inlineStr">
        <is>
          <t>AMR1</t>
        </is>
      </c>
      <c r="O114" s="32" t="n">
        <v>1</v>
      </c>
      <c r="P114" s="32" t="n">
        <v>25</v>
      </c>
      <c r="Q114" s="32" t="n">
        <v>0</v>
      </c>
      <c r="R114" s="31" t="n">
        <v>62.5</v>
      </c>
      <c r="S114" s="31" t="n">
        <v>62.5</v>
      </c>
      <c r="T114" s="30" t="inlineStr">
        <is>
          <t>AMR2</t>
        </is>
      </c>
      <c r="U114" s="31" t="n">
        <v>41.1</v>
      </c>
      <c r="V114" s="31" t="n">
        <v>41.1</v>
      </c>
      <c r="W114" s="30" t="inlineStr">
        <is>
          <t>AMR1</t>
        </is>
      </c>
      <c r="X114" s="32" t="n">
        <v>0</v>
      </c>
      <c r="Y114" s="32" t="n">
        <v>0</v>
      </c>
      <c r="Z114" s="31" t="n">
        <v>0</v>
      </c>
      <c r="AA114" s="32" t="n">
        <v>0</v>
      </c>
      <c r="AB114" s="32" t="n">
        <v>0</v>
      </c>
      <c r="AC114" s="32" t="n">
        <v>0</v>
      </c>
      <c r="AD114" s="32" t="n">
        <v>0</v>
      </c>
      <c r="AE114" s="31" t="n">
        <v>0</v>
      </c>
      <c r="AF114" s="32" t="n">
        <v>1</v>
      </c>
      <c r="AG114" s="31" t="n">
        <v>4</v>
      </c>
      <c r="AH114" s="32" t="n">
        <v>67</v>
      </c>
      <c r="AI114" s="31" t="n">
        <v>66.2</v>
      </c>
      <c r="AJ114" s="31" t="n">
        <v>40.1</v>
      </c>
      <c r="AK114" s="31" t="n">
        <v>9</v>
      </c>
      <c r="AL114" s="30" t="inlineStr">
        <is>
          <t>T-0256</t>
        </is>
      </c>
      <c r="AM114" s="30" t="inlineStr">
        <is>
          <t>E-01-03</t>
        </is>
      </c>
      <c r="AN114" s="30" t="inlineStr">
        <is>
          <t>T-0068</t>
        </is>
      </c>
      <c r="AO114" s="30" t="inlineStr">
        <is>
          <t>E-04-04</t>
        </is>
      </c>
    </row>
    <row r="115">
      <c r="A115" s="30" t="inlineStr">
        <is>
          <t>O0114</t>
        </is>
      </c>
      <c r="B115" s="30" t="inlineStr">
        <is>
          <t>A</t>
        </is>
      </c>
      <c r="C115" s="31" t="n">
        <v>2253.8</v>
      </c>
      <c r="D115" s="31" t="n">
        <v>4264.4</v>
      </c>
      <c r="E115" s="31" t="n">
        <v>4289.5</v>
      </c>
      <c r="F115" s="31" t="n">
        <v>4304.2</v>
      </c>
      <c r="G115" s="31" t="n">
        <v>4333.2</v>
      </c>
      <c r="H115" s="31" t="n">
        <v>4439</v>
      </c>
      <c r="I115" s="31" t="n">
        <v>4453.5</v>
      </c>
      <c r="J115" s="31" t="n">
        <v>4492.1</v>
      </c>
      <c r="K115" s="31" t="n">
        <v>2238.3</v>
      </c>
      <c r="L115" s="31" t="n">
        <v>2010.6</v>
      </c>
      <c r="M115" s="30" t="inlineStr">
        <is>
          <t>AMR2</t>
        </is>
      </c>
      <c r="N115" s="30" t="inlineStr">
        <is>
          <t>AMR1</t>
        </is>
      </c>
      <c r="O115" s="32" t="n">
        <v>1</v>
      </c>
      <c r="P115" s="32" t="n">
        <v>25</v>
      </c>
      <c r="Q115" s="32" t="n">
        <v>0</v>
      </c>
      <c r="R115" s="31" t="n">
        <v>63.7</v>
      </c>
      <c r="S115" s="31" t="n">
        <v>63.7</v>
      </c>
      <c r="T115" s="30" t="inlineStr">
        <is>
          <t>AMR2</t>
        </is>
      </c>
      <c r="U115" s="31" t="n">
        <v>52.3</v>
      </c>
      <c r="V115" s="31" t="n">
        <v>52.3</v>
      </c>
      <c r="W115" s="30" t="inlineStr">
        <is>
          <t>AMR1</t>
        </is>
      </c>
      <c r="X115" s="32" t="n">
        <v>0</v>
      </c>
      <c r="Y115" s="32" t="n">
        <v>0</v>
      </c>
      <c r="Z115" s="31" t="n">
        <v>0</v>
      </c>
      <c r="AA115" s="32" t="n">
        <v>0</v>
      </c>
      <c r="AB115" s="32" t="n">
        <v>0</v>
      </c>
      <c r="AC115" s="32" t="n">
        <v>0</v>
      </c>
      <c r="AD115" s="32" t="n">
        <v>0</v>
      </c>
      <c r="AE115" s="31" t="n">
        <v>0</v>
      </c>
      <c r="AF115" s="32" t="n">
        <v>0</v>
      </c>
      <c r="AG115" s="31" t="n">
        <v>0</v>
      </c>
      <c r="AH115" s="32" t="n">
        <v>73</v>
      </c>
      <c r="AI115" s="31" t="n">
        <v>71</v>
      </c>
      <c r="AJ115" s="31" t="n">
        <v>49.3</v>
      </c>
      <c r="AK115" s="31" t="n">
        <v>1.6</v>
      </c>
      <c r="AL115" s="30" t="inlineStr">
        <is>
          <t>T-0270</t>
        </is>
      </c>
      <c r="AM115" s="30" t="inlineStr">
        <is>
          <t>A-02-03</t>
        </is>
      </c>
      <c r="AN115" s="30" t="inlineStr">
        <is>
          <t>T-0014</t>
        </is>
      </c>
      <c r="AO115" s="30" t="inlineStr">
        <is>
          <t>A-01-04</t>
        </is>
      </c>
    </row>
    <row r="116">
      <c r="A116" s="30" t="inlineStr">
        <is>
          <t>O0115</t>
        </is>
      </c>
      <c r="B116" s="30" t="inlineStr">
        <is>
          <t>E</t>
        </is>
      </c>
      <c r="C116" s="31" t="n">
        <v>2275.1</v>
      </c>
      <c r="D116" s="31" t="n">
        <v>4089</v>
      </c>
      <c r="E116" s="31" t="n">
        <v>4112.5</v>
      </c>
      <c r="F116" s="31" t="n">
        <v>4124.2</v>
      </c>
      <c r="G116" s="31" t="n">
        <v>4151.1</v>
      </c>
      <c r="H116" s="31" t="n">
        <v>4411.6</v>
      </c>
      <c r="I116" s="31" t="n">
        <v>4426.5</v>
      </c>
      <c r="J116" s="31" t="n">
        <v>4461.4</v>
      </c>
      <c r="K116" s="31" t="n">
        <v>2186.3</v>
      </c>
      <c r="L116" s="31" t="n">
        <v>1813.9</v>
      </c>
      <c r="M116" s="30" t="inlineStr">
        <is>
          <t>AMR1</t>
        </is>
      </c>
      <c r="N116" s="30" t="inlineStr">
        <is>
          <t>AMR3</t>
        </is>
      </c>
      <c r="O116" s="32" t="n">
        <v>1</v>
      </c>
      <c r="P116" s="32" t="n">
        <v>25</v>
      </c>
      <c r="Q116" s="32" t="n">
        <v>3</v>
      </c>
      <c r="R116" s="31" t="n">
        <v>59.4</v>
      </c>
      <c r="S116" s="31" t="n">
        <v>53.9</v>
      </c>
      <c r="T116" s="30" t="inlineStr">
        <is>
          <t>AMR2</t>
        </is>
      </c>
      <c r="U116" s="31" t="n">
        <v>47.9</v>
      </c>
      <c r="V116" s="31" t="n">
        <v>47.9</v>
      </c>
      <c r="W116" s="30" t="inlineStr">
        <is>
          <t>AMR3</t>
        </is>
      </c>
      <c r="X116" s="32" t="n">
        <v>1</v>
      </c>
      <c r="Y116" s="32" t="n">
        <v>13</v>
      </c>
      <c r="Z116" s="31" t="n">
        <v>5.5</v>
      </c>
      <c r="AA116" s="32" t="n">
        <v>0</v>
      </c>
      <c r="AB116" s="32" t="n">
        <v>0</v>
      </c>
      <c r="AC116" s="32" t="n">
        <v>0</v>
      </c>
      <c r="AD116" s="32" t="n">
        <v>0</v>
      </c>
      <c r="AE116" s="31" t="n">
        <v>0</v>
      </c>
      <c r="AF116" s="32" t="n">
        <v>0</v>
      </c>
      <c r="AG116" s="31" t="n">
        <v>0</v>
      </c>
      <c r="AH116" s="32" t="n">
        <v>71</v>
      </c>
      <c r="AI116" s="31" t="n">
        <v>71.2</v>
      </c>
      <c r="AJ116" s="31" t="n">
        <v>40.7</v>
      </c>
      <c r="AK116" s="31" t="n">
        <v>0</v>
      </c>
      <c r="AL116" s="30" t="inlineStr">
        <is>
          <t>T-0264</t>
        </is>
      </c>
      <c r="AM116" s="30" t="inlineStr">
        <is>
          <t>E-03-03</t>
        </is>
      </c>
      <c r="AN116" s="30" t="inlineStr">
        <is>
          <t>T-0069</t>
        </is>
      </c>
      <c r="AO116" s="30" t="inlineStr">
        <is>
          <t>E-06-02</t>
        </is>
      </c>
    </row>
    <row r="117">
      <c r="A117" s="30" t="inlineStr">
        <is>
          <t>O0116</t>
        </is>
      </c>
      <c r="B117" s="30" t="inlineStr">
        <is>
          <t>C</t>
        </is>
      </c>
      <c r="C117" s="31" t="n">
        <v>2290.2</v>
      </c>
      <c r="D117" s="31" t="n">
        <v>3939.8</v>
      </c>
      <c r="E117" s="31" t="n">
        <v>3966.3</v>
      </c>
      <c r="F117" s="31" t="n">
        <v>3976.8</v>
      </c>
      <c r="G117" s="31" t="n">
        <v>3997.6</v>
      </c>
      <c r="H117" s="31" t="n">
        <v>4094.4</v>
      </c>
      <c r="I117" s="31" t="n">
        <v>4106.3</v>
      </c>
      <c r="J117" s="31" t="n">
        <v>4140.5</v>
      </c>
      <c r="K117" s="31" t="n">
        <v>1850.3</v>
      </c>
      <c r="L117" s="31" t="n">
        <v>1649.6</v>
      </c>
      <c r="M117" s="30" t="inlineStr">
        <is>
          <t>AMR1</t>
        </is>
      </c>
      <c r="N117" s="30" t="inlineStr">
        <is>
          <t>AMR2</t>
        </is>
      </c>
      <c r="O117" s="32" t="n">
        <v>1</v>
      </c>
      <c r="P117" s="32" t="n">
        <v>25</v>
      </c>
      <c r="Q117" s="32" t="n">
        <v>1</v>
      </c>
      <c r="R117" s="31" t="n">
        <v>52.1</v>
      </c>
      <c r="S117" s="31" t="n">
        <v>52.1</v>
      </c>
      <c r="T117" s="30" t="inlineStr">
        <is>
          <t>AMR1</t>
        </is>
      </c>
      <c r="U117" s="31" t="n">
        <v>39.3</v>
      </c>
      <c r="V117" s="31" t="n">
        <v>39.3</v>
      </c>
      <c r="W117" s="30" t="inlineStr">
        <is>
          <t>AMR2</t>
        </is>
      </c>
      <c r="X117" s="32" t="n">
        <v>0</v>
      </c>
      <c r="Y117" s="32" t="n">
        <v>0</v>
      </c>
      <c r="Z117" s="31" t="n">
        <v>0</v>
      </c>
      <c r="AA117" s="32" t="n">
        <v>0</v>
      </c>
      <c r="AB117" s="32" t="n">
        <v>0</v>
      </c>
      <c r="AC117" s="32" t="n">
        <v>0</v>
      </c>
      <c r="AD117" s="32" t="n">
        <v>1</v>
      </c>
      <c r="AE117" s="31" t="n">
        <v>7</v>
      </c>
      <c r="AF117" s="32" t="n">
        <v>1</v>
      </c>
      <c r="AG117" s="31" t="n">
        <v>2</v>
      </c>
      <c r="AH117" s="32" t="n">
        <v>55</v>
      </c>
      <c r="AI117" s="31" t="n">
        <v>55.6</v>
      </c>
      <c r="AJ117" s="31" t="n">
        <v>38.3</v>
      </c>
      <c r="AK117" s="31" t="n">
        <v>10</v>
      </c>
      <c r="AL117" s="30" t="inlineStr">
        <is>
          <t>T-0260</t>
        </is>
      </c>
      <c r="AM117" s="30" t="inlineStr">
        <is>
          <t>C-03-02</t>
        </is>
      </c>
      <c r="AN117" s="30" t="inlineStr">
        <is>
          <t>T-0038</t>
        </is>
      </c>
      <c r="AO117" s="30" t="inlineStr">
        <is>
          <t>C-02-05</t>
        </is>
      </c>
    </row>
    <row r="118">
      <c r="A118" s="30" t="inlineStr">
        <is>
          <t>O0117</t>
        </is>
      </c>
      <c r="B118" s="30" t="inlineStr">
        <is>
          <t>C</t>
        </is>
      </c>
      <c r="C118" s="31" t="n">
        <v>2315</v>
      </c>
      <c r="D118" s="31" t="n">
        <v>4022.1</v>
      </c>
      <c r="E118" s="31" t="n">
        <v>4058.6</v>
      </c>
      <c r="F118" s="31" t="n">
        <v>4071.3</v>
      </c>
      <c r="G118" s="31" t="n">
        <v>4094.3</v>
      </c>
      <c r="H118" s="31" t="n">
        <v>4311.3</v>
      </c>
      <c r="I118" s="31" t="n">
        <v>4321.7</v>
      </c>
      <c r="J118" s="31" t="n">
        <v>4361.8</v>
      </c>
      <c r="K118" s="31" t="n">
        <v>2046.8</v>
      </c>
      <c r="L118" s="31" t="n">
        <v>1707.1</v>
      </c>
      <c r="M118" s="30" t="inlineStr">
        <is>
          <t>AMR2</t>
        </is>
      </c>
      <c r="N118" s="30" t="inlineStr">
        <is>
          <t>AMR1</t>
        </is>
      </c>
      <c r="O118" s="32" t="n">
        <v>1</v>
      </c>
      <c r="P118" s="32" t="n">
        <v>25</v>
      </c>
      <c r="Q118" s="32" t="n">
        <v>1</v>
      </c>
      <c r="R118" s="31" t="n">
        <v>57.3</v>
      </c>
      <c r="S118" s="31" t="n">
        <v>57.3</v>
      </c>
      <c r="T118" s="30" t="inlineStr">
        <is>
          <t>AMR2</t>
        </is>
      </c>
      <c r="U118" s="31" t="n">
        <v>38.6</v>
      </c>
      <c r="V118" s="31" t="n">
        <v>38.6</v>
      </c>
      <c r="W118" s="30" t="inlineStr">
        <is>
          <t>AMR1</t>
        </is>
      </c>
      <c r="X118" s="32" t="n">
        <v>0</v>
      </c>
      <c r="Y118" s="32" t="n">
        <v>0</v>
      </c>
      <c r="Z118" s="31" t="n">
        <v>0</v>
      </c>
      <c r="AA118" s="32" t="n">
        <v>0</v>
      </c>
      <c r="AB118" s="32" t="n">
        <v>0</v>
      </c>
      <c r="AC118" s="32" t="n">
        <v>0</v>
      </c>
      <c r="AD118" s="32" t="n">
        <v>1</v>
      </c>
      <c r="AE118" s="31" t="n">
        <v>12</v>
      </c>
      <c r="AF118" s="32" t="n">
        <v>2</v>
      </c>
      <c r="AG118" s="31" t="n">
        <v>15</v>
      </c>
      <c r="AH118" s="32" t="n">
        <v>54</v>
      </c>
      <c r="AI118" s="31" t="n">
        <v>54.9</v>
      </c>
      <c r="AJ118" s="31" t="n">
        <v>42.8</v>
      </c>
      <c r="AK118" s="31" t="n">
        <v>25</v>
      </c>
      <c r="AL118" s="30" t="inlineStr">
        <is>
          <t>T-0263</t>
        </is>
      </c>
      <c r="AM118" s="30" t="inlineStr">
        <is>
          <t>C-05-02</t>
        </is>
      </c>
      <c r="AN118" s="30" t="inlineStr">
        <is>
          <t>T-0039</t>
        </is>
      </c>
      <c r="AO118" s="30" t="inlineStr">
        <is>
          <t>C-03-04</t>
        </is>
      </c>
    </row>
    <row r="119">
      <c r="A119" s="30" t="inlineStr">
        <is>
          <t>O0118</t>
        </is>
      </c>
      <c r="B119" s="30" t="inlineStr">
        <is>
          <t>G</t>
        </is>
      </c>
      <c r="C119" s="31" t="n">
        <v>2334.4</v>
      </c>
      <c r="D119" s="31" t="n">
        <v>4239.3</v>
      </c>
      <c r="E119" s="31" t="n">
        <v>4262.8</v>
      </c>
      <c r="F119" s="31" t="n">
        <v>4273.3</v>
      </c>
      <c r="G119" s="31" t="n">
        <v>4300.9</v>
      </c>
      <c r="H119" s="31" t="n">
        <v>4301</v>
      </c>
      <c r="I119" s="31" t="n">
        <v>4314.8</v>
      </c>
      <c r="J119" s="31" t="n">
        <v>4346.4</v>
      </c>
      <c r="K119" s="31" t="n">
        <v>2012</v>
      </c>
      <c r="L119" s="31" t="n">
        <v>1904.9</v>
      </c>
      <c r="M119" s="30" t="inlineStr">
        <is>
          <t>AMR3</t>
        </is>
      </c>
      <c r="N119" s="30" t="inlineStr">
        <is>
          <t>AMR3</t>
        </is>
      </c>
      <c r="O119" s="32" t="n">
        <v>1</v>
      </c>
      <c r="P119" s="32" t="n">
        <v>25</v>
      </c>
      <c r="Q119" s="32" t="n">
        <v>1</v>
      </c>
      <c r="R119" s="31" t="n">
        <v>59.8</v>
      </c>
      <c r="S119" s="31" t="n">
        <v>59.8</v>
      </c>
      <c r="T119" s="30" t="inlineStr">
        <is>
          <t>AMR3</t>
        </is>
      </c>
      <c r="U119" s="31" t="n">
        <v>42.6</v>
      </c>
      <c r="V119" s="31" t="n">
        <v>42.6</v>
      </c>
      <c r="W119" s="30" t="inlineStr">
        <is>
          <t>AMR3</t>
        </is>
      </c>
      <c r="X119" s="32" t="n">
        <v>0</v>
      </c>
      <c r="Y119" s="32" t="n">
        <v>0</v>
      </c>
      <c r="Z119" s="31" t="n">
        <v>0</v>
      </c>
      <c r="AA119" s="32" t="n">
        <v>0</v>
      </c>
      <c r="AB119" s="32" t="n">
        <v>0</v>
      </c>
      <c r="AC119" s="32" t="n">
        <v>0</v>
      </c>
      <c r="AD119" s="32" t="n">
        <v>0</v>
      </c>
      <c r="AE119" s="31" t="n">
        <v>0</v>
      </c>
      <c r="AF119" s="32" t="n">
        <v>0</v>
      </c>
      <c r="AG119" s="31" t="n">
        <v>0</v>
      </c>
      <c r="AH119" s="32" t="n">
        <v>60</v>
      </c>
      <c r="AI119" s="31" t="n">
        <v>61.9</v>
      </c>
      <c r="AJ119" s="31" t="n">
        <v>45.1</v>
      </c>
      <c r="AK119" s="31" t="n">
        <v>0</v>
      </c>
      <c r="AL119" s="30" t="inlineStr">
        <is>
          <t>T-0268</t>
        </is>
      </c>
      <c r="AM119" s="30" t="inlineStr">
        <is>
          <t>G-05-02</t>
        </is>
      </c>
      <c r="AN119" s="30" t="inlineStr">
        <is>
          <t>T-0097</t>
        </is>
      </c>
      <c r="AO119" s="30" t="inlineStr">
        <is>
          <t>G-02-01</t>
        </is>
      </c>
    </row>
    <row r="120">
      <c r="A120" s="30" t="inlineStr">
        <is>
          <t>O0119</t>
        </is>
      </c>
      <c r="B120" s="30" t="inlineStr">
        <is>
          <t>B</t>
        </is>
      </c>
      <c r="C120" s="31" t="n">
        <v>2349.5</v>
      </c>
      <c r="D120" s="31" t="n">
        <v>4193.2</v>
      </c>
      <c r="E120" s="31" t="n">
        <v>4216.7</v>
      </c>
      <c r="F120" s="31" t="n">
        <v>4228.9</v>
      </c>
      <c r="G120" s="31" t="n">
        <v>4254.8</v>
      </c>
      <c r="H120" s="31" t="n">
        <v>4581.6</v>
      </c>
      <c r="I120" s="31" t="n">
        <v>4591.6</v>
      </c>
      <c r="J120" s="31" t="n">
        <v>4623.2</v>
      </c>
      <c r="K120" s="31" t="n">
        <v>2273.7</v>
      </c>
      <c r="L120" s="31" t="n">
        <v>1843.7</v>
      </c>
      <c r="M120" s="30" t="inlineStr">
        <is>
          <t>AMR1</t>
        </is>
      </c>
      <c r="N120" s="30" t="inlineStr">
        <is>
          <t>AMR2</t>
        </is>
      </c>
      <c r="O120" s="32" t="n">
        <v>1</v>
      </c>
      <c r="P120" s="32" t="n">
        <v>25</v>
      </c>
      <c r="Q120" s="32" t="n">
        <v>1</v>
      </c>
      <c r="R120" s="31" t="n">
        <v>60.5</v>
      </c>
      <c r="S120" s="31" t="n">
        <v>60.5</v>
      </c>
      <c r="T120" s="30" t="inlineStr">
        <is>
          <t>AMR1</t>
        </is>
      </c>
      <c r="U120" s="31" t="n">
        <v>41.2</v>
      </c>
      <c r="V120" s="31" t="n">
        <v>41.2</v>
      </c>
      <c r="W120" s="30" t="inlineStr">
        <is>
          <t>AMR2</t>
        </is>
      </c>
      <c r="X120" s="32" t="n">
        <v>0</v>
      </c>
      <c r="Y120" s="32" t="n">
        <v>0</v>
      </c>
      <c r="Z120" s="31" t="n">
        <v>0</v>
      </c>
      <c r="AA120" s="32" t="n">
        <v>0</v>
      </c>
      <c r="AB120" s="32" t="n">
        <v>0</v>
      </c>
      <c r="AC120" s="32" t="n">
        <v>0</v>
      </c>
      <c r="AD120" s="32" t="n">
        <v>0</v>
      </c>
      <c r="AE120" s="31" t="n">
        <v>0</v>
      </c>
      <c r="AF120" s="32" t="n">
        <v>0</v>
      </c>
      <c r="AG120" s="31" t="n">
        <v>0</v>
      </c>
      <c r="AH120" s="32" t="n">
        <v>57</v>
      </c>
      <c r="AI120" s="31" t="n">
        <v>58.3</v>
      </c>
      <c r="AJ120" s="31" t="n">
        <v>44.9</v>
      </c>
      <c r="AK120" s="31" t="n">
        <v>0</v>
      </c>
      <c r="AL120" s="30" t="inlineStr">
        <is>
          <t>T-0267</t>
        </is>
      </c>
      <c r="AM120" s="30" t="inlineStr">
        <is>
          <t>B-06-01</t>
        </is>
      </c>
      <c r="AN120" s="30" t="inlineStr">
        <is>
          <t>T-0153</t>
        </is>
      </c>
      <c r="AO120" s="30" t="inlineStr">
        <is>
          <t>B-02-01</t>
        </is>
      </c>
    </row>
    <row r="121">
      <c r="A121" s="30" t="inlineStr">
        <is>
          <t>O0120</t>
        </is>
      </c>
      <c r="B121" s="30" t="inlineStr">
        <is>
          <t>I</t>
        </is>
      </c>
      <c r="C121" s="31" t="n">
        <v>2373.5</v>
      </c>
      <c r="D121" s="31" t="n">
        <v>4461.5</v>
      </c>
      <c r="E121" s="31" t="n">
        <v>4485</v>
      </c>
      <c r="F121" s="31" t="n">
        <v>4500</v>
      </c>
      <c r="G121" s="31" t="n">
        <v>4524.4</v>
      </c>
      <c r="H121" s="31" t="n">
        <v>4524.5</v>
      </c>
      <c r="I121" s="31" t="n">
        <v>4534.6</v>
      </c>
      <c r="J121" s="31" t="n">
        <v>4562.8</v>
      </c>
      <c r="K121" s="31" t="n">
        <v>2189.3</v>
      </c>
      <c r="L121" s="31" t="n">
        <v>2088</v>
      </c>
      <c r="M121" s="30" t="inlineStr">
        <is>
          <t>AMR3</t>
        </is>
      </c>
      <c r="N121" s="30" t="inlineStr">
        <is>
          <t>AMR3</t>
        </is>
      </c>
      <c r="O121" s="32" t="n">
        <v>1</v>
      </c>
      <c r="P121" s="32" t="n">
        <v>25</v>
      </c>
      <c r="Q121" s="32" t="n">
        <v>0</v>
      </c>
      <c r="R121" s="31" t="n">
        <v>60.3</v>
      </c>
      <c r="S121" s="31" t="n">
        <v>60.3</v>
      </c>
      <c r="T121" s="30" t="inlineStr">
        <is>
          <t>AMR3</t>
        </is>
      </c>
      <c r="U121" s="31" t="n">
        <v>35.5</v>
      </c>
      <c r="V121" s="31" t="n">
        <v>35.5</v>
      </c>
      <c r="W121" s="30" t="inlineStr">
        <is>
          <t>AMR3</t>
        </is>
      </c>
      <c r="X121" s="32" t="n">
        <v>0</v>
      </c>
      <c r="Y121" s="32" t="n">
        <v>0</v>
      </c>
      <c r="Z121" s="31" t="n">
        <v>0</v>
      </c>
      <c r="AA121" s="32" t="n">
        <v>0</v>
      </c>
      <c r="AB121" s="32" t="n">
        <v>0</v>
      </c>
      <c r="AC121" s="32" t="n">
        <v>0</v>
      </c>
      <c r="AD121" s="32" t="n">
        <v>0</v>
      </c>
      <c r="AE121" s="31" t="n">
        <v>0</v>
      </c>
      <c r="AF121" s="32" t="n">
        <v>0</v>
      </c>
      <c r="AG121" s="31" t="n">
        <v>0</v>
      </c>
      <c r="AH121" s="32" t="n">
        <v>56</v>
      </c>
      <c r="AI121" s="31" t="n">
        <v>58.8</v>
      </c>
      <c r="AJ121" s="31" t="n">
        <v>42.4</v>
      </c>
      <c r="AK121" s="31" t="n">
        <v>0</v>
      </c>
      <c r="AL121" s="30" t="inlineStr">
        <is>
          <t>T-0274</t>
        </is>
      </c>
      <c r="AM121" s="30" t="inlineStr">
        <is>
          <t>I-03-01</t>
        </is>
      </c>
      <c r="AN121" s="30" t="inlineStr">
        <is>
          <t>T-0179</t>
        </is>
      </c>
      <c r="AO121" s="30" t="inlineStr">
        <is>
          <t>I-05-01</t>
        </is>
      </c>
    </row>
    <row r="122">
      <c r="A122" s="30" t="inlineStr">
        <is>
          <t>O0121</t>
        </is>
      </c>
      <c r="B122" s="30" t="inlineStr">
        <is>
          <t>J</t>
        </is>
      </c>
      <c r="C122" s="31" t="n">
        <v>2396.9</v>
      </c>
      <c r="D122" s="31" t="n">
        <v>4346.5</v>
      </c>
      <c r="E122" s="31" t="n">
        <v>4370</v>
      </c>
      <c r="F122" s="31" t="n">
        <v>4381.3</v>
      </c>
      <c r="G122" s="31" t="n">
        <v>4411.5</v>
      </c>
      <c r="H122" s="31" t="n">
        <v>5000.2</v>
      </c>
      <c r="I122" s="31" t="n">
        <v>5013.2</v>
      </c>
      <c r="J122" s="31" t="n">
        <v>5048.4</v>
      </c>
      <c r="K122" s="31" t="n">
        <v>2651.5</v>
      </c>
      <c r="L122" s="31" t="n">
        <v>1949.6</v>
      </c>
      <c r="M122" s="30" t="inlineStr">
        <is>
          <t>AMR3</t>
        </is>
      </c>
      <c r="N122" s="30" t="inlineStr">
        <is>
          <t>AMR3</t>
        </is>
      </c>
      <c r="O122" s="32" t="n">
        <v>1</v>
      </c>
      <c r="P122" s="32" t="n">
        <v>25</v>
      </c>
      <c r="Q122" s="32" t="n">
        <v>4</v>
      </c>
      <c r="R122" s="31" t="n">
        <v>61.6</v>
      </c>
      <c r="S122" s="31" t="n">
        <v>61.6</v>
      </c>
      <c r="T122" s="30" t="inlineStr">
        <is>
          <t>AMR3</t>
        </is>
      </c>
      <c r="U122" s="31" t="n">
        <v>47.8</v>
      </c>
      <c r="V122" s="31" t="n">
        <v>47.8</v>
      </c>
      <c r="W122" s="30" t="inlineStr">
        <is>
          <t>AMR3</t>
        </is>
      </c>
      <c r="X122" s="32" t="n">
        <v>0</v>
      </c>
      <c r="Y122" s="32" t="n">
        <v>0</v>
      </c>
      <c r="Z122" s="31" t="n">
        <v>0</v>
      </c>
      <c r="AA122" s="32" t="n">
        <v>0</v>
      </c>
      <c r="AB122" s="32" t="n">
        <v>0</v>
      </c>
      <c r="AC122" s="32" t="n">
        <v>0</v>
      </c>
      <c r="AD122" s="32" t="n">
        <v>0</v>
      </c>
      <c r="AE122" s="31" t="n">
        <v>0</v>
      </c>
      <c r="AF122" s="32" t="n">
        <v>0</v>
      </c>
      <c r="AG122" s="31" t="n">
        <v>0</v>
      </c>
      <c r="AH122" s="32" t="n">
        <v>71</v>
      </c>
      <c r="AI122" s="31" t="n">
        <v>71.59999999999999</v>
      </c>
      <c r="AJ122" s="31" t="n">
        <v>41.6</v>
      </c>
      <c r="AK122" s="31" t="n">
        <v>0</v>
      </c>
      <c r="AL122" s="30" t="inlineStr">
        <is>
          <t>T-0271</t>
        </is>
      </c>
      <c r="AM122" s="30" t="inlineStr">
        <is>
          <t>J-04-02</t>
        </is>
      </c>
      <c r="AN122" s="30" t="inlineStr">
        <is>
          <t>T-0145</t>
        </is>
      </c>
      <c r="AO122" s="30" t="inlineStr">
        <is>
          <t>J-05-04</t>
        </is>
      </c>
    </row>
    <row r="123">
      <c r="A123" s="30" t="inlineStr">
        <is>
          <t>O0122</t>
        </is>
      </c>
      <c r="B123" s="30" t="inlineStr">
        <is>
          <t>C</t>
        </is>
      </c>
      <c r="C123" s="31" t="n">
        <v>2413.3</v>
      </c>
      <c r="D123" s="31" t="n">
        <v>4254.9</v>
      </c>
      <c r="E123" s="31" t="n">
        <v>4275.6</v>
      </c>
      <c r="F123" s="31" t="n">
        <v>4290.1</v>
      </c>
      <c r="G123" s="31" t="n">
        <v>4311.2</v>
      </c>
      <c r="H123" s="31" t="n">
        <v>4452.5</v>
      </c>
      <c r="I123" s="31" t="n">
        <v>4462.2</v>
      </c>
      <c r="J123" s="31" t="n">
        <v>4503.5</v>
      </c>
      <c r="K123" s="31" t="n">
        <v>2090.2</v>
      </c>
      <c r="L123" s="31" t="n">
        <v>1841.6</v>
      </c>
      <c r="M123" s="30" t="inlineStr">
        <is>
          <t>AMR1</t>
        </is>
      </c>
      <c r="N123" s="30" t="inlineStr">
        <is>
          <t>AMR2</t>
        </is>
      </c>
      <c r="O123" s="32" t="n">
        <v>1</v>
      </c>
      <c r="P123" s="32" t="n">
        <v>13</v>
      </c>
      <c r="Q123" s="32" t="n">
        <v>0</v>
      </c>
      <c r="R123" s="31" t="n">
        <v>47.6</v>
      </c>
      <c r="S123" s="31" t="n">
        <v>47.6</v>
      </c>
      <c r="T123" s="30" t="inlineStr">
        <is>
          <t>AMR1</t>
        </is>
      </c>
      <c r="U123" s="31" t="n">
        <v>33.2</v>
      </c>
      <c r="V123" s="31" t="n">
        <v>33.2</v>
      </c>
      <c r="W123" s="30" t="inlineStr">
        <is>
          <t>AMR2</t>
        </is>
      </c>
      <c r="X123" s="32" t="n">
        <v>0</v>
      </c>
      <c r="Y123" s="32" t="n">
        <v>0</v>
      </c>
      <c r="Z123" s="31" t="n">
        <v>0</v>
      </c>
      <c r="AA123" s="32" t="n">
        <v>0</v>
      </c>
      <c r="AB123" s="32" t="n">
        <v>0</v>
      </c>
      <c r="AC123" s="32" t="n">
        <v>0</v>
      </c>
      <c r="AD123" s="32" t="n">
        <v>1</v>
      </c>
      <c r="AE123" s="31" t="n">
        <v>17</v>
      </c>
      <c r="AF123" s="32" t="n">
        <v>2</v>
      </c>
      <c r="AG123" s="31" t="n">
        <v>15</v>
      </c>
      <c r="AH123" s="32" t="n">
        <v>41</v>
      </c>
      <c r="AI123" s="31" t="n">
        <v>44.3</v>
      </c>
      <c r="AJ123" s="31" t="n">
        <v>38</v>
      </c>
      <c r="AK123" s="31" t="n">
        <v>25</v>
      </c>
      <c r="AL123" s="30" t="inlineStr">
        <is>
          <t>T-0269</t>
        </is>
      </c>
      <c r="AM123" s="30" t="inlineStr">
        <is>
          <t>C-02-03</t>
        </is>
      </c>
      <c r="AN123" s="30" t="inlineStr">
        <is>
          <t>T-0040</t>
        </is>
      </c>
      <c r="AO123" s="30" t="inlineStr">
        <is>
          <t>C-04-02</t>
        </is>
      </c>
    </row>
    <row r="124">
      <c r="A124" s="30" t="inlineStr">
        <is>
          <t>O0123</t>
        </is>
      </c>
      <c r="B124" s="30" t="inlineStr">
        <is>
          <t>A</t>
        </is>
      </c>
      <c r="C124" s="31" t="n">
        <v>2431.4</v>
      </c>
      <c r="D124" s="31" t="n">
        <v>4361.9</v>
      </c>
      <c r="E124" s="31" t="n">
        <v>4394.4</v>
      </c>
      <c r="F124" s="31" t="n">
        <v>4408</v>
      </c>
      <c r="G124" s="31" t="n">
        <v>4438.9</v>
      </c>
      <c r="H124" s="31" t="n">
        <v>5884.2</v>
      </c>
      <c r="I124" s="31" t="n">
        <v>5904.5</v>
      </c>
      <c r="J124" s="31" t="n">
        <v>5942.6</v>
      </c>
      <c r="K124" s="31" t="n">
        <v>3511.2</v>
      </c>
      <c r="L124" s="31" t="n">
        <v>1930.5</v>
      </c>
      <c r="M124" s="30" t="inlineStr">
        <is>
          <t>AMR1</t>
        </is>
      </c>
      <c r="N124" s="30" t="inlineStr">
        <is>
          <t>AMR2</t>
        </is>
      </c>
      <c r="O124" s="32" t="n">
        <v>1</v>
      </c>
      <c r="P124" s="32" t="n">
        <v>25</v>
      </c>
      <c r="Q124" s="32" t="n">
        <v>7</v>
      </c>
      <c r="R124" s="31" t="n">
        <v>65.3</v>
      </c>
      <c r="S124" s="31" t="n">
        <v>65.3</v>
      </c>
      <c r="T124" s="30" t="inlineStr">
        <is>
          <t>AMR1</t>
        </is>
      </c>
      <c r="U124" s="31" t="n">
        <v>57.6</v>
      </c>
      <c r="V124" s="31" t="n">
        <v>57.6</v>
      </c>
      <c r="W124" s="30" t="inlineStr">
        <is>
          <t>AMR2</t>
        </is>
      </c>
      <c r="X124" s="32" t="n">
        <v>0</v>
      </c>
      <c r="Y124" s="32" t="n">
        <v>0</v>
      </c>
      <c r="Z124" s="31" t="n">
        <v>0</v>
      </c>
      <c r="AA124" s="32" t="n">
        <v>0</v>
      </c>
      <c r="AB124" s="32" t="n">
        <v>0</v>
      </c>
      <c r="AC124" s="32" t="n">
        <v>0</v>
      </c>
      <c r="AD124" s="32" t="n">
        <v>0</v>
      </c>
      <c r="AE124" s="31" t="n">
        <v>0</v>
      </c>
      <c r="AF124" s="32" t="n">
        <v>1</v>
      </c>
      <c r="AG124" s="31" t="n">
        <v>4</v>
      </c>
      <c r="AH124" s="32" t="n">
        <v>79</v>
      </c>
      <c r="AI124" s="31" t="n">
        <v>76.3</v>
      </c>
      <c r="AJ124" s="31" t="n">
        <v>50.1</v>
      </c>
      <c r="AK124" s="31" t="n">
        <v>9</v>
      </c>
      <c r="AL124" s="30" t="inlineStr">
        <is>
          <t>T-0272</t>
        </is>
      </c>
      <c r="AM124" s="30" t="inlineStr">
        <is>
          <t>A-03-03</t>
        </is>
      </c>
      <c r="AN124" s="30" t="inlineStr">
        <is>
          <t>T-0015</t>
        </is>
      </c>
      <c r="AO124" s="30" t="inlineStr">
        <is>
          <t>A-01-05</t>
        </is>
      </c>
    </row>
    <row r="125">
      <c r="A125" s="30" t="inlineStr">
        <is>
          <t>O0124</t>
        </is>
      </c>
      <c r="B125" s="30" t="inlineStr">
        <is>
          <t>D</t>
        </is>
      </c>
      <c r="C125" s="31" t="n">
        <v>2448.5</v>
      </c>
      <c r="D125" s="31" t="n">
        <v>4826.2</v>
      </c>
      <c r="E125" s="31" t="n">
        <v>4849.7</v>
      </c>
      <c r="F125" s="31" t="n">
        <v>4865.8</v>
      </c>
      <c r="G125" s="31" t="n">
        <v>4892.2</v>
      </c>
      <c r="H125" s="31" t="n">
        <v>4892.3</v>
      </c>
      <c r="I125" s="31" t="n">
        <v>4905.7</v>
      </c>
      <c r="J125" s="31" t="n">
        <v>4948.2</v>
      </c>
      <c r="K125" s="31" t="n">
        <v>2499.7</v>
      </c>
      <c r="L125" s="31" t="n">
        <v>2377.7</v>
      </c>
      <c r="M125" s="30" t="inlineStr">
        <is>
          <t>AMR1</t>
        </is>
      </c>
      <c r="N125" s="30" t="inlineStr">
        <is>
          <t>AMR1</t>
        </is>
      </c>
      <c r="O125" s="32" t="n">
        <v>1</v>
      </c>
      <c r="P125" s="32" t="n">
        <v>25</v>
      </c>
      <c r="Q125" s="32" t="n">
        <v>1</v>
      </c>
      <c r="R125" s="31" t="n">
        <v>62.5</v>
      </c>
      <c r="S125" s="31" t="n">
        <v>62.5</v>
      </c>
      <c r="T125" s="30" t="inlineStr">
        <is>
          <t>AMR1</t>
        </is>
      </c>
      <c r="U125" s="31" t="n">
        <v>42.2</v>
      </c>
      <c r="V125" s="31" t="n">
        <v>42.2</v>
      </c>
      <c r="W125" s="30" t="inlineStr">
        <is>
          <t>AMR1</t>
        </is>
      </c>
      <c r="X125" s="32" t="n">
        <v>0</v>
      </c>
      <c r="Y125" s="32" t="n">
        <v>0</v>
      </c>
      <c r="Z125" s="31" t="n">
        <v>0</v>
      </c>
      <c r="AA125" s="32" t="n">
        <v>0</v>
      </c>
      <c r="AB125" s="32" t="n">
        <v>0</v>
      </c>
      <c r="AC125" s="32" t="n">
        <v>0</v>
      </c>
      <c r="AD125" s="32" t="n">
        <v>1</v>
      </c>
      <c r="AE125" s="31" t="n">
        <v>12</v>
      </c>
      <c r="AF125" s="32" t="n">
        <v>1</v>
      </c>
      <c r="AG125" s="31" t="n">
        <v>7</v>
      </c>
      <c r="AH125" s="32" t="n">
        <v>56</v>
      </c>
      <c r="AI125" s="31" t="n">
        <v>58.8</v>
      </c>
      <c r="AJ125" s="31" t="n">
        <v>51.1</v>
      </c>
      <c r="AK125" s="31" t="n">
        <v>12</v>
      </c>
      <c r="AL125" s="30" t="inlineStr">
        <is>
          <t>T-0284</t>
        </is>
      </c>
      <c r="AM125" s="30" t="inlineStr">
        <is>
          <t>D-05-03</t>
        </is>
      </c>
      <c r="AN125" s="30" t="inlineStr">
        <is>
          <t>T-0060</t>
        </is>
      </c>
      <c r="AO125" s="30" t="inlineStr">
        <is>
          <t>D-03-03</t>
        </is>
      </c>
    </row>
    <row r="126">
      <c r="A126" s="30" t="inlineStr">
        <is>
          <t>O0125</t>
        </is>
      </c>
      <c r="B126" s="30" t="inlineStr">
        <is>
          <t>I</t>
        </is>
      </c>
      <c r="C126" s="31" t="n">
        <v>2464.6</v>
      </c>
      <c r="D126" s="31" t="n">
        <v>4658.7</v>
      </c>
      <c r="E126" s="31" t="n">
        <v>4682.2</v>
      </c>
      <c r="F126" s="31" t="n">
        <v>4695.8</v>
      </c>
      <c r="G126" s="31" t="n">
        <v>4722.5</v>
      </c>
      <c r="H126" s="31" t="n">
        <v>4722.6</v>
      </c>
      <c r="I126" s="31" t="n">
        <v>4738</v>
      </c>
      <c r="J126" s="31" t="n">
        <v>4765.6</v>
      </c>
      <c r="K126" s="31" t="n">
        <v>2301</v>
      </c>
      <c r="L126" s="31" t="n">
        <v>2194.1</v>
      </c>
      <c r="M126" s="30" t="inlineStr">
        <is>
          <t>AMR3</t>
        </is>
      </c>
      <c r="N126" s="30" t="inlineStr">
        <is>
          <t>AMR3</t>
        </is>
      </c>
      <c r="O126" s="32" t="n">
        <v>1</v>
      </c>
      <c r="P126" s="32" t="n">
        <v>25</v>
      </c>
      <c r="Q126" s="32" t="n">
        <v>1</v>
      </c>
      <c r="R126" s="31" t="n">
        <v>60.4</v>
      </c>
      <c r="S126" s="31" t="n">
        <v>60.4</v>
      </c>
      <c r="T126" s="30" t="inlineStr">
        <is>
          <t>AMR3</t>
        </is>
      </c>
      <c r="U126" s="31" t="n">
        <v>39.6</v>
      </c>
      <c r="V126" s="31" t="n">
        <v>39.6</v>
      </c>
      <c r="W126" s="30" t="inlineStr">
        <is>
          <t>AMR3</t>
        </is>
      </c>
      <c r="X126" s="32" t="n">
        <v>0</v>
      </c>
      <c r="Y126" s="32" t="n">
        <v>0</v>
      </c>
      <c r="Z126" s="31" t="n">
        <v>0</v>
      </c>
      <c r="AA126" s="32" t="n">
        <v>0</v>
      </c>
      <c r="AB126" s="32" t="n">
        <v>0</v>
      </c>
      <c r="AC126" s="32" t="n">
        <v>0</v>
      </c>
      <c r="AD126" s="32" t="n">
        <v>0</v>
      </c>
      <c r="AE126" s="31" t="n">
        <v>0</v>
      </c>
      <c r="AF126" s="32" t="n">
        <v>0</v>
      </c>
      <c r="AG126" s="31" t="n">
        <v>0</v>
      </c>
      <c r="AH126" s="32" t="n">
        <v>58</v>
      </c>
      <c r="AI126" s="31" t="n">
        <v>60.9</v>
      </c>
      <c r="AJ126" s="31" t="n">
        <v>45.9</v>
      </c>
      <c r="AK126" s="31" t="n">
        <v>0</v>
      </c>
      <c r="AL126" s="30" t="inlineStr">
        <is>
          <t>T-0280</t>
        </is>
      </c>
      <c r="AM126" s="30" t="inlineStr">
        <is>
          <t>I-05-01</t>
        </is>
      </c>
      <c r="AN126" s="30" t="inlineStr">
        <is>
          <t>T-0182</t>
        </is>
      </c>
      <c r="AO126" s="30" t="inlineStr">
        <is>
          <t>I-06-01</t>
        </is>
      </c>
    </row>
    <row r="127">
      <c r="A127" s="30" t="inlineStr">
        <is>
          <t>O0126</t>
        </is>
      </c>
      <c r="B127" s="30" t="inlineStr">
        <is>
          <t>C</t>
        </is>
      </c>
      <c r="C127" s="31" t="n">
        <v>2489.3</v>
      </c>
      <c r="D127" s="31" t="n">
        <v>4623.3</v>
      </c>
      <c r="E127" s="31" t="n">
        <v>4646.8</v>
      </c>
      <c r="F127" s="31" t="n">
        <v>4660.3</v>
      </c>
      <c r="G127" s="31" t="n">
        <v>4683.1</v>
      </c>
      <c r="H127" s="31" t="n">
        <v>4797.8</v>
      </c>
      <c r="I127" s="31" t="n">
        <v>4813.5</v>
      </c>
      <c r="J127" s="31" t="n">
        <v>4837.3</v>
      </c>
      <c r="K127" s="31" t="n">
        <v>2348</v>
      </c>
      <c r="L127" s="31" t="n">
        <v>2134</v>
      </c>
      <c r="M127" s="30" t="inlineStr">
        <is>
          <t>AMR2</t>
        </is>
      </c>
      <c r="N127" s="30" t="inlineStr">
        <is>
          <t>AMR2</t>
        </is>
      </c>
      <c r="O127" s="32" t="n">
        <v>1</v>
      </c>
      <c r="P127" s="32" t="n">
        <v>25</v>
      </c>
      <c r="Q127" s="32" t="n">
        <v>3</v>
      </c>
      <c r="R127" s="31" t="n">
        <v>57.9</v>
      </c>
      <c r="S127" s="31" t="n">
        <v>57.9</v>
      </c>
      <c r="T127" s="30" t="inlineStr">
        <is>
          <t>AMR2</t>
        </is>
      </c>
      <c r="U127" s="31" t="n">
        <v>38.4</v>
      </c>
      <c r="V127" s="31" t="n">
        <v>38.4</v>
      </c>
      <c r="W127" s="30" t="inlineStr">
        <is>
          <t>AMR2</t>
        </is>
      </c>
      <c r="X127" s="32" t="n">
        <v>0</v>
      </c>
      <c r="Y127" s="32" t="n">
        <v>0</v>
      </c>
      <c r="Z127" s="31" t="n">
        <v>0</v>
      </c>
      <c r="AA127" s="32" t="n">
        <v>0</v>
      </c>
      <c r="AB127" s="32" t="n">
        <v>0</v>
      </c>
      <c r="AC127" s="32" t="n">
        <v>0</v>
      </c>
      <c r="AD127" s="32" t="n">
        <v>0</v>
      </c>
      <c r="AE127" s="31" t="n">
        <v>0</v>
      </c>
      <c r="AF127" s="32" t="n">
        <v>0</v>
      </c>
      <c r="AG127" s="31" t="n">
        <v>0</v>
      </c>
      <c r="AH127" s="32" t="n">
        <v>56</v>
      </c>
      <c r="AI127" s="31" t="n">
        <v>58.5</v>
      </c>
      <c r="AJ127" s="31" t="n">
        <v>40.8</v>
      </c>
      <c r="AK127" s="31" t="n">
        <v>0</v>
      </c>
      <c r="AL127" s="30" t="inlineStr">
        <is>
          <t>T-0279</t>
        </is>
      </c>
      <c r="AM127" s="30" t="inlineStr">
        <is>
          <t>C-04-02</t>
        </is>
      </c>
      <c r="AN127" s="30" t="inlineStr">
        <is>
          <t>T-0042</t>
        </is>
      </c>
      <c r="AO127" s="30" t="inlineStr">
        <is>
          <t>C-06-02</t>
        </is>
      </c>
    </row>
    <row r="128">
      <c r="A128" s="30" t="inlineStr">
        <is>
          <t>O0127</t>
        </is>
      </c>
      <c r="B128" s="30" t="inlineStr">
        <is>
          <t>C</t>
        </is>
      </c>
      <c r="C128" s="31" t="n">
        <v>2512.9</v>
      </c>
      <c r="D128" s="31" t="n">
        <v>4386.2</v>
      </c>
      <c r="E128" s="31" t="n">
        <v>4418.7</v>
      </c>
      <c r="F128" s="31" t="n">
        <v>4431.7</v>
      </c>
      <c r="G128" s="31" t="n">
        <v>4452.4</v>
      </c>
      <c r="H128" s="31" t="n">
        <v>4683.2</v>
      </c>
      <c r="I128" s="31" t="n">
        <v>4693</v>
      </c>
      <c r="J128" s="31" t="n">
        <v>4723.5</v>
      </c>
      <c r="K128" s="31" t="n">
        <v>2210.6</v>
      </c>
      <c r="L128" s="31" t="n">
        <v>1873.3</v>
      </c>
      <c r="M128" s="30" t="inlineStr">
        <is>
          <t>AMR2</t>
        </is>
      </c>
      <c r="N128" s="30" t="inlineStr">
        <is>
          <t>AMR2</t>
        </is>
      </c>
      <c r="O128" s="32" t="n">
        <v>1</v>
      </c>
      <c r="P128" s="32" t="n">
        <v>25</v>
      </c>
      <c r="Q128" s="32" t="n">
        <v>1</v>
      </c>
      <c r="R128" s="31" t="n">
        <v>54.5</v>
      </c>
      <c r="S128" s="31" t="n">
        <v>54.5</v>
      </c>
      <c r="T128" s="30" t="inlineStr">
        <is>
          <t>AMR2</t>
        </is>
      </c>
      <c r="U128" s="31" t="n">
        <v>34.5</v>
      </c>
      <c r="V128" s="31" t="n">
        <v>34.5</v>
      </c>
      <c r="W128" s="30" t="inlineStr">
        <is>
          <t>AMR2</t>
        </is>
      </c>
      <c r="X128" s="32" t="n">
        <v>0</v>
      </c>
      <c r="Y128" s="32" t="n">
        <v>0</v>
      </c>
      <c r="Z128" s="31" t="n">
        <v>0</v>
      </c>
      <c r="AA128" s="32" t="n">
        <v>0</v>
      </c>
      <c r="AB128" s="32" t="n">
        <v>0</v>
      </c>
      <c r="AC128" s="32" t="n">
        <v>0</v>
      </c>
      <c r="AD128" s="32" t="n">
        <v>1</v>
      </c>
      <c r="AE128" s="31" t="n">
        <v>6</v>
      </c>
      <c r="AF128" s="32" t="n">
        <v>2</v>
      </c>
      <c r="AG128" s="31" t="n">
        <v>5</v>
      </c>
      <c r="AH128" s="32" t="n">
        <v>55</v>
      </c>
      <c r="AI128" s="31" t="n">
        <v>55.6</v>
      </c>
      <c r="AJ128" s="31" t="n">
        <v>35.9</v>
      </c>
      <c r="AK128" s="31" t="n">
        <v>15</v>
      </c>
      <c r="AL128" s="30" t="inlineStr">
        <is>
          <t>T-0273</t>
        </is>
      </c>
      <c r="AM128" s="30" t="inlineStr">
        <is>
          <t>C-03-03</t>
        </is>
      </c>
      <c r="AN128" s="30" t="inlineStr">
        <is>
          <t>T-0041</t>
        </is>
      </c>
      <c r="AO128" s="30" t="inlineStr">
        <is>
          <t>C-02-01</t>
        </is>
      </c>
    </row>
    <row r="129">
      <c r="A129" s="30" t="inlineStr">
        <is>
          <t>O0128</t>
        </is>
      </c>
      <c r="B129" s="30" t="inlineStr">
        <is>
          <t>F</t>
        </is>
      </c>
      <c r="C129" s="31" t="n">
        <v>2528.2</v>
      </c>
      <c r="D129" s="31" t="n">
        <v>4589.8</v>
      </c>
      <c r="E129" s="31" t="n">
        <v>4613.3</v>
      </c>
      <c r="F129" s="31" t="n">
        <v>4628.5</v>
      </c>
      <c r="G129" s="31" t="n">
        <v>4661.6</v>
      </c>
      <c r="H129" s="31" t="n">
        <v>5048.1</v>
      </c>
      <c r="I129" s="31" t="n">
        <v>5056.2</v>
      </c>
      <c r="J129" s="31" t="n">
        <v>5090.5</v>
      </c>
      <c r="K129" s="31" t="n">
        <v>2562.3</v>
      </c>
      <c r="L129" s="31" t="n">
        <v>2061.6</v>
      </c>
      <c r="M129" s="30" t="inlineStr">
        <is>
          <t>AMR1</t>
        </is>
      </c>
      <c r="N129" s="30" t="inlineStr">
        <is>
          <t>AMR2</t>
        </is>
      </c>
      <c r="O129" s="32" t="n">
        <v>1</v>
      </c>
      <c r="P129" s="32" t="n">
        <v>25</v>
      </c>
      <c r="Q129" s="32" t="n">
        <v>1</v>
      </c>
      <c r="R129" s="31" t="n">
        <v>70</v>
      </c>
      <c r="S129" s="31" t="n">
        <v>70</v>
      </c>
      <c r="T129" s="30" t="inlineStr">
        <is>
          <t>AMR1</t>
        </is>
      </c>
      <c r="U129" s="31" t="n">
        <v>43</v>
      </c>
      <c r="V129" s="31" t="n">
        <v>43</v>
      </c>
      <c r="W129" s="30" t="inlineStr">
        <is>
          <t>AMR2</t>
        </is>
      </c>
      <c r="X129" s="32" t="n">
        <v>0</v>
      </c>
      <c r="Y129" s="32" t="n">
        <v>0</v>
      </c>
      <c r="Z129" s="31" t="n">
        <v>0</v>
      </c>
      <c r="AA129" s="32" t="n">
        <v>0</v>
      </c>
      <c r="AB129" s="32" t="n">
        <v>0</v>
      </c>
      <c r="AC129" s="32" t="n">
        <v>0</v>
      </c>
      <c r="AD129" s="32" t="n">
        <v>0</v>
      </c>
      <c r="AE129" s="31" t="n">
        <v>0</v>
      </c>
      <c r="AF129" s="32" t="n">
        <v>0</v>
      </c>
      <c r="AG129" s="31" t="n">
        <v>0</v>
      </c>
      <c r="AH129" s="32" t="n">
        <v>70</v>
      </c>
      <c r="AI129" s="31" t="n">
        <v>69.09999999999999</v>
      </c>
      <c r="AJ129" s="31" t="n">
        <v>45.1</v>
      </c>
      <c r="AK129" s="31" t="n">
        <v>0</v>
      </c>
      <c r="AL129" s="30" t="inlineStr">
        <is>
          <t>T-0278</t>
        </is>
      </c>
      <c r="AM129" s="30" t="inlineStr">
        <is>
          <t>F-04-03</t>
        </is>
      </c>
      <c r="AN129" s="30" t="inlineStr">
        <is>
          <t>T-0088</t>
        </is>
      </c>
      <c r="AO129" s="30" t="inlineStr">
        <is>
          <t>F-01-03</t>
        </is>
      </c>
    </row>
    <row r="130">
      <c r="A130" s="30" t="inlineStr">
        <is>
          <t>O0129</t>
        </is>
      </c>
      <c r="B130" s="30" t="inlineStr">
        <is>
          <t>D</t>
        </is>
      </c>
      <c r="C130" s="31" t="n">
        <v>2551.2</v>
      </c>
      <c r="D130" s="31" t="n">
        <v>4492.2</v>
      </c>
      <c r="E130" s="31" t="n">
        <v>4515.7</v>
      </c>
      <c r="F130" s="31" t="n">
        <v>4527.2</v>
      </c>
      <c r="G130" s="31" t="n">
        <v>4551.1</v>
      </c>
      <c r="H130" s="31" t="n">
        <v>4551.2</v>
      </c>
      <c r="I130" s="31" t="n">
        <v>4561.7</v>
      </c>
      <c r="J130" s="31" t="n">
        <v>4589.7</v>
      </c>
      <c r="K130" s="31" t="n">
        <v>2038.5</v>
      </c>
      <c r="L130" s="31" t="n">
        <v>1941</v>
      </c>
      <c r="M130" s="30" t="inlineStr">
        <is>
          <t>AMR1</t>
        </is>
      </c>
      <c r="N130" s="30" t="inlineStr">
        <is>
          <t>AMR1</t>
        </is>
      </c>
      <c r="O130" s="32" t="n">
        <v>1</v>
      </c>
      <c r="P130" s="32" t="n">
        <v>25</v>
      </c>
      <c r="Q130" s="32" t="n">
        <v>1</v>
      </c>
      <c r="R130" s="31" t="n">
        <v>55.4</v>
      </c>
      <c r="S130" s="31" t="n">
        <v>55.4</v>
      </c>
      <c r="T130" s="30" t="inlineStr">
        <is>
          <t>AMR1</t>
        </is>
      </c>
      <c r="U130" s="31" t="n">
        <v>36.6</v>
      </c>
      <c r="V130" s="31" t="n">
        <v>36.6</v>
      </c>
      <c r="W130" s="30" t="inlineStr">
        <is>
          <t>AMR1</t>
        </is>
      </c>
      <c r="X130" s="32" t="n">
        <v>0</v>
      </c>
      <c r="Y130" s="32" t="n">
        <v>0</v>
      </c>
      <c r="Z130" s="31" t="n">
        <v>0</v>
      </c>
      <c r="AA130" s="32" t="n">
        <v>0</v>
      </c>
      <c r="AB130" s="32" t="n">
        <v>0</v>
      </c>
      <c r="AC130" s="32" t="n">
        <v>0</v>
      </c>
      <c r="AD130" s="32" t="n">
        <v>0</v>
      </c>
      <c r="AE130" s="31" t="n">
        <v>0</v>
      </c>
      <c r="AF130" s="32" t="n">
        <v>0</v>
      </c>
      <c r="AG130" s="31" t="n">
        <v>0</v>
      </c>
      <c r="AH130" s="32" t="n">
        <v>58</v>
      </c>
      <c r="AI130" s="31" t="n">
        <v>59</v>
      </c>
      <c r="AJ130" s="31" t="n">
        <v>38.4</v>
      </c>
      <c r="AK130" s="31" t="n">
        <v>0</v>
      </c>
      <c r="AL130" s="30" t="inlineStr">
        <is>
          <t>T-0275</t>
        </is>
      </c>
      <c r="AM130" s="30" t="inlineStr">
        <is>
          <t>D-05-02</t>
        </is>
      </c>
      <c r="AN130" s="30" t="inlineStr">
        <is>
          <t>T-0059</t>
        </is>
      </c>
      <c r="AO130" s="30" t="inlineStr">
        <is>
          <t>D-06-05</t>
        </is>
      </c>
    </row>
    <row r="131">
      <c r="A131" s="30" t="inlineStr">
        <is>
          <t>O0130</t>
        </is>
      </c>
      <c r="B131" s="30" t="inlineStr">
        <is>
          <t>B</t>
        </is>
      </c>
      <c r="C131" s="31" t="n">
        <v>2567.8</v>
      </c>
      <c r="D131" s="31" t="n">
        <v>4503.6</v>
      </c>
      <c r="E131" s="31" t="n">
        <v>4540.1</v>
      </c>
      <c r="F131" s="31" t="n">
        <v>4553.8</v>
      </c>
      <c r="G131" s="31" t="n">
        <v>4581.5</v>
      </c>
      <c r="H131" s="31" t="n">
        <v>4823.9</v>
      </c>
      <c r="I131" s="31" t="n">
        <v>4837.4</v>
      </c>
      <c r="J131" s="31" t="n">
        <v>4877.2</v>
      </c>
      <c r="K131" s="31" t="n">
        <v>2309.4</v>
      </c>
      <c r="L131" s="31" t="n">
        <v>1935.8</v>
      </c>
      <c r="M131" s="30" t="inlineStr">
        <is>
          <t>AMR2</t>
        </is>
      </c>
      <c r="N131" s="30" t="inlineStr">
        <is>
          <t>AMR3</t>
        </is>
      </c>
      <c r="O131" s="32" t="n">
        <v>1</v>
      </c>
      <c r="P131" s="32" t="n">
        <v>25</v>
      </c>
      <c r="Q131" s="32" t="n">
        <v>1</v>
      </c>
      <c r="R131" s="31" t="n">
        <v>61.4</v>
      </c>
      <c r="S131" s="31" t="n">
        <v>61.4</v>
      </c>
      <c r="T131" s="30" t="inlineStr">
        <is>
          <t>AMR2</t>
        </is>
      </c>
      <c r="U131" s="31" t="n">
        <v>40</v>
      </c>
      <c r="V131" s="31" t="n">
        <v>40</v>
      </c>
      <c r="W131" s="30" t="inlineStr">
        <is>
          <t>AMR3</t>
        </is>
      </c>
      <c r="X131" s="32" t="n">
        <v>0</v>
      </c>
      <c r="Y131" s="32" t="n">
        <v>0</v>
      </c>
      <c r="Z131" s="31" t="n">
        <v>0</v>
      </c>
      <c r="AA131" s="32" t="n">
        <v>0</v>
      </c>
      <c r="AB131" s="32" t="n">
        <v>0</v>
      </c>
      <c r="AC131" s="32" t="n">
        <v>0</v>
      </c>
      <c r="AD131" s="32" t="n">
        <v>1</v>
      </c>
      <c r="AE131" s="31" t="n">
        <v>13</v>
      </c>
      <c r="AF131" s="32" t="n">
        <v>2</v>
      </c>
      <c r="AG131" s="31" t="n">
        <v>16</v>
      </c>
      <c r="AH131" s="32" t="n">
        <v>60</v>
      </c>
      <c r="AI131" s="31" t="n">
        <v>60.6</v>
      </c>
      <c r="AJ131" s="31" t="n">
        <v>44.6</v>
      </c>
      <c r="AK131" s="31" t="n">
        <v>26</v>
      </c>
      <c r="AL131" s="30" t="inlineStr">
        <is>
          <t>T-0276</t>
        </is>
      </c>
      <c r="AM131" s="30" t="inlineStr">
        <is>
          <t>B-01-01</t>
        </is>
      </c>
      <c r="AN131" s="30" t="inlineStr">
        <is>
          <t>T-0161</t>
        </is>
      </c>
      <c r="AO131" s="30" t="inlineStr">
        <is>
          <t>B-04-01</t>
        </is>
      </c>
    </row>
    <row r="132">
      <c r="A132" s="30" t="inlineStr">
        <is>
          <t>O0131</t>
        </is>
      </c>
      <c r="B132" s="30" t="inlineStr">
        <is>
          <t>H</t>
        </is>
      </c>
      <c r="C132" s="31" t="n">
        <v>2591.5</v>
      </c>
      <c r="D132" s="31" t="n">
        <v>4562.9</v>
      </c>
      <c r="E132" s="31" t="n">
        <v>4586.4</v>
      </c>
      <c r="F132" s="31" t="n">
        <v>4599.1</v>
      </c>
      <c r="G132" s="31" t="n">
        <v>4621.4</v>
      </c>
      <c r="H132" s="31" t="n">
        <v>4621.5</v>
      </c>
      <c r="I132" s="31" t="n">
        <v>4634.4</v>
      </c>
      <c r="J132" s="31" t="n">
        <v>4658.6</v>
      </c>
      <c r="K132" s="31" t="n">
        <v>2067.1</v>
      </c>
      <c r="L132" s="31" t="n">
        <v>1971.4</v>
      </c>
      <c r="M132" s="30" t="inlineStr">
        <is>
          <t>AMR3</t>
        </is>
      </c>
      <c r="N132" s="30" t="inlineStr">
        <is>
          <t>AMR3</t>
        </is>
      </c>
      <c r="O132" s="32" t="n">
        <v>1</v>
      </c>
      <c r="P132" s="32" t="n">
        <v>25</v>
      </c>
      <c r="Q132" s="32" t="n">
        <v>1</v>
      </c>
      <c r="R132" s="31" t="n">
        <v>56.7</v>
      </c>
      <c r="S132" s="31" t="n">
        <v>56.7</v>
      </c>
      <c r="T132" s="30" t="inlineStr">
        <is>
          <t>AMR3</t>
        </is>
      </c>
      <c r="U132" s="31" t="n">
        <v>38.3</v>
      </c>
      <c r="V132" s="31" t="n">
        <v>38.3</v>
      </c>
      <c r="W132" s="30" t="inlineStr">
        <is>
          <t>AMR3</t>
        </is>
      </c>
      <c r="X132" s="32" t="n">
        <v>0</v>
      </c>
      <c r="Y132" s="32" t="n">
        <v>0</v>
      </c>
      <c r="Z132" s="31" t="n">
        <v>0</v>
      </c>
      <c r="AA132" s="32" t="n">
        <v>0</v>
      </c>
      <c r="AB132" s="32" t="n">
        <v>0</v>
      </c>
      <c r="AC132" s="32" t="n">
        <v>0</v>
      </c>
      <c r="AD132" s="32" t="n">
        <v>0</v>
      </c>
      <c r="AE132" s="31" t="n">
        <v>0</v>
      </c>
      <c r="AF132" s="32" t="n">
        <v>0</v>
      </c>
      <c r="AG132" s="31" t="n">
        <v>0</v>
      </c>
      <c r="AH132" s="32" t="n">
        <v>52</v>
      </c>
      <c r="AI132" s="31" t="n">
        <v>54.2</v>
      </c>
      <c r="AJ132" s="31" t="n">
        <v>41.4</v>
      </c>
      <c r="AK132" s="31" t="n">
        <v>0</v>
      </c>
      <c r="AL132" s="30" t="inlineStr">
        <is>
          <t>T-0277</t>
        </is>
      </c>
      <c r="AM132" s="30" t="inlineStr">
        <is>
          <t>H-01-03</t>
        </is>
      </c>
      <c r="AN132" s="30" t="inlineStr">
        <is>
          <t>T-0115</t>
        </is>
      </c>
      <c r="AO132" s="30" t="inlineStr">
        <is>
          <t>H-01-05</t>
        </is>
      </c>
    </row>
    <row r="133">
      <c r="A133" s="30" t="inlineStr">
        <is>
          <t>O0132</t>
        </is>
      </c>
      <c r="B133" s="30" t="inlineStr">
        <is>
          <t>H</t>
        </is>
      </c>
      <c r="C133" s="31" t="n">
        <v>2608.5</v>
      </c>
      <c r="D133" s="31" t="n">
        <v>4723.6</v>
      </c>
      <c r="E133" s="31" t="n">
        <v>4760.1</v>
      </c>
      <c r="F133" s="31" t="n">
        <v>4772.2</v>
      </c>
      <c r="G133" s="31" t="n">
        <v>4797.7</v>
      </c>
      <c r="H133" s="31" t="n">
        <v>4877.3</v>
      </c>
      <c r="I133" s="31" t="n">
        <v>4903.4</v>
      </c>
      <c r="J133" s="31" t="n">
        <v>4930.7</v>
      </c>
      <c r="K133" s="31" t="n">
        <v>2322.2</v>
      </c>
      <c r="L133" s="31" t="n">
        <v>2115.1</v>
      </c>
      <c r="M133" s="30" t="inlineStr">
        <is>
          <t>AMR2</t>
        </is>
      </c>
      <c r="N133" s="30" t="inlineStr">
        <is>
          <t>AMR3</t>
        </is>
      </c>
      <c r="O133" s="32" t="n">
        <v>1</v>
      </c>
      <c r="P133" s="32" t="n">
        <v>25</v>
      </c>
      <c r="Q133" s="32" t="n">
        <v>14</v>
      </c>
      <c r="R133" s="31" t="n">
        <v>59.3</v>
      </c>
      <c r="S133" s="31" t="n">
        <v>59.3</v>
      </c>
      <c r="T133" s="30" t="inlineStr">
        <is>
          <t>AMR2</t>
        </is>
      </c>
      <c r="U133" s="31" t="n">
        <v>53.7</v>
      </c>
      <c r="V133" s="31" t="n">
        <v>53.7</v>
      </c>
      <c r="W133" s="30" t="inlineStr">
        <is>
          <t>AMR3</t>
        </is>
      </c>
      <c r="X133" s="32" t="n">
        <v>0</v>
      </c>
      <c r="Y133" s="32" t="n">
        <v>0</v>
      </c>
      <c r="Z133" s="31" t="n">
        <v>0</v>
      </c>
      <c r="AA133" s="32" t="n">
        <v>0</v>
      </c>
      <c r="AB133" s="32" t="n">
        <v>0</v>
      </c>
      <c r="AC133" s="32" t="n">
        <v>0</v>
      </c>
      <c r="AD133" s="32" t="n">
        <v>0</v>
      </c>
      <c r="AE133" s="31" t="n">
        <v>0</v>
      </c>
      <c r="AF133" s="32" t="n">
        <v>1</v>
      </c>
      <c r="AG133" s="31" t="n">
        <v>8</v>
      </c>
      <c r="AH133" s="32" t="n">
        <v>65</v>
      </c>
      <c r="AI133" s="31" t="n">
        <v>67.40000000000001</v>
      </c>
      <c r="AJ133" s="31" t="n">
        <v>47.1</v>
      </c>
      <c r="AK133" s="31" t="n">
        <v>13</v>
      </c>
      <c r="AL133" s="30" t="inlineStr">
        <is>
          <t>T-0282</t>
        </is>
      </c>
      <c r="AM133" s="30" t="inlineStr">
        <is>
          <t>H-02-03</t>
        </is>
      </c>
      <c r="AN133" s="30" t="inlineStr">
        <is>
          <t>T-0116</t>
        </is>
      </c>
      <c r="AO133" s="30" t="inlineStr">
        <is>
          <t>H-06-01</t>
        </is>
      </c>
    </row>
    <row r="134">
      <c r="A134" s="30" t="inlineStr">
        <is>
          <t>O0133</t>
        </is>
      </c>
      <c r="B134" s="30" t="inlineStr">
        <is>
          <t>D</t>
        </is>
      </c>
      <c r="C134" s="31" t="n">
        <v>2626.6</v>
      </c>
      <c r="D134" s="31" t="n">
        <v>4712.4</v>
      </c>
      <c r="E134" s="31" t="n">
        <v>4735.9</v>
      </c>
      <c r="F134" s="31" t="n">
        <v>4751.2</v>
      </c>
      <c r="G134" s="31" t="n">
        <v>4774.9</v>
      </c>
      <c r="H134" s="31" t="n">
        <v>4912.8</v>
      </c>
      <c r="I134" s="31" t="n">
        <v>4926.9</v>
      </c>
      <c r="J134" s="31" t="n">
        <v>4967.5</v>
      </c>
      <c r="K134" s="31" t="n">
        <v>2340.9</v>
      </c>
      <c r="L134" s="31" t="n">
        <v>2085.8</v>
      </c>
      <c r="M134" s="30" t="inlineStr">
        <is>
          <t>AMR1</t>
        </is>
      </c>
      <c r="N134" s="30" t="inlineStr">
        <is>
          <t>AMR2</t>
        </is>
      </c>
      <c r="O134" s="32" t="n">
        <v>1</v>
      </c>
      <c r="P134" s="32" t="n">
        <v>25</v>
      </c>
      <c r="Q134" s="32" t="n">
        <v>4</v>
      </c>
      <c r="R134" s="31" t="n">
        <v>58.2</v>
      </c>
      <c r="S134" s="31" t="n">
        <v>58.2</v>
      </c>
      <c r="T134" s="30" t="inlineStr">
        <is>
          <t>AMR1</t>
        </is>
      </c>
      <c r="U134" s="31" t="n">
        <v>39.8</v>
      </c>
      <c r="V134" s="31" t="n">
        <v>39.8</v>
      </c>
      <c r="W134" s="30" t="inlineStr">
        <is>
          <t>AMR2</t>
        </is>
      </c>
      <c r="X134" s="32" t="n">
        <v>0</v>
      </c>
      <c r="Y134" s="32" t="n">
        <v>0</v>
      </c>
      <c r="Z134" s="31" t="n">
        <v>0</v>
      </c>
      <c r="AA134" s="32" t="n">
        <v>0</v>
      </c>
      <c r="AB134" s="32" t="n">
        <v>0</v>
      </c>
      <c r="AC134" s="32" t="n">
        <v>0</v>
      </c>
      <c r="AD134" s="32" t="n">
        <v>1</v>
      </c>
      <c r="AE134" s="31" t="n">
        <v>14.2</v>
      </c>
      <c r="AF134" s="32" t="n">
        <v>1</v>
      </c>
      <c r="AG134" s="31" t="n">
        <v>9.199999999999999</v>
      </c>
      <c r="AH134" s="32" t="n">
        <v>60</v>
      </c>
      <c r="AI134" s="31" t="n">
        <v>61.7</v>
      </c>
      <c r="AJ134" s="31" t="n">
        <v>41.3</v>
      </c>
      <c r="AK134" s="31" t="n">
        <v>14.2</v>
      </c>
      <c r="AL134" s="30" t="inlineStr">
        <is>
          <t>T-0281</t>
        </is>
      </c>
      <c r="AM134" s="30" t="inlineStr">
        <is>
          <t>D-06-02</t>
        </is>
      </c>
      <c r="AN134" s="30" t="inlineStr">
        <is>
          <t>T-0152</t>
        </is>
      </c>
      <c r="AO134" s="30" t="inlineStr">
        <is>
          <t>D-01-01</t>
        </is>
      </c>
    </row>
    <row r="135">
      <c r="A135" s="30" t="inlineStr">
        <is>
          <t>O0134</t>
        </is>
      </c>
      <c r="B135" s="30" t="inlineStr">
        <is>
          <t>D</t>
        </is>
      </c>
      <c r="C135" s="31" t="n">
        <v>2641.8</v>
      </c>
      <c r="D135" s="31" t="n">
        <v>5126.3</v>
      </c>
      <c r="E135" s="31" t="n">
        <v>5138.3</v>
      </c>
      <c r="F135" s="31" t="n">
        <v>5154.6</v>
      </c>
      <c r="G135" s="31" t="n">
        <v>5179.7</v>
      </c>
      <c r="H135" s="31" t="n">
        <v>5179.8</v>
      </c>
      <c r="I135" s="31" t="n">
        <v>5191.1</v>
      </c>
      <c r="J135" s="31" t="n">
        <v>5219.7</v>
      </c>
      <c r="K135" s="31" t="n">
        <v>2577.9</v>
      </c>
      <c r="L135" s="31" t="n">
        <v>2484.5</v>
      </c>
      <c r="M135" s="30" t="inlineStr">
        <is>
          <t>AMR1</t>
        </is>
      </c>
      <c r="N135" s="30" t="inlineStr">
        <is>
          <t>AMR1</t>
        </is>
      </c>
      <c r="O135" s="32" t="n">
        <v>1</v>
      </c>
      <c r="P135" s="32" t="n">
        <v>12</v>
      </c>
      <c r="Q135" s="32" t="n">
        <v>0</v>
      </c>
      <c r="R135" s="31" t="n">
        <v>51.9</v>
      </c>
      <c r="S135" s="31" t="n">
        <v>51.9</v>
      </c>
      <c r="T135" s="30" t="inlineStr">
        <is>
          <t>AMR1</t>
        </is>
      </c>
      <c r="U135" s="31" t="n">
        <v>39.6</v>
      </c>
      <c r="V135" s="31" t="n">
        <v>39.6</v>
      </c>
      <c r="W135" s="30" t="inlineStr">
        <is>
          <t>AMR1</t>
        </is>
      </c>
      <c r="X135" s="32" t="n">
        <v>0</v>
      </c>
      <c r="Y135" s="32" t="n">
        <v>0</v>
      </c>
      <c r="Z135" s="31" t="n">
        <v>0</v>
      </c>
      <c r="AA135" s="32" t="n">
        <v>0</v>
      </c>
      <c r="AB135" s="32" t="n">
        <v>0</v>
      </c>
      <c r="AC135" s="32" t="n">
        <v>0</v>
      </c>
      <c r="AD135" s="32" t="n">
        <v>0</v>
      </c>
      <c r="AE135" s="31" t="n">
        <v>0</v>
      </c>
      <c r="AF135" s="32" t="n">
        <v>0</v>
      </c>
      <c r="AG135" s="31" t="n">
        <v>0</v>
      </c>
      <c r="AH135" s="32" t="n">
        <v>41</v>
      </c>
      <c r="AI135" s="31" t="n">
        <v>44.4</v>
      </c>
      <c r="AJ135" s="31" t="n">
        <v>48.9</v>
      </c>
      <c r="AK135" s="31" t="n">
        <v>0</v>
      </c>
      <c r="AL135" s="30" t="inlineStr">
        <is>
          <t>T-0292</t>
        </is>
      </c>
      <c r="AM135" s="30" t="inlineStr">
        <is>
          <t>D-03-03</t>
        </is>
      </c>
      <c r="AN135" s="30" t="inlineStr">
        <is>
          <t>T-0157</t>
        </is>
      </c>
      <c r="AO135" s="30" t="inlineStr">
        <is>
          <t>D-03-01</t>
        </is>
      </c>
    </row>
    <row r="136">
      <c r="A136" s="30" t="inlineStr">
        <is>
          <t>O0135</t>
        </is>
      </c>
      <c r="B136" s="30" t="inlineStr">
        <is>
          <t>B</t>
        </is>
      </c>
      <c r="C136" s="31" t="n">
        <v>2660.1</v>
      </c>
      <c r="D136" s="31" t="n">
        <v>5090.6</v>
      </c>
      <c r="E136" s="31" t="n">
        <v>5120.1</v>
      </c>
      <c r="F136" s="31" t="n">
        <v>5132.5</v>
      </c>
      <c r="G136" s="31" t="n">
        <v>5158.2</v>
      </c>
      <c r="H136" s="31" t="n">
        <v>5220.1</v>
      </c>
      <c r="I136" s="31" t="n">
        <v>5229.6</v>
      </c>
      <c r="J136" s="31" t="n">
        <v>5268</v>
      </c>
      <c r="K136" s="31" t="n">
        <v>2607.9</v>
      </c>
      <c r="L136" s="31" t="n">
        <v>2430.5</v>
      </c>
      <c r="M136" s="30" t="inlineStr">
        <is>
          <t>AMR2</t>
        </is>
      </c>
      <c r="N136" s="30" t="inlineStr">
        <is>
          <t>AMR2</t>
        </is>
      </c>
      <c r="O136" s="32" t="n">
        <v>1</v>
      </c>
      <c r="P136" s="32" t="n">
        <v>25</v>
      </c>
      <c r="Q136" s="32" t="n">
        <v>2</v>
      </c>
      <c r="R136" s="31" t="n">
        <v>59.7</v>
      </c>
      <c r="S136" s="31" t="n">
        <v>59.7</v>
      </c>
      <c r="T136" s="30" t="inlineStr">
        <is>
          <t>AMR2</t>
        </is>
      </c>
      <c r="U136" s="31" t="n">
        <v>39.1</v>
      </c>
      <c r="V136" s="31" t="n">
        <v>39.1</v>
      </c>
      <c r="W136" s="30" t="inlineStr">
        <is>
          <t>AMR2</t>
        </is>
      </c>
      <c r="X136" s="32" t="n">
        <v>0</v>
      </c>
      <c r="Y136" s="32" t="n">
        <v>0</v>
      </c>
      <c r="Z136" s="31" t="n">
        <v>0</v>
      </c>
      <c r="AA136" s="32" t="n">
        <v>0</v>
      </c>
      <c r="AB136" s="32" t="n">
        <v>0</v>
      </c>
      <c r="AC136" s="32" t="n">
        <v>0</v>
      </c>
      <c r="AD136" s="32" t="n">
        <v>1</v>
      </c>
      <c r="AE136" s="31" t="n">
        <v>10</v>
      </c>
      <c r="AF136" s="32" t="n">
        <v>2</v>
      </c>
      <c r="AG136" s="31" t="n">
        <v>6</v>
      </c>
      <c r="AH136" s="32" t="n">
        <v>57</v>
      </c>
      <c r="AI136" s="31" t="n">
        <v>58.2</v>
      </c>
      <c r="AJ136" s="31" t="n">
        <v>41.3</v>
      </c>
      <c r="AK136" s="31" t="n">
        <v>16</v>
      </c>
      <c r="AL136" s="30" t="inlineStr">
        <is>
          <t>T-0291</t>
        </is>
      </c>
      <c r="AM136" s="30" t="inlineStr">
        <is>
          <t>B-04-01</t>
        </is>
      </c>
      <c r="AN136" s="30" t="inlineStr">
        <is>
          <t>T-0164</t>
        </is>
      </c>
      <c r="AO136" s="30" t="inlineStr">
        <is>
          <t>B-05-01</t>
        </is>
      </c>
    </row>
    <row r="137">
      <c r="A137" s="30" t="inlineStr">
        <is>
          <t>O0136</t>
        </is>
      </c>
      <c r="B137" s="30" t="inlineStr">
        <is>
          <t>I</t>
        </is>
      </c>
      <c r="C137" s="31" t="n">
        <v>2678.6</v>
      </c>
      <c r="D137" s="31" t="n">
        <v>4948.3</v>
      </c>
      <c r="E137" s="31" t="n">
        <v>4978.8</v>
      </c>
      <c r="F137" s="31" t="n">
        <v>4992.4</v>
      </c>
      <c r="G137" s="31" t="n">
        <v>5017.7</v>
      </c>
      <c r="H137" s="31" t="n">
        <v>5281.6</v>
      </c>
      <c r="I137" s="31" t="n">
        <v>5294.3</v>
      </c>
      <c r="J137" s="31" t="n">
        <v>5323.9</v>
      </c>
      <c r="K137" s="31" t="n">
        <v>2645.3</v>
      </c>
      <c r="L137" s="31" t="n">
        <v>2269.7</v>
      </c>
      <c r="M137" s="30" t="inlineStr">
        <is>
          <t>AMR1</t>
        </is>
      </c>
      <c r="N137" s="30" t="inlineStr">
        <is>
          <t>AMR1</t>
        </is>
      </c>
      <c r="O137" s="32" t="n">
        <v>1</v>
      </c>
      <c r="P137" s="32" t="n">
        <v>25</v>
      </c>
      <c r="Q137" s="32" t="n">
        <v>1</v>
      </c>
      <c r="R137" s="31" t="n">
        <v>59</v>
      </c>
      <c r="S137" s="31" t="n">
        <v>59</v>
      </c>
      <c r="T137" s="30" t="inlineStr">
        <is>
          <t>AMR1</t>
        </is>
      </c>
      <c r="U137" s="31" t="n">
        <v>42</v>
      </c>
      <c r="V137" s="31" t="n">
        <v>42</v>
      </c>
      <c r="W137" s="30" t="inlineStr">
        <is>
          <t>AMR1</t>
        </is>
      </c>
      <c r="X137" s="32" t="n">
        <v>0</v>
      </c>
      <c r="Y137" s="32" t="n">
        <v>0</v>
      </c>
      <c r="Z137" s="31" t="n">
        <v>0</v>
      </c>
      <c r="AA137" s="32" t="n">
        <v>0</v>
      </c>
      <c r="AB137" s="32" t="n">
        <v>0</v>
      </c>
      <c r="AC137" s="32" t="n">
        <v>0</v>
      </c>
      <c r="AD137" s="32" t="n">
        <v>0</v>
      </c>
      <c r="AE137" s="31" t="n">
        <v>0</v>
      </c>
      <c r="AF137" s="32" t="n">
        <v>1</v>
      </c>
      <c r="AG137" s="31" t="n">
        <v>2</v>
      </c>
      <c r="AH137" s="32" t="n">
        <v>56</v>
      </c>
      <c r="AI137" s="31" t="n">
        <v>57.8</v>
      </c>
      <c r="AJ137" s="31" t="n">
        <v>46.9</v>
      </c>
      <c r="AK137" s="31" t="n">
        <v>7</v>
      </c>
      <c r="AL137" s="30" t="inlineStr">
        <is>
          <t>T-0287</t>
        </is>
      </c>
      <c r="AM137" s="30" t="inlineStr">
        <is>
          <t>I-05-03</t>
        </is>
      </c>
      <c r="AN137" s="30" t="inlineStr">
        <is>
          <t>T-0206</t>
        </is>
      </c>
      <c r="AO137" s="30" t="inlineStr">
        <is>
          <t>I-03-02</t>
        </is>
      </c>
    </row>
    <row r="138">
      <c r="A138" s="30" t="inlineStr">
        <is>
          <t>O0137</t>
        </is>
      </c>
      <c r="B138" s="30" t="inlineStr">
        <is>
          <t>I</t>
        </is>
      </c>
      <c r="C138" s="31" t="n">
        <v>2700.4</v>
      </c>
      <c r="D138" s="31" t="n">
        <v>4837.4</v>
      </c>
      <c r="E138" s="31" t="n">
        <v>4873.9</v>
      </c>
      <c r="F138" s="31" t="n">
        <v>4885.1</v>
      </c>
      <c r="G138" s="31" t="n">
        <v>4912.7</v>
      </c>
      <c r="H138" s="31" t="n">
        <v>5017.8</v>
      </c>
      <c r="I138" s="31" t="n">
        <v>5033.1</v>
      </c>
      <c r="J138" s="31" t="n">
        <v>5062.1</v>
      </c>
      <c r="K138" s="31" t="n">
        <v>2361.7</v>
      </c>
      <c r="L138" s="31" t="n">
        <v>2137</v>
      </c>
      <c r="M138" s="30" t="inlineStr">
        <is>
          <t>AMR2</t>
        </is>
      </c>
      <c r="N138" s="30" t="inlineStr">
        <is>
          <t>AMR1</t>
        </is>
      </c>
      <c r="O138" s="32" t="n">
        <v>1</v>
      </c>
      <c r="P138" s="32" t="n">
        <v>25</v>
      </c>
      <c r="Q138" s="32" t="n">
        <v>1</v>
      </c>
      <c r="R138" s="31" t="n">
        <v>58</v>
      </c>
      <c r="S138" s="31" t="n">
        <v>58</v>
      </c>
      <c r="T138" s="30" t="inlineStr">
        <is>
          <t>AMR2</t>
        </is>
      </c>
      <c r="U138" s="31" t="n">
        <v>39.1</v>
      </c>
      <c r="V138" s="31" t="n">
        <v>39.1</v>
      </c>
      <c r="W138" s="30" t="inlineStr">
        <is>
          <t>AMR1</t>
        </is>
      </c>
      <c r="X138" s="32" t="n">
        <v>0</v>
      </c>
      <c r="Y138" s="32" t="n">
        <v>0</v>
      </c>
      <c r="Z138" s="31" t="n">
        <v>0</v>
      </c>
      <c r="AA138" s="32" t="n">
        <v>0</v>
      </c>
      <c r="AB138" s="32" t="n">
        <v>0</v>
      </c>
      <c r="AC138" s="32" t="n">
        <v>0</v>
      </c>
      <c r="AD138" s="32" t="n">
        <v>2</v>
      </c>
      <c r="AE138" s="31" t="n">
        <v>3.6</v>
      </c>
      <c r="AF138" s="32" t="n">
        <v>1</v>
      </c>
      <c r="AG138" s="31" t="n">
        <v>8</v>
      </c>
      <c r="AH138" s="32" t="n">
        <v>57</v>
      </c>
      <c r="AI138" s="31" t="n">
        <v>60</v>
      </c>
      <c r="AJ138" s="31" t="n">
        <v>43</v>
      </c>
      <c r="AK138" s="31" t="n">
        <v>16.6</v>
      </c>
      <c r="AL138" s="30" t="inlineStr">
        <is>
          <t>T-0285</t>
        </is>
      </c>
      <c r="AM138" s="30" t="inlineStr">
        <is>
          <t>I-06-01</t>
        </is>
      </c>
      <c r="AN138" s="30" t="inlineStr">
        <is>
          <t>T-0191</t>
        </is>
      </c>
      <c r="AO138" s="30" t="inlineStr">
        <is>
          <t>I-01-02</t>
        </is>
      </c>
    </row>
    <row r="139">
      <c r="A139" s="30" t="inlineStr">
        <is>
          <t>O0138</t>
        </is>
      </c>
      <c r="B139" s="30" t="inlineStr">
        <is>
          <t>B</t>
        </is>
      </c>
      <c r="C139" s="31" t="n">
        <v>2724.8</v>
      </c>
      <c r="D139" s="31" t="n">
        <v>4765.7</v>
      </c>
      <c r="E139" s="31" t="n">
        <v>4789.2</v>
      </c>
      <c r="F139" s="31" t="n">
        <v>4800.1</v>
      </c>
      <c r="G139" s="31" t="n">
        <v>4823.8</v>
      </c>
      <c r="H139" s="31" t="n">
        <v>5465.5</v>
      </c>
      <c r="I139" s="31" t="n">
        <v>5480.8</v>
      </c>
      <c r="J139" s="31" t="n">
        <v>5515.7</v>
      </c>
      <c r="K139" s="31" t="n">
        <v>2790.9</v>
      </c>
      <c r="L139" s="31" t="n">
        <v>2040.9</v>
      </c>
      <c r="M139" s="30" t="inlineStr">
        <is>
          <t>AMR3</t>
        </is>
      </c>
      <c r="N139" s="30" t="inlineStr">
        <is>
          <t>AMR3</t>
        </is>
      </c>
      <c r="O139" s="32" t="n">
        <v>1</v>
      </c>
      <c r="P139" s="32" t="n">
        <v>25</v>
      </c>
      <c r="Q139" s="32" t="n">
        <v>3</v>
      </c>
      <c r="R139" s="31" t="n">
        <v>54.6</v>
      </c>
      <c r="S139" s="31" t="n">
        <v>54.6</v>
      </c>
      <c r="T139" s="30" t="inlineStr">
        <is>
          <t>AMR3</t>
        </is>
      </c>
      <c r="U139" s="31" t="n">
        <v>46.8</v>
      </c>
      <c r="V139" s="31" t="n">
        <v>46.8</v>
      </c>
      <c r="W139" s="30" t="inlineStr">
        <is>
          <t>AMR3</t>
        </is>
      </c>
      <c r="X139" s="32" t="n">
        <v>0</v>
      </c>
      <c r="Y139" s="32" t="n">
        <v>0</v>
      </c>
      <c r="Z139" s="31" t="n">
        <v>0</v>
      </c>
      <c r="AA139" s="32" t="n">
        <v>0</v>
      </c>
      <c r="AB139" s="32" t="n">
        <v>0</v>
      </c>
      <c r="AC139" s="32" t="n">
        <v>0</v>
      </c>
      <c r="AD139" s="32" t="n">
        <v>1</v>
      </c>
      <c r="AE139" s="31" t="n">
        <v>3</v>
      </c>
      <c r="AF139" s="32" t="n">
        <v>0</v>
      </c>
      <c r="AG139" s="31" t="n">
        <v>0</v>
      </c>
      <c r="AH139" s="32" t="n">
        <v>62</v>
      </c>
      <c r="AI139" s="31" t="n">
        <v>63.1</v>
      </c>
      <c r="AJ139" s="31" t="n">
        <v>42.2</v>
      </c>
      <c r="AK139" s="31" t="n">
        <v>3</v>
      </c>
      <c r="AL139" s="30" t="inlineStr">
        <is>
          <t>T-0283</t>
        </is>
      </c>
      <c r="AM139" s="30" t="inlineStr">
        <is>
          <t>B-02-01</t>
        </is>
      </c>
      <c r="AN139" s="30" t="inlineStr">
        <is>
          <t>T-0167</t>
        </is>
      </c>
      <c r="AO139" s="30" t="inlineStr">
        <is>
          <t>B-01-02</t>
        </is>
      </c>
    </row>
    <row r="140">
      <c r="A140" s="30" t="inlineStr">
        <is>
          <t>O0139</t>
        </is>
      </c>
      <c r="B140" s="30" t="inlineStr">
        <is>
          <t>E</t>
        </is>
      </c>
      <c r="C140" s="31" t="n">
        <v>2741.6</v>
      </c>
      <c r="D140" s="31" t="n">
        <v>4930.8</v>
      </c>
      <c r="E140" s="31" t="n">
        <v>4954.3</v>
      </c>
      <c r="F140" s="31" t="n">
        <v>4970</v>
      </c>
      <c r="G140" s="31" t="n">
        <v>5000.1</v>
      </c>
      <c r="H140" s="31" t="n">
        <v>5491.2</v>
      </c>
      <c r="I140" s="31" t="n">
        <v>5504.4</v>
      </c>
      <c r="J140" s="31" t="n">
        <v>5538.7</v>
      </c>
      <c r="K140" s="31" t="n">
        <v>2797.1</v>
      </c>
      <c r="L140" s="31" t="n">
        <v>2189.2</v>
      </c>
      <c r="M140" s="30" t="inlineStr">
        <is>
          <t>AMR3</t>
        </is>
      </c>
      <c r="N140" s="30" t="inlineStr">
        <is>
          <t>AMR1</t>
        </is>
      </c>
      <c r="O140" s="32" t="n">
        <v>1</v>
      </c>
      <c r="P140" s="32" t="n">
        <v>25</v>
      </c>
      <c r="Q140" s="32" t="n">
        <v>1</v>
      </c>
      <c r="R140" s="31" t="n">
        <v>64</v>
      </c>
      <c r="S140" s="31" t="n">
        <v>64</v>
      </c>
      <c r="T140" s="30" t="inlineStr">
        <is>
          <t>AMR3</t>
        </is>
      </c>
      <c r="U140" s="31" t="n">
        <v>48.2</v>
      </c>
      <c r="V140" s="31" t="n">
        <v>48.2</v>
      </c>
      <c r="W140" s="30" t="inlineStr">
        <is>
          <t>AMR1</t>
        </is>
      </c>
      <c r="X140" s="32" t="n">
        <v>0</v>
      </c>
      <c r="Y140" s="32" t="n">
        <v>0</v>
      </c>
      <c r="Z140" s="31" t="n">
        <v>0</v>
      </c>
      <c r="AA140" s="32" t="n">
        <v>0</v>
      </c>
      <c r="AB140" s="32" t="n">
        <v>0</v>
      </c>
      <c r="AC140" s="32" t="n">
        <v>0</v>
      </c>
      <c r="AD140" s="32" t="n">
        <v>0</v>
      </c>
      <c r="AE140" s="31" t="n">
        <v>0</v>
      </c>
      <c r="AF140" s="32" t="n">
        <v>0</v>
      </c>
      <c r="AG140" s="31" t="n">
        <v>0</v>
      </c>
      <c r="AH140" s="32" t="n">
        <v>69</v>
      </c>
      <c r="AI140" s="31" t="n">
        <v>68.8</v>
      </c>
      <c r="AJ140" s="31" t="n">
        <v>48</v>
      </c>
      <c r="AK140" s="31" t="n">
        <v>0</v>
      </c>
      <c r="AL140" s="30" t="inlineStr">
        <is>
          <t>T-0286</t>
        </is>
      </c>
      <c r="AM140" s="30" t="inlineStr">
        <is>
          <t>E-06-02</t>
        </is>
      </c>
      <c r="AN140" s="30" t="inlineStr">
        <is>
          <t>T-0071</t>
        </is>
      </c>
      <c r="AO140" s="30" t="inlineStr">
        <is>
          <t>E-02-01</t>
        </is>
      </c>
    </row>
    <row r="141">
      <c r="A141" s="30" t="inlineStr">
        <is>
          <t>O0140</t>
        </is>
      </c>
      <c r="B141" s="30" t="inlineStr">
        <is>
          <t>G</t>
        </is>
      </c>
      <c r="C141" s="31" t="n">
        <v>2757.7</v>
      </c>
      <c r="D141" s="31" t="n">
        <v>5250.6</v>
      </c>
      <c r="E141" s="31" t="n">
        <v>5274.1</v>
      </c>
      <c r="F141" s="31" t="n">
        <v>5289.5</v>
      </c>
      <c r="G141" s="31" t="n">
        <v>5313.5</v>
      </c>
      <c r="H141" s="31" t="n">
        <v>5313.6</v>
      </c>
      <c r="I141" s="31" t="n">
        <v>5326.1</v>
      </c>
      <c r="J141" s="31" t="n">
        <v>5349.9</v>
      </c>
      <c r="K141" s="31" t="n">
        <v>2592.2</v>
      </c>
      <c r="L141" s="31" t="n">
        <v>2492.9</v>
      </c>
      <c r="M141" s="30" t="inlineStr">
        <is>
          <t>AMR3</t>
        </is>
      </c>
      <c r="N141" s="30" t="inlineStr">
        <is>
          <t>AMR3</t>
        </is>
      </c>
      <c r="O141" s="32" t="n">
        <v>1</v>
      </c>
      <c r="P141" s="32" t="n">
        <v>25</v>
      </c>
      <c r="Q141" s="32" t="n">
        <v>2</v>
      </c>
      <c r="R141" s="31" t="n">
        <v>61.9</v>
      </c>
      <c r="S141" s="31" t="n">
        <v>61.9</v>
      </c>
      <c r="T141" s="30" t="inlineStr">
        <is>
          <t>AMR3</t>
        </is>
      </c>
      <c r="U141" s="31" t="n">
        <v>39.5</v>
      </c>
      <c r="V141" s="31" t="n">
        <v>39.5</v>
      </c>
      <c r="W141" s="30" t="inlineStr">
        <is>
          <t>AMR3</t>
        </is>
      </c>
      <c r="X141" s="32" t="n">
        <v>0</v>
      </c>
      <c r="Y141" s="32" t="n">
        <v>0</v>
      </c>
      <c r="Z141" s="31" t="n">
        <v>0</v>
      </c>
      <c r="AA141" s="32" t="n">
        <v>0</v>
      </c>
      <c r="AB141" s="32" t="n">
        <v>0</v>
      </c>
      <c r="AC141" s="32" t="n">
        <v>0</v>
      </c>
      <c r="AD141" s="32" t="n">
        <v>0</v>
      </c>
      <c r="AE141" s="31" t="n">
        <v>0</v>
      </c>
      <c r="AF141" s="32" t="n">
        <v>0</v>
      </c>
      <c r="AG141" s="31" t="n">
        <v>0</v>
      </c>
      <c r="AH141" s="32" t="n">
        <v>54</v>
      </c>
      <c r="AI141" s="31" t="n">
        <v>55.8</v>
      </c>
      <c r="AJ141" s="31" t="n">
        <v>43.4</v>
      </c>
      <c r="AK141" s="31" t="n">
        <v>0</v>
      </c>
      <c r="AL141" s="30" t="inlineStr">
        <is>
          <t>T-0296</t>
        </is>
      </c>
      <c r="AM141" s="30" t="inlineStr">
        <is>
          <t>G-06-02</t>
        </is>
      </c>
      <c r="AN141" s="30" t="inlineStr">
        <is>
          <t>T-0099</t>
        </is>
      </c>
      <c r="AO141" s="30" t="inlineStr">
        <is>
          <t>G-06-04</t>
        </is>
      </c>
    </row>
    <row r="142">
      <c r="A142" s="30" t="inlineStr">
        <is>
          <t>O0141</t>
        </is>
      </c>
      <c r="B142" s="30" t="inlineStr">
        <is>
          <t>F</t>
        </is>
      </c>
      <c r="C142" s="31" t="n">
        <v>2779.9</v>
      </c>
      <c r="D142" s="31" t="n">
        <v>4967.6</v>
      </c>
      <c r="E142" s="31" t="n">
        <v>5003.1</v>
      </c>
      <c r="F142" s="31" t="n">
        <v>5016.6</v>
      </c>
      <c r="G142" s="31" t="n">
        <v>5048</v>
      </c>
      <c r="H142" s="31" t="n">
        <v>5342.3</v>
      </c>
      <c r="I142" s="31" t="n">
        <v>5353.1</v>
      </c>
      <c r="J142" s="31" t="n">
        <v>5382.1</v>
      </c>
      <c r="K142" s="31" t="n">
        <v>2602.2</v>
      </c>
      <c r="L142" s="31" t="n">
        <v>2187.7</v>
      </c>
      <c r="M142" s="30" t="inlineStr">
        <is>
          <t>AMR2</t>
        </is>
      </c>
      <c r="N142" s="30" t="inlineStr">
        <is>
          <t>AMR2</t>
        </is>
      </c>
      <c r="O142" s="32" t="n">
        <v>1</v>
      </c>
      <c r="P142" s="32" t="n">
        <v>25</v>
      </c>
      <c r="Q142" s="32" t="n">
        <v>1</v>
      </c>
      <c r="R142" s="31" t="n">
        <v>65</v>
      </c>
      <c r="S142" s="31" t="n">
        <v>65</v>
      </c>
      <c r="T142" s="30" t="inlineStr">
        <is>
          <t>AMR2</t>
        </is>
      </c>
      <c r="U142" s="31" t="n">
        <v>40.5</v>
      </c>
      <c r="V142" s="31" t="n">
        <v>40.5</v>
      </c>
      <c r="W142" s="30" t="inlineStr">
        <is>
          <t>AMR2</t>
        </is>
      </c>
      <c r="X142" s="32" t="n">
        <v>0</v>
      </c>
      <c r="Y142" s="32" t="n">
        <v>0</v>
      </c>
      <c r="Z142" s="31" t="n">
        <v>0</v>
      </c>
      <c r="AA142" s="32" t="n">
        <v>0</v>
      </c>
      <c r="AB142" s="32" t="n">
        <v>0</v>
      </c>
      <c r="AC142" s="32" t="n">
        <v>0</v>
      </c>
      <c r="AD142" s="32" t="n">
        <v>0</v>
      </c>
      <c r="AE142" s="31" t="n">
        <v>0</v>
      </c>
      <c r="AF142" s="32" t="n">
        <v>1</v>
      </c>
      <c r="AG142" s="31" t="n">
        <v>7</v>
      </c>
      <c r="AH142" s="32" t="n">
        <v>72</v>
      </c>
      <c r="AI142" s="31" t="n">
        <v>70.59999999999999</v>
      </c>
      <c r="AJ142" s="31" t="n">
        <v>37.6</v>
      </c>
      <c r="AK142" s="31" t="n">
        <v>12</v>
      </c>
      <c r="AL142" s="30" t="inlineStr">
        <is>
          <t>T-0288</t>
        </is>
      </c>
      <c r="AM142" s="30" t="inlineStr">
        <is>
          <t>F-01-02</t>
        </is>
      </c>
      <c r="AN142" s="30" t="inlineStr">
        <is>
          <t>T-0089</t>
        </is>
      </c>
      <c r="AO142" s="30" t="inlineStr">
        <is>
          <t>F-04-01</t>
        </is>
      </c>
    </row>
    <row r="143">
      <c r="A143" s="30" t="inlineStr">
        <is>
          <t>O0142</t>
        </is>
      </c>
      <c r="B143" s="30" t="inlineStr">
        <is>
          <t>I</t>
        </is>
      </c>
      <c r="C143" s="31" t="n">
        <v>2801</v>
      </c>
      <c r="D143" s="31" t="n">
        <v>5048.5</v>
      </c>
      <c r="E143" s="31" t="n">
        <v>5072</v>
      </c>
      <c r="F143" s="31" t="n">
        <v>5084.5</v>
      </c>
      <c r="G143" s="31" t="n">
        <v>5110.8</v>
      </c>
      <c r="H143" s="31" t="n">
        <v>5110.9</v>
      </c>
      <c r="I143" s="31" t="n">
        <v>5122.9</v>
      </c>
      <c r="J143" s="31" t="n">
        <v>5148.1</v>
      </c>
      <c r="K143" s="31" t="n">
        <v>2347.1</v>
      </c>
      <c r="L143" s="31" t="n">
        <v>2247.5</v>
      </c>
      <c r="M143" s="30" t="inlineStr">
        <is>
          <t>AMR3</t>
        </is>
      </c>
      <c r="N143" s="30" t="inlineStr">
        <is>
          <t>AMR3</t>
        </is>
      </c>
      <c r="O143" s="32" t="n">
        <v>1</v>
      </c>
      <c r="P143" s="32" t="n">
        <v>25</v>
      </c>
      <c r="Q143" s="32" t="n">
        <v>1</v>
      </c>
      <c r="R143" s="31" t="n">
        <v>60.5</v>
      </c>
      <c r="S143" s="31" t="n">
        <v>60.5</v>
      </c>
      <c r="T143" s="30" t="inlineStr">
        <is>
          <t>AMR3</t>
        </is>
      </c>
      <c r="U143" s="31" t="n">
        <v>38.9</v>
      </c>
      <c r="V143" s="31" t="n">
        <v>38.9</v>
      </c>
      <c r="W143" s="30" t="inlineStr">
        <is>
          <t>AMR3</t>
        </is>
      </c>
      <c r="X143" s="32" t="n">
        <v>0</v>
      </c>
      <c r="Y143" s="32" t="n">
        <v>0</v>
      </c>
      <c r="Z143" s="31" t="n">
        <v>0</v>
      </c>
      <c r="AA143" s="32" t="n">
        <v>0</v>
      </c>
      <c r="AB143" s="32" t="n">
        <v>0</v>
      </c>
      <c r="AC143" s="32" t="n">
        <v>0</v>
      </c>
      <c r="AD143" s="32" t="n">
        <v>0</v>
      </c>
      <c r="AE143" s="31" t="n">
        <v>0</v>
      </c>
      <c r="AF143" s="32" t="n">
        <v>0</v>
      </c>
      <c r="AG143" s="31" t="n">
        <v>0</v>
      </c>
      <c r="AH143" s="32" t="n">
        <v>52</v>
      </c>
      <c r="AI143" s="31" t="n">
        <v>54.2</v>
      </c>
      <c r="AJ143" s="31" t="n">
        <v>45.3</v>
      </c>
      <c r="AK143" s="31" t="n">
        <v>0</v>
      </c>
      <c r="AL143" s="30" t="inlineStr">
        <is>
          <t>T-0289</t>
        </is>
      </c>
      <c r="AM143" s="30" t="inlineStr">
        <is>
          <t>I-01-02</t>
        </is>
      </c>
      <c r="AN143" s="30" t="inlineStr">
        <is>
          <t>T-0195</t>
        </is>
      </c>
      <c r="AO143" s="30" t="inlineStr">
        <is>
          <t>I-02-02</t>
        </is>
      </c>
    </row>
    <row r="144">
      <c r="A144" s="30" t="inlineStr">
        <is>
          <t>O0143</t>
        </is>
      </c>
      <c r="B144" s="30" t="inlineStr">
        <is>
          <t>J</t>
        </is>
      </c>
      <c r="C144" s="31" t="n">
        <v>2819.9</v>
      </c>
      <c r="D144" s="31" t="n">
        <v>5737.3</v>
      </c>
      <c r="E144" s="31" t="n">
        <v>5768.8</v>
      </c>
      <c r="F144" s="31" t="n">
        <v>5784.3</v>
      </c>
      <c r="G144" s="31" t="n">
        <v>5816.1</v>
      </c>
      <c r="H144" s="31" t="n">
        <v>5816.2</v>
      </c>
      <c r="I144" s="31" t="n">
        <v>5827.4</v>
      </c>
      <c r="J144" s="31" t="n">
        <v>5859.7</v>
      </c>
      <c r="K144" s="31" t="n">
        <v>3039.8</v>
      </c>
      <c r="L144" s="31" t="n">
        <v>2917.4</v>
      </c>
      <c r="M144" s="30" t="inlineStr">
        <is>
          <t>AMR3</t>
        </is>
      </c>
      <c r="N144" s="30" t="inlineStr">
        <is>
          <t>AMR3</t>
        </is>
      </c>
      <c r="O144" s="32" t="n">
        <v>1</v>
      </c>
      <c r="P144" s="32" t="n">
        <v>25</v>
      </c>
      <c r="Q144" s="32" t="n">
        <v>1</v>
      </c>
      <c r="R144" s="31" t="n">
        <v>67.40000000000001</v>
      </c>
      <c r="S144" s="31" t="n">
        <v>67.40000000000001</v>
      </c>
      <c r="T144" s="30" t="inlineStr">
        <is>
          <t>AMR3</t>
        </is>
      </c>
      <c r="U144" s="31" t="n">
        <v>41.5</v>
      </c>
      <c r="V144" s="31" t="n">
        <v>41.5</v>
      </c>
      <c r="W144" s="30" t="inlineStr">
        <is>
          <t>AMR3</t>
        </is>
      </c>
      <c r="X144" s="32" t="n">
        <v>0</v>
      </c>
      <c r="Y144" s="32" t="n">
        <v>0</v>
      </c>
      <c r="Z144" s="31" t="n">
        <v>0</v>
      </c>
      <c r="AA144" s="32" t="n">
        <v>0</v>
      </c>
      <c r="AB144" s="32" t="n">
        <v>0</v>
      </c>
      <c r="AC144" s="32" t="n">
        <v>0</v>
      </c>
      <c r="AD144" s="32" t="n">
        <v>2</v>
      </c>
      <c r="AE144" s="31" t="n">
        <v>2.6</v>
      </c>
      <c r="AF144" s="32" t="n">
        <v>1</v>
      </c>
      <c r="AG144" s="31" t="n">
        <v>3</v>
      </c>
      <c r="AH144" s="32" t="n">
        <v>68</v>
      </c>
      <c r="AI144" s="31" t="n">
        <v>67.5</v>
      </c>
      <c r="AJ144" s="31" t="n">
        <v>44.2</v>
      </c>
      <c r="AK144" s="31" t="n">
        <v>10.6</v>
      </c>
      <c r="AL144" s="30" t="inlineStr">
        <is>
          <t>T-0309</t>
        </is>
      </c>
      <c r="AM144" s="30" t="inlineStr">
        <is>
          <t>J-05-02</t>
        </is>
      </c>
      <c r="AN144" s="30" t="inlineStr">
        <is>
          <t>T-0146</t>
        </is>
      </c>
      <c r="AO144" s="30" t="inlineStr">
        <is>
          <t>J-03-05</t>
        </is>
      </c>
    </row>
    <row r="145">
      <c r="A145" s="30" t="inlineStr">
        <is>
          <t>O0144</t>
        </is>
      </c>
      <c r="B145" s="30" t="inlineStr">
        <is>
          <t>G</t>
        </is>
      </c>
      <c r="C145" s="31" t="n">
        <v>2837.4</v>
      </c>
      <c r="D145" s="31" t="n">
        <v>5148.2</v>
      </c>
      <c r="E145" s="31" t="n">
        <v>5171.7</v>
      </c>
      <c r="F145" s="31" t="n">
        <v>5184</v>
      </c>
      <c r="G145" s="31" t="n">
        <v>5211.5</v>
      </c>
      <c r="H145" s="31" t="n">
        <v>5211.6</v>
      </c>
      <c r="I145" s="31" t="n">
        <v>5220.9</v>
      </c>
      <c r="J145" s="31" t="n">
        <v>5250.5</v>
      </c>
      <c r="K145" s="31" t="n">
        <v>2413.1</v>
      </c>
      <c r="L145" s="31" t="n">
        <v>2310.8</v>
      </c>
      <c r="M145" s="30" t="inlineStr">
        <is>
          <t>AMR3</t>
        </is>
      </c>
      <c r="N145" s="30" t="inlineStr">
        <is>
          <t>AMR3</t>
        </is>
      </c>
      <c r="O145" s="32" t="n">
        <v>1</v>
      </c>
      <c r="P145" s="32" t="n">
        <v>25</v>
      </c>
      <c r="Q145" s="32" t="n">
        <v>1</v>
      </c>
      <c r="R145" s="31" t="n">
        <v>59.9</v>
      </c>
      <c r="S145" s="31" t="n">
        <v>59.9</v>
      </c>
      <c r="T145" s="30" t="inlineStr">
        <is>
          <t>AMR3</t>
        </is>
      </c>
      <c r="U145" s="31" t="n">
        <v>38.5</v>
      </c>
      <c r="V145" s="31" t="n">
        <v>38.5</v>
      </c>
      <c r="W145" s="30" t="inlineStr">
        <is>
          <t>AMR3</t>
        </is>
      </c>
      <c r="X145" s="32" t="n">
        <v>0</v>
      </c>
      <c r="Y145" s="32" t="n">
        <v>0</v>
      </c>
      <c r="Z145" s="31" t="n">
        <v>0</v>
      </c>
      <c r="AA145" s="32" t="n">
        <v>0</v>
      </c>
      <c r="AB145" s="32" t="n">
        <v>0</v>
      </c>
      <c r="AC145" s="32" t="n">
        <v>0</v>
      </c>
      <c r="AD145" s="32" t="n">
        <v>0</v>
      </c>
      <c r="AE145" s="31" t="n">
        <v>0</v>
      </c>
      <c r="AF145" s="32" t="n">
        <v>0</v>
      </c>
      <c r="AG145" s="31" t="n">
        <v>0</v>
      </c>
      <c r="AH145" s="32" t="n">
        <v>60</v>
      </c>
      <c r="AI145" s="31" t="n">
        <v>61.1</v>
      </c>
      <c r="AJ145" s="31" t="n">
        <v>41.1</v>
      </c>
      <c r="AK145" s="31" t="n">
        <v>0</v>
      </c>
      <c r="AL145" s="30" t="inlineStr">
        <is>
          <t>T-0293</t>
        </is>
      </c>
      <c r="AM145" s="30" t="inlineStr">
        <is>
          <t>G-02-01</t>
        </is>
      </c>
      <c r="AN145" s="30" t="inlineStr">
        <is>
          <t>T-0098</t>
        </is>
      </c>
      <c r="AO145" s="30" t="inlineStr">
        <is>
          <t>G-02-03</t>
        </is>
      </c>
    </row>
    <row r="146">
      <c r="A146" s="30" t="inlineStr">
        <is>
          <t>O0145</t>
        </is>
      </c>
      <c r="B146" s="30" t="inlineStr">
        <is>
          <t>I</t>
        </is>
      </c>
      <c r="C146" s="31" t="n">
        <v>2857.6</v>
      </c>
      <c r="D146" s="31" t="n">
        <v>5324</v>
      </c>
      <c r="E146" s="31" t="n">
        <v>5347.5</v>
      </c>
      <c r="F146" s="31" t="n">
        <v>5363.2</v>
      </c>
      <c r="G146" s="31" t="n">
        <v>5390.7</v>
      </c>
      <c r="H146" s="31" t="n">
        <v>5495.8</v>
      </c>
      <c r="I146" s="31" t="n">
        <v>5524.7</v>
      </c>
      <c r="J146" s="31" t="n">
        <v>5554.2</v>
      </c>
      <c r="K146" s="31" t="n">
        <v>2696.6</v>
      </c>
      <c r="L146" s="31" t="n">
        <v>2466.4</v>
      </c>
      <c r="M146" s="30" t="inlineStr">
        <is>
          <t>AMR1</t>
        </is>
      </c>
      <c r="N146" s="30" t="inlineStr">
        <is>
          <t>AMR2</t>
        </is>
      </c>
      <c r="O146" s="32" t="n">
        <v>1</v>
      </c>
      <c r="P146" s="32" t="n">
        <v>25</v>
      </c>
      <c r="Q146" s="32" t="n">
        <v>14</v>
      </c>
      <c r="R146" s="31" t="n">
        <v>64.09999999999999</v>
      </c>
      <c r="S146" s="31" t="n">
        <v>64.09999999999999</v>
      </c>
      <c r="T146" s="30" t="inlineStr">
        <is>
          <t>AMR1</t>
        </is>
      </c>
      <c r="U146" s="31" t="n">
        <v>53.1</v>
      </c>
      <c r="V146" s="31" t="n">
        <v>53.1</v>
      </c>
      <c r="W146" s="30" t="inlineStr">
        <is>
          <t>AMR2</t>
        </is>
      </c>
      <c r="X146" s="32" t="n">
        <v>0</v>
      </c>
      <c r="Y146" s="32" t="n">
        <v>0</v>
      </c>
      <c r="Z146" s="31" t="n">
        <v>0</v>
      </c>
      <c r="AA146" s="32" t="n">
        <v>0</v>
      </c>
      <c r="AB146" s="32" t="n">
        <v>0</v>
      </c>
      <c r="AC146" s="32" t="n">
        <v>0</v>
      </c>
      <c r="AD146" s="32" t="n">
        <v>1</v>
      </c>
      <c r="AE146" s="31" t="n">
        <v>1</v>
      </c>
      <c r="AF146" s="32" t="n">
        <v>0</v>
      </c>
      <c r="AG146" s="31" t="n">
        <v>0</v>
      </c>
      <c r="AH146" s="32" t="n">
        <v>72</v>
      </c>
      <c r="AI146" s="31" t="n">
        <v>73.3</v>
      </c>
      <c r="AJ146" s="31" t="n">
        <v>50.8</v>
      </c>
      <c r="AK146" s="31" t="n">
        <v>1</v>
      </c>
      <c r="AL146" s="30" t="inlineStr">
        <is>
          <t>T-0298</t>
        </is>
      </c>
      <c r="AM146" s="30" t="inlineStr">
        <is>
          <t>I-03-02</t>
        </is>
      </c>
      <c r="AN146" s="30" t="inlineStr">
        <is>
          <t>T-0211</t>
        </is>
      </c>
      <c r="AO146" s="30" t="inlineStr">
        <is>
          <t>I-06-02</t>
        </is>
      </c>
    </row>
    <row r="147">
      <c r="A147" s="30" t="inlineStr">
        <is>
          <t>O0146</t>
        </is>
      </c>
      <c r="B147" s="30" t="inlineStr">
        <is>
          <t>D</t>
        </is>
      </c>
      <c r="C147" s="31" t="n">
        <v>2879.8</v>
      </c>
      <c r="D147" s="31" t="n">
        <v>5062.2</v>
      </c>
      <c r="E147" s="31" t="n">
        <v>5095.7</v>
      </c>
      <c r="F147" s="31" t="n">
        <v>5106.4</v>
      </c>
      <c r="G147" s="31" t="n">
        <v>5126.2</v>
      </c>
      <c r="H147" s="31" t="n">
        <v>5597.4</v>
      </c>
      <c r="I147" s="31" t="n">
        <v>5610</v>
      </c>
      <c r="J147" s="31" t="n">
        <v>5648.5</v>
      </c>
      <c r="K147" s="31" t="n">
        <v>2768.7</v>
      </c>
      <c r="L147" s="31" t="n">
        <v>2182.4</v>
      </c>
      <c r="M147" s="30" t="inlineStr">
        <is>
          <t>AMR1</t>
        </is>
      </c>
      <c r="N147" s="30" t="inlineStr">
        <is>
          <t>AMR1</t>
        </is>
      </c>
      <c r="O147" s="32" t="n">
        <v>1</v>
      </c>
      <c r="P147" s="32" t="n">
        <v>25</v>
      </c>
      <c r="Q147" s="32" t="n">
        <v>0</v>
      </c>
      <c r="R147" s="31" t="n">
        <v>52.1</v>
      </c>
      <c r="S147" s="31" t="n">
        <v>52.1</v>
      </c>
      <c r="T147" s="30" t="inlineStr">
        <is>
          <t>AMR1</t>
        </is>
      </c>
      <c r="U147" s="31" t="n">
        <v>41.7</v>
      </c>
      <c r="V147" s="31" t="n">
        <v>41.7</v>
      </c>
      <c r="W147" s="30" t="inlineStr">
        <is>
          <t>AMR1</t>
        </is>
      </c>
      <c r="X147" s="32" t="n">
        <v>0</v>
      </c>
      <c r="Y147" s="32" t="n">
        <v>0</v>
      </c>
      <c r="Z147" s="31" t="n">
        <v>0</v>
      </c>
      <c r="AA147" s="32" t="n">
        <v>0</v>
      </c>
      <c r="AB147" s="32" t="n">
        <v>0</v>
      </c>
      <c r="AC147" s="32" t="n">
        <v>0</v>
      </c>
      <c r="AD147" s="32" t="n">
        <v>2</v>
      </c>
      <c r="AE147" s="31" t="n">
        <v>7.6</v>
      </c>
      <c r="AF147" s="32" t="n">
        <v>1</v>
      </c>
      <c r="AG147" s="31" t="n">
        <v>5</v>
      </c>
      <c r="AH147" s="32" t="n">
        <v>55</v>
      </c>
      <c r="AI147" s="31" t="n">
        <v>56.6</v>
      </c>
      <c r="AJ147" s="31" t="n">
        <v>40.9</v>
      </c>
      <c r="AK147" s="31" t="n">
        <v>17.6</v>
      </c>
      <c r="AL147" s="30" t="inlineStr">
        <is>
          <t>T-0290</t>
        </is>
      </c>
      <c r="AM147" s="30" t="inlineStr">
        <is>
          <t>D-01-01</t>
        </is>
      </c>
      <c r="AN147" s="30" t="inlineStr">
        <is>
          <t>T-0170</t>
        </is>
      </c>
      <c r="AO147" s="30" t="inlineStr">
        <is>
          <t>D-04-01</t>
        </is>
      </c>
    </row>
    <row r="148">
      <c r="A148" s="30" t="inlineStr">
        <is>
          <t>O0147</t>
        </is>
      </c>
      <c r="B148" s="30" t="inlineStr">
        <is>
          <t>F</t>
        </is>
      </c>
      <c r="C148" s="31" t="n">
        <v>2899.1</v>
      </c>
      <c r="D148" s="31" t="n">
        <v>5382.2</v>
      </c>
      <c r="E148" s="31" t="n">
        <v>5405.7</v>
      </c>
      <c r="F148" s="31" t="n">
        <v>5420.5</v>
      </c>
      <c r="G148" s="31" t="n">
        <v>5451.3</v>
      </c>
      <c r="H148" s="31" t="n">
        <v>5451.4</v>
      </c>
      <c r="I148" s="31" t="n">
        <v>5461.1</v>
      </c>
      <c r="J148" s="31" t="n">
        <v>5495.7</v>
      </c>
      <c r="K148" s="31" t="n">
        <v>2596.6</v>
      </c>
      <c r="L148" s="31" t="n">
        <v>2483.1</v>
      </c>
      <c r="M148" s="30" t="inlineStr">
        <is>
          <t>AMR2</t>
        </is>
      </c>
      <c r="N148" s="30" t="inlineStr">
        <is>
          <t>AMR2</t>
        </is>
      </c>
      <c r="O148" s="32" t="n">
        <v>1</v>
      </c>
      <c r="P148" s="32" t="n">
        <v>25</v>
      </c>
      <c r="Q148" s="32" t="n">
        <v>1</v>
      </c>
      <c r="R148" s="31" t="n">
        <v>67.3</v>
      </c>
      <c r="S148" s="31" t="n">
        <v>67.3</v>
      </c>
      <c r="T148" s="30" t="inlineStr">
        <is>
          <t>AMR2</t>
        </is>
      </c>
      <c r="U148" s="31" t="n">
        <v>44</v>
      </c>
      <c r="V148" s="31" t="n">
        <v>44</v>
      </c>
      <c r="W148" s="30" t="inlineStr">
        <is>
          <t>AMR2</t>
        </is>
      </c>
      <c r="X148" s="32" t="n">
        <v>0</v>
      </c>
      <c r="Y148" s="32" t="n">
        <v>0</v>
      </c>
      <c r="Z148" s="31" t="n">
        <v>0</v>
      </c>
      <c r="AA148" s="32" t="n">
        <v>0</v>
      </c>
      <c r="AB148" s="32" t="n">
        <v>0</v>
      </c>
      <c r="AC148" s="32" t="n">
        <v>0</v>
      </c>
      <c r="AD148" s="32" t="n">
        <v>0</v>
      </c>
      <c r="AE148" s="31" t="n">
        <v>0</v>
      </c>
      <c r="AF148" s="32" t="n">
        <v>0</v>
      </c>
      <c r="AG148" s="31" t="n">
        <v>0</v>
      </c>
      <c r="AH148" s="32" t="n">
        <v>70</v>
      </c>
      <c r="AI148" s="31" t="n">
        <v>70</v>
      </c>
      <c r="AJ148" s="31" t="n">
        <v>43.4</v>
      </c>
      <c r="AK148" s="31" t="n">
        <v>0</v>
      </c>
      <c r="AL148" s="30" t="inlineStr">
        <is>
          <t>T-0300</t>
        </is>
      </c>
      <c r="AM148" s="30" t="inlineStr">
        <is>
          <t>F-04-01</t>
        </is>
      </c>
      <c r="AN148" s="30" t="inlineStr">
        <is>
          <t>T-0090</t>
        </is>
      </c>
      <c r="AO148" s="30" t="inlineStr">
        <is>
          <t>F-03-05</t>
        </is>
      </c>
    </row>
    <row r="149">
      <c r="A149" s="30" t="inlineStr">
        <is>
          <t>O0148</t>
        </is>
      </c>
      <c r="B149" s="30" t="inlineStr">
        <is>
          <t>B</t>
        </is>
      </c>
      <c r="C149" s="31" t="n">
        <v>2917.3</v>
      </c>
      <c r="D149" s="31" t="n">
        <v>5158.3</v>
      </c>
      <c r="E149" s="31" t="n">
        <v>5186.3</v>
      </c>
      <c r="F149" s="31" t="n">
        <v>5199.2</v>
      </c>
      <c r="G149" s="31" t="n">
        <v>5220</v>
      </c>
      <c r="H149" s="31" t="n">
        <v>5704.4</v>
      </c>
      <c r="I149" s="31" t="n">
        <v>5735.6</v>
      </c>
      <c r="J149" s="31" t="n">
        <v>5765.4</v>
      </c>
      <c r="K149" s="31" t="n">
        <v>2848.1</v>
      </c>
      <c r="L149" s="31" t="n">
        <v>2241</v>
      </c>
      <c r="M149" s="30" t="inlineStr">
        <is>
          <t>AMR2</t>
        </is>
      </c>
      <c r="N149" s="30" t="inlineStr">
        <is>
          <t>AMR1</t>
        </is>
      </c>
      <c r="O149" s="32" t="n">
        <v>1</v>
      </c>
      <c r="P149" s="32" t="n">
        <v>14</v>
      </c>
      <c r="Q149" s="32" t="n">
        <v>18</v>
      </c>
      <c r="R149" s="31" t="n">
        <v>47.2</v>
      </c>
      <c r="S149" s="31" t="n">
        <v>47.2</v>
      </c>
      <c r="T149" s="30" t="inlineStr">
        <is>
          <t>AMR2</t>
        </is>
      </c>
      <c r="U149" s="31" t="n">
        <v>58.4</v>
      </c>
      <c r="V149" s="31" t="n">
        <v>58.4</v>
      </c>
      <c r="W149" s="30" t="inlineStr">
        <is>
          <t>AMR1</t>
        </is>
      </c>
      <c r="X149" s="32" t="n">
        <v>0</v>
      </c>
      <c r="Y149" s="32" t="n">
        <v>0</v>
      </c>
      <c r="Z149" s="31" t="n">
        <v>0</v>
      </c>
      <c r="AA149" s="32" t="n">
        <v>0</v>
      </c>
      <c r="AB149" s="32" t="n">
        <v>0</v>
      </c>
      <c r="AC149" s="32" t="n">
        <v>0</v>
      </c>
      <c r="AD149" s="32" t="n">
        <v>0</v>
      </c>
      <c r="AE149" s="31" t="n">
        <v>0</v>
      </c>
      <c r="AF149" s="32" t="n">
        <v>1</v>
      </c>
      <c r="AG149" s="31" t="n">
        <v>9</v>
      </c>
      <c r="AH149" s="32" t="n">
        <v>65</v>
      </c>
      <c r="AI149" s="31" t="n">
        <v>67.3</v>
      </c>
      <c r="AJ149" s="31" t="n">
        <v>41.4</v>
      </c>
      <c r="AK149" s="31" t="n">
        <v>14</v>
      </c>
      <c r="AL149" s="30" t="inlineStr">
        <is>
          <t>T-0294</t>
        </is>
      </c>
      <c r="AM149" s="30" t="inlineStr">
        <is>
          <t>B-06-03</t>
        </is>
      </c>
      <c r="AN149" s="30" t="inlineStr">
        <is>
          <t>T-0172</t>
        </is>
      </c>
      <c r="AO149" s="30" t="inlineStr">
        <is>
          <t>B-02-02</t>
        </is>
      </c>
    </row>
    <row r="150">
      <c r="A150" s="30" t="inlineStr">
        <is>
          <t>O0149</t>
        </is>
      </c>
      <c r="B150" s="30" t="inlineStr">
        <is>
          <t>I</t>
        </is>
      </c>
      <c r="C150" s="31" t="n">
        <v>2941.3</v>
      </c>
      <c r="D150" s="31" t="n">
        <v>5219.8</v>
      </c>
      <c r="E150" s="31" t="n">
        <v>5243.3</v>
      </c>
      <c r="F150" s="31" t="n">
        <v>5256</v>
      </c>
      <c r="G150" s="31" t="n">
        <v>5281.5</v>
      </c>
      <c r="H150" s="31" t="n">
        <v>5390.8</v>
      </c>
      <c r="I150" s="31" t="n">
        <v>5403.5</v>
      </c>
      <c r="J150" s="31" t="n">
        <v>5431.1</v>
      </c>
      <c r="K150" s="31" t="n">
        <v>2489.8</v>
      </c>
      <c r="L150" s="31" t="n">
        <v>2278.5</v>
      </c>
      <c r="M150" s="30" t="inlineStr">
        <is>
          <t>AMR1</t>
        </is>
      </c>
      <c r="N150" s="30" t="inlineStr">
        <is>
          <t>AMR1</t>
        </is>
      </c>
      <c r="O150" s="32" t="n">
        <v>1</v>
      </c>
      <c r="P150" s="32" t="n">
        <v>25</v>
      </c>
      <c r="Q150" s="32" t="n">
        <v>0</v>
      </c>
      <c r="R150" s="31" t="n">
        <v>59.8</v>
      </c>
      <c r="S150" s="31" t="n">
        <v>50.5</v>
      </c>
      <c r="T150" s="30" t="inlineStr">
        <is>
          <t>AMR2</t>
        </is>
      </c>
      <c r="U150" s="31" t="n">
        <v>37.5</v>
      </c>
      <c r="V150" s="31" t="n">
        <v>37.5</v>
      </c>
      <c r="W150" s="30" t="inlineStr">
        <is>
          <t>AMR1</t>
        </is>
      </c>
      <c r="X150" s="32" t="n">
        <v>1</v>
      </c>
      <c r="Y150" s="32" t="n">
        <v>12</v>
      </c>
      <c r="Z150" s="31" t="n">
        <v>9.300000000000001</v>
      </c>
      <c r="AA150" s="32" t="n">
        <v>0</v>
      </c>
      <c r="AB150" s="32" t="n">
        <v>0</v>
      </c>
      <c r="AC150" s="32" t="n">
        <v>0</v>
      </c>
      <c r="AD150" s="32" t="n">
        <v>0</v>
      </c>
      <c r="AE150" s="31" t="n">
        <v>0</v>
      </c>
      <c r="AF150" s="32" t="n">
        <v>0</v>
      </c>
      <c r="AG150" s="31" t="n">
        <v>0</v>
      </c>
      <c r="AH150" s="32" t="n">
        <v>55</v>
      </c>
      <c r="AI150" s="31" t="n">
        <v>58.1</v>
      </c>
      <c r="AJ150" s="31" t="n">
        <v>43.9</v>
      </c>
      <c r="AK150" s="31" t="n">
        <v>0</v>
      </c>
      <c r="AL150" s="30" t="inlineStr">
        <is>
          <t>T-0295</t>
        </is>
      </c>
      <c r="AM150" s="30" t="inlineStr">
        <is>
          <t>I-02-02</t>
        </is>
      </c>
      <c r="AN150" s="30" t="inlineStr">
        <is>
          <t>T-0208</t>
        </is>
      </c>
      <c r="AO150" s="30" t="inlineStr">
        <is>
          <t>I-05-02</t>
        </is>
      </c>
    </row>
    <row r="151">
      <c r="A151" s="30" t="inlineStr">
        <is>
          <t>O0150</t>
        </is>
      </c>
      <c r="B151" s="30" t="inlineStr">
        <is>
          <t>F</t>
        </is>
      </c>
      <c r="C151" s="31" t="n">
        <v>2962.9</v>
      </c>
      <c r="D151" s="31" t="n">
        <v>5268.1</v>
      </c>
      <c r="E151" s="31" t="n">
        <v>5298.6</v>
      </c>
      <c r="F151" s="31" t="n">
        <v>5309.5</v>
      </c>
      <c r="G151" s="31" t="n">
        <v>5342.2</v>
      </c>
      <c r="H151" s="31" t="n">
        <v>6063.4</v>
      </c>
      <c r="I151" s="31" t="n">
        <v>6076.9</v>
      </c>
      <c r="J151" s="31" t="n">
        <v>6108</v>
      </c>
      <c r="K151" s="31" t="n">
        <v>3145.1</v>
      </c>
      <c r="L151" s="31" t="n">
        <v>2305.2</v>
      </c>
      <c r="M151" s="30" t="inlineStr">
        <is>
          <t>AMR2</t>
        </is>
      </c>
      <c r="N151" s="30" t="inlineStr">
        <is>
          <t>AMR3</t>
        </is>
      </c>
      <c r="O151" s="32" t="n">
        <v>1</v>
      </c>
      <c r="P151" s="32" t="n">
        <v>25</v>
      </c>
      <c r="Q151" s="32" t="n">
        <v>1</v>
      </c>
      <c r="R151" s="31" t="n">
        <v>63.7</v>
      </c>
      <c r="S151" s="31" t="n">
        <v>63.7</v>
      </c>
      <c r="T151" s="30" t="inlineStr">
        <is>
          <t>AMR2</t>
        </is>
      </c>
      <c r="U151" s="31" t="n">
        <v>42.8</v>
      </c>
      <c r="V151" s="31" t="n">
        <v>42.8</v>
      </c>
      <c r="W151" s="30" t="inlineStr">
        <is>
          <t>AMR3</t>
        </is>
      </c>
      <c r="X151" s="32" t="n">
        <v>0</v>
      </c>
      <c r="Y151" s="32" t="n">
        <v>0</v>
      </c>
      <c r="Z151" s="31" t="n">
        <v>0</v>
      </c>
      <c r="AA151" s="32" t="n">
        <v>0</v>
      </c>
      <c r="AB151" s="32" t="n">
        <v>0</v>
      </c>
      <c r="AC151" s="32" t="n">
        <v>0</v>
      </c>
      <c r="AD151" s="32" t="n">
        <v>0</v>
      </c>
      <c r="AE151" s="31" t="n">
        <v>0</v>
      </c>
      <c r="AF151" s="32" t="n">
        <v>1</v>
      </c>
      <c r="AG151" s="31" t="n">
        <v>2</v>
      </c>
      <c r="AH151" s="32" t="n">
        <v>74</v>
      </c>
      <c r="AI151" s="31" t="n">
        <v>73.09999999999999</v>
      </c>
      <c r="AJ151" s="31" t="n">
        <v>38.6</v>
      </c>
      <c r="AK151" s="31" t="n">
        <v>7</v>
      </c>
      <c r="AL151" s="30" t="inlineStr">
        <is>
          <t>T-0297</t>
        </is>
      </c>
      <c r="AM151" s="30" t="inlineStr">
        <is>
          <t>F-01-03</t>
        </is>
      </c>
      <c r="AN151" s="30" t="inlineStr">
        <is>
          <t>T-0163</t>
        </is>
      </c>
      <c r="AO151" s="30" t="inlineStr">
        <is>
          <t>F-02-01</t>
        </is>
      </c>
    </row>
    <row r="152">
      <c r="A152" s="30" t="inlineStr">
        <is>
          <t>O0151</t>
        </is>
      </c>
      <c r="B152" s="30" t="inlineStr">
        <is>
          <t>I</t>
        </is>
      </c>
      <c r="C152" s="31" t="n">
        <v>2984.9</v>
      </c>
      <c r="D152" s="31" t="n">
        <v>6129.7</v>
      </c>
      <c r="E152" s="31" t="n">
        <v>6155.2</v>
      </c>
      <c r="F152" s="31" t="n">
        <v>6177.6</v>
      </c>
      <c r="G152" s="31" t="n">
        <v>6202.5</v>
      </c>
      <c r="H152" s="31" t="n">
        <v>6202.6</v>
      </c>
      <c r="I152" s="31" t="n">
        <v>6213.5</v>
      </c>
      <c r="J152" s="31" t="n">
        <v>6239.1</v>
      </c>
      <c r="K152" s="31" t="n">
        <v>3254.2</v>
      </c>
      <c r="L152" s="31" t="n">
        <v>3144.8</v>
      </c>
      <c r="M152" s="30" t="inlineStr">
        <is>
          <t>AMR1</t>
        </is>
      </c>
      <c r="N152" s="30" t="inlineStr">
        <is>
          <t>AMR1</t>
        </is>
      </c>
      <c r="O152" s="32" t="n">
        <v>1</v>
      </c>
      <c r="P152" s="32" t="n">
        <v>25</v>
      </c>
      <c r="Q152" s="32" t="n">
        <v>2</v>
      </c>
      <c r="R152" s="31" t="n">
        <v>66.5</v>
      </c>
      <c r="S152" s="31" t="n">
        <v>66.5</v>
      </c>
      <c r="T152" s="30" t="inlineStr">
        <is>
          <t>AMR1</t>
        </is>
      </c>
      <c r="U152" s="31" t="n">
        <v>36.1</v>
      </c>
      <c r="V152" s="31" t="n">
        <v>36.1</v>
      </c>
      <c r="W152" s="30" t="inlineStr">
        <is>
          <t>AMR1</t>
        </is>
      </c>
      <c r="X152" s="32" t="n">
        <v>0</v>
      </c>
      <c r="Y152" s="32" t="n">
        <v>0</v>
      </c>
      <c r="Z152" s="31" t="n">
        <v>0</v>
      </c>
      <c r="AA152" s="32" t="n">
        <v>0</v>
      </c>
      <c r="AB152" s="32" t="n">
        <v>0</v>
      </c>
      <c r="AC152" s="32" t="n">
        <v>0</v>
      </c>
      <c r="AD152" s="32" t="n">
        <v>0</v>
      </c>
      <c r="AE152" s="31" t="n">
        <v>0</v>
      </c>
      <c r="AF152" s="32" t="n">
        <v>0</v>
      </c>
      <c r="AG152" s="31" t="n">
        <v>0</v>
      </c>
      <c r="AH152" s="32" t="n">
        <v>58</v>
      </c>
      <c r="AI152" s="31" t="n">
        <v>59.5</v>
      </c>
      <c r="AJ152" s="31" t="n">
        <v>47.8</v>
      </c>
      <c r="AK152" s="31" t="n">
        <v>2</v>
      </c>
      <c r="AL152" s="30" t="inlineStr">
        <is>
          <t>T-0319</t>
        </is>
      </c>
      <c r="AM152" s="30" t="inlineStr">
        <is>
          <t>I-06-02</t>
        </is>
      </c>
      <c r="AN152" s="30" t="inlineStr">
        <is>
          <t>T-0233</t>
        </is>
      </c>
      <c r="AO152" s="30" t="inlineStr">
        <is>
          <t>I-03-03</t>
        </is>
      </c>
    </row>
    <row r="153">
      <c r="A153" s="30" t="inlineStr">
        <is>
          <t>O0152</t>
        </is>
      </c>
      <c r="B153" s="30" t="inlineStr">
        <is>
          <t>G</t>
        </is>
      </c>
      <c r="C153" s="31" t="n">
        <v>3001.8</v>
      </c>
      <c r="D153" s="31" t="n">
        <v>5410.6</v>
      </c>
      <c r="E153" s="31" t="n">
        <v>5422.6</v>
      </c>
      <c r="F153" s="31" t="n">
        <v>5436</v>
      </c>
      <c r="G153" s="31" t="n">
        <v>5465.4</v>
      </c>
      <c r="H153" s="31" t="n">
        <v>5648.6</v>
      </c>
      <c r="I153" s="31" t="n">
        <v>5675.3</v>
      </c>
      <c r="J153" s="31" t="n">
        <v>5704.3</v>
      </c>
      <c r="K153" s="31" t="n">
        <v>2702.5</v>
      </c>
      <c r="L153" s="31" t="n">
        <v>2408.8</v>
      </c>
      <c r="M153" s="30" t="inlineStr">
        <is>
          <t>AMR3</t>
        </is>
      </c>
      <c r="N153" s="30" t="inlineStr">
        <is>
          <t>AMR1</t>
        </is>
      </c>
      <c r="O153" s="32" t="n">
        <v>1</v>
      </c>
      <c r="P153" s="32" t="n">
        <v>12</v>
      </c>
      <c r="Q153" s="32" t="n">
        <v>16</v>
      </c>
      <c r="R153" s="31" t="n">
        <v>52</v>
      </c>
      <c r="S153" s="31" t="n">
        <v>52</v>
      </c>
      <c r="T153" s="30" t="inlineStr">
        <is>
          <t>AMR3</t>
        </is>
      </c>
      <c r="U153" s="31" t="n">
        <v>55.9</v>
      </c>
      <c r="V153" s="31" t="n">
        <v>55.9</v>
      </c>
      <c r="W153" s="30" t="inlineStr">
        <is>
          <t>AMR1</t>
        </is>
      </c>
      <c r="X153" s="32" t="n">
        <v>0</v>
      </c>
      <c r="Y153" s="32" t="n">
        <v>0</v>
      </c>
      <c r="Z153" s="31" t="n">
        <v>0</v>
      </c>
      <c r="AA153" s="32" t="n">
        <v>0</v>
      </c>
      <c r="AB153" s="32" t="n">
        <v>0</v>
      </c>
      <c r="AC153" s="32" t="n">
        <v>0</v>
      </c>
      <c r="AD153" s="32" t="n">
        <v>0</v>
      </c>
      <c r="AE153" s="31" t="n">
        <v>0</v>
      </c>
      <c r="AF153" s="32" t="n">
        <v>0</v>
      </c>
      <c r="AG153" s="31" t="n">
        <v>0</v>
      </c>
      <c r="AH153" s="32" t="n">
        <v>60</v>
      </c>
      <c r="AI153" s="31" t="n">
        <v>62.7</v>
      </c>
      <c r="AJ153" s="31" t="n">
        <v>47.8</v>
      </c>
      <c r="AK153" s="31" t="n">
        <v>0</v>
      </c>
      <c r="AL153" s="30" t="inlineStr">
        <is>
          <t>T-0301</t>
        </is>
      </c>
      <c r="AM153" s="30" t="inlineStr">
        <is>
          <t>G-01-03</t>
        </is>
      </c>
      <c r="AN153" s="30" t="inlineStr">
        <is>
          <t>T-0101</t>
        </is>
      </c>
      <c r="AO153" s="30" t="inlineStr">
        <is>
          <t>G-04-03</t>
        </is>
      </c>
    </row>
    <row r="154">
      <c r="A154" s="30" t="inlineStr">
        <is>
          <t>O0153</t>
        </is>
      </c>
      <c r="B154" s="30" t="inlineStr">
        <is>
          <t>C</t>
        </is>
      </c>
      <c r="C154" s="31" t="n">
        <v>3024.3</v>
      </c>
      <c r="D154" s="31" t="n">
        <v>5350</v>
      </c>
      <c r="E154" s="31" t="n">
        <v>5373.5</v>
      </c>
      <c r="F154" s="31" t="n">
        <v>5386.9</v>
      </c>
      <c r="G154" s="31" t="n">
        <v>5410.5</v>
      </c>
      <c r="H154" s="31" t="n">
        <v>5667.8</v>
      </c>
      <c r="I154" s="31" t="n">
        <v>5682.3</v>
      </c>
      <c r="J154" s="31" t="n">
        <v>5721.5</v>
      </c>
      <c r="K154" s="31" t="n">
        <v>2697.2</v>
      </c>
      <c r="L154" s="31" t="n">
        <v>2325.7</v>
      </c>
      <c r="M154" s="30" t="inlineStr">
        <is>
          <t>AMR3</t>
        </is>
      </c>
      <c r="N154" s="30" t="inlineStr">
        <is>
          <t>AMR2</t>
        </is>
      </c>
      <c r="O154" s="32" t="n">
        <v>1</v>
      </c>
      <c r="P154" s="32" t="n">
        <v>25</v>
      </c>
      <c r="Q154" s="32" t="n">
        <v>2</v>
      </c>
      <c r="R154" s="31" t="n">
        <v>58.6</v>
      </c>
      <c r="S154" s="31" t="n">
        <v>58.6</v>
      </c>
      <c r="T154" s="30" t="inlineStr">
        <is>
          <t>AMR3</t>
        </is>
      </c>
      <c r="U154" s="31" t="n">
        <v>43.9</v>
      </c>
      <c r="V154" s="31" t="n">
        <v>43.9</v>
      </c>
      <c r="W154" s="30" t="inlineStr">
        <is>
          <t>AMR2</t>
        </is>
      </c>
      <c r="X154" s="32" t="n">
        <v>0</v>
      </c>
      <c r="Y154" s="32" t="n">
        <v>0</v>
      </c>
      <c r="Z154" s="31" t="n">
        <v>0</v>
      </c>
      <c r="AA154" s="32" t="n">
        <v>0</v>
      </c>
      <c r="AB154" s="32" t="n">
        <v>0</v>
      </c>
      <c r="AC154" s="32" t="n">
        <v>0</v>
      </c>
      <c r="AD154" s="32" t="n">
        <v>1</v>
      </c>
      <c r="AE154" s="31" t="n">
        <v>10</v>
      </c>
      <c r="AF154" s="32" t="n">
        <v>1</v>
      </c>
      <c r="AG154" s="31" t="n">
        <v>5</v>
      </c>
      <c r="AH154" s="32" t="n">
        <v>55</v>
      </c>
      <c r="AI154" s="31" t="n">
        <v>55.5</v>
      </c>
      <c r="AJ154" s="31" t="n">
        <v>48.7</v>
      </c>
      <c r="AK154" s="31" t="n">
        <v>10</v>
      </c>
      <c r="AL154" s="30" t="inlineStr">
        <is>
          <t>T-0299</t>
        </is>
      </c>
      <c r="AM154" s="30" t="inlineStr">
        <is>
          <t>C-02-01</t>
        </is>
      </c>
      <c r="AN154" s="30" t="inlineStr">
        <is>
          <t>T-0043</t>
        </is>
      </c>
      <c r="AO154" s="30" t="inlineStr">
        <is>
          <t>C-01-03</t>
        </is>
      </c>
    </row>
    <row r="155">
      <c r="A155" s="30" t="inlineStr">
        <is>
          <t>O0154</t>
        </is>
      </c>
      <c r="B155" s="30" t="inlineStr">
        <is>
          <t>G</t>
        </is>
      </c>
      <c r="C155" s="31" t="n">
        <v>3045</v>
      </c>
      <c r="D155" s="31" t="n">
        <v>5515.8</v>
      </c>
      <c r="E155" s="31" t="n">
        <v>5539.3</v>
      </c>
      <c r="F155" s="31" t="n">
        <v>5554.3</v>
      </c>
      <c r="G155" s="31" t="n">
        <v>5583</v>
      </c>
      <c r="H155" s="31" t="n">
        <v>5583.1</v>
      </c>
      <c r="I155" s="31" t="n">
        <v>5594.6</v>
      </c>
      <c r="J155" s="31" t="n">
        <v>5622.6</v>
      </c>
      <c r="K155" s="31" t="n">
        <v>2577.6</v>
      </c>
      <c r="L155" s="31" t="n">
        <v>2470.8</v>
      </c>
      <c r="M155" s="30" t="inlineStr">
        <is>
          <t>AMR3</t>
        </is>
      </c>
      <c r="N155" s="30" t="inlineStr">
        <is>
          <t>AMR3</t>
        </is>
      </c>
      <c r="O155" s="32" t="n">
        <v>1</v>
      </c>
      <c r="P155" s="32" t="n">
        <v>25</v>
      </c>
      <c r="Q155" s="32" t="n">
        <v>1</v>
      </c>
      <c r="R155" s="31" t="n">
        <v>63.8</v>
      </c>
      <c r="S155" s="31" t="n">
        <v>63.8</v>
      </c>
      <c r="T155" s="30" t="inlineStr">
        <is>
          <t>AMR3</t>
        </is>
      </c>
      <c r="U155" s="31" t="n">
        <v>39.1</v>
      </c>
      <c r="V155" s="31" t="n">
        <v>39.1</v>
      </c>
      <c r="W155" s="30" t="inlineStr">
        <is>
          <t>AMR3</t>
        </is>
      </c>
      <c r="X155" s="32" t="n">
        <v>0</v>
      </c>
      <c r="Y155" s="32" t="n">
        <v>0</v>
      </c>
      <c r="Z155" s="31" t="n">
        <v>0</v>
      </c>
      <c r="AA155" s="32" t="n">
        <v>0</v>
      </c>
      <c r="AB155" s="32" t="n">
        <v>0</v>
      </c>
      <c r="AC155" s="32" t="n">
        <v>0</v>
      </c>
      <c r="AD155" s="32" t="n">
        <v>0</v>
      </c>
      <c r="AE155" s="31" t="n">
        <v>0</v>
      </c>
      <c r="AF155" s="32" t="n">
        <v>0</v>
      </c>
      <c r="AG155" s="31" t="n">
        <v>0</v>
      </c>
      <c r="AH155" s="32" t="n">
        <v>60</v>
      </c>
      <c r="AI155" s="31" t="n">
        <v>61.1</v>
      </c>
      <c r="AJ155" s="31" t="n">
        <v>45.6</v>
      </c>
      <c r="AK155" s="31" t="n">
        <v>0</v>
      </c>
      <c r="AL155" s="30" t="inlineStr">
        <is>
          <t>T-0303</t>
        </is>
      </c>
      <c r="AM155" s="30" t="inlineStr">
        <is>
          <t>G-02-03</t>
        </is>
      </c>
      <c r="AN155" s="30" t="inlineStr">
        <is>
          <t>T-0100</t>
        </is>
      </c>
      <c r="AO155" s="30" t="inlineStr">
        <is>
          <t>G-02-05</t>
        </is>
      </c>
    </row>
    <row r="156">
      <c r="A156" s="30" t="inlineStr">
        <is>
          <t>O0155</t>
        </is>
      </c>
      <c r="B156" s="30" t="inlineStr">
        <is>
          <t>E</t>
        </is>
      </c>
      <c r="C156" s="31" t="n">
        <v>3068.3</v>
      </c>
      <c r="D156" s="31" t="n">
        <v>5431.2</v>
      </c>
      <c r="E156" s="31" t="n">
        <v>5454.7</v>
      </c>
      <c r="F156" s="31" t="n">
        <v>5465.1</v>
      </c>
      <c r="G156" s="31" t="n">
        <v>5491.1</v>
      </c>
      <c r="H156" s="31" t="n">
        <v>6308.2</v>
      </c>
      <c r="I156" s="31" t="n">
        <v>6318.9</v>
      </c>
      <c r="J156" s="31" t="n">
        <v>6355.6</v>
      </c>
      <c r="K156" s="31" t="n">
        <v>3287.3</v>
      </c>
      <c r="L156" s="31" t="n">
        <v>2362.9</v>
      </c>
      <c r="M156" s="30" t="inlineStr">
        <is>
          <t>AMR1</t>
        </is>
      </c>
      <c r="N156" s="30" t="inlineStr">
        <is>
          <t>AMR1</t>
        </is>
      </c>
      <c r="O156" s="32" t="n">
        <v>1</v>
      </c>
      <c r="P156" s="32" t="n">
        <v>25</v>
      </c>
      <c r="Q156" s="32" t="n">
        <v>2</v>
      </c>
      <c r="R156" s="31" t="n">
        <v>56.4</v>
      </c>
      <c r="S156" s="31" t="n">
        <v>56.4</v>
      </c>
      <c r="T156" s="30" t="inlineStr">
        <is>
          <t>AMR1</t>
        </is>
      </c>
      <c r="U156" s="31" t="n">
        <v>47.1</v>
      </c>
      <c r="V156" s="31" t="n">
        <v>47.1</v>
      </c>
      <c r="W156" s="30" t="inlineStr">
        <is>
          <t>AMR1</t>
        </is>
      </c>
      <c r="X156" s="32" t="n">
        <v>0</v>
      </c>
      <c r="Y156" s="32" t="n">
        <v>0</v>
      </c>
      <c r="Z156" s="31" t="n">
        <v>0</v>
      </c>
      <c r="AA156" s="32" t="n">
        <v>0</v>
      </c>
      <c r="AB156" s="32" t="n">
        <v>0</v>
      </c>
      <c r="AC156" s="32" t="n">
        <v>0</v>
      </c>
      <c r="AD156" s="32" t="n">
        <v>0</v>
      </c>
      <c r="AE156" s="31" t="n">
        <v>0</v>
      </c>
      <c r="AF156" s="32" t="n">
        <v>0</v>
      </c>
      <c r="AG156" s="31" t="n">
        <v>0</v>
      </c>
      <c r="AH156" s="32" t="n">
        <v>69</v>
      </c>
      <c r="AI156" s="31" t="n">
        <v>68.7</v>
      </c>
      <c r="AJ156" s="31" t="n">
        <v>38.6</v>
      </c>
      <c r="AK156" s="31" t="n">
        <v>0</v>
      </c>
      <c r="AL156" s="30" t="inlineStr">
        <is>
          <t>T-0302</t>
        </is>
      </c>
      <c r="AM156" s="30" t="inlineStr">
        <is>
          <t>E-04-03</t>
        </is>
      </c>
      <c r="AN156" s="30" t="inlineStr">
        <is>
          <t>T-0072</t>
        </is>
      </c>
      <c r="AO156" s="30" t="inlineStr">
        <is>
          <t>E-03-02</t>
        </is>
      </c>
    </row>
    <row r="157">
      <c r="A157" s="30" t="inlineStr">
        <is>
          <t>O0156</t>
        </is>
      </c>
      <c r="B157" s="30" t="inlineStr">
        <is>
          <t>J</t>
        </is>
      </c>
      <c r="C157" s="31" t="n">
        <v>3085.4</v>
      </c>
      <c r="D157" s="31" t="n">
        <v>5841.1</v>
      </c>
      <c r="E157" s="31" t="n">
        <v>5870.6</v>
      </c>
      <c r="F157" s="31" t="n">
        <v>5883.8</v>
      </c>
      <c r="G157" s="31" t="n">
        <v>5914.3</v>
      </c>
      <c r="H157" s="31" t="n">
        <v>5914.4</v>
      </c>
      <c r="I157" s="31" t="n">
        <v>5929.1</v>
      </c>
      <c r="J157" s="31" t="n">
        <v>5959.8</v>
      </c>
      <c r="K157" s="31" t="n">
        <v>2874.4</v>
      </c>
      <c r="L157" s="31" t="n">
        <v>2755.7</v>
      </c>
      <c r="M157" s="30" t="inlineStr">
        <is>
          <t>AMR1</t>
        </is>
      </c>
      <c r="N157" s="30" t="inlineStr">
        <is>
          <t>AMR1</t>
        </is>
      </c>
      <c r="O157" s="32" t="n">
        <v>1</v>
      </c>
      <c r="P157" s="32" t="n">
        <v>25</v>
      </c>
      <c r="Q157" s="32" t="n">
        <v>1</v>
      </c>
      <c r="R157" s="31" t="n">
        <v>65.40000000000001</v>
      </c>
      <c r="S157" s="31" t="n">
        <v>65.40000000000001</v>
      </c>
      <c r="T157" s="30" t="inlineStr">
        <is>
          <t>AMR1</t>
        </is>
      </c>
      <c r="U157" s="31" t="n">
        <v>42.6</v>
      </c>
      <c r="V157" s="31" t="n">
        <v>42.6</v>
      </c>
      <c r="W157" s="30" t="inlineStr">
        <is>
          <t>AMR1</t>
        </is>
      </c>
      <c r="X157" s="32" t="n">
        <v>0</v>
      </c>
      <c r="Y157" s="32" t="n">
        <v>0</v>
      </c>
      <c r="Z157" s="31" t="n">
        <v>0</v>
      </c>
      <c r="AA157" s="32" t="n">
        <v>0</v>
      </c>
      <c r="AB157" s="32" t="n">
        <v>0</v>
      </c>
      <c r="AC157" s="32" t="n">
        <v>0</v>
      </c>
      <c r="AD157" s="32" t="n">
        <v>1</v>
      </c>
      <c r="AE157" s="31" t="n">
        <v>1</v>
      </c>
      <c r="AF157" s="32" t="n">
        <v>1</v>
      </c>
      <c r="AG157" s="31" t="n">
        <v>1</v>
      </c>
      <c r="AH157" s="32" t="n">
        <v>68</v>
      </c>
      <c r="AI157" s="31" t="n">
        <v>68.3</v>
      </c>
      <c r="AJ157" s="31" t="n">
        <v>43.3</v>
      </c>
      <c r="AK157" s="31" t="n">
        <v>7</v>
      </c>
      <c r="AL157" s="30" t="inlineStr">
        <is>
          <t>T-0311</t>
        </is>
      </c>
      <c r="AM157" s="30" t="inlineStr">
        <is>
          <t>J-02-03</t>
        </is>
      </c>
      <c r="AN157" s="30" t="inlineStr">
        <is>
          <t>T-0147</t>
        </is>
      </c>
      <c r="AO157" s="30" t="inlineStr">
        <is>
          <t>J-04-05</t>
        </is>
      </c>
    </row>
    <row r="158">
      <c r="A158" s="30" t="inlineStr">
        <is>
          <t>O0157</t>
        </is>
      </c>
      <c r="B158" s="30" t="inlineStr">
        <is>
          <t>H</t>
        </is>
      </c>
      <c r="C158" s="31" t="n">
        <v>3107</v>
      </c>
      <c r="D158" s="31" t="n">
        <v>5554.3</v>
      </c>
      <c r="E158" s="31" t="n">
        <v>5586.8</v>
      </c>
      <c r="F158" s="31" t="n">
        <v>5597.7</v>
      </c>
      <c r="G158" s="31" t="n">
        <v>5620.2</v>
      </c>
      <c r="H158" s="31" t="n">
        <v>5765.5</v>
      </c>
      <c r="I158" s="31" t="n">
        <v>5793.4</v>
      </c>
      <c r="J158" s="31" t="n">
        <v>5841</v>
      </c>
      <c r="K158" s="31" t="n">
        <v>2734</v>
      </c>
      <c r="L158" s="31" t="n">
        <v>2447.3</v>
      </c>
      <c r="M158" s="30" t="inlineStr">
        <is>
          <t>AMR2</t>
        </is>
      </c>
      <c r="N158" s="30" t="inlineStr">
        <is>
          <t>AMR1</t>
        </is>
      </c>
      <c r="O158" s="32" t="n">
        <v>1</v>
      </c>
      <c r="P158" s="32" t="n">
        <v>25</v>
      </c>
      <c r="Q158" s="32" t="n">
        <v>14</v>
      </c>
      <c r="R158" s="31" t="n">
        <v>55.9</v>
      </c>
      <c r="S158" s="31" t="n">
        <v>55.9</v>
      </c>
      <c r="T158" s="30" t="inlineStr">
        <is>
          <t>AMR2</t>
        </is>
      </c>
      <c r="U158" s="31" t="n">
        <v>53.8</v>
      </c>
      <c r="V158" s="31" t="n">
        <v>53.8</v>
      </c>
      <c r="W158" s="30" t="inlineStr">
        <is>
          <t>AMR1</t>
        </is>
      </c>
      <c r="X158" s="32" t="n">
        <v>0</v>
      </c>
      <c r="Y158" s="32" t="n">
        <v>0</v>
      </c>
      <c r="Z158" s="31" t="n">
        <v>0</v>
      </c>
      <c r="AA158" s="32" t="n">
        <v>0</v>
      </c>
      <c r="AB158" s="32" t="n">
        <v>0</v>
      </c>
      <c r="AC158" s="32" t="n">
        <v>0</v>
      </c>
      <c r="AD158" s="32" t="n">
        <v>1</v>
      </c>
      <c r="AE158" s="31" t="n">
        <v>20</v>
      </c>
      <c r="AF158" s="32" t="n">
        <v>2</v>
      </c>
      <c r="AG158" s="31" t="n">
        <v>19</v>
      </c>
      <c r="AH158" s="32" t="n">
        <v>66</v>
      </c>
      <c r="AI158" s="31" t="n">
        <v>68.59999999999999</v>
      </c>
      <c r="AJ158" s="31" t="n">
        <v>43.8</v>
      </c>
      <c r="AK158" s="31" t="n">
        <v>29</v>
      </c>
      <c r="AL158" s="30" t="inlineStr">
        <is>
          <t>T-0305</t>
        </is>
      </c>
      <c r="AM158" s="30" t="inlineStr">
        <is>
          <t>H-06-01</t>
        </is>
      </c>
      <c r="AN158" s="30" t="inlineStr">
        <is>
          <t>T-0117</t>
        </is>
      </c>
      <c r="AO158" s="30" t="inlineStr">
        <is>
          <t>H-05-03</t>
        </is>
      </c>
    </row>
    <row r="159">
      <c r="A159" s="30" t="inlineStr">
        <is>
          <t>O0158</t>
        </is>
      </c>
      <c r="B159" s="30" t="inlineStr">
        <is>
          <t>D</t>
        </is>
      </c>
      <c r="C159" s="31" t="n">
        <v>3126.4</v>
      </c>
      <c r="D159" s="31" t="n">
        <v>5538.8</v>
      </c>
      <c r="E159" s="31" t="n">
        <v>5563.3</v>
      </c>
      <c r="F159" s="31" t="n">
        <v>5575.9</v>
      </c>
      <c r="G159" s="31" t="n">
        <v>5597.3</v>
      </c>
      <c r="H159" s="31" t="n">
        <v>5782.6</v>
      </c>
      <c r="I159" s="31" t="n">
        <v>5793.2</v>
      </c>
      <c r="J159" s="31" t="n">
        <v>5823</v>
      </c>
      <c r="K159" s="31" t="n">
        <v>2696.6</v>
      </c>
      <c r="L159" s="31" t="n">
        <v>2412.4</v>
      </c>
      <c r="M159" s="30" t="inlineStr">
        <is>
          <t>AMR1</t>
        </is>
      </c>
      <c r="N159" s="30" t="inlineStr">
        <is>
          <t>AMR2</t>
        </is>
      </c>
      <c r="O159" s="32" t="n">
        <v>1</v>
      </c>
      <c r="P159" s="32" t="n">
        <v>25</v>
      </c>
      <c r="Q159" s="32" t="n">
        <v>1</v>
      </c>
      <c r="R159" s="31" t="n">
        <v>54.8</v>
      </c>
      <c r="S159" s="31" t="n">
        <v>54.8</v>
      </c>
      <c r="T159" s="30" t="inlineStr">
        <is>
          <t>AMR1</t>
        </is>
      </c>
      <c r="U159" s="31" t="n">
        <v>38.5</v>
      </c>
      <c r="V159" s="31" t="n">
        <v>38.5</v>
      </c>
      <c r="W159" s="30" t="inlineStr">
        <is>
          <t>AMR2</t>
        </is>
      </c>
      <c r="X159" s="32" t="n">
        <v>0</v>
      </c>
      <c r="Y159" s="32" t="n">
        <v>0</v>
      </c>
      <c r="Z159" s="31" t="n">
        <v>0</v>
      </c>
      <c r="AA159" s="32" t="n">
        <v>0</v>
      </c>
      <c r="AB159" s="32" t="n">
        <v>0</v>
      </c>
      <c r="AC159" s="32" t="n">
        <v>0</v>
      </c>
      <c r="AD159" s="32" t="n">
        <v>0</v>
      </c>
      <c r="AE159" s="31" t="n">
        <v>0</v>
      </c>
      <c r="AF159" s="32" t="n">
        <v>0</v>
      </c>
      <c r="AG159" s="31" t="n">
        <v>0</v>
      </c>
      <c r="AH159" s="32" t="n">
        <v>57</v>
      </c>
      <c r="AI159" s="31" t="n">
        <v>58.2</v>
      </c>
      <c r="AJ159" s="31" t="n">
        <v>39.7</v>
      </c>
      <c r="AK159" s="31" t="n">
        <v>1</v>
      </c>
      <c r="AL159" s="30" t="inlineStr">
        <is>
          <t>T-0304</t>
        </is>
      </c>
      <c r="AM159" s="30" t="inlineStr">
        <is>
          <t>D-03-01</t>
        </is>
      </c>
      <c r="AN159" s="30" t="inlineStr">
        <is>
          <t>T-0177</t>
        </is>
      </c>
      <c r="AO159" s="30" t="inlineStr">
        <is>
          <t>D-06-01</t>
        </is>
      </c>
    </row>
    <row r="160">
      <c r="A160" s="30" t="inlineStr">
        <is>
          <t>O0159</t>
        </is>
      </c>
      <c r="B160" s="30" t="inlineStr">
        <is>
          <t>C</t>
        </is>
      </c>
      <c r="C160" s="31" t="n">
        <v>3146.1</v>
      </c>
      <c r="D160" s="31" t="n">
        <v>5620.3</v>
      </c>
      <c r="E160" s="31" t="n">
        <v>5633.6</v>
      </c>
      <c r="F160" s="31" t="n">
        <v>5645.2</v>
      </c>
      <c r="G160" s="31" t="n">
        <v>5667.7</v>
      </c>
      <c r="H160" s="31" t="n">
        <v>5927.8</v>
      </c>
      <c r="I160" s="31" t="n">
        <v>5938.3</v>
      </c>
      <c r="J160" s="31" t="n">
        <v>5983.5</v>
      </c>
      <c r="K160" s="31" t="n">
        <v>2837.4</v>
      </c>
      <c r="L160" s="31" t="n">
        <v>2474.2</v>
      </c>
      <c r="M160" s="30" t="inlineStr">
        <is>
          <t>AMR2</t>
        </is>
      </c>
      <c r="N160" s="30" t="inlineStr">
        <is>
          <t>AMR3</t>
        </is>
      </c>
      <c r="O160" s="32" t="n">
        <v>1</v>
      </c>
      <c r="P160" s="32" t="n">
        <v>13</v>
      </c>
      <c r="Q160" s="32" t="n">
        <v>1</v>
      </c>
      <c r="R160" s="31" t="n">
        <v>46.9</v>
      </c>
      <c r="S160" s="31" t="n">
        <v>46.9</v>
      </c>
      <c r="T160" s="30" t="inlineStr">
        <is>
          <t>AMR2</t>
        </is>
      </c>
      <c r="U160" s="31" t="n">
        <v>40.7</v>
      </c>
      <c r="V160" s="31" t="n">
        <v>40.7</v>
      </c>
      <c r="W160" s="30" t="inlineStr">
        <is>
          <t>AMR3</t>
        </is>
      </c>
      <c r="X160" s="32" t="n">
        <v>0</v>
      </c>
      <c r="Y160" s="32" t="n">
        <v>0</v>
      </c>
      <c r="Z160" s="31" t="n">
        <v>0</v>
      </c>
      <c r="AA160" s="32" t="n">
        <v>0</v>
      </c>
      <c r="AB160" s="32" t="n">
        <v>0</v>
      </c>
      <c r="AC160" s="32" t="n">
        <v>0</v>
      </c>
      <c r="AD160" s="32" t="n">
        <v>1</v>
      </c>
      <c r="AE160" s="31" t="n">
        <v>15.2</v>
      </c>
      <c r="AF160" s="32" t="n">
        <v>1</v>
      </c>
      <c r="AG160" s="31" t="n">
        <v>10.2</v>
      </c>
      <c r="AH160" s="32" t="n">
        <v>41</v>
      </c>
      <c r="AI160" s="31" t="n">
        <v>43.8</v>
      </c>
      <c r="AJ160" s="31" t="n">
        <v>44.1</v>
      </c>
      <c r="AK160" s="31" t="n">
        <v>15.2</v>
      </c>
      <c r="AL160" s="30" t="inlineStr">
        <is>
          <t>T-0306</t>
        </is>
      </c>
      <c r="AM160" s="30" t="inlineStr">
        <is>
          <t>C-06-02</t>
        </is>
      </c>
      <c r="AN160" s="30" t="inlineStr">
        <is>
          <t>T-0044</t>
        </is>
      </c>
      <c r="AO160" s="30" t="inlineStr">
        <is>
          <t>C-05-04</t>
        </is>
      </c>
    </row>
    <row r="161">
      <c r="A161" s="30" t="inlineStr">
        <is>
          <t>O0160</t>
        </is>
      </c>
      <c r="B161" s="30" t="inlineStr">
        <is>
          <t>I</t>
        </is>
      </c>
      <c r="C161" s="31" t="n">
        <v>3162</v>
      </c>
      <c r="D161" s="31" t="n">
        <v>5622.7</v>
      </c>
      <c r="E161" s="31" t="n">
        <v>5657.2</v>
      </c>
      <c r="F161" s="31" t="n">
        <v>5672.1</v>
      </c>
      <c r="G161" s="31" t="n">
        <v>5697.4</v>
      </c>
      <c r="H161" s="31" t="n">
        <v>5697.5</v>
      </c>
      <c r="I161" s="31" t="n">
        <v>5705.7</v>
      </c>
      <c r="J161" s="31" t="n">
        <v>5737.2</v>
      </c>
      <c r="K161" s="31" t="n">
        <v>2575.2</v>
      </c>
      <c r="L161" s="31" t="n">
        <v>2460.7</v>
      </c>
      <c r="M161" s="30" t="inlineStr">
        <is>
          <t>AMR3</t>
        </is>
      </c>
      <c r="N161" s="30" t="inlineStr">
        <is>
          <t>AMR3</t>
        </is>
      </c>
      <c r="O161" s="32" t="n">
        <v>1</v>
      </c>
      <c r="P161" s="32" t="n">
        <v>25</v>
      </c>
      <c r="Q161" s="32" t="n">
        <v>1</v>
      </c>
      <c r="R161" s="31" t="n">
        <v>60.3</v>
      </c>
      <c r="S161" s="31" t="n">
        <v>60.3</v>
      </c>
      <c r="T161" s="30" t="inlineStr">
        <is>
          <t>AMR3</t>
        </is>
      </c>
      <c r="U161" s="31" t="n">
        <v>36.3</v>
      </c>
      <c r="V161" s="31" t="n">
        <v>36.3</v>
      </c>
      <c r="W161" s="30" t="inlineStr">
        <is>
          <t>AMR3</t>
        </is>
      </c>
      <c r="X161" s="32" t="n">
        <v>0</v>
      </c>
      <c r="Y161" s="32" t="n">
        <v>0</v>
      </c>
      <c r="Z161" s="31" t="n">
        <v>0</v>
      </c>
      <c r="AA161" s="32" t="n">
        <v>0</v>
      </c>
      <c r="AB161" s="32" t="n">
        <v>0</v>
      </c>
      <c r="AC161" s="32" t="n">
        <v>0</v>
      </c>
      <c r="AD161" s="32" t="n">
        <v>1</v>
      </c>
      <c r="AE161" s="31" t="n">
        <v>3</v>
      </c>
      <c r="AF161" s="32" t="n">
        <v>1</v>
      </c>
      <c r="AG161" s="31" t="n">
        <v>6</v>
      </c>
      <c r="AH161" s="32" t="n">
        <v>56</v>
      </c>
      <c r="AI161" s="31" t="n">
        <v>57.9</v>
      </c>
      <c r="AJ161" s="31" t="n">
        <v>42.5</v>
      </c>
      <c r="AK161" s="31" t="n">
        <v>14</v>
      </c>
      <c r="AL161" s="30" t="inlineStr">
        <is>
          <t>T-0307</t>
        </is>
      </c>
      <c r="AM161" s="30" t="inlineStr">
        <is>
          <t>I-05-02</t>
        </is>
      </c>
      <c r="AN161" s="30" t="inlineStr">
        <is>
          <t>T-0224</t>
        </is>
      </c>
      <c r="AO161" s="30" t="inlineStr">
        <is>
          <t>I-04-02</t>
        </is>
      </c>
    </row>
    <row r="162">
      <c r="A162" s="30" t="inlineStr">
        <is>
          <t>O0161</t>
        </is>
      </c>
      <c r="B162" s="30" t="inlineStr">
        <is>
          <t>F</t>
        </is>
      </c>
      <c r="C162" s="31" t="n">
        <v>3183.3</v>
      </c>
      <c r="D162" s="31" t="n">
        <v>5983.6</v>
      </c>
      <c r="E162" s="31" t="n">
        <v>6014.1</v>
      </c>
      <c r="F162" s="31" t="n">
        <v>6030.4</v>
      </c>
      <c r="G162" s="31" t="n">
        <v>6063.3</v>
      </c>
      <c r="H162" s="31" t="n">
        <v>6629.1</v>
      </c>
      <c r="I162" s="31" t="n">
        <v>6639.9</v>
      </c>
      <c r="J162" s="31" t="n">
        <v>6669.8</v>
      </c>
      <c r="K162" s="31" t="n">
        <v>3486.5</v>
      </c>
      <c r="L162" s="31" t="n">
        <v>2800.3</v>
      </c>
      <c r="M162" s="30" t="inlineStr">
        <is>
          <t>AMR3</t>
        </is>
      </c>
      <c r="N162" s="30" t="inlineStr">
        <is>
          <t>AMR1</t>
        </is>
      </c>
      <c r="O162" s="32" t="n">
        <v>1</v>
      </c>
      <c r="P162" s="32" t="n">
        <v>25</v>
      </c>
      <c r="Q162" s="32" t="n">
        <v>1</v>
      </c>
      <c r="R162" s="31" t="n">
        <v>70.90000000000001</v>
      </c>
      <c r="S162" s="31" t="n">
        <v>70.90000000000001</v>
      </c>
      <c r="T162" s="30" t="inlineStr">
        <is>
          <t>AMR3</t>
        </is>
      </c>
      <c r="U162" s="31" t="n">
        <v>41.3</v>
      </c>
      <c r="V162" s="31" t="n">
        <v>41.3</v>
      </c>
      <c r="W162" s="30" t="inlineStr">
        <is>
          <t>AMR1</t>
        </is>
      </c>
      <c r="X162" s="32" t="n">
        <v>0</v>
      </c>
      <c r="Y162" s="32" t="n">
        <v>0</v>
      </c>
      <c r="Z162" s="31" t="n">
        <v>0</v>
      </c>
      <c r="AA162" s="32" t="n">
        <v>0</v>
      </c>
      <c r="AB162" s="32" t="n">
        <v>0</v>
      </c>
      <c r="AC162" s="32" t="n">
        <v>0</v>
      </c>
      <c r="AD162" s="32" t="n">
        <v>0</v>
      </c>
      <c r="AE162" s="31" t="n">
        <v>0</v>
      </c>
      <c r="AF162" s="32" t="n">
        <v>1</v>
      </c>
      <c r="AG162" s="31" t="n">
        <v>2</v>
      </c>
      <c r="AH162" s="32" t="n">
        <v>70</v>
      </c>
      <c r="AI162" s="31" t="n">
        <v>69.09999999999999</v>
      </c>
      <c r="AJ162" s="31" t="n">
        <v>44.3</v>
      </c>
      <c r="AK162" s="31" t="n">
        <v>7</v>
      </c>
      <c r="AL162" s="30" t="inlineStr">
        <is>
          <t>T-0315</t>
        </is>
      </c>
      <c r="AM162" s="30" t="inlineStr">
        <is>
          <t>F-05-03</t>
        </is>
      </c>
      <c r="AN162" s="30" t="inlineStr">
        <is>
          <t>T-0165</t>
        </is>
      </c>
      <c r="AO162" s="30" t="inlineStr">
        <is>
          <t>F-03-01</t>
        </is>
      </c>
    </row>
    <row r="163">
      <c r="A163" s="30" t="inlineStr">
        <is>
          <t>O0162</t>
        </is>
      </c>
      <c r="B163" s="30" t="inlineStr">
        <is>
          <t>D</t>
        </is>
      </c>
      <c r="C163" s="31" t="n">
        <v>3206.5</v>
      </c>
      <c r="D163" s="31" t="n">
        <v>5959.9</v>
      </c>
      <c r="E163" s="31" t="n">
        <v>5990.4</v>
      </c>
      <c r="F163" s="31" t="n">
        <v>6005</v>
      </c>
      <c r="G163" s="31" t="n">
        <v>6029.5</v>
      </c>
      <c r="H163" s="31" t="n">
        <v>6078.6</v>
      </c>
      <c r="I163" s="31" t="n">
        <v>6090.1</v>
      </c>
      <c r="J163" s="31" t="n">
        <v>6129.6</v>
      </c>
      <c r="K163" s="31" t="n">
        <v>2923.1</v>
      </c>
      <c r="L163" s="31" t="n">
        <v>2753.4</v>
      </c>
      <c r="M163" s="30" t="inlineStr">
        <is>
          <t>AMR1</t>
        </is>
      </c>
      <c r="N163" s="30" t="inlineStr">
        <is>
          <t>AMR1</t>
        </is>
      </c>
      <c r="O163" s="32" t="n">
        <v>1</v>
      </c>
      <c r="P163" s="32" t="n">
        <v>25</v>
      </c>
      <c r="Q163" s="32" t="n">
        <v>2</v>
      </c>
      <c r="R163" s="31" t="n">
        <v>58.3</v>
      </c>
      <c r="S163" s="31" t="n">
        <v>58.3</v>
      </c>
      <c r="T163" s="30" t="inlineStr">
        <is>
          <t>AMR1</t>
        </is>
      </c>
      <c r="U163" s="31" t="n">
        <v>40.5</v>
      </c>
      <c r="V163" s="31" t="n">
        <v>40.5</v>
      </c>
      <c r="W163" s="30" t="inlineStr">
        <is>
          <t>AMR1</t>
        </is>
      </c>
      <c r="X163" s="32" t="n">
        <v>0</v>
      </c>
      <c r="Y163" s="32" t="n">
        <v>0</v>
      </c>
      <c r="Z163" s="31" t="n">
        <v>0</v>
      </c>
      <c r="AA163" s="32" t="n">
        <v>0</v>
      </c>
      <c r="AB163" s="32" t="n">
        <v>0</v>
      </c>
      <c r="AC163" s="32" t="n">
        <v>0</v>
      </c>
      <c r="AD163" s="32" t="n">
        <v>1</v>
      </c>
      <c r="AE163" s="31" t="n">
        <v>10</v>
      </c>
      <c r="AF163" s="32" t="n">
        <v>2</v>
      </c>
      <c r="AG163" s="31" t="n">
        <v>7</v>
      </c>
      <c r="AH163" s="32" t="n">
        <v>58</v>
      </c>
      <c r="AI163" s="31" t="n">
        <v>59.1</v>
      </c>
      <c r="AJ163" s="31" t="n">
        <v>44.5</v>
      </c>
      <c r="AK163" s="31" t="n">
        <v>17</v>
      </c>
      <c r="AL163" s="30" t="inlineStr">
        <is>
          <t>T-0314</t>
        </is>
      </c>
      <c r="AM163" s="30" t="inlineStr">
        <is>
          <t>D-06-01</t>
        </is>
      </c>
      <c r="AN163" s="30" t="inlineStr">
        <is>
          <t>T-0198</t>
        </is>
      </c>
      <c r="AO163" s="30" t="inlineStr">
        <is>
          <t>D-05-01</t>
        </is>
      </c>
    </row>
    <row r="164">
      <c r="A164" s="30" t="inlineStr">
        <is>
          <t>O0163</t>
        </is>
      </c>
      <c r="B164" s="30" t="inlineStr">
        <is>
          <t>D</t>
        </is>
      </c>
      <c r="C164" s="31" t="n">
        <v>3224.6</v>
      </c>
      <c r="D164" s="31" t="n">
        <v>5721.6</v>
      </c>
      <c r="E164" s="31" t="n">
        <v>5745.1</v>
      </c>
      <c r="F164" s="31" t="n">
        <v>5758.3</v>
      </c>
      <c r="G164" s="31" t="n">
        <v>5782.5</v>
      </c>
      <c r="H164" s="31" t="n">
        <v>6320.9</v>
      </c>
      <c r="I164" s="31" t="n">
        <v>6333.6</v>
      </c>
      <c r="J164" s="31" t="n">
        <v>6371.7</v>
      </c>
      <c r="K164" s="31" t="n">
        <v>3147.1</v>
      </c>
      <c r="L164" s="31" t="n">
        <v>2497</v>
      </c>
      <c r="M164" s="30" t="inlineStr">
        <is>
          <t>AMR2</t>
        </is>
      </c>
      <c r="N164" s="30" t="inlineStr">
        <is>
          <t>AMR2</t>
        </is>
      </c>
      <c r="O164" s="32" t="n">
        <v>1</v>
      </c>
      <c r="P164" s="32" t="n">
        <v>25</v>
      </c>
      <c r="Q164" s="32" t="n">
        <v>1</v>
      </c>
      <c r="R164" s="31" t="n">
        <v>57.4</v>
      </c>
      <c r="S164" s="31" t="n">
        <v>57.4</v>
      </c>
      <c r="T164" s="30" t="inlineStr">
        <is>
          <t>AMR2</t>
        </is>
      </c>
      <c r="U164" s="31" t="n">
        <v>42.5</v>
      </c>
      <c r="V164" s="31" t="n">
        <v>42.5</v>
      </c>
      <c r="W164" s="30" t="inlineStr">
        <is>
          <t>AMR2</t>
        </is>
      </c>
      <c r="X164" s="32" t="n">
        <v>0</v>
      </c>
      <c r="Y164" s="32" t="n">
        <v>0</v>
      </c>
      <c r="Z164" s="31" t="n">
        <v>0</v>
      </c>
      <c r="AA164" s="32" t="n">
        <v>0</v>
      </c>
      <c r="AB164" s="32" t="n">
        <v>0</v>
      </c>
      <c r="AC164" s="32" t="n">
        <v>0</v>
      </c>
      <c r="AD164" s="32" t="n">
        <v>1</v>
      </c>
      <c r="AE164" s="31" t="n">
        <v>8</v>
      </c>
      <c r="AF164" s="32" t="n">
        <v>1</v>
      </c>
      <c r="AG164" s="31" t="n">
        <v>3</v>
      </c>
      <c r="AH164" s="32" t="n">
        <v>56</v>
      </c>
      <c r="AI164" s="31" t="n">
        <v>57.4</v>
      </c>
      <c r="AJ164" s="31" t="n">
        <v>46.3</v>
      </c>
      <c r="AK164" s="31" t="n">
        <v>8</v>
      </c>
      <c r="AL164" s="30" t="inlineStr">
        <is>
          <t>T-0308</t>
        </is>
      </c>
      <c r="AM164" s="30" t="inlineStr">
        <is>
          <t>D-04-01</t>
        </is>
      </c>
      <c r="AN164" s="30" t="inlineStr">
        <is>
          <t>T-0212</t>
        </is>
      </c>
      <c r="AO164" s="30" t="inlineStr">
        <is>
          <t>D-03-02</t>
        </is>
      </c>
    </row>
    <row r="165">
      <c r="A165" s="30" t="inlineStr">
        <is>
          <t>O0164</t>
        </is>
      </c>
      <c r="B165" s="30" t="inlineStr">
        <is>
          <t>D</t>
        </is>
      </c>
      <c r="C165" s="31" t="n">
        <v>3239.8</v>
      </c>
      <c r="D165" s="31" t="n">
        <v>6108.1</v>
      </c>
      <c r="E165" s="31" t="n">
        <v>6131.6</v>
      </c>
      <c r="F165" s="31" t="n">
        <v>6146.5</v>
      </c>
      <c r="G165" s="31" t="n">
        <v>6172.8</v>
      </c>
      <c r="H165" s="31" t="n">
        <v>6172.9</v>
      </c>
      <c r="I165" s="31" t="n">
        <v>6187.5</v>
      </c>
      <c r="J165" s="31" t="n">
        <v>6216.2</v>
      </c>
      <c r="K165" s="31" t="n">
        <v>2976.4</v>
      </c>
      <c r="L165" s="31" t="n">
        <v>2868.3</v>
      </c>
      <c r="M165" s="30" t="inlineStr">
        <is>
          <t>AMR3</t>
        </is>
      </c>
      <c r="N165" s="30" t="inlineStr">
        <is>
          <t>AMR3</t>
        </is>
      </c>
      <c r="O165" s="32" t="n">
        <v>1</v>
      </c>
      <c r="P165" s="32" t="n">
        <v>25</v>
      </c>
      <c r="Q165" s="32" t="n">
        <v>1</v>
      </c>
      <c r="R165" s="31" t="n">
        <v>61.2</v>
      </c>
      <c r="S165" s="31" t="n">
        <v>61.2</v>
      </c>
      <c r="T165" s="30" t="inlineStr">
        <is>
          <t>AMR3</t>
        </is>
      </c>
      <c r="U165" s="31" t="n">
        <v>41.5</v>
      </c>
      <c r="V165" s="31" t="n">
        <v>41.5</v>
      </c>
      <c r="W165" s="30" t="inlineStr">
        <is>
          <t>AMR3</t>
        </is>
      </c>
      <c r="X165" s="32" t="n">
        <v>0</v>
      </c>
      <c r="Y165" s="32" t="n">
        <v>0</v>
      </c>
      <c r="Z165" s="31" t="n">
        <v>0</v>
      </c>
      <c r="AA165" s="32" t="n">
        <v>0</v>
      </c>
      <c r="AB165" s="32" t="n">
        <v>0</v>
      </c>
      <c r="AC165" s="32" t="n">
        <v>0</v>
      </c>
      <c r="AD165" s="32" t="n">
        <v>1</v>
      </c>
      <c r="AE165" s="31" t="n">
        <v>1.5</v>
      </c>
      <c r="AF165" s="32" t="n">
        <v>0</v>
      </c>
      <c r="AG165" s="31" t="n">
        <v>0</v>
      </c>
      <c r="AH165" s="32" t="n">
        <v>56</v>
      </c>
      <c r="AI165" s="31" t="n">
        <v>57.4</v>
      </c>
      <c r="AJ165" s="31" t="n">
        <v>49.1</v>
      </c>
      <c r="AK165" s="31" t="n">
        <v>1.5</v>
      </c>
      <c r="AL165" s="30" t="inlineStr">
        <is>
          <t>T-0318</t>
        </is>
      </c>
      <c r="AM165" s="30" t="inlineStr">
        <is>
          <t>D-05-01</t>
        </is>
      </c>
      <c r="AN165" s="30" t="inlineStr">
        <is>
          <t>T-0203</t>
        </is>
      </c>
      <c r="AO165" s="30" t="inlineStr">
        <is>
          <t>D-01-02</t>
        </is>
      </c>
    </row>
    <row r="166">
      <c r="A166" s="30" t="inlineStr">
        <is>
          <t>O0165</t>
        </is>
      </c>
      <c r="B166" s="30" t="inlineStr">
        <is>
          <t>B</t>
        </is>
      </c>
      <c r="C166" s="31" t="n">
        <v>3260.9</v>
      </c>
      <c r="D166" s="31" t="n">
        <v>5823.1</v>
      </c>
      <c r="E166" s="31" t="n">
        <v>5846.6</v>
      </c>
      <c r="F166" s="31" t="n">
        <v>5860</v>
      </c>
      <c r="G166" s="31" t="n">
        <v>5884.1</v>
      </c>
      <c r="H166" s="31" t="n">
        <v>6217.5</v>
      </c>
      <c r="I166" s="31" t="n">
        <v>6230.4</v>
      </c>
      <c r="J166" s="31" t="n">
        <v>6259.8</v>
      </c>
      <c r="K166" s="31" t="n">
        <v>2998.9</v>
      </c>
      <c r="L166" s="31" t="n">
        <v>2562.2</v>
      </c>
      <c r="M166" s="30" t="inlineStr">
        <is>
          <t>AMR2</t>
        </is>
      </c>
      <c r="N166" s="30" t="inlineStr">
        <is>
          <t>AMR2</t>
        </is>
      </c>
      <c r="O166" s="32" t="n">
        <v>1</v>
      </c>
      <c r="P166" s="32" t="n">
        <v>25</v>
      </c>
      <c r="Q166" s="32" t="n">
        <v>1</v>
      </c>
      <c r="R166" s="31" t="n">
        <v>59.1</v>
      </c>
      <c r="S166" s="31" t="n">
        <v>59.1</v>
      </c>
      <c r="T166" s="30" t="inlineStr">
        <is>
          <t>AMR2</t>
        </is>
      </c>
      <c r="U166" s="31" t="n">
        <v>41.9</v>
      </c>
      <c r="V166" s="31" t="n">
        <v>41.9</v>
      </c>
      <c r="W166" s="30" t="inlineStr">
        <is>
          <t>AMR2</t>
        </is>
      </c>
      <c r="X166" s="32" t="n">
        <v>0</v>
      </c>
      <c r="Y166" s="32" t="n">
        <v>0</v>
      </c>
      <c r="Z166" s="31" t="n">
        <v>0</v>
      </c>
      <c r="AA166" s="32" t="n">
        <v>0</v>
      </c>
      <c r="AB166" s="32" t="n">
        <v>0</v>
      </c>
      <c r="AC166" s="32" t="n">
        <v>0</v>
      </c>
      <c r="AD166" s="32" t="n">
        <v>0</v>
      </c>
      <c r="AE166" s="31" t="n">
        <v>0</v>
      </c>
      <c r="AF166" s="32" t="n">
        <v>0</v>
      </c>
      <c r="AG166" s="31" t="n">
        <v>0</v>
      </c>
      <c r="AH166" s="32" t="n">
        <v>58</v>
      </c>
      <c r="AI166" s="31" t="n">
        <v>59.1</v>
      </c>
      <c r="AJ166" s="31" t="n">
        <v>44.2</v>
      </c>
      <c r="AK166" s="31" t="n">
        <v>0</v>
      </c>
      <c r="AL166" s="30" t="inlineStr">
        <is>
          <t>T-0310</t>
        </is>
      </c>
      <c r="AM166" s="30" t="inlineStr">
        <is>
          <t>B-05-01</t>
        </is>
      </c>
      <c r="AN166" s="30" t="inlineStr">
        <is>
          <t>T-0188</t>
        </is>
      </c>
      <c r="AO166" s="30" t="inlineStr">
        <is>
          <t>B-03-02</t>
        </is>
      </c>
    </row>
    <row r="167">
      <c r="A167" s="30" t="inlineStr">
        <is>
          <t>O0166</t>
        </is>
      </c>
      <c r="B167" s="30" t="inlineStr">
        <is>
          <t>J</t>
        </is>
      </c>
      <c r="C167" s="31" t="n">
        <v>3280.1</v>
      </c>
      <c r="D167" s="31" t="n">
        <v>6239.2</v>
      </c>
      <c r="E167" s="31" t="n">
        <v>6263.7</v>
      </c>
      <c r="F167" s="31" t="n">
        <v>6276</v>
      </c>
      <c r="G167" s="31" t="n">
        <v>6308.1</v>
      </c>
      <c r="H167" s="31" t="n">
        <v>6756.9</v>
      </c>
      <c r="I167" s="31" t="n">
        <v>6769.3</v>
      </c>
      <c r="J167" s="31" t="n">
        <v>6808.5</v>
      </c>
      <c r="K167" s="31" t="n">
        <v>3528.4</v>
      </c>
      <c r="L167" s="31" t="n">
        <v>2959.1</v>
      </c>
      <c r="M167" s="30" t="inlineStr">
        <is>
          <t>AMR1</t>
        </is>
      </c>
      <c r="N167" s="30" t="inlineStr">
        <is>
          <t>AMR2</t>
        </is>
      </c>
      <c r="O167" s="32" t="n">
        <v>1</v>
      </c>
      <c r="P167" s="32" t="n">
        <v>25</v>
      </c>
      <c r="Q167" s="32" t="n">
        <v>1</v>
      </c>
      <c r="R167" s="31" t="n">
        <v>65.3</v>
      </c>
      <c r="S167" s="31" t="n">
        <v>65.3</v>
      </c>
      <c r="T167" s="30" t="inlineStr">
        <is>
          <t>AMR1</t>
        </is>
      </c>
      <c r="U167" s="31" t="n">
        <v>45.3</v>
      </c>
      <c r="V167" s="31" t="n">
        <v>45.3</v>
      </c>
      <c r="W167" s="30" t="inlineStr">
        <is>
          <t>AMR2</t>
        </is>
      </c>
      <c r="X167" s="32" t="n">
        <v>0</v>
      </c>
      <c r="Y167" s="32" t="n">
        <v>0</v>
      </c>
      <c r="Z167" s="31" t="n">
        <v>0</v>
      </c>
      <c r="AA167" s="32" t="n">
        <v>0</v>
      </c>
      <c r="AB167" s="32" t="n">
        <v>0</v>
      </c>
      <c r="AC167" s="32" t="n">
        <v>0</v>
      </c>
      <c r="AD167" s="32" t="n">
        <v>1</v>
      </c>
      <c r="AE167" s="31" t="n">
        <v>7</v>
      </c>
      <c r="AF167" s="32" t="n">
        <v>1</v>
      </c>
      <c r="AG167" s="31" t="n">
        <v>2</v>
      </c>
      <c r="AH167" s="32" t="n">
        <v>67</v>
      </c>
      <c r="AI167" s="31" t="n">
        <v>66.59999999999999</v>
      </c>
      <c r="AJ167" s="31" t="n">
        <v>45.9</v>
      </c>
      <c r="AK167" s="31" t="n">
        <v>8</v>
      </c>
      <c r="AL167" s="30" t="inlineStr">
        <is>
          <t>T-0322</t>
        </is>
      </c>
      <c r="AM167" s="30" t="inlineStr">
        <is>
          <t>J-03-03</t>
        </is>
      </c>
      <c r="AN167" s="30" t="inlineStr">
        <is>
          <t>T-0148</t>
        </is>
      </c>
      <c r="AO167" s="30" t="inlineStr">
        <is>
          <t>J-01-03</t>
        </is>
      </c>
    </row>
    <row r="168">
      <c r="A168" s="30" t="inlineStr">
        <is>
          <t>O0167</t>
        </is>
      </c>
      <c r="B168" s="30" t="inlineStr">
        <is>
          <t>G</t>
        </is>
      </c>
      <c r="C168" s="31" t="n">
        <v>3302.3</v>
      </c>
      <c r="D168" s="31" t="n">
        <v>5942.7</v>
      </c>
      <c r="E168" s="31" t="n">
        <v>5966.2</v>
      </c>
      <c r="F168" s="31" t="n">
        <v>5977.2</v>
      </c>
      <c r="G168" s="31" t="n">
        <v>6006.2</v>
      </c>
      <c r="H168" s="31" t="n">
        <v>6006.3</v>
      </c>
      <c r="I168" s="31" t="n">
        <v>6021</v>
      </c>
      <c r="J168" s="31" t="n">
        <v>6045</v>
      </c>
      <c r="K168" s="31" t="n">
        <v>2742.7</v>
      </c>
      <c r="L168" s="31" t="n">
        <v>2640.4</v>
      </c>
      <c r="M168" s="30" t="inlineStr">
        <is>
          <t>AMR2</t>
        </is>
      </c>
      <c r="N168" s="30" t="inlineStr">
        <is>
          <t>AMR2</t>
        </is>
      </c>
      <c r="O168" s="32" t="n">
        <v>1</v>
      </c>
      <c r="P168" s="32" t="n">
        <v>25</v>
      </c>
      <c r="Q168" s="32" t="n">
        <v>0</v>
      </c>
      <c r="R168" s="31" t="n">
        <v>60.9</v>
      </c>
      <c r="S168" s="31" t="n">
        <v>60.9</v>
      </c>
      <c r="T168" s="30" t="inlineStr">
        <is>
          <t>AMR2</t>
        </is>
      </c>
      <c r="U168" s="31" t="n">
        <v>38.4</v>
      </c>
      <c r="V168" s="31" t="n">
        <v>38.4</v>
      </c>
      <c r="W168" s="30" t="inlineStr">
        <is>
          <t>AMR2</t>
        </is>
      </c>
      <c r="X168" s="32" t="n">
        <v>0</v>
      </c>
      <c r="Y168" s="32" t="n">
        <v>0</v>
      </c>
      <c r="Z168" s="31" t="n">
        <v>0</v>
      </c>
      <c r="AA168" s="32" t="n">
        <v>0</v>
      </c>
      <c r="AB168" s="32" t="n">
        <v>0</v>
      </c>
      <c r="AC168" s="32" t="n">
        <v>0</v>
      </c>
      <c r="AD168" s="32" t="n">
        <v>0</v>
      </c>
      <c r="AE168" s="31" t="n">
        <v>0</v>
      </c>
      <c r="AF168" s="32" t="n">
        <v>0</v>
      </c>
      <c r="AG168" s="31" t="n">
        <v>0</v>
      </c>
      <c r="AH168" s="32" t="n">
        <v>58</v>
      </c>
      <c r="AI168" s="31" t="n">
        <v>59.5</v>
      </c>
      <c r="AJ168" s="31" t="n">
        <v>42.7</v>
      </c>
      <c r="AK168" s="31" t="n">
        <v>0</v>
      </c>
      <c r="AL168" s="30" t="inlineStr">
        <is>
          <t>T-0313</t>
        </is>
      </c>
      <c r="AM168" s="30" t="inlineStr">
        <is>
          <t>G-03-03</t>
        </is>
      </c>
      <c r="AN168" s="30" t="inlineStr">
        <is>
          <t>T-0102</t>
        </is>
      </c>
      <c r="AO168" s="30" t="inlineStr">
        <is>
          <t>G-05-05</t>
        </is>
      </c>
    </row>
    <row r="169">
      <c r="A169" s="30" t="inlineStr">
        <is>
          <t>O0168</t>
        </is>
      </c>
      <c r="B169" s="30" t="inlineStr">
        <is>
          <t>C</t>
        </is>
      </c>
      <c r="C169" s="31" t="n">
        <v>3321.3</v>
      </c>
      <c r="D169" s="31" t="n">
        <v>5859.8</v>
      </c>
      <c r="E169" s="31" t="n">
        <v>5894.3</v>
      </c>
      <c r="F169" s="31" t="n">
        <v>5906.8</v>
      </c>
      <c r="G169" s="31" t="n">
        <v>5927.7</v>
      </c>
      <c r="H169" s="31" t="n">
        <v>6538</v>
      </c>
      <c r="I169" s="31" t="n">
        <v>6546</v>
      </c>
      <c r="J169" s="31" t="n">
        <v>6579.5</v>
      </c>
      <c r="K169" s="31" t="n">
        <v>3258.2</v>
      </c>
      <c r="L169" s="31" t="n">
        <v>2538.5</v>
      </c>
      <c r="M169" s="30" t="inlineStr">
        <is>
          <t>AMR3</t>
        </is>
      </c>
      <c r="N169" s="30" t="inlineStr">
        <is>
          <t>AMR2</t>
        </is>
      </c>
      <c r="O169" s="32" t="n">
        <v>1</v>
      </c>
      <c r="P169" s="32" t="n">
        <v>25</v>
      </c>
      <c r="Q169" s="32" t="n">
        <v>1</v>
      </c>
      <c r="R169" s="31" t="n">
        <v>55</v>
      </c>
      <c r="S169" s="31" t="n">
        <v>55</v>
      </c>
      <c r="T169" s="30" t="inlineStr">
        <is>
          <t>AMR3</t>
        </is>
      </c>
      <c r="U169" s="31" t="n">
        <v>39.2</v>
      </c>
      <c r="V169" s="31" t="n">
        <v>39.2</v>
      </c>
      <c r="W169" s="30" t="inlineStr">
        <is>
          <t>AMR2</t>
        </is>
      </c>
      <c r="X169" s="32" t="n">
        <v>0</v>
      </c>
      <c r="Y169" s="32" t="n">
        <v>0</v>
      </c>
      <c r="Z169" s="31" t="n">
        <v>0</v>
      </c>
      <c r="AA169" s="32" t="n">
        <v>0</v>
      </c>
      <c r="AB169" s="32" t="n">
        <v>0</v>
      </c>
      <c r="AC169" s="32" t="n">
        <v>0</v>
      </c>
      <c r="AD169" s="32" t="n">
        <v>1</v>
      </c>
      <c r="AE169" s="31" t="n">
        <v>3</v>
      </c>
      <c r="AF169" s="32" t="n">
        <v>1</v>
      </c>
      <c r="AG169" s="31" t="n">
        <v>6</v>
      </c>
      <c r="AH169" s="32" t="n">
        <v>52</v>
      </c>
      <c r="AI169" s="31" t="n">
        <v>54.3</v>
      </c>
      <c r="AJ169" s="31" t="n">
        <v>41.1</v>
      </c>
      <c r="AK169" s="31" t="n">
        <v>14</v>
      </c>
      <c r="AL169" s="30" t="inlineStr">
        <is>
          <t>T-0312</t>
        </is>
      </c>
      <c r="AM169" s="30" t="inlineStr">
        <is>
          <t>C-01-03</t>
        </is>
      </c>
      <c r="AN169" s="30" t="inlineStr">
        <is>
          <t>T-0045</t>
        </is>
      </c>
      <c r="AO169" s="30" t="inlineStr">
        <is>
          <t>C-04-03</t>
        </is>
      </c>
    </row>
    <row r="170">
      <c r="A170" s="30" t="inlineStr">
        <is>
          <t>O0169</t>
        </is>
      </c>
      <c r="B170" s="30" t="inlineStr">
        <is>
          <t>B</t>
        </is>
      </c>
      <c r="C170" s="31" t="n">
        <v>3343.2</v>
      </c>
      <c r="D170" s="31" t="n">
        <v>6145.4</v>
      </c>
      <c r="E170" s="31" t="n">
        <v>6178.9</v>
      </c>
      <c r="F170" s="31" t="n">
        <v>6190.4</v>
      </c>
      <c r="G170" s="31" t="n">
        <v>6217.4</v>
      </c>
      <c r="H170" s="31" t="n">
        <v>6848.5</v>
      </c>
      <c r="I170" s="31" t="n">
        <v>6860.5</v>
      </c>
      <c r="J170" s="31" t="n">
        <v>6898.6</v>
      </c>
      <c r="K170" s="31" t="n">
        <v>3555.4</v>
      </c>
      <c r="L170" s="31" t="n">
        <v>2802.2</v>
      </c>
      <c r="M170" s="30" t="inlineStr">
        <is>
          <t>AMR2</t>
        </is>
      </c>
      <c r="N170" s="30" t="inlineStr">
        <is>
          <t>AMR1</t>
        </is>
      </c>
      <c r="O170" s="32" t="n">
        <v>1</v>
      </c>
      <c r="P170" s="32" t="n">
        <v>25</v>
      </c>
      <c r="Q170" s="32" t="n">
        <v>3</v>
      </c>
      <c r="R170" s="31" t="n">
        <v>58.5</v>
      </c>
      <c r="S170" s="31" t="n">
        <v>58.5</v>
      </c>
      <c r="T170" s="30" t="inlineStr">
        <is>
          <t>AMR2</t>
        </is>
      </c>
      <c r="U170" s="31" t="n">
        <v>43.3</v>
      </c>
      <c r="V170" s="31" t="n">
        <v>43.3</v>
      </c>
      <c r="W170" s="30" t="inlineStr">
        <is>
          <t>AMR1</t>
        </is>
      </c>
      <c r="X170" s="32" t="n">
        <v>0</v>
      </c>
      <c r="Y170" s="32" t="n">
        <v>0</v>
      </c>
      <c r="Z170" s="31" t="n">
        <v>0</v>
      </c>
      <c r="AA170" s="32" t="n">
        <v>0</v>
      </c>
      <c r="AB170" s="32" t="n">
        <v>0</v>
      </c>
      <c r="AC170" s="32" t="n">
        <v>0</v>
      </c>
      <c r="AD170" s="32" t="n">
        <v>1</v>
      </c>
      <c r="AE170" s="31" t="n">
        <v>8</v>
      </c>
      <c r="AF170" s="32" t="n">
        <v>2</v>
      </c>
      <c r="AG170" s="31" t="n">
        <v>8</v>
      </c>
      <c r="AH170" s="32" t="n">
        <v>60</v>
      </c>
      <c r="AI170" s="31" t="n">
        <v>61.5</v>
      </c>
      <c r="AJ170" s="31" t="n">
        <v>42.6</v>
      </c>
      <c r="AK170" s="31" t="n">
        <v>18</v>
      </c>
      <c r="AL170" s="30" t="inlineStr">
        <is>
          <t>T-0320</t>
        </is>
      </c>
      <c r="AM170" s="30" t="inlineStr">
        <is>
          <t>B-01-02</t>
        </is>
      </c>
      <c r="AN170" s="30" t="inlineStr">
        <is>
          <t>T-0196</t>
        </is>
      </c>
      <c r="AO170" s="30" t="inlineStr">
        <is>
          <t>B-04-02</t>
        </is>
      </c>
    </row>
    <row r="171">
      <c r="A171" s="30" t="inlineStr">
        <is>
          <t>O0170</t>
        </is>
      </c>
      <c r="B171" s="30" t="inlineStr">
        <is>
          <t>I</t>
        </is>
      </c>
      <c r="C171" s="31" t="n">
        <v>3360.3</v>
      </c>
      <c r="D171" s="31" t="n">
        <v>6045.1</v>
      </c>
      <c r="E171" s="31" t="n">
        <v>6068.6</v>
      </c>
      <c r="F171" s="31" t="n">
        <v>6082.8</v>
      </c>
      <c r="G171" s="31" t="n">
        <v>6107.2</v>
      </c>
      <c r="H171" s="31" t="n">
        <v>6107.3</v>
      </c>
      <c r="I171" s="31" t="n">
        <v>6119.4</v>
      </c>
      <c r="J171" s="31" t="n">
        <v>6145.3</v>
      </c>
      <c r="K171" s="31" t="n">
        <v>2785</v>
      </c>
      <c r="L171" s="31" t="n">
        <v>2684.8</v>
      </c>
      <c r="M171" s="30" t="inlineStr">
        <is>
          <t>AMR2</t>
        </is>
      </c>
      <c r="N171" s="30" t="inlineStr">
        <is>
          <t>AMR2</t>
        </is>
      </c>
      <c r="O171" s="32" t="n">
        <v>1</v>
      </c>
      <c r="P171" s="32" t="n">
        <v>25</v>
      </c>
      <c r="Q171" s="32" t="n">
        <v>1</v>
      </c>
      <c r="R171" s="31" t="n">
        <v>58.6</v>
      </c>
      <c r="S171" s="31" t="n">
        <v>58.6</v>
      </c>
      <c r="T171" s="30" t="inlineStr">
        <is>
          <t>AMR2</t>
        </is>
      </c>
      <c r="U171" s="31" t="n">
        <v>36.2</v>
      </c>
      <c r="V171" s="31" t="n">
        <v>36.2</v>
      </c>
      <c r="W171" s="30" t="inlineStr">
        <is>
          <t>AMR2</t>
        </is>
      </c>
      <c r="X171" s="32" t="n">
        <v>0</v>
      </c>
      <c r="Y171" s="32" t="n">
        <v>0</v>
      </c>
      <c r="Z171" s="31" t="n">
        <v>0</v>
      </c>
      <c r="AA171" s="32" t="n">
        <v>0</v>
      </c>
      <c r="AB171" s="32" t="n">
        <v>0</v>
      </c>
      <c r="AC171" s="32" t="n">
        <v>0</v>
      </c>
      <c r="AD171" s="32" t="n">
        <v>1</v>
      </c>
      <c r="AE171" s="31" t="n">
        <v>1.5</v>
      </c>
      <c r="AF171" s="32" t="n">
        <v>0</v>
      </c>
      <c r="AG171" s="31" t="n">
        <v>0</v>
      </c>
      <c r="AH171" s="32" t="n">
        <v>56</v>
      </c>
      <c r="AI171" s="31" t="n">
        <v>57.9</v>
      </c>
      <c r="AJ171" s="31" t="n">
        <v>40.7</v>
      </c>
      <c r="AK171" s="31" t="n">
        <v>1.5</v>
      </c>
      <c r="AL171" s="30" t="inlineStr">
        <is>
          <t>T-0317</t>
        </is>
      </c>
      <c r="AM171" s="30" t="inlineStr">
        <is>
          <t>I-04-02</t>
        </is>
      </c>
      <c r="AN171" s="30" t="inlineStr">
        <is>
          <t>T-0227</t>
        </is>
      </c>
      <c r="AO171" s="30" t="inlineStr">
        <is>
          <t>I-02-03</t>
        </is>
      </c>
    </row>
    <row r="172">
      <c r="A172" s="30" t="inlineStr">
        <is>
          <t>O0171</t>
        </is>
      </c>
      <c r="B172" s="30" t="inlineStr">
        <is>
          <t>D</t>
        </is>
      </c>
      <c r="C172" s="31" t="n">
        <v>3375.8</v>
      </c>
      <c r="D172" s="31" t="n">
        <v>6029.6</v>
      </c>
      <c r="E172" s="31" t="n">
        <v>6044.3</v>
      </c>
      <c r="F172" s="31" t="n">
        <v>6056.2</v>
      </c>
      <c r="G172" s="31" t="n">
        <v>6078.5</v>
      </c>
      <c r="H172" s="31" t="n">
        <v>6734.9</v>
      </c>
      <c r="I172" s="31" t="n">
        <v>6759.2</v>
      </c>
      <c r="J172" s="31" t="n">
        <v>6786.8</v>
      </c>
      <c r="K172" s="31" t="n">
        <v>3411</v>
      </c>
      <c r="L172" s="31" t="n">
        <v>2653.8</v>
      </c>
      <c r="M172" s="30" t="inlineStr">
        <is>
          <t>AMR1</t>
        </is>
      </c>
      <c r="N172" s="30" t="inlineStr">
        <is>
          <t>AMR1</t>
        </is>
      </c>
      <c r="O172" s="32" t="n">
        <v>1</v>
      </c>
      <c r="P172" s="32" t="n">
        <v>15</v>
      </c>
      <c r="Q172" s="32" t="n">
        <v>8</v>
      </c>
      <c r="R172" s="31" t="n">
        <v>45.2</v>
      </c>
      <c r="S172" s="31" t="n">
        <v>45.2</v>
      </c>
      <c r="T172" s="30" t="inlineStr">
        <is>
          <t>AMR1</t>
        </is>
      </c>
      <c r="U172" s="31" t="n">
        <v>47.8</v>
      </c>
      <c r="V172" s="31" t="n">
        <v>47.8</v>
      </c>
      <c r="W172" s="30" t="inlineStr">
        <is>
          <t>AMR1</t>
        </is>
      </c>
      <c r="X172" s="32" t="n">
        <v>0</v>
      </c>
      <c r="Y172" s="32" t="n">
        <v>0</v>
      </c>
      <c r="Z172" s="31" t="n">
        <v>0</v>
      </c>
      <c r="AA172" s="32" t="n">
        <v>0</v>
      </c>
      <c r="AB172" s="32" t="n">
        <v>0</v>
      </c>
      <c r="AC172" s="32" t="n">
        <v>0</v>
      </c>
      <c r="AD172" s="32" t="n">
        <v>0</v>
      </c>
      <c r="AE172" s="31" t="n">
        <v>0</v>
      </c>
      <c r="AF172" s="32" t="n">
        <v>0</v>
      </c>
      <c r="AG172" s="31" t="n">
        <v>0</v>
      </c>
      <c r="AH172" s="32" t="n">
        <v>56</v>
      </c>
      <c r="AI172" s="31" t="n">
        <v>59.3</v>
      </c>
      <c r="AJ172" s="31" t="n">
        <v>41.5</v>
      </c>
      <c r="AK172" s="31" t="n">
        <v>0</v>
      </c>
      <c r="AL172" s="30" t="inlineStr">
        <is>
          <t>T-0316</t>
        </is>
      </c>
      <c r="AM172" s="30" t="inlineStr">
        <is>
          <t>D-06-03</t>
        </is>
      </c>
      <c r="AN172" s="30" t="inlineStr">
        <is>
          <t>T-0218</t>
        </is>
      </c>
      <c r="AO172" s="30" t="inlineStr">
        <is>
          <t>D-02-02</t>
        </is>
      </c>
    </row>
    <row r="173">
      <c r="A173" s="30" t="inlineStr">
        <is>
          <t>O0172</t>
        </is>
      </c>
      <c r="B173" s="30" t="inlineStr">
        <is>
          <t>H</t>
        </is>
      </c>
      <c r="C173" s="31" t="n">
        <v>3395.4</v>
      </c>
      <c r="D173" s="31" t="n">
        <v>6275.7</v>
      </c>
      <c r="E173" s="31" t="n">
        <v>6301.7</v>
      </c>
      <c r="F173" s="31" t="n">
        <v>6318.1</v>
      </c>
      <c r="G173" s="31" t="n">
        <v>6341.1</v>
      </c>
      <c r="H173" s="31" t="n">
        <v>6341.2</v>
      </c>
      <c r="I173" s="31" t="n">
        <v>6350.9</v>
      </c>
      <c r="J173" s="31" t="n">
        <v>6396</v>
      </c>
      <c r="K173" s="31" t="n">
        <v>3000.6</v>
      </c>
      <c r="L173" s="31" t="n">
        <v>2880.3</v>
      </c>
      <c r="M173" s="30" t="inlineStr">
        <is>
          <t>AMR3</t>
        </is>
      </c>
      <c r="N173" s="30" t="inlineStr">
        <is>
          <t>AMR3</t>
        </is>
      </c>
      <c r="O173" s="32" t="n">
        <v>1</v>
      </c>
      <c r="P173" s="32" t="n">
        <v>14</v>
      </c>
      <c r="Q173" s="32" t="n">
        <v>0</v>
      </c>
      <c r="R173" s="31" t="n">
        <v>52</v>
      </c>
      <c r="S173" s="31" t="n">
        <v>52</v>
      </c>
      <c r="T173" s="30" t="inlineStr">
        <is>
          <t>AMR3</t>
        </is>
      </c>
      <c r="U173" s="31" t="n">
        <v>36.8</v>
      </c>
      <c r="V173" s="31" t="n">
        <v>36.8</v>
      </c>
      <c r="W173" s="30" t="inlineStr">
        <is>
          <t>AMR3</t>
        </is>
      </c>
      <c r="X173" s="32" t="n">
        <v>0</v>
      </c>
      <c r="Y173" s="32" t="n">
        <v>0</v>
      </c>
      <c r="Z173" s="31" t="n">
        <v>0</v>
      </c>
      <c r="AA173" s="32" t="n">
        <v>0</v>
      </c>
      <c r="AB173" s="32" t="n">
        <v>0</v>
      </c>
      <c r="AC173" s="32" t="n">
        <v>0</v>
      </c>
      <c r="AD173" s="32" t="n">
        <v>1</v>
      </c>
      <c r="AE173" s="31" t="n">
        <v>17.2</v>
      </c>
      <c r="AF173" s="32" t="n">
        <v>2</v>
      </c>
      <c r="AG173" s="31" t="n">
        <v>19.2</v>
      </c>
      <c r="AH173" s="32" t="n">
        <v>43</v>
      </c>
      <c r="AI173" s="31" t="n">
        <v>46.8</v>
      </c>
      <c r="AJ173" s="31" t="n">
        <v>44.2</v>
      </c>
      <c r="AK173" s="31" t="n">
        <v>29.2</v>
      </c>
      <c r="AL173" s="30" t="inlineStr">
        <is>
          <t>T-0324</t>
        </is>
      </c>
      <c r="AM173" s="30" t="inlineStr">
        <is>
          <t>H-03-03</t>
        </is>
      </c>
      <c r="AN173" s="30" t="inlineStr">
        <is>
          <t>T-0118</t>
        </is>
      </c>
      <c r="AO173" s="30" t="inlineStr">
        <is>
          <t>H-01-02</t>
        </is>
      </c>
    </row>
    <row r="174">
      <c r="A174" s="30" t="inlineStr">
        <is>
          <t>O0173</t>
        </is>
      </c>
      <c r="B174" s="30" t="inlineStr">
        <is>
          <t>I</t>
        </is>
      </c>
      <c r="C174" s="31" t="n">
        <v>3415.7</v>
      </c>
      <c r="D174" s="31" t="n">
        <v>6216.3</v>
      </c>
      <c r="E174" s="31" t="n">
        <v>6239.8</v>
      </c>
      <c r="F174" s="31" t="n">
        <v>6252.6</v>
      </c>
      <c r="G174" s="31" t="n">
        <v>6275.6</v>
      </c>
      <c r="H174" s="31" t="n">
        <v>6827</v>
      </c>
      <c r="I174" s="31" t="n">
        <v>6853.8</v>
      </c>
      <c r="J174" s="31" t="n">
        <v>6881.9</v>
      </c>
      <c r="K174" s="31" t="n">
        <v>3466.2</v>
      </c>
      <c r="L174" s="31" t="n">
        <v>2800.6</v>
      </c>
      <c r="M174" s="30" t="inlineStr">
        <is>
          <t>AMR3</t>
        </is>
      </c>
      <c r="N174" s="30" t="inlineStr">
        <is>
          <t>AMR3</t>
        </is>
      </c>
      <c r="O174" s="32" t="n">
        <v>1</v>
      </c>
      <c r="P174" s="32" t="n">
        <v>25</v>
      </c>
      <c r="Q174" s="32" t="n">
        <v>14</v>
      </c>
      <c r="R174" s="31" t="n">
        <v>57.5</v>
      </c>
      <c r="S174" s="31" t="n">
        <v>51.2</v>
      </c>
      <c r="T174" s="30" t="inlineStr">
        <is>
          <t>AMR2</t>
        </is>
      </c>
      <c r="U174" s="31" t="n">
        <v>55.6</v>
      </c>
      <c r="V174" s="31" t="n">
        <v>55.6</v>
      </c>
      <c r="W174" s="30" t="inlineStr">
        <is>
          <t>AMR3</t>
        </is>
      </c>
      <c r="X174" s="32" t="n">
        <v>1</v>
      </c>
      <c r="Y174" s="32" t="n">
        <v>9</v>
      </c>
      <c r="Z174" s="31" t="n">
        <v>6.3</v>
      </c>
      <c r="AA174" s="32" t="n">
        <v>0</v>
      </c>
      <c r="AB174" s="32" t="n">
        <v>0</v>
      </c>
      <c r="AC174" s="32" t="n">
        <v>0</v>
      </c>
      <c r="AD174" s="32" t="n">
        <v>0</v>
      </c>
      <c r="AE174" s="31" t="n">
        <v>0</v>
      </c>
      <c r="AF174" s="32" t="n">
        <v>0</v>
      </c>
      <c r="AG174" s="31" t="n">
        <v>0</v>
      </c>
      <c r="AH174" s="32" t="n">
        <v>65</v>
      </c>
      <c r="AI174" s="31" t="n">
        <v>67.5</v>
      </c>
      <c r="AJ174" s="31" t="n">
        <v>46.7</v>
      </c>
      <c r="AK174" s="31" t="n">
        <v>0</v>
      </c>
      <c r="AL174" s="30" t="inlineStr">
        <is>
          <t>T-0321</t>
        </is>
      </c>
      <c r="AM174" s="30" t="inlineStr">
        <is>
          <t>I-02-03</t>
        </is>
      </c>
      <c r="AN174" s="30" t="inlineStr">
        <is>
          <t>T-0259</t>
        </is>
      </c>
      <c r="AO174" s="30" t="inlineStr">
        <is>
          <t>I-02-01</t>
        </is>
      </c>
    </row>
    <row r="175">
      <c r="A175" s="30" t="inlineStr">
        <is>
          <t>O0174</t>
        </is>
      </c>
      <c r="B175" s="30" t="inlineStr">
        <is>
          <t>H</t>
        </is>
      </c>
      <c r="C175" s="31" t="n">
        <v>3433.9</v>
      </c>
      <c r="D175" s="31" t="n">
        <v>6457.8</v>
      </c>
      <c r="E175" s="31" t="n">
        <v>6481.3</v>
      </c>
      <c r="F175" s="31" t="n">
        <v>6494</v>
      </c>
      <c r="G175" s="31" t="n">
        <v>6520.2</v>
      </c>
      <c r="H175" s="31" t="n">
        <v>6520.3</v>
      </c>
      <c r="I175" s="31" t="n">
        <v>6533.5</v>
      </c>
      <c r="J175" s="31" t="n">
        <v>6559.2</v>
      </c>
      <c r="K175" s="31" t="n">
        <v>3125.3</v>
      </c>
      <c r="L175" s="31" t="n">
        <v>3023.9</v>
      </c>
      <c r="M175" s="30" t="inlineStr">
        <is>
          <t>AMR1</t>
        </is>
      </c>
      <c r="N175" s="30" t="inlineStr">
        <is>
          <t>AMR1</t>
        </is>
      </c>
      <c r="O175" s="32" t="n">
        <v>1</v>
      </c>
      <c r="P175" s="32" t="n">
        <v>25</v>
      </c>
      <c r="Q175" s="32" t="n">
        <v>1</v>
      </c>
      <c r="R175" s="31" t="n">
        <v>60.6</v>
      </c>
      <c r="S175" s="31" t="n">
        <v>60.6</v>
      </c>
      <c r="T175" s="30" t="inlineStr">
        <is>
          <t>AMR1</t>
        </is>
      </c>
      <c r="U175" s="31" t="n">
        <v>38</v>
      </c>
      <c r="V175" s="31" t="n">
        <v>38</v>
      </c>
      <c r="W175" s="30" t="inlineStr">
        <is>
          <t>AMR1</t>
        </is>
      </c>
      <c r="X175" s="32" t="n">
        <v>0</v>
      </c>
      <c r="Y175" s="32" t="n">
        <v>0</v>
      </c>
      <c r="Z175" s="31" t="n">
        <v>0</v>
      </c>
      <c r="AA175" s="32" t="n">
        <v>0</v>
      </c>
      <c r="AB175" s="32" t="n">
        <v>0</v>
      </c>
      <c r="AC175" s="32" t="n">
        <v>0</v>
      </c>
      <c r="AD175" s="32" t="n">
        <v>0</v>
      </c>
      <c r="AE175" s="31" t="n">
        <v>0</v>
      </c>
      <c r="AF175" s="32" t="n">
        <v>0</v>
      </c>
      <c r="AG175" s="31" t="n">
        <v>0</v>
      </c>
      <c r="AH175" s="32" t="n">
        <v>54</v>
      </c>
      <c r="AI175" s="31" t="n">
        <v>56.3</v>
      </c>
      <c r="AJ175" s="31" t="n">
        <v>45</v>
      </c>
      <c r="AK175" s="31" t="n">
        <v>0</v>
      </c>
      <c r="AL175" s="30" t="inlineStr">
        <is>
          <t>T-0328</t>
        </is>
      </c>
      <c r="AM175" s="30" t="inlineStr">
        <is>
          <t>H-02-01</t>
        </is>
      </c>
      <c r="AN175" s="30" t="inlineStr">
        <is>
          <t>T-0120</t>
        </is>
      </c>
      <c r="AO175" s="30" t="inlineStr">
        <is>
          <t>H-03-05</t>
        </is>
      </c>
    </row>
    <row r="176">
      <c r="A176" s="30" t="inlineStr">
        <is>
          <t>O0175</t>
        </is>
      </c>
      <c r="B176" s="30" t="inlineStr">
        <is>
          <t>I</t>
        </is>
      </c>
      <c r="C176" s="31" t="n">
        <v>3457</v>
      </c>
      <c r="D176" s="31" t="n">
        <v>6355.7</v>
      </c>
      <c r="E176" s="31" t="n">
        <v>6379.2</v>
      </c>
      <c r="F176" s="31" t="n">
        <v>6393.6</v>
      </c>
      <c r="G176" s="31" t="n">
        <v>6418</v>
      </c>
      <c r="H176" s="31" t="n">
        <v>6418.1</v>
      </c>
      <c r="I176" s="31" t="n">
        <v>6432.1</v>
      </c>
      <c r="J176" s="31" t="n">
        <v>6457.7</v>
      </c>
      <c r="K176" s="31" t="n">
        <v>3000.7</v>
      </c>
      <c r="L176" s="31" t="n">
        <v>2898.7</v>
      </c>
      <c r="M176" s="30" t="inlineStr">
        <is>
          <t>AMR1</t>
        </is>
      </c>
      <c r="N176" s="30" t="inlineStr">
        <is>
          <t>AMR1</t>
        </is>
      </c>
      <c r="O176" s="32" t="n">
        <v>1</v>
      </c>
      <c r="P176" s="32" t="n">
        <v>25</v>
      </c>
      <c r="Q176" s="32" t="n">
        <v>0</v>
      </c>
      <c r="R176" s="31" t="n">
        <v>59.7</v>
      </c>
      <c r="S176" s="31" t="n">
        <v>59.7</v>
      </c>
      <c r="T176" s="30" t="inlineStr">
        <is>
          <t>AMR1</t>
        </is>
      </c>
      <c r="U176" s="31" t="n">
        <v>39.3</v>
      </c>
      <c r="V176" s="31" t="n">
        <v>39.3</v>
      </c>
      <c r="W176" s="30" t="inlineStr">
        <is>
          <t>AMR1</t>
        </is>
      </c>
      <c r="X176" s="32" t="n">
        <v>0</v>
      </c>
      <c r="Y176" s="32" t="n">
        <v>0</v>
      </c>
      <c r="Z176" s="31" t="n">
        <v>0</v>
      </c>
      <c r="AA176" s="32" t="n">
        <v>0</v>
      </c>
      <c r="AB176" s="32" t="n">
        <v>0</v>
      </c>
      <c r="AC176" s="32" t="n">
        <v>0</v>
      </c>
      <c r="AD176" s="32" t="n">
        <v>0</v>
      </c>
      <c r="AE176" s="31" t="n">
        <v>0</v>
      </c>
      <c r="AF176" s="32" t="n">
        <v>0</v>
      </c>
      <c r="AG176" s="31" t="n">
        <v>0</v>
      </c>
      <c r="AH176" s="32" t="n">
        <v>54</v>
      </c>
      <c r="AI176" s="31" t="n">
        <v>56.3</v>
      </c>
      <c r="AJ176" s="31" t="n">
        <v>45.6</v>
      </c>
      <c r="AK176" s="31" t="n">
        <v>0</v>
      </c>
      <c r="AL176" s="30" t="inlineStr">
        <is>
          <t>T-0325</t>
        </is>
      </c>
      <c r="AM176" s="30" t="inlineStr">
        <is>
          <t>I-03-03</t>
        </is>
      </c>
      <c r="AN176" s="30" t="inlineStr">
        <is>
          <t>T-0239</t>
        </is>
      </c>
      <c r="AO176" s="30" t="inlineStr">
        <is>
          <t>I-01-03</t>
        </is>
      </c>
    </row>
    <row r="177">
      <c r="A177" s="30" t="inlineStr">
        <is>
          <t>O0176</t>
        </is>
      </c>
      <c r="B177" s="30" t="inlineStr">
        <is>
          <t>I</t>
        </is>
      </c>
      <c r="C177" s="31" t="n">
        <v>3480.3</v>
      </c>
      <c r="D177" s="31" t="n">
        <v>6516.7</v>
      </c>
      <c r="E177" s="31" t="n">
        <v>6540.2</v>
      </c>
      <c r="F177" s="31" t="n">
        <v>6551</v>
      </c>
      <c r="G177" s="31" t="n">
        <v>6576.7</v>
      </c>
      <c r="H177" s="31" t="n">
        <v>6576.8</v>
      </c>
      <c r="I177" s="31" t="n">
        <v>6588.7</v>
      </c>
      <c r="J177" s="31" t="n">
        <v>6618.6</v>
      </c>
      <c r="K177" s="31" t="n">
        <v>3138.3</v>
      </c>
      <c r="L177" s="31" t="n">
        <v>3036.4</v>
      </c>
      <c r="M177" s="30" t="inlineStr">
        <is>
          <t>AMR3</t>
        </is>
      </c>
      <c r="N177" s="30" t="inlineStr">
        <is>
          <t>AMR3</t>
        </is>
      </c>
      <c r="O177" s="32" t="n">
        <v>1</v>
      </c>
      <c r="P177" s="32" t="n">
        <v>25</v>
      </c>
      <c r="Q177" s="32" t="n">
        <v>1</v>
      </c>
      <c r="R177" s="31" t="n">
        <v>58.2</v>
      </c>
      <c r="S177" s="31" t="n">
        <v>52.9</v>
      </c>
      <c r="T177" s="30" t="inlineStr">
        <is>
          <t>AMR1</t>
        </is>
      </c>
      <c r="U177" s="31" t="n">
        <v>38.5</v>
      </c>
      <c r="V177" s="31" t="n">
        <v>38.5</v>
      </c>
      <c r="W177" s="30" t="inlineStr">
        <is>
          <t>AMR3</t>
        </is>
      </c>
      <c r="X177" s="32" t="n">
        <v>1</v>
      </c>
      <c r="Y177" s="32" t="n">
        <v>11</v>
      </c>
      <c r="Z177" s="31" t="n">
        <v>5.3</v>
      </c>
      <c r="AA177" s="32" t="n">
        <v>0</v>
      </c>
      <c r="AB177" s="32" t="n">
        <v>0</v>
      </c>
      <c r="AC177" s="32" t="n">
        <v>0</v>
      </c>
      <c r="AD177" s="32" t="n">
        <v>0</v>
      </c>
      <c r="AE177" s="31" t="n">
        <v>0</v>
      </c>
      <c r="AF177" s="32" t="n">
        <v>0</v>
      </c>
      <c r="AG177" s="31" t="n">
        <v>0</v>
      </c>
      <c r="AH177" s="32" t="n">
        <v>56</v>
      </c>
      <c r="AI177" s="31" t="n">
        <v>59.2</v>
      </c>
      <c r="AJ177" s="31" t="n">
        <v>42.6</v>
      </c>
      <c r="AK177" s="31" t="n">
        <v>0</v>
      </c>
      <c r="AL177" s="30" t="inlineStr">
        <is>
          <t>T-0330</t>
        </is>
      </c>
      <c r="AM177" s="30" t="inlineStr">
        <is>
          <t>I-01-03</t>
        </is>
      </c>
      <c r="AN177" s="30" t="inlineStr">
        <is>
          <t>T-0248</t>
        </is>
      </c>
      <c r="AO177" s="30" t="inlineStr">
        <is>
          <t>I-04-03</t>
        </is>
      </c>
    </row>
    <row r="178">
      <c r="A178" s="30" t="inlineStr">
        <is>
          <t>O0177</t>
        </is>
      </c>
      <c r="B178" s="30" t="inlineStr">
        <is>
          <t>H</t>
        </is>
      </c>
      <c r="C178" s="31" t="n">
        <v>3504.3</v>
      </c>
      <c r="D178" s="31" t="n">
        <v>6371.8</v>
      </c>
      <c r="E178" s="31" t="n">
        <v>6403.3</v>
      </c>
      <c r="F178" s="31" t="n">
        <v>6415.9</v>
      </c>
      <c r="G178" s="31" t="n">
        <v>6439.3</v>
      </c>
      <c r="H178" s="31" t="n">
        <v>6439.4</v>
      </c>
      <c r="I178" s="31" t="n">
        <v>6449.6</v>
      </c>
      <c r="J178" s="31" t="n">
        <v>6475.6</v>
      </c>
      <c r="K178" s="31" t="n">
        <v>2971.3</v>
      </c>
      <c r="L178" s="31" t="n">
        <v>2867.5</v>
      </c>
      <c r="M178" s="30" t="inlineStr">
        <is>
          <t>AMR2</t>
        </is>
      </c>
      <c r="N178" s="30" t="inlineStr">
        <is>
          <t>AMR2</t>
        </is>
      </c>
      <c r="O178" s="32" t="n">
        <v>1</v>
      </c>
      <c r="P178" s="32" t="n">
        <v>25</v>
      </c>
      <c r="Q178" s="32" t="n">
        <v>1</v>
      </c>
      <c r="R178" s="31" t="n">
        <v>57.7</v>
      </c>
      <c r="S178" s="31" t="n">
        <v>57.7</v>
      </c>
      <c r="T178" s="30" t="inlineStr">
        <is>
          <t>AMR2</t>
        </is>
      </c>
      <c r="U178" s="31" t="n">
        <v>37.4</v>
      </c>
      <c r="V178" s="31" t="n">
        <v>37.4</v>
      </c>
      <c r="W178" s="30" t="inlineStr">
        <is>
          <t>AMR2</t>
        </is>
      </c>
      <c r="X178" s="32" t="n">
        <v>0</v>
      </c>
      <c r="Y178" s="32" t="n">
        <v>0</v>
      </c>
      <c r="Z178" s="31" t="n">
        <v>0</v>
      </c>
      <c r="AA178" s="32" t="n">
        <v>0</v>
      </c>
      <c r="AB178" s="32" t="n">
        <v>0</v>
      </c>
      <c r="AC178" s="32" t="n">
        <v>0</v>
      </c>
      <c r="AD178" s="32" t="n">
        <v>0</v>
      </c>
      <c r="AE178" s="31" t="n">
        <v>0</v>
      </c>
      <c r="AF178" s="32" t="n">
        <v>1</v>
      </c>
      <c r="AG178" s="31" t="n">
        <v>3</v>
      </c>
      <c r="AH178" s="32" t="n">
        <v>52</v>
      </c>
      <c r="AI178" s="31" t="n">
        <v>54.2</v>
      </c>
      <c r="AJ178" s="31" t="n">
        <v>41.5</v>
      </c>
      <c r="AK178" s="31" t="n">
        <v>8</v>
      </c>
      <c r="AL178" s="30" t="inlineStr">
        <is>
          <t>T-0326</t>
        </is>
      </c>
      <c r="AM178" s="30" t="inlineStr">
        <is>
          <t>H-01-02</t>
        </is>
      </c>
      <c r="AN178" s="30" t="inlineStr">
        <is>
          <t>T-0119</t>
        </is>
      </c>
      <c r="AO178" s="30" t="inlineStr">
        <is>
          <t>H-02-01</t>
        </is>
      </c>
    </row>
    <row r="179">
      <c r="A179" s="30" t="inlineStr">
        <is>
          <t>O0178</t>
        </is>
      </c>
      <c r="B179" s="30" t="inlineStr">
        <is>
          <t>D</t>
        </is>
      </c>
      <c r="C179" s="31" t="n">
        <v>3521.9</v>
      </c>
      <c r="D179" s="31" t="n">
        <v>6259.9</v>
      </c>
      <c r="E179" s="31" t="n">
        <v>6287.4</v>
      </c>
      <c r="F179" s="31" t="n">
        <v>6300.4</v>
      </c>
      <c r="G179" s="31" t="n">
        <v>6320.8</v>
      </c>
      <c r="H179" s="31" t="n">
        <v>6999.2</v>
      </c>
      <c r="I179" s="31" t="n">
        <v>7026.6</v>
      </c>
      <c r="J179" s="31" t="n">
        <v>7054.7</v>
      </c>
      <c r="K179" s="31" t="n">
        <v>3532.8</v>
      </c>
      <c r="L179" s="31" t="n">
        <v>2738</v>
      </c>
      <c r="M179" s="30" t="inlineStr">
        <is>
          <t>AMR2</t>
        </is>
      </c>
      <c r="N179" s="30" t="inlineStr">
        <is>
          <t>AMR1</t>
        </is>
      </c>
      <c r="O179" s="32" t="n">
        <v>1</v>
      </c>
      <c r="P179" s="32" t="n">
        <v>25</v>
      </c>
      <c r="Q179" s="32" t="n">
        <v>16</v>
      </c>
      <c r="R179" s="31" t="n">
        <v>55</v>
      </c>
      <c r="S179" s="31" t="n">
        <v>55</v>
      </c>
      <c r="T179" s="30" t="inlineStr">
        <is>
          <t>AMR2</t>
        </is>
      </c>
      <c r="U179" s="31" t="n">
        <v>56.4</v>
      </c>
      <c r="V179" s="31" t="n">
        <v>56.4</v>
      </c>
      <c r="W179" s="30" t="inlineStr">
        <is>
          <t>AMR1</t>
        </is>
      </c>
      <c r="X179" s="32" t="n">
        <v>0</v>
      </c>
      <c r="Y179" s="32" t="n">
        <v>0</v>
      </c>
      <c r="Z179" s="31" t="n">
        <v>0</v>
      </c>
      <c r="AA179" s="32" t="n">
        <v>0</v>
      </c>
      <c r="AB179" s="32" t="n">
        <v>0</v>
      </c>
      <c r="AC179" s="32" t="n">
        <v>0</v>
      </c>
      <c r="AD179" s="32" t="n">
        <v>0</v>
      </c>
      <c r="AE179" s="31" t="n">
        <v>0</v>
      </c>
      <c r="AF179" s="32" t="n">
        <v>0</v>
      </c>
      <c r="AG179" s="31" t="n">
        <v>0</v>
      </c>
      <c r="AH179" s="32" t="n">
        <v>67</v>
      </c>
      <c r="AI179" s="31" t="n">
        <v>69.5</v>
      </c>
      <c r="AJ179" s="31" t="n">
        <v>42.9</v>
      </c>
      <c r="AK179" s="31" t="n">
        <v>4</v>
      </c>
      <c r="AL179" s="30" t="inlineStr">
        <is>
          <t>T-0323</t>
        </is>
      </c>
      <c r="AM179" s="30" t="inlineStr">
        <is>
          <t>D-01-02</t>
        </is>
      </c>
      <c r="AN179" s="30" t="inlineStr">
        <is>
          <t>T-0223</t>
        </is>
      </c>
      <c r="AO179" s="30" t="inlineStr">
        <is>
          <t>D-02-01</t>
        </is>
      </c>
    </row>
    <row r="180">
      <c r="A180" s="30" t="inlineStr">
        <is>
          <t>O0179</t>
        </is>
      </c>
      <c r="B180" s="30" t="inlineStr">
        <is>
          <t>I</t>
        </is>
      </c>
      <c r="C180" s="31" t="n">
        <v>3539.7</v>
      </c>
      <c r="D180" s="31" t="n">
        <v>6723.9</v>
      </c>
      <c r="E180" s="31" t="n">
        <v>6747.4</v>
      </c>
      <c r="F180" s="31" t="n">
        <v>6762.2</v>
      </c>
      <c r="G180" s="31" t="n">
        <v>6786.6</v>
      </c>
      <c r="H180" s="31" t="n">
        <v>6786.7</v>
      </c>
      <c r="I180" s="31" t="n">
        <v>6800.7</v>
      </c>
      <c r="J180" s="31" t="n">
        <v>6826.9</v>
      </c>
      <c r="K180" s="31" t="n">
        <v>3287.2</v>
      </c>
      <c r="L180" s="31" t="n">
        <v>3184.2</v>
      </c>
      <c r="M180" s="30" t="inlineStr">
        <is>
          <t>AMR3</t>
        </is>
      </c>
      <c r="N180" s="30" t="inlineStr">
        <is>
          <t>AMR3</t>
        </is>
      </c>
      <c r="O180" s="32" t="n">
        <v>1</v>
      </c>
      <c r="P180" s="32" t="n">
        <v>25</v>
      </c>
      <c r="Q180" s="32" t="n">
        <v>1</v>
      </c>
      <c r="R180" s="31" t="n">
        <v>59.3</v>
      </c>
      <c r="S180" s="31" t="n">
        <v>59.3</v>
      </c>
      <c r="T180" s="30" t="inlineStr">
        <is>
          <t>AMR3</t>
        </is>
      </c>
      <c r="U180" s="31" t="n">
        <v>39.9</v>
      </c>
      <c r="V180" s="31" t="n">
        <v>39.9</v>
      </c>
      <c r="W180" s="30" t="inlineStr">
        <is>
          <t>AMR3</t>
        </is>
      </c>
      <c r="X180" s="32" t="n">
        <v>0</v>
      </c>
      <c r="Y180" s="32" t="n">
        <v>0</v>
      </c>
      <c r="Z180" s="31" t="n">
        <v>0</v>
      </c>
      <c r="AA180" s="32" t="n">
        <v>0</v>
      </c>
      <c r="AB180" s="32" t="n">
        <v>0</v>
      </c>
      <c r="AC180" s="32" t="n">
        <v>0</v>
      </c>
      <c r="AD180" s="32" t="n">
        <v>0</v>
      </c>
      <c r="AE180" s="31" t="n">
        <v>0</v>
      </c>
      <c r="AF180" s="32" t="n">
        <v>0</v>
      </c>
      <c r="AG180" s="31" t="n">
        <v>0</v>
      </c>
      <c r="AH180" s="32" t="n">
        <v>56</v>
      </c>
      <c r="AI180" s="31" t="n">
        <v>57.8</v>
      </c>
      <c r="AJ180" s="31" t="n">
        <v>45.1</v>
      </c>
      <c r="AK180" s="31" t="n">
        <v>0</v>
      </c>
      <c r="AL180" s="30" t="inlineStr">
        <is>
          <t>T-0336</t>
        </is>
      </c>
      <c r="AM180" s="30" t="inlineStr">
        <is>
          <t>I-04-03</t>
        </is>
      </c>
      <c r="AN180" s="30" t="inlineStr">
        <is>
          <t>T-0255</t>
        </is>
      </c>
      <c r="AO180" s="30" t="inlineStr">
        <is>
          <t>I-01-01</t>
        </is>
      </c>
    </row>
    <row r="181">
      <c r="A181" s="30" t="inlineStr">
        <is>
          <t>O0180</t>
        </is>
      </c>
      <c r="B181" s="30" t="inlineStr">
        <is>
          <t>E</t>
        </is>
      </c>
      <c r="C181" s="31" t="n">
        <v>3560.9</v>
      </c>
      <c r="D181" s="31" t="n">
        <v>6396.1</v>
      </c>
      <c r="E181" s="31" t="n">
        <v>6427.6</v>
      </c>
      <c r="F181" s="31" t="n">
        <v>6438.3</v>
      </c>
      <c r="G181" s="31" t="n">
        <v>6463.5</v>
      </c>
      <c r="H181" s="31" t="n">
        <v>6463.6</v>
      </c>
      <c r="I181" s="31" t="n">
        <v>6475.5</v>
      </c>
      <c r="J181" s="31" t="n">
        <v>6516.6</v>
      </c>
      <c r="K181" s="31" t="n">
        <v>2955.7</v>
      </c>
      <c r="L181" s="31" t="n">
        <v>2835.2</v>
      </c>
      <c r="M181" s="30" t="inlineStr">
        <is>
          <t>AMR3</t>
        </is>
      </c>
      <c r="N181" s="30" t="inlineStr">
        <is>
          <t>AMR3</t>
        </is>
      </c>
      <c r="O181" s="32" t="n">
        <v>1</v>
      </c>
      <c r="P181" s="32" t="n">
        <v>25</v>
      </c>
      <c r="Q181" s="32" t="n">
        <v>1</v>
      </c>
      <c r="R181" s="31" t="n">
        <v>57.5</v>
      </c>
      <c r="S181" s="31" t="n">
        <v>57.5</v>
      </c>
      <c r="T181" s="30" t="inlineStr">
        <is>
          <t>AMR3</t>
        </is>
      </c>
      <c r="U181" s="31" t="n">
        <v>43.7</v>
      </c>
      <c r="V181" s="31" t="n">
        <v>43.7</v>
      </c>
      <c r="W181" s="30" t="inlineStr">
        <is>
          <t>AMR3</t>
        </is>
      </c>
      <c r="X181" s="32" t="n">
        <v>0</v>
      </c>
      <c r="Y181" s="32" t="n">
        <v>0</v>
      </c>
      <c r="Z181" s="31" t="n">
        <v>0</v>
      </c>
      <c r="AA181" s="32" t="n">
        <v>0</v>
      </c>
      <c r="AB181" s="32" t="n">
        <v>0</v>
      </c>
      <c r="AC181" s="32" t="n">
        <v>0</v>
      </c>
      <c r="AD181" s="32" t="n">
        <v>1</v>
      </c>
      <c r="AE181" s="31" t="n">
        <v>7</v>
      </c>
      <c r="AF181" s="32" t="n">
        <v>2</v>
      </c>
      <c r="AG181" s="31" t="n">
        <v>5</v>
      </c>
      <c r="AH181" s="32" t="n">
        <v>70</v>
      </c>
      <c r="AI181" s="31" t="n">
        <v>68.40000000000001</v>
      </c>
      <c r="AJ181" s="31" t="n">
        <v>37</v>
      </c>
      <c r="AK181" s="31" t="n">
        <v>15</v>
      </c>
      <c r="AL181" s="30" t="inlineStr">
        <is>
          <t>T-0327</t>
        </is>
      </c>
      <c r="AM181" s="30" t="inlineStr">
        <is>
          <t>E-02-01</t>
        </is>
      </c>
      <c r="AN181" s="30" t="inlineStr">
        <is>
          <t>T-0073</t>
        </is>
      </c>
      <c r="AO181" s="30" t="inlineStr">
        <is>
          <t>E-06-01</t>
        </is>
      </c>
    </row>
    <row r="182">
      <c r="A182" s="30" t="inlineStr">
        <is>
          <t>O0181</t>
        </is>
      </c>
      <c r="B182" s="30" t="inlineStr">
        <is>
          <t>E</t>
        </is>
      </c>
      <c r="C182" s="31" t="n">
        <v>3576.7</v>
      </c>
      <c r="D182" s="31" t="n">
        <v>6669.9</v>
      </c>
      <c r="E182" s="31" t="n">
        <v>6693.4</v>
      </c>
      <c r="F182" s="31" t="n">
        <v>6707.3</v>
      </c>
      <c r="G182" s="31" t="n">
        <v>6734.8</v>
      </c>
      <c r="H182" s="31" t="n">
        <v>7317.1</v>
      </c>
      <c r="I182" s="31" t="n">
        <v>7331.2</v>
      </c>
      <c r="J182" s="31" t="n">
        <v>7363.6</v>
      </c>
      <c r="K182" s="31" t="n">
        <v>3786.9</v>
      </c>
      <c r="L182" s="31" t="n">
        <v>3093.2</v>
      </c>
      <c r="M182" s="30" t="inlineStr">
        <is>
          <t>AMR1</t>
        </is>
      </c>
      <c r="N182" s="30" t="inlineStr">
        <is>
          <t>AMR2</t>
        </is>
      </c>
      <c r="O182" s="32" t="n">
        <v>1</v>
      </c>
      <c r="P182" s="32" t="n">
        <v>25</v>
      </c>
      <c r="Q182" s="32" t="n">
        <v>0</v>
      </c>
      <c r="R182" s="31" t="n">
        <v>60.6</v>
      </c>
      <c r="S182" s="31" t="n">
        <v>60.6</v>
      </c>
      <c r="T182" s="30" t="inlineStr">
        <is>
          <t>AMR1</t>
        </is>
      </c>
      <c r="U182" s="31" t="n">
        <v>47.2</v>
      </c>
      <c r="V182" s="31" t="n">
        <v>47.2</v>
      </c>
      <c r="W182" s="30" t="inlineStr">
        <is>
          <t>AMR2</t>
        </is>
      </c>
      <c r="X182" s="32" t="n">
        <v>0</v>
      </c>
      <c r="Y182" s="32" t="n">
        <v>0</v>
      </c>
      <c r="Z182" s="31" t="n">
        <v>0</v>
      </c>
      <c r="AA182" s="32" t="n">
        <v>0</v>
      </c>
      <c r="AB182" s="32" t="n">
        <v>0</v>
      </c>
      <c r="AC182" s="32" t="n">
        <v>0</v>
      </c>
      <c r="AD182" s="32" t="n">
        <v>0</v>
      </c>
      <c r="AE182" s="31" t="n">
        <v>0</v>
      </c>
      <c r="AF182" s="32" t="n">
        <v>0</v>
      </c>
      <c r="AG182" s="31" t="n">
        <v>0</v>
      </c>
      <c r="AH182" s="32" t="n">
        <v>68</v>
      </c>
      <c r="AI182" s="31" t="n">
        <v>67.09999999999999</v>
      </c>
      <c r="AJ182" s="31" t="n">
        <v>44.3</v>
      </c>
      <c r="AK182" s="31" t="n">
        <v>0</v>
      </c>
      <c r="AL182" s="30" t="inlineStr">
        <is>
          <t>T-0334</t>
        </is>
      </c>
      <c r="AM182" s="30" t="inlineStr">
        <is>
          <t>E-06-01</t>
        </is>
      </c>
      <c r="AN182" s="30" t="inlineStr">
        <is>
          <t>T-0074</t>
        </is>
      </c>
      <c r="AO182" s="30" t="inlineStr">
        <is>
          <t>E-01-01</t>
        </is>
      </c>
    </row>
    <row r="183">
      <c r="A183" s="30" t="inlineStr">
        <is>
          <t>O0182</t>
        </is>
      </c>
      <c r="B183" s="30" t="inlineStr">
        <is>
          <t>F</t>
        </is>
      </c>
      <c r="C183" s="31" t="n">
        <v>3594.4</v>
      </c>
      <c r="D183" s="31" t="n">
        <v>6559.3</v>
      </c>
      <c r="E183" s="31" t="n">
        <v>6582.8</v>
      </c>
      <c r="F183" s="31" t="n">
        <v>6595.9</v>
      </c>
      <c r="G183" s="31" t="n">
        <v>6629</v>
      </c>
      <c r="H183" s="31" t="n">
        <v>7182.6</v>
      </c>
      <c r="I183" s="31" t="n">
        <v>7193</v>
      </c>
      <c r="J183" s="31" t="n">
        <v>7228.1</v>
      </c>
      <c r="K183" s="31" t="n">
        <v>3633.7</v>
      </c>
      <c r="L183" s="31" t="n">
        <v>2964.9</v>
      </c>
      <c r="M183" s="30" t="inlineStr">
        <is>
          <t>AMR1</t>
        </is>
      </c>
      <c r="N183" s="30" t="inlineStr">
        <is>
          <t>AMR1</t>
        </is>
      </c>
      <c r="O183" s="32" t="n">
        <v>1</v>
      </c>
      <c r="P183" s="32" t="n">
        <v>25</v>
      </c>
      <c r="Q183" s="32" t="n">
        <v>0</v>
      </c>
      <c r="R183" s="31" t="n">
        <v>66.3</v>
      </c>
      <c r="S183" s="31" t="n">
        <v>66.3</v>
      </c>
      <c r="T183" s="30" t="inlineStr">
        <is>
          <t>AMR1</t>
        </is>
      </c>
      <c r="U183" s="31" t="n">
        <v>43.7</v>
      </c>
      <c r="V183" s="31" t="n">
        <v>43.7</v>
      </c>
      <c r="W183" s="30" t="inlineStr">
        <is>
          <t>AMR1</t>
        </is>
      </c>
      <c r="X183" s="32" t="n">
        <v>0</v>
      </c>
      <c r="Y183" s="32" t="n">
        <v>0</v>
      </c>
      <c r="Z183" s="31" t="n">
        <v>0</v>
      </c>
      <c r="AA183" s="32" t="n">
        <v>0</v>
      </c>
      <c r="AB183" s="32" t="n">
        <v>0</v>
      </c>
      <c r="AC183" s="32" t="n">
        <v>0</v>
      </c>
      <c r="AD183" s="32" t="n">
        <v>0</v>
      </c>
      <c r="AE183" s="31" t="n">
        <v>0</v>
      </c>
      <c r="AF183" s="32" t="n">
        <v>0</v>
      </c>
      <c r="AG183" s="31" t="n">
        <v>0</v>
      </c>
      <c r="AH183" s="32" t="n">
        <v>73</v>
      </c>
      <c r="AI183" s="31" t="n">
        <v>72.40000000000001</v>
      </c>
      <c r="AJ183" s="31" t="n">
        <v>42.8</v>
      </c>
      <c r="AK183" s="31" t="n">
        <v>0</v>
      </c>
      <c r="AL183" s="30" t="inlineStr">
        <is>
          <t>T-0331</t>
        </is>
      </c>
      <c r="AM183" s="30" t="inlineStr">
        <is>
          <t>F-02-01</t>
        </is>
      </c>
      <c r="AN183" s="30" t="inlineStr">
        <is>
          <t>T-0173</t>
        </is>
      </c>
      <c r="AO183" s="30" t="inlineStr">
        <is>
          <t>F-01-01</t>
        </is>
      </c>
    </row>
    <row r="184">
      <c r="A184" s="30" t="inlineStr">
        <is>
          <t>O0183</t>
        </is>
      </c>
      <c r="B184" s="30" t="inlineStr">
        <is>
          <t>C</t>
        </is>
      </c>
      <c r="C184" s="31" t="n">
        <v>3610.2</v>
      </c>
      <c r="D184" s="31" t="n">
        <v>6475.7</v>
      </c>
      <c r="E184" s="31" t="n">
        <v>6505.2</v>
      </c>
      <c r="F184" s="31" t="n">
        <v>6518.1</v>
      </c>
      <c r="G184" s="31" t="n">
        <v>6537.9</v>
      </c>
      <c r="H184" s="31" t="n">
        <v>6872.2</v>
      </c>
      <c r="I184" s="31" t="n">
        <v>6883.2</v>
      </c>
      <c r="J184" s="31" t="n">
        <v>6918.9</v>
      </c>
      <c r="K184" s="31" t="n">
        <v>3308.7</v>
      </c>
      <c r="L184" s="31" t="n">
        <v>2865.5</v>
      </c>
      <c r="M184" s="30" t="inlineStr">
        <is>
          <t>AMR2</t>
        </is>
      </c>
      <c r="N184" s="30" t="inlineStr">
        <is>
          <t>AMR2</t>
        </is>
      </c>
      <c r="O184" s="32" t="n">
        <v>1</v>
      </c>
      <c r="P184" s="32" t="n">
        <v>25</v>
      </c>
      <c r="Q184" s="32" t="n">
        <v>1</v>
      </c>
      <c r="R184" s="31" t="n">
        <v>54.3</v>
      </c>
      <c r="S184" s="31" t="n">
        <v>54.3</v>
      </c>
      <c r="T184" s="30" t="inlineStr">
        <is>
          <t>AMR2</t>
        </is>
      </c>
      <c r="U184" s="31" t="n">
        <v>37.8</v>
      </c>
      <c r="V184" s="31" t="n">
        <v>37.8</v>
      </c>
      <c r="W184" s="30" t="inlineStr">
        <is>
          <t>AMR2</t>
        </is>
      </c>
      <c r="X184" s="32" t="n">
        <v>0</v>
      </c>
      <c r="Y184" s="32" t="n">
        <v>0</v>
      </c>
      <c r="Z184" s="31" t="n">
        <v>0</v>
      </c>
      <c r="AA184" s="32" t="n">
        <v>0</v>
      </c>
      <c r="AB184" s="32" t="n">
        <v>0</v>
      </c>
      <c r="AC184" s="32" t="n">
        <v>0</v>
      </c>
      <c r="AD184" s="32" t="n">
        <v>2</v>
      </c>
      <c r="AE184" s="31" t="n">
        <v>9.1</v>
      </c>
      <c r="AF184" s="32" t="n">
        <v>2</v>
      </c>
      <c r="AG184" s="31" t="n">
        <v>1.1</v>
      </c>
      <c r="AH184" s="32" t="n">
        <v>54</v>
      </c>
      <c r="AI184" s="31" t="n">
        <v>54.8</v>
      </c>
      <c r="AJ184" s="31" t="n">
        <v>39</v>
      </c>
      <c r="AK184" s="31" t="n">
        <v>15.1</v>
      </c>
      <c r="AL184" s="30" t="inlineStr">
        <is>
          <t>T-0329</t>
        </is>
      </c>
      <c r="AM184" s="30" t="inlineStr">
        <is>
          <t>C-05-03</t>
        </is>
      </c>
      <c r="AN184" s="30" t="inlineStr">
        <is>
          <t>T-0186</t>
        </is>
      </c>
      <c r="AO184" s="30" t="inlineStr">
        <is>
          <t>C-01-01</t>
        </is>
      </c>
    </row>
    <row r="185">
      <c r="A185" s="30" t="inlineStr">
        <is>
          <t>O0184</t>
        </is>
      </c>
      <c r="B185" s="30" t="inlineStr">
        <is>
          <t>C</t>
        </is>
      </c>
      <c r="C185" s="31" t="n">
        <v>3629.1</v>
      </c>
      <c r="D185" s="31" t="n">
        <v>6808.6</v>
      </c>
      <c r="E185" s="31" t="n">
        <v>6834.1</v>
      </c>
      <c r="F185" s="31" t="n">
        <v>6849.4</v>
      </c>
      <c r="G185" s="31" t="n">
        <v>6872.1</v>
      </c>
      <c r="H185" s="31" t="n">
        <v>7333.8</v>
      </c>
      <c r="I185" s="31" t="n">
        <v>7347.6</v>
      </c>
      <c r="J185" s="31" t="n">
        <v>7379.9</v>
      </c>
      <c r="K185" s="31" t="n">
        <v>3750.8</v>
      </c>
      <c r="L185" s="31" t="n">
        <v>3179.5</v>
      </c>
      <c r="M185" s="30" t="inlineStr">
        <is>
          <t>AMR2</t>
        </is>
      </c>
      <c r="N185" s="30" t="inlineStr">
        <is>
          <t>AMR3</t>
        </is>
      </c>
      <c r="O185" s="32" t="n">
        <v>1</v>
      </c>
      <c r="P185" s="32" t="n">
        <v>25</v>
      </c>
      <c r="Q185" s="32" t="n">
        <v>1</v>
      </c>
      <c r="R185" s="31" t="n">
        <v>59.6</v>
      </c>
      <c r="S185" s="31" t="n">
        <v>59.6</v>
      </c>
      <c r="T185" s="30" t="inlineStr">
        <is>
          <t>AMR2</t>
        </is>
      </c>
      <c r="U185" s="31" t="n">
        <v>41.3</v>
      </c>
      <c r="V185" s="31" t="n">
        <v>41.3</v>
      </c>
      <c r="W185" s="30" t="inlineStr">
        <is>
          <t>AMR3</t>
        </is>
      </c>
      <c r="X185" s="32" t="n">
        <v>0</v>
      </c>
      <c r="Y185" s="32" t="n">
        <v>0</v>
      </c>
      <c r="Z185" s="31" t="n">
        <v>0</v>
      </c>
      <c r="AA185" s="32" t="n">
        <v>0</v>
      </c>
      <c r="AB185" s="32" t="n">
        <v>0</v>
      </c>
      <c r="AC185" s="32" t="n">
        <v>0</v>
      </c>
      <c r="AD185" s="32" t="n">
        <v>1</v>
      </c>
      <c r="AE185" s="31" t="n">
        <v>5</v>
      </c>
      <c r="AF185" s="32" t="n">
        <v>0</v>
      </c>
      <c r="AG185" s="31" t="n">
        <v>0</v>
      </c>
      <c r="AH185" s="32" t="n">
        <v>54</v>
      </c>
      <c r="AI185" s="31" t="n">
        <v>54.8</v>
      </c>
      <c r="AJ185" s="31" t="n">
        <v>47.8</v>
      </c>
      <c r="AK185" s="31" t="n">
        <v>7</v>
      </c>
      <c r="AL185" s="30" t="inlineStr">
        <is>
          <t>T-0338</t>
        </is>
      </c>
      <c r="AM185" s="30" t="inlineStr">
        <is>
          <t>C-04-03</t>
        </is>
      </c>
      <c r="AN185" s="30" t="inlineStr">
        <is>
          <t>T-0187</t>
        </is>
      </c>
      <c r="AO185" s="30" t="inlineStr">
        <is>
          <t>C-05-01</t>
        </is>
      </c>
    </row>
    <row r="186">
      <c r="A186" s="30" t="inlineStr">
        <is>
          <t>O0185</t>
        </is>
      </c>
      <c r="B186" s="30" t="inlineStr">
        <is>
          <t>G</t>
        </is>
      </c>
      <c r="C186" s="31" t="n">
        <v>3646.2</v>
      </c>
      <c r="D186" s="31" t="n">
        <v>6618.7</v>
      </c>
      <c r="E186" s="31" t="n">
        <v>6642.2</v>
      </c>
      <c r="F186" s="31" t="n">
        <v>6657.9</v>
      </c>
      <c r="G186" s="31" t="n">
        <v>6682.3</v>
      </c>
      <c r="H186" s="31" t="n">
        <v>6682.4</v>
      </c>
      <c r="I186" s="31" t="n">
        <v>6690.6</v>
      </c>
      <c r="J186" s="31" t="n">
        <v>6723.8</v>
      </c>
      <c r="K186" s="31" t="n">
        <v>3077.6</v>
      </c>
      <c r="L186" s="31" t="n">
        <v>2972.5</v>
      </c>
      <c r="M186" s="30" t="inlineStr">
        <is>
          <t>AMR3</t>
        </is>
      </c>
      <c r="N186" s="30" t="inlineStr">
        <is>
          <t>AMR3</t>
        </is>
      </c>
      <c r="O186" s="32" t="n">
        <v>1</v>
      </c>
      <c r="P186" s="32" t="n">
        <v>25</v>
      </c>
      <c r="Q186" s="32" t="n">
        <v>1</v>
      </c>
      <c r="R186" s="31" t="n">
        <v>61.8</v>
      </c>
      <c r="S186" s="31" t="n">
        <v>61.8</v>
      </c>
      <c r="T186" s="30" t="inlineStr">
        <is>
          <t>AMR3</t>
        </is>
      </c>
      <c r="U186" s="31" t="n">
        <v>39.6</v>
      </c>
      <c r="V186" s="31" t="n">
        <v>39.6</v>
      </c>
      <c r="W186" s="30" t="inlineStr">
        <is>
          <t>AMR3</t>
        </is>
      </c>
      <c r="X186" s="32" t="n">
        <v>0</v>
      </c>
      <c r="Y186" s="32" t="n">
        <v>0</v>
      </c>
      <c r="Z186" s="31" t="n">
        <v>0</v>
      </c>
      <c r="AA186" s="32" t="n">
        <v>0</v>
      </c>
      <c r="AB186" s="32" t="n">
        <v>0</v>
      </c>
      <c r="AC186" s="32" t="n">
        <v>0</v>
      </c>
      <c r="AD186" s="32" t="n">
        <v>1</v>
      </c>
      <c r="AE186" s="31" t="n">
        <v>3</v>
      </c>
      <c r="AF186" s="32" t="n">
        <v>0</v>
      </c>
      <c r="AG186" s="31" t="n">
        <v>0</v>
      </c>
      <c r="AH186" s="32" t="n">
        <v>56</v>
      </c>
      <c r="AI186" s="31" t="n">
        <v>57.9</v>
      </c>
      <c r="AJ186" s="31" t="n">
        <v>44.1</v>
      </c>
      <c r="AK186" s="31" t="n">
        <v>3</v>
      </c>
      <c r="AL186" s="30" t="inlineStr">
        <is>
          <t>T-0333</t>
        </is>
      </c>
      <c r="AM186" s="30" t="inlineStr">
        <is>
          <t>G-04-03</t>
        </is>
      </c>
      <c r="AN186" s="30" t="inlineStr">
        <is>
          <t>T-0103</t>
        </is>
      </c>
      <c r="AO186" s="30" t="inlineStr">
        <is>
          <t>G-05-01</t>
        </is>
      </c>
    </row>
    <row r="187">
      <c r="A187" s="30" t="inlineStr">
        <is>
          <t>O0186</t>
        </is>
      </c>
      <c r="B187" s="30" t="inlineStr">
        <is>
          <t>H</t>
        </is>
      </c>
      <c r="C187" s="31" t="n">
        <v>3664.5</v>
      </c>
      <c r="D187" s="31" t="n">
        <v>6579.6</v>
      </c>
      <c r="E187" s="31" t="n">
        <v>6607.1</v>
      </c>
      <c r="F187" s="31" t="n">
        <v>6620.2</v>
      </c>
      <c r="G187" s="31" t="n">
        <v>6644.5</v>
      </c>
      <c r="H187" s="31" t="n">
        <v>6644.6</v>
      </c>
      <c r="I187" s="31" t="n">
        <v>6655.6</v>
      </c>
      <c r="J187" s="31" t="n">
        <v>6688.6</v>
      </c>
      <c r="K187" s="31" t="n">
        <v>3024.1</v>
      </c>
      <c r="L187" s="31" t="n">
        <v>2915.1</v>
      </c>
      <c r="M187" s="30" t="inlineStr">
        <is>
          <t>AMR2</t>
        </is>
      </c>
      <c r="N187" s="30" t="inlineStr">
        <is>
          <t>AMR2</t>
        </is>
      </c>
      <c r="O187" s="32" t="n">
        <v>1</v>
      </c>
      <c r="P187" s="32" t="n">
        <v>25</v>
      </c>
      <c r="Q187" s="32" t="n">
        <v>1</v>
      </c>
      <c r="R187" s="31" t="n">
        <v>59.1</v>
      </c>
      <c r="S187" s="31" t="n">
        <v>59.1</v>
      </c>
      <c r="T187" s="30" t="inlineStr">
        <is>
          <t>AMR2</t>
        </is>
      </c>
      <c r="U187" s="31" t="n">
        <v>38.7</v>
      </c>
      <c r="V187" s="31" t="n">
        <v>38.7</v>
      </c>
      <c r="W187" s="30" t="inlineStr">
        <is>
          <t>AMR2</t>
        </is>
      </c>
      <c r="X187" s="32" t="n">
        <v>0</v>
      </c>
      <c r="Y187" s="32" t="n">
        <v>0</v>
      </c>
      <c r="Z187" s="31" t="n">
        <v>0</v>
      </c>
      <c r="AA187" s="32" t="n">
        <v>0</v>
      </c>
      <c r="AB187" s="32" t="n">
        <v>0</v>
      </c>
      <c r="AC187" s="32" t="n">
        <v>0</v>
      </c>
      <c r="AD187" s="32" t="n">
        <v>1</v>
      </c>
      <c r="AE187" s="31" t="n">
        <v>6</v>
      </c>
      <c r="AF187" s="32" t="n">
        <v>1</v>
      </c>
      <c r="AG187" s="31" t="n">
        <v>1</v>
      </c>
      <c r="AH187" s="32" t="n">
        <v>52</v>
      </c>
      <c r="AI187" s="31" t="n">
        <v>54.7</v>
      </c>
      <c r="AJ187" s="31" t="n">
        <v>44.2</v>
      </c>
      <c r="AK187" s="31" t="n">
        <v>10</v>
      </c>
      <c r="AL187" s="30" t="inlineStr">
        <is>
          <t>T-0332</t>
        </is>
      </c>
      <c r="AM187" s="30" t="inlineStr">
        <is>
          <t>H-04-03</t>
        </is>
      </c>
      <c r="AN187" s="30" t="inlineStr">
        <is>
          <t>T-0160</t>
        </is>
      </c>
      <c r="AO187" s="30" t="inlineStr">
        <is>
          <t>H-04-01</t>
        </is>
      </c>
    </row>
    <row r="188">
      <c r="A188" s="30" t="inlineStr">
        <is>
          <t>O0187</t>
        </is>
      </c>
      <c r="B188" s="30" t="inlineStr">
        <is>
          <t>G</t>
        </is>
      </c>
      <c r="C188" s="31" t="n">
        <v>3680.1</v>
      </c>
      <c r="D188" s="31" t="n">
        <v>7150.7</v>
      </c>
      <c r="E188" s="31" t="n">
        <v>7172.7</v>
      </c>
      <c r="F188" s="31" t="n">
        <v>7188.4</v>
      </c>
      <c r="G188" s="31" t="n">
        <v>7214.1</v>
      </c>
      <c r="H188" s="31" t="n">
        <v>7214.2</v>
      </c>
      <c r="I188" s="31" t="n">
        <v>7230.4</v>
      </c>
      <c r="J188" s="31" t="n">
        <v>7263</v>
      </c>
      <c r="K188" s="31" t="n">
        <v>3582.9</v>
      </c>
      <c r="L188" s="31" t="n">
        <v>3470.6</v>
      </c>
      <c r="M188" s="30" t="inlineStr">
        <is>
          <t>AMR3</t>
        </is>
      </c>
      <c r="N188" s="30" t="inlineStr">
        <is>
          <t>AMR3</t>
        </is>
      </c>
      <c r="O188" s="32" t="n">
        <v>1</v>
      </c>
      <c r="P188" s="32" t="n">
        <v>12</v>
      </c>
      <c r="Q188" s="32" t="n">
        <v>2</v>
      </c>
      <c r="R188" s="31" t="n">
        <v>53.6</v>
      </c>
      <c r="S188" s="31" t="n">
        <v>53.6</v>
      </c>
      <c r="T188" s="30" t="inlineStr">
        <is>
          <t>AMR3</t>
        </is>
      </c>
      <c r="U188" s="31" t="n">
        <v>40.4</v>
      </c>
      <c r="V188" s="31" t="n">
        <v>40.4</v>
      </c>
      <c r="W188" s="30" t="inlineStr">
        <is>
          <t>AMR3</t>
        </is>
      </c>
      <c r="X188" s="32" t="n">
        <v>0</v>
      </c>
      <c r="Y188" s="32" t="n">
        <v>0</v>
      </c>
      <c r="Z188" s="31" t="n">
        <v>0</v>
      </c>
      <c r="AA188" s="32" t="n">
        <v>0</v>
      </c>
      <c r="AB188" s="32" t="n">
        <v>0</v>
      </c>
      <c r="AC188" s="32" t="n">
        <v>0</v>
      </c>
      <c r="AD188" s="32" t="n">
        <v>2</v>
      </c>
      <c r="AE188" s="31" t="n">
        <v>5.6</v>
      </c>
      <c r="AF188" s="32" t="n">
        <v>1</v>
      </c>
      <c r="AG188" s="31" t="n">
        <v>5</v>
      </c>
      <c r="AH188" s="32" t="n">
        <v>47</v>
      </c>
      <c r="AI188" s="31" t="n">
        <v>50.3</v>
      </c>
      <c r="AJ188" s="31" t="n">
        <v>46.3</v>
      </c>
      <c r="AK188" s="31" t="n">
        <v>15.6</v>
      </c>
      <c r="AL188" s="30" t="inlineStr">
        <is>
          <t>T-0348</t>
        </is>
      </c>
      <c r="AM188" s="30" t="inlineStr">
        <is>
          <t>G-06-01</t>
        </is>
      </c>
      <c r="AN188" s="30" t="inlineStr">
        <is>
          <t>T-0105</t>
        </is>
      </c>
      <c r="AO188" s="30" t="inlineStr">
        <is>
          <t>G-01-01</t>
        </is>
      </c>
    </row>
    <row r="189">
      <c r="A189" s="30" t="inlineStr">
        <is>
          <t>O0188</t>
        </is>
      </c>
      <c r="B189" s="30" t="inlineStr">
        <is>
          <t>J</t>
        </is>
      </c>
      <c r="C189" s="31" t="n">
        <v>3704.2</v>
      </c>
      <c r="D189" s="31" t="n">
        <v>6983.5</v>
      </c>
      <c r="E189" s="31" t="n">
        <v>7007</v>
      </c>
      <c r="F189" s="31" t="n">
        <v>7020.8</v>
      </c>
      <c r="G189" s="31" t="n">
        <v>7049.6</v>
      </c>
      <c r="H189" s="31" t="n">
        <v>7556.3</v>
      </c>
      <c r="I189" s="31" t="n">
        <v>7568.3</v>
      </c>
      <c r="J189" s="31" t="n">
        <v>7601.1</v>
      </c>
      <c r="K189" s="31" t="n">
        <v>3896.9</v>
      </c>
      <c r="L189" s="31" t="n">
        <v>3279.3</v>
      </c>
      <c r="M189" s="30" t="inlineStr">
        <is>
          <t>AMR3</t>
        </is>
      </c>
      <c r="N189" s="30" t="inlineStr">
        <is>
          <t>AMR3</t>
        </is>
      </c>
      <c r="O189" s="32" t="n">
        <v>1</v>
      </c>
      <c r="P189" s="32" t="n">
        <v>25</v>
      </c>
      <c r="Q189" s="32" t="n">
        <v>2</v>
      </c>
      <c r="R189" s="31" t="n">
        <v>64.3</v>
      </c>
      <c r="S189" s="31" t="n">
        <v>64.3</v>
      </c>
      <c r="T189" s="30" t="inlineStr">
        <is>
          <t>AMR3</t>
        </is>
      </c>
      <c r="U189" s="31" t="n">
        <v>45.5</v>
      </c>
      <c r="V189" s="31" t="n">
        <v>45.5</v>
      </c>
      <c r="W189" s="30" t="inlineStr">
        <is>
          <t>AMR3</t>
        </is>
      </c>
      <c r="X189" s="32" t="n">
        <v>0</v>
      </c>
      <c r="Y189" s="32" t="n">
        <v>0</v>
      </c>
      <c r="Z189" s="31" t="n">
        <v>0</v>
      </c>
      <c r="AA189" s="32" t="n">
        <v>0</v>
      </c>
      <c r="AB189" s="32" t="n">
        <v>0</v>
      </c>
      <c r="AC189" s="32" t="n">
        <v>0</v>
      </c>
      <c r="AD189" s="32" t="n">
        <v>0</v>
      </c>
      <c r="AE189" s="31" t="n">
        <v>0</v>
      </c>
      <c r="AF189" s="32" t="n">
        <v>0</v>
      </c>
      <c r="AG189" s="31" t="n">
        <v>0</v>
      </c>
      <c r="AH189" s="32" t="n">
        <v>67</v>
      </c>
      <c r="AI189" s="31" t="n">
        <v>66.5</v>
      </c>
      <c r="AJ189" s="31" t="n">
        <v>44.4</v>
      </c>
      <c r="AK189" s="31" t="n">
        <v>0</v>
      </c>
      <c r="AL189" s="30" t="inlineStr">
        <is>
          <t>T-0342</t>
        </is>
      </c>
      <c r="AM189" s="30" t="inlineStr">
        <is>
          <t>J-01-03</t>
        </is>
      </c>
      <c r="AN189" s="30" t="inlineStr">
        <is>
          <t>T-0150</t>
        </is>
      </c>
      <c r="AO189" s="30" t="inlineStr">
        <is>
          <t>J-01-04</t>
        </is>
      </c>
    </row>
    <row r="190">
      <c r="A190" s="30" t="inlineStr">
        <is>
          <t>O0189</t>
        </is>
      </c>
      <c r="B190" s="30" t="inlineStr">
        <is>
          <t>J</t>
        </is>
      </c>
      <c r="C190" s="31" t="n">
        <v>3719.4</v>
      </c>
      <c r="D190" s="31" t="n">
        <v>6688.7</v>
      </c>
      <c r="E190" s="31" t="n">
        <v>6717.2</v>
      </c>
      <c r="F190" s="31" t="n">
        <v>6728.6</v>
      </c>
      <c r="G190" s="31" t="n">
        <v>6756.8</v>
      </c>
      <c r="H190" s="31" t="n">
        <v>7049.7</v>
      </c>
      <c r="I190" s="31" t="n">
        <v>7061.3</v>
      </c>
      <c r="J190" s="31" t="n">
        <v>7096.2</v>
      </c>
      <c r="K190" s="31" t="n">
        <v>3376.8</v>
      </c>
      <c r="L190" s="31" t="n">
        <v>2969.3</v>
      </c>
      <c r="M190" s="30" t="inlineStr">
        <is>
          <t>AMR2</t>
        </is>
      </c>
      <c r="N190" s="30" t="inlineStr">
        <is>
          <t>AMR3</t>
        </is>
      </c>
      <c r="O190" s="32" t="n">
        <v>1</v>
      </c>
      <c r="P190" s="32" t="n">
        <v>25</v>
      </c>
      <c r="Q190" s="32" t="n">
        <v>1</v>
      </c>
      <c r="R190" s="31" t="n">
        <v>59.7</v>
      </c>
      <c r="S190" s="31" t="n">
        <v>59.7</v>
      </c>
      <c r="T190" s="30" t="inlineStr">
        <is>
          <t>AMR2</t>
        </is>
      </c>
      <c r="U190" s="31" t="n">
        <v>43.2</v>
      </c>
      <c r="V190" s="31" t="n">
        <v>43.2</v>
      </c>
      <c r="W190" s="30" t="inlineStr">
        <is>
          <t>AMR3</t>
        </is>
      </c>
      <c r="X190" s="32" t="n">
        <v>0</v>
      </c>
      <c r="Y190" s="32" t="n">
        <v>0</v>
      </c>
      <c r="Z190" s="31" t="n">
        <v>0</v>
      </c>
      <c r="AA190" s="32" t="n">
        <v>0</v>
      </c>
      <c r="AB190" s="32" t="n">
        <v>0</v>
      </c>
      <c r="AC190" s="32" t="n">
        <v>0</v>
      </c>
      <c r="AD190" s="32" t="n">
        <v>0</v>
      </c>
      <c r="AE190" s="31" t="n">
        <v>0</v>
      </c>
      <c r="AF190" s="32" t="n">
        <v>0</v>
      </c>
      <c r="AG190" s="31" t="n">
        <v>0</v>
      </c>
      <c r="AH190" s="32" t="n">
        <v>72</v>
      </c>
      <c r="AI190" s="31" t="n">
        <v>71.40000000000001</v>
      </c>
      <c r="AJ190" s="31" t="n">
        <v>38.2</v>
      </c>
      <c r="AK190" s="31" t="n">
        <v>5</v>
      </c>
      <c r="AL190" s="30" t="inlineStr">
        <is>
          <t>T-0335</t>
        </is>
      </c>
      <c r="AM190" s="30" t="inlineStr">
        <is>
          <t>J-04-03</t>
        </is>
      </c>
      <c r="AN190" s="30" t="inlineStr">
        <is>
          <t>T-0149</t>
        </is>
      </c>
      <c r="AO190" s="30" t="inlineStr">
        <is>
          <t>J-06-02</t>
        </is>
      </c>
    </row>
    <row r="191">
      <c r="A191" s="30" t="inlineStr">
        <is>
          <t>O0190</t>
        </is>
      </c>
      <c r="B191" s="30" t="inlineStr">
        <is>
          <t>F</t>
        </is>
      </c>
      <c r="C191" s="31" t="n">
        <v>3739.2</v>
      </c>
      <c r="D191" s="31" t="n">
        <v>7115.8</v>
      </c>
      <c r="E191" s="31" t="n">
        <v>7136.2</v>
      </c>
      <c r="F191" s="31" t="n">
        <v>7151</v>
      </c>
      <c r="G191" s="31" t="n">
        <v>7182.5</v>
      </c>
      <c r="H191" s="31" t="n">
        <v>7780.5</v>
      </c>
      <c r="I191" s="31" t="n">
        <v>7792.9</v>
      </c>
      <c r="J191" s="31" t="n">
        <v>7825.8</v>
      </c>
      <c r="K191" s="31" t="n">
        <v>4086.6</v>
      </c>
      <c r="L191" s="31" t="n">
        <v>3376.6</v>
      </c>
      <c r="M191" s="30" t="inlineStr">
        <is>
          <t>AMR1</t>
        </is>
      </c>
      <c r="N191" s="30" t="inlineStr">
        <is>
          <t>AMR3</t>
        </is>
      </c>
      <c r="O191" s="32" t="n">
        <v>1</v>
      </c>
      <c r="P191" s="32" t="n">
        <v>16</v>
      </c>
      <c r="Q191" s="32" t="n">
        <v>1</v>
      </c>
      <c r="R191" s="31" t="n">
        <v>59.7</v>
      </c>
      <c r="S191" s="31" t="n">
        <v>59.7</v>
      </c>
      <c r="T191" s="30" t="inlineStr">
        <is>
          <t>AMR1</t>
        </is>
      </c>
      <c r="U191" s="31" t="n">
        <v>46</v>
      </c>
      <c r="V191" s="31" t="n">
        <v>46</v>
      </c>
      <c r="W191" s="30" t="inlineStr">
        <is>
          <t>AMR3</t>
        </is>
      </c>
      <c r="X191" s="32" t="n">
        <v>0</v>
      </c>
      <c r="Y191" s="32" t="n">
        <v>0</v>
      </c>
      <c r="Z191" s="31" t="n">
        <v>0</v>
      </c>
      <c r="AA191" s="32" t="n">
        <v>0</v>
      </c>
      <c r="AB191" s="32" t="n">
        <v>0</v>
      </c>
      <c r="AC191" s="32" t="n">
        <v>0</v>
      </c>
      <c r="AD191" s="32" t="n">
        <v>0</v>
      </c>
      <c r="AE191" s="31" t="n">
        <v>0</v>
      </c>
      <c r="AF191" s="32" t="n">
        <v>0</v>
      </c>
      <c r="AG191" s="31" t="n">
        <v>0</v>
      </c>
      <c r="AH191" s="32" t="n">
        <v>62</v>
      </c>
      <c r="AI191" s="31" t="n">
        <v>61.7</v>
      </c>
      <c r="AJ191" s="31" t="n">
        <v>45.3</v>
      </c>
      <c r="AK191" s="31" t="n">
        <v>5</v>
      </c>
      <c r="AL191" s="30" t="inlineStr">
        <is>
          <t>T-0346</t>
        </is>
      </c>
      <c r="AM191" s="30" t="inlineStr">
        <is>
          <t>F-03-01</t>
        </is>
      </c>
      <c r="AN191" s="30" t="inlineStr">
        <is>
          <t>T-0180</t>
        </is>
      </c>
      <c r="AO191" s="30" t="inlineStr">
        <is>
          <t>F-05-01</t>
        </is>
      </c>
    </row>
    <row r="192">
      <c r="A192" s="30" t="inlineStr">
        <is>
          <t>O0191</t>
        </is>
      </c>
      <c r="B192" s="30" t="inlineStr">
        <is>
          <t>G</t>
        </is>
      </c>
      <c r="C192" s="31" t="n">
        <v>3761.7</v>
      </c>
      <c r="D192" s="31" t="n">
        <v>6786.9</v>
      </c>
      <c r="E192" s="31" t="n">
        <v>6810.4</v>
      </c>
      <c r="F192" s="31" t="n">
        <v>6821.5</v>
      </c>
      <c r="G192" s="31" t="n">
        <v>6848.4</v>
      </c>
      <c r="H192" s="31" t="n">
        <v>6992.8</v>
      </c>
      <c r="I192" s="31" t="n">
        <v>7004.9</v>
      </c>
      <c r="J192" s="31" t="n">
        <v>7029.6</v>
      </c>
      <c r="K192" s="31" t="n">
        <v>3267.9</v>
      </c>
      <c r="L192" s="31" t="n">
        <v>3025.2</v>
      </c>
      <c r="M192" s="30" t="inlineStr">
        <is>
          <t>AMR1</t>
        </is>
      </c>
      <c r="N192" s="30" t="inlineStr">
        <is>
          <t>AMR2</t>
        </is>
      </c>
      <c r="O192" s="32" t="n">
        <v>1</v>
      </c>
      <c r="P192" s="32" t="n">
        <v>25</v>
      </c>
      <c r="Q192" s="32" t="n">
        <v>1</v>
      </c>
      <c r="R192" s="31" t="n">
        <v>59.7</v>
      </c>
      <c r="S192" s="31" t="n">
        <v>59.7</v>
      </c>
      <c r="T192" s="30" t="inlineStr">
        <is>
          <t>AMR1</t>
        </is>
      </c>
      <c r="U192" s="31" t="n">
        <v>38</v>
      </c>
      <c r="V192" s="31" t="n">
        <v>38</v>
      </c>
      <c r="W192" s="30" t="inlineStr">
        <is>
          <t>AMR2</t>
        </is>
      </c>
      <c r="X192" s="32" t="n">
        <v>0</v>
      </c>
      <c r="Y192" s="32" t="n">
        <v>0</v>
      </c>
      <c r="Z192" s="31" t="n">
        <v>0</v>
      </c>
      <c r="AA192" s="32" t="n">
        <v>0</v>
      </c>
      <c r="AB192" s="32" t="n">
        <v>0</v>
      </c>
      <c r="AC192" s="32" t="n">
        <v>0</v>
      </c>
      <c r="AD192" s="32" t="n">
        <v>0</v>
      </c>
      <c r="AE192" s="31" t="n">
        <v>0</v>
      </c>
      <c r="AF192" s="32" t="n">
        <v>0</v>
      </c>
      <c r="AG192" s="31" t="n">
        <v>0</v>
      </c>
      <c r="AH192" s="32" t="n">
        <v>56</v>
      </c>
      <c r="AI192" s="31" t="n">
        <v>57.9</v>
      </c>
      <c r="AJ192" s="31" t="n">
        <v>40.4</v>
      </c>
      <c r="AK192" s="31" t="n">
        <v>0</v>
      </c>
      <c r="AL192" s="30" t="inlineStr">
        <is>
          <t>T-0337</t>
        </is>
      </c>
      <c r="AM192" s="30" t="inlineStr">
        <is>
          <t>G-05-01</t>
        </is>
      </c>
      <c r="AN192" s="30" t="inlineStr">
        <is>
          <t>T-0104</t>
        </is>
      </c>
      <c r="AO192" s="30" t="inlineStr">
        <is>
          <t>G-06-01</t>
        </is>
      </c>
    </row>
    <row r="193">
      <c r="A193" s="30" t="inlineStr">
        <is>
          <t>O0192</t>
        </is>
      </c>
      <c r="B193" s="30" t="inlineStr">
        <is>
          <t>I</t>
        </is>
      </c>
      <c r="C193" s="31" t="n">
        <v>3784.2</v>
      </c>
      <c r="D193" s="31" t="n">
        <v>6882</v>
      </c>
      <c r="E193" s="31" t="n">
        <v>6905.5</v>
      </c>
      <c r="F193" s="31" t="n">
        <v>6918.6</v>
      </c>
      <c r="G193" s="31" t="n">
        <v>6944.5</v>
      </c>
      <c r="H193" s="31" t="n">
        <v>6944.6</v>
      </c>
      <c r="I193" s="31" t="n">
        <v>6956.4</v>
      </c>
      <c r="J193" s="31" t="n">
        <v>6983.4</v>
      </c>
      <c r="K193" s="31" t="n">
        <v>3199.2</v>
      </c>
      <c r="L193" s="31" t="n">
        <v>3097.8</v>
      </c>
      <c r="M193" s="30" t="inlineStr">
        <is>
          <t>AMR3</t>
        </is>
      </c>
      <c r="N193" s="30" t="inlineStr">
        <is>
          <t>AMR3</t>
        </is>
      </c>
      <c r="O193" s="32" t="n">
        <v>1</v>
      </c>
      <c r="P193" s="32" t="n">
        <v>25</v>
      </c>
      <c r="Q193" s="32" t="n">
        <v>1</v>
      </c>
      <c r="R193" s="31" t="n">
        <v>60.7</v>
      </c>
      <c r="S193" s="31" t="n">
        <v>60.7</v>
      </c>
      <c r="T193" s="30" t="inlineStr">
        <is>
          <t>AMR3</t>
        </is>
      </c>
      <c r="U193" s="31" t="n">
        <v>36</v>
      </c>
      <c r="V193" s="31" t="n">
        <v>36</v>
      </c>
      <c r="W193" s="30" t="inlineStr">
        <is>
          <t>AMR3</t>
        </is>
      </c>
      <c r="X193" s="32" t="n">
        <v>0</v>
      </c>
      <c r="Y193" s="32" t="n">
        <v>0</v>
      </c>
      <c r="Z193" s="31" t="n">
        <v>0</v>
      </c>
      <c r="AA193" s="32" t="n">
        <v>0</v>
      </c>
      <c r="AB193" s="32" t="n">
        <v>0</v>
      </c>
      <c r="AC193" s="32" t="n">
        <v>0</v>
      </c>
      <c r="AD193" s="32" t="n">
        <v>0</v>
      </c>
      <c r="AE193" s="31" t="n">
        <v>0</v>
      </c>
      <c r="AF193" s="32" t="n">
        <v>0</v>
      </c>
      <c r="AG193" s="31" t="n">
        <v>0</v>
      </c>
      <c r="AH193" s="32" t="n">
        <v>56</v>
      </c>
      <c r="AI193" s="31" t="n">
        <v>58.7</v>
      </c>
      <c r="AJ193" s="31" t="n">
        <v>42.6</v>
      </c>
      <c r="AK193" s="31" t="n">
        <v>0</v>
      </c>
      <c r="AL193" s="30" t="inlineStr">
        <is>
          <t>T-0339</t>
        </is>
      </c>
      <c r="AM193" s="30" t="inlineStr">
        <is>
          <t>I-01-01</t>
        </is>
      </c>
      <c r="AN193" s="30" t="inlineStr">
        <is>
          <t>T-0261</t>
        </is>
      </c>
      <c r="AO193" s="30" t="inlineStr">
        <is>
          <t>I-04-01</t>
        </is>
      </c>
    </row>
    <row r="194">
      <c r="A194" s="30" t="inlineStr">
        <is>
          <t>O0193</t>
        </is>
      </c>
      <c r="B194" s="30" t="inlineStr">
        <is>
          <t>H</t>
        </is>
      </c>
      <c r="C194" s="31" t="n">
        <v>3808.2</v>
      </c>
      <c r="D194" s="31" t="n">
        <v>6898.7</v>
      </c>
      <c r="E194" s="31" t="n">
        <v>6929.2</v>
      </c>
      <c r="F194" s="31" t="n">
        <v>6942.1</v>
      </c>
      <c r="G194" s="31" t="n">
        <v>6965.4</v>
      </c>
      <c r="H194" s="31" t="n">
        <v>6965.5</v>
      </c>
      <c r="I194" s="31" t="n">
        <v>6976.1</v>
      </c>
      <c r="J194" s="31" t="n">
        <v>6999.1</v>
      </c>
      <c r="K194" s="31" t="n">
        <v>3190.9</v>
      </c>
      <c r="L194" s="31" t="n">
        <v>3090.5</v>
      </c>
      <c r="M194" s="30" t="inlineStr">
        <is>
          <t>AMR1</t>
        </is>
      </c>
      <c r="N194" s="30" t="inlineStr">
        <is>
          <t>AMR1</t>
        </is>
      </c>
      <c r="O194" s="32" t="n">
        <v>1</v>
      </c>
      <c r="P194" s="32" t="n">
        <v>25</v>
      </c>
      <c r="Q194" s="32" t="n">
        <v>1</v>
      </c>
      <c r="R194" s="31" t="n">
        <v>57.9</v>
      </c>
      <c r="S194" s="31" t="n">
        <v>57.9</v>
      </c>
      <c r="T194" s="30" t="inlineStr">
        <is>
          <t>AMR1</t>
        </is>
      </c>
      <c r="U194" s="31" t="n">
        <v>34.3</v>
      </c>
      <c r="V194" s="31" t="n">
        <v>34.3</v>
      </c>
      <c r="W194" s="30" t="inlineStr">
        <is>
          <t>AMR1</t>
        </is>
      </c>
      <c r="X194" s="32" t="n">
        <v>0</v>
      </c>
      <c r="Y194" s="32" t="n">
        <v>0</v>
      </c>
      <c r="Z194" s="31" t="n">
        <v>0</v>
      </c>
      <c r="AA194" s="32" t="n">
        <v>0</v>
      </c>
      <c r="AB194" s="32" t="n">
        <v>0</v>
      </c>
      <c r="AC194" s="32" t="n">
        <v>0</v>
      </c>
      <c r="AD194" s="32" t="n">
        <v>0</v>
      </c>
      <c r="AE194" s="31" t="n">
        <v>0</v>
      </c>
      <c r="AF194" s="32" t="n">
        <v>1</v>
      </c>
      <c r="AG194" s="31" t="n">
        <v>2</v>
      </c>
      <c r="AH194" s="32" t="n">
        <v>52</v>
      </c>
      <c r="AI194" s="31" t="n">
        <v>54.7</v>
      </c>
      <c r="AJ194" s="31" t="n">
        <v>38.6</v>
      </c>
      <c r="AK194" s="31" t="n">
        <v>7</v>
      </c>
      <c r="AL194" s="30" t="inlineStr">
        <is>
          <t>T-0340</t>
        </is>
      </c>
      <c r="AM194" s="30" t="inlineStr">
        <is>
          <t>H-04-01</t>
        </is>
      </c>
      <c r="AN194" s="30" t="inlineStr">
        <is>
          <t>T-0178</t>
        </is>
      </c>
      <c r="AO194" s="30" t="inlineStr">
        <is>
          <t>H-05-01</t>
        </is>
      </c>
    </row>
    <row r="195">
      <c r="A195" s="30" t="inlineStr">
        <is>
          <t>O0194</t>
        </is>
      </c>
      <c r="B195" s="30" t="inlineStr">
        <is>
          <t>H</t>
        </is>
      </c>
      <c r="C195" s="31" t="n">
        <v>3825.9</v>
      </c>
      <c r="D195" s="31" t="n">
        <v>7029.7</v>
      </c>
      <c r="E195" s="31" t="n">
        <v>7053.2</v>
      </c>
      <c r="F195" s="31" t="n">
        <v>7067.7</v>
      </c>
      <c r="G195" s="31" t="n">
        <v>7093</v>
      </c>
      <c r="H195" s="31" t="n">
        <v>7093.1</v>
      </c>
      <c r="I195" s="31" t="n">
        <v>7107.4</v>
      </c>
      <c r="J195" s="31" t="n">
        <v>7134.9</v>
      </c>
      <c r="K195" s="31" t="n">
        <v>3309</v>
      </c>
      <c r="L195" s="31" t="n">
        <v>3203.8</v>
      </c>
      <c r="M195" s="30" t="inlineStr">
        <is>
          <t>AMR2</t>
        </is>
      </c>
      <c r="N195" s="30" t="inlineStr">
        <is>
          <t>AMR2</t>
        </is>
      </c>
      <c r="O195" s="32" t="n">
        <v>1</v>
      </c>
      <c r="P195" s="32" t="n">
        <v>25</v>
      </c>
      <c r="Q195" s="32" t="n">
        <v>1</v>
      </c>
      <c r="R195" s="31" t="n">
        <v>61.5</v>
      </c>
      <c r="S195" s="31" t="n">
        <v>61.5</v>
      </c>
      <c r="T195" s="30" t="inlineStr">
        <is>
          <t>AMR2</t>
        </is>
      </c>
      <c r="U195" s="31" t="n">
        <v>41</v>
      </c>
      <c r="V195" s="31" t="n">
        <v>41</v>
      </c>
      <c r="W195" s="30" t="inlineStr">
        <is>
          <t>AMR2</t>
        </is>
      </c>
      <c r="X195" s="32" t="n">
        <v>0</v>
      </c>
      <c r="Y195" s="32" t="n">
        <v>0</v>
      </c>
      <c r="Z195" s="31" t="n">
        <v>0</v>
      </c>
      <c r="AA195" s="32" t="n">
        <v>0</v>
      </c>
      <c r="AB195" s="32" t="n">
        <v>0</v>
      </c>
      <c r="AC195" s="32" t="n">
        <v>0</v>
      </c>
      <c r="AD195" s="32" t="n">
        <v>0</v>
      </c>
      <c r="AE195" s="31" t="n">
        <v>0</v>
      </c>
      <c r="AF195" s="32" t="n">
        <v>0</v>
      </c>
      <c r="AG195" s="31" t="n">
        <v>0</v>
      </c>
      <c r="AH195" s="32" t="n">
        <v>54</v>
      </c>
      <c r="AI195" s="31" t="n">
        <v>56.2</v>
      </c>
      <c r="AJ195" s="31" t="n">
        <v>48.9</v>
      </c>
      <c r="AK195" s="31" t="n">
        <v>0</v>
      </c>
      <c r="AL195" s="30" t="inlineStr">
        <is>
          <t>T-0343</t>
        </is>
      </c>
      <c r="AM195" s="30" t="inlineStr">
        <is>
          <t>H-05-01</t>
        </is>
      </c>
      <c r="AN195" s="30" t="inlineStr">
        <is>
          <t>T-0190</t>
        </is>
      </c>
      <c r="AO195" s="30" t="inlineStr">
        <is>
          <t>H-02-02</t>
        </is>
      </c>
    </row>
    <row r="196">
      <c r="A196" s="30" t="inlineStr">
        <is>
          <t>O0195</t>
        </is>
      </c>
      <c r="B196" s="30" t="inlineStr">
        <is>
          <t>G</t>
        </is>
      </c>
      <c r="C196" s="31" t="n">
        <v>3844.8</v>
      </c>
      <c r="D196" s="31" t="n">
        <v>6919</v>
      </c>
      <c r="E196" s="31" t="n">
        <v>6953.5</v>
      </c>
      <c r="F196" s="31" t="n">
        <v>6968</v>
      </c>
      <c r="G196" s="31" t="n">
        <v>6992.7</v>
      </c>
      <c r="H196" s="31" t="n">
        <v>7581.7</v>
      </c>
      <c r="I196" s="31" t="n">
        <v>7595.4</v>
      </c>
      <c r="J196" s="31" t="n">
        <v>7624.4</v>
      </c>
      <c r="K196" s="31" t="n">
        <v>3779.6</v>
      </c>
      <c r="L196" s="31" t="n">
        <v>3074.2</v>
      </c>
      <c r="M196" s="30" t="inlineStr">
        <is>
          <t>AMR2</t>
        </is>
      </c>
      <c r="N196" s="30" t="inlineStr">
        <is>
          <t>AMR2</t>
        </is>
      </c>
      <c r="O196" s="32" t="n">
        <v>1</v>
      </c>
      <c r="P196" s="32" t="n">
        <v>25</v>
      </c>
      <c r="Q196" s="32" t="n">
        <v>1</v>
      </c>
      <c r="R196" s="31" t="n">
        <v>60.9</v>
      </c>
      <c r="S196" s="31" t="n">
        <v>60.9</v>
      </c>
      <c r="T196" s="30" t="inlineStr">
        <is>
          <t>AMR2</t>
        </is>
      </c>
      <c r="U196" s="31" t="n">
        <v>42.3</v>
      </c>
      <c r="V196" s="31" t="n">
        <v>42.3</v>
      </c>
      <c r="W196" s="30" t="inlineStr">
        <is>
          <t>AMR2</t>
        </is>
      </c>
      <c r="X196" s="32" t="n">
        <v>0</v>
      </c>
      <c r="Y196" s="32" t="n">
        <v>0</v>
      </c>
      <c r="Z196" s="31" t="n">
        <v>0</v>
      </c>
      <c r="AA196" s="32" t="n">
        <v>0</v>
      </c>
      <c r="AB196" s="32" t="n">
        <v>0</v>
      </c>
      <c r="AC196" s="32" t="n">
        <v>0</v>
      </c>
      <c r="AD196" s="32" t="n">
        <v>0</v>
      </c>
      <c r="AE196" s="31" t="n">
        <v>0</v>
      </c>
      <c r="AF196" s="32" t="n">
        <v>1</v>
      </c>
      <c r="AG196" s="31" t="n">
        <v>6</v>
      </c>
      <c r="AH196" s="32" t="n">
        <v>58</v>
      </c>
      <c r="AI196" s="31" t="n">
        <v>59.5</v>
      </c>
      <c r="AJ196" s="31" t="n">
        <v>45.9</v>
      </c>
      <c r="AK196" s="31" t="n">
        <v>11</v>
      </c>
      <c r="AL196" s="30" t="inlineStr">
        <is>
          <t>T-0341</t>
        </is>
      </c>
      <c r="AM196" s="30" t="inlineStr">
        <is>
          <t>G-05-03</t>
        </is>
      </c>
      <c r="AN196" s="30" t="inlineStr">
        <is>
          <t>T-0168</t>
        </is>
      </c>
      <c r="AO196" s="30" t="inlineStr">
        <is>
          <t>G-03-01</t>
        </is>
      </c>
    </row>
    <row r="197">
      <c r="A197" s="30" t="inlineStr">
        <is>
          <t>O0196</t>
        </is>
      </c>
      <c r="B197" s="30" t="inlineStr">
        <is>
          <t>H</t>
        </is>
      </c>
      <c r="C197" s="31" t="n">
        <v>3861.4</v>
      </c>
      <c r="D197" s="31" t="n">
        <v>7228.2</v>
      </c>
      <c r="E197" s="31" t="n">
        <v>7251.7</v>
      </c>
      <c r="F197" s="31" t="n">
        <v>7266.3</v>
      </c>
      <c r="G197" s="31" t="n">
        <v>7292.6</v>
      </c>
      <c r="H197" s="31" t="n">
        <v>7292.7</v>
      </c>
      <c r="I197" s="31" t="n">
        <v>7306.4</v>
      </c>
      <c r="J197" s="31" t="n">
        <v>7332.2</v>
      </c>
      <c r="K197" s="31" t="n">
        <v>3470.8</v>
      </c>
      <c r="L197" s="31" t="n">
        <v>3366.8</v>
      </c>
      <c r="M197" s="30" t="inlineStr">
        <is>
          <t>AMR1</t>
        </is>
      </c>
      <c r="N197" s="30" t="inlineStr">
        <is>
          <t>AMR1</t>
        </is>
      </c>
      <c r="O197" s="32" t="n">
        <v>1</v>
      </c>
      <c r="P197" s="32" t="n">
        <v>25</v>
      </c>
      <c r="Q197" s="32" t="n">
        <v>1</v>
      </c>
      <c r="R197" s="31" t="n">
        <v>62.6</v>
      </c>
      <c r="S197" s="31" t="n">
        <v>62.6</v>
      </c>
      <c r="T197" s="30" t="inlineStr">
        <is>
          <t>AMR1</t>
        </is>
      </c>
      <c r="U197" s="31" t="n">
        <v>40.2</v>
      </c>
      <c r="V197" s="31" t="n">
        <v>40.2</v>
      </c>
      <c r="W197" s="30" t="inlineStr">
        <is>
          <t>AMR1</t>
        </is>
      </c>
      <c r="X197" s="32" t="n">
        <v>0</v>
      </c>
      <c r="Y197" s="32" t="n">
        <v>0</v>
      </c>
      <c r="Z197" s="31" t="n">
        <v>0</v>
      </c>
      <c r="AA197" s="32" t="n">
        <v>0</v>
      </c>
      <c r="AB197" s="32" t="n">
        <v>0</v>
      </c>
      <c r="AC197" s="32" t="n">
        <v>0</v>
      </c>
      <c r="AD197" s="32" t="n">
        <v>0</v>
      </c>
      <c r="AE197" s="31" t="n">
        <v>0</v>
      </c>
      <c r="AF197" s="32" t="n">
        <v>0</v>
      </c>
      <c r="AG197" s="31" t="n">
        <v>0</v>
      </c>
      <c r="AH197" s="32" t="n">
        <v>52</v>
      </c>
      <c r="AI197" s="31" t="n">
        <v>54.7</v>
      </c>
      <c r="AJ197" s="31" t="n">
        <v>49.2</v>
      </c>
      <c r="AK197" s="31" t="n">
        <v>0</v>
      </c>
      <c r="AL197" s="30" t="inlineStr">
        <is>
          <t>T-0349</t>
        </is>
      </c>
      <c r="AM197" s="30" t="inlineStr">
        <is>
          <t>H-04-02</t>
        </is>
      </c>
      <c r="AN197" s="30" t="inlineStr">
        <is>
          <t>T-0209</t>
        </is>
      </c>
      <c r="AO197" s="30" t="inlineStr">
        <is>
          <t>H-05-02</t>
        </is>
      </c>
    </row>
    <row r="198">
      <c r="A198" s="30" t="inlineStr">
        <is>
          <t>O0197</t>
        </is>
      </c>
      <c r="B198" s="30" t="inlineStr">
        <is>
          <t>I</t>
        </is>
      </c>
      <c r="C198" s="31" t="n">
        <v>3886.2</v>
      </c>
      <c r="D198" s="31" t="n">
        <v>7380</v>
      </c>
      <c r="E198" s="31" t="n">
        <v>7411.5</v>
      </c>
      <c r="F198" s="31" t="n">
        <v>7424.7</v>
      </c>
      <c r="G198" s="31" t="n">
        <v>7451.3</v>
      </c>
      <c r="H198" s="31" t="n">
        <v>7451.4</v>
      </c>
      <c r="I198" s="31" t="n">
        <v>7461.6</v>
      </c>
      <c r="J198" s="31" t="n">
        <v>7487.1</v>
      </c>
      <c r="K198" s="31" t="n">
        <v>3600.9</v>
      </c>
      <c r="L198" s="31" t="n">
        <v>3493.8</v>
      </c>
      <c r="M198" s="30" t="inlineStr">
        <is>
          <t>AMR3</t>
        </is>
      </c>
      <c r="N198" s="30" t="inlineStr">
        <is>
          <t>AMR3</t>
        </is>
      </c>
      <c r="O198" s="32" t="n">
        <v>1</v>
      </c>
      <c r="P198" s="32" t="n">
        <v>25</v>
      </c>
      <c r="Q198" s="32" t="n">
        <v>1</v>
      </c>
      <c r="R198" s="31" t="n">
        <v>61.5</v>
      </c>
      <c r="S198" s="31" t="n">
        <v>61.5</v>
      </c>
      <c r="T198" s="30" t="inlineStr">
        <is>
          <t>AMR3</t>
        </is>
      </c>
      <c r="U198" s="31" t="n">
        <v>34.4</v>
      </c>
      <c r="V198" s="31" t="n">
        <v>34.4</v>
      </c>
      <c r="W198" s="30" t="inlineStr">
        <is>
          <t>AMR3</t>
        </is>
      </c>
      <c r="X198" s="32" t="n">
        <v>0</v>
      </c>
      <c r="Y198" s="32" t="n">
        <v>0</v>
      </c>
      <c r="Z198" s="31" t="n">
        <v>0</v>
      </c>
      <c r="AA198" s="32" t="n">
        <v>0</v>
      </c>
      <c r="AB198" s="32" t="n">
        <v>0</v>
      </c>
      <c r="AC198" s="32" t="n">
        <v>0</v>
      </c>
      <c r="AD198" s="32" t="n">
        <v>0</v>
      </c>
      <c r="AE198" s="31" t="n">
        <v>0</v>
      </c>
      <c r="AF198" s="32" t="n">
        <v>1</v>
      </c>
      <c r="AG198" s="31" t="n">
        <v>3</v>
      </c>
      <c r="AH198" s="32" t="n">
        <v>54</v>
      </c>
      <c r="AI198" s="31" t="n">
        <v>57.2</v>
      </c>
      <c r="AJ198" s="31" t="n">
        <v>41.8</v>
      </c>
      <c r="AK198" s="31" t="n">
        <v>8</v>
      </c>
      <c r="AL198" s="30" t="inlineStr">
        <is>
          <t>T-0354</t>
        </is>
      </c>
      <c r="AM198" s="30" t="inlineStr">
        <is>
          <t>I-02-01</t>
        </is>
      </c>
      <c r="AN198" s="30" t="inlineStr">
        <is>
          <t>T-0274</t>
        </is>
      </c>
      <c r="AO198" s="30" t="inlineStr">
        <is>
          <t>I-03-01</t>
        </is>
      </c>
    </row>
    <row r="199">
      <c r="A199" s="30" t="inlineStr">
        <is>
          <t>O0198</t>
        </is>
      </c>
      <c r="B199" s="30" t="inlineStr">
        <is>
          <t>J</t>
        </is>
      </c>
      <c r="C199" s="31" t="n">
        <v>3910.3</v>
      </c>
      <c r="D199" s="31" t="n">
        <v>7723</v>
      </c>
      <c r="E199" s="31" t="n">
        <v>7757.5</v>
      </c>
      <c r="F199" s="31" t="n">
        <v>7771.5</v>
      </c>
      <c r="G199" s="31" t="n">
        <v>7802.9</v>
      </c>
      <c r="H199" s="31" t="n">
        <v>7940.4</v>
      </c>
      <c r="I199" s="31" t="n">
        <v>7956.4</v>
      </c>
      <c r="J199" s="31" t="n">
        <v>7986.5</v>
      </c>
      <c r="K199" s="31" t="n">
        <v>4076.2</v>
      </c>
      <c r="L199" s="31" t="n">
        <v>3812.7</v>
      </c>
      <c r="M199" s="30" t="inlineStr">
        <is>
          <t>AMR2</t>
        </is>
      </c>
      <c r="N199" s="30" t="inlineStr">
        <is>
          <t>AMR1</t>
        </is>
      </c>
      <c r="O199" s="32" t="n">
        <v>1</v>
      </c>
      <c r="P199" s="32" t="n">
        <v>25</v>
      </c>
      <c r="Q199" s="32" t="n">
        <v>3</v>
      </c>
      <c r="R199" s="31" t="n">
        <v>65.5</v>
      </c>
      <c r="S199" s="31" t="n">
        <v>65.5</v>
      </c>
      <c r="T199" s="30" t="inlineStr">
        <is>
          <t>AMR2</t>
        </is>
      </c>
      <c r="U199" s="31" t="n">
        <v>46.4</v>
      </c>
      <c r="V199" s="31" t="n">
        <v>46.4</v>
      </c>
      <c r="W199" s="30" t="inlineStr">
        <is>
          <t>AMR1</t>
        </is>
      </c>
      <c r="X199" s="32" t="n">
        <v>0</v>
      </c>
      <c r="Y199" s="32" t="n">
        <v>0</v>
      </c>
      <c r="Z199" s="31" t="n">
        <v>0</v>
      </c>
      <c r="AA199" s="32" t="n">
        <v>0</v>
      </c>
      <c r="AB199" s="32" t="n">
        <v>0</v>
      </c>
      <c r="AC199" s="32" t="n">
        <v>0</v>
      </c>
      <c r="AD199" s="32" t="n">
        <v>0</v>
      </c>
      <c r="AE199" s="31" t="n">
        <v>0</v>
      </c>
      <c r="AF199" s="32" t="n">
        <v>1</v>
      </c>
      <c r="AG199" s="31" t="n">
        <v>6</v>
      </c>
      <c r="AH199" s="32" t="n">
        <v>70</v>
      </c>
      <c r="AI199" s="31" t="n">
        <v>70.2</v>
      </c>
      <c r="AJ199" s="31" t="n">
        <v>44.8</v>
      </c>
      <c r="AK199" s="31" t="n">
        <v>11</v>
      </c>
      <c r="AL199" s="30" t="inlineStr">
        <is>
          <t>T-0364</t>
        </is>
      </c>
      <c r="AM199" s="30" t="inlineStr">
        <is>
          <t>J-05-03</t>
        </is>
      </c>
      <c r="AN199" s="30" t="inlineStr">
        <is>
          <t>T-0166</t>
        </is>
      </c>
      <c r="AO199" s="30" t="inlineStr">
        <is>
          <t>J-02-01</t>
        </is>
      </c>
    </row>
    <row r="200">
      <c r="A200" s="30" t="inlineStr">
        <is>
          <t>O0199</t>
        </is>
      </c>
      <c r="B200" s="30" t="inlineStr">
        <is>
          <t>B</t>
        </is>
      </c>
      <c r="C200" s="31" t="n">
        <v>3931.9</v>
      </c>
      <c r="D200" s="31" t="n">
        <v>7054.8</v>
      </c>
      <c r="E200" s="31" t="n">
        <v>7078.3</v>
      </c>
      <c r="F200" s="31" t="n">
        <v>7091.5</v>
      </c>
      <c r="G200" s="31" t="n">
        <v>7115.7</v>
      </c>
      <c r="H200" s="31" t="n">
        <v>7709.7</v>
      </c>
      <c r="I200" s="31" t="n">
        <v>7724</v>
      </c>
      <c r="J200" s="31" t="n">
        <v>7764.7</v>
      </c>
      <c r="K200" s="31" t="n">
        <v>3832.8</v>
      </c>
      <c r="L200" s="31" t="n">
        <v>3122.9</v>
      </c>
      <c r="M200" s="30" t="inlineStr">
        <is>
          <t>AMR1</t>
        </is>
      </c>
      <c r="N200" s="30" t="inlineStr">
        <is>
          <t>AMR1</t>
        </is>
      </c>
      <c r="O200" s="32" t="n">
        <v>1</v>
      </c>
      <c r="P200" s="32" t="n">
        <v>25</v>
      </c>
      <c r="Q200" s="32" t="n">
        <v>0</v>
      </c>
      <c r="R200" s="31" t="n">
        <v>57.4</v>
      </c>
      <c r="S200" s="31" t="n">
        <v>57.4</v>
      </c>
      <c r="T200" s="30" t="inlineStr">
        <is>
          <t>AMR1</t>
        </is>
      </c>
      <c r="U200" s="31" t="n">
        <v>43.2</v>
      </c>
      <c r="V200" s="31" t="n">
        <v>43.2</v>
      </c>
      <c r="W200" s="30" t="inlineStr">
        <is>
          <t>AMR1</t>
        </is>
      </c>
      <c r="X200" s="32" t="n">
        <v>0</v>
      </c>
      <c r="Y200" s="32" t="n">
        <v>0</v>
      </c>
      <c r="Z200" s="31" t="n">
        <v>0</v>
      </c>
      <c r="AA200" s="32" t="n">
        <v>0</v>
      </c>
      <c r="AB200" s="32" t="n">
        <v>0</v>
      </c>
      <c r="AC200" s="32" t="n">
        <v>0</v>
      </c>
      <c r="AD200" s="32" t="n">
        <v>1</v>
      </c>
      <c r="AE200" s="31" t="n">
        <v>10</v>
      </c>
      <c r="AF200" s="32" t="n">
        <v>1</v>
      </c>
      <c r="AG200" s="31" t="n">
        <v>5</v>
      </c>
      <c r="AH200" s="32" t="n">
        <v>61</v>
      </c>
      <c r="AI200" s="31" t="n">
        <v>61.4</v>
      </c>
      <c r="AJ200" s="31" t="n">
        <v>44.5</v>
      </c>
      <c r="AK200" s="31" t="n">
        <v>10</v>
      </c>
      <c r="AL200" s="30" t="inlineStr">
        <is>
          <t>T-0344</t>
        </is>
      </c>
      <c r="AM200" s="30" t="inlineStr">
        <is>
          <t>B-02-02</t>
        </is>
      </c>
      <c r="AN200" s="30" t="inlineStr">
        <is>
          <t>T-0205</t>
        </is>
      </c>
      <c r="AO200" s="30" t="inlineStr">
        <is>
          <t>B-01-03</t>
        </is>
      </c>
    </row>
    <row r="201">
      <c r="A201" s="30" t="inlineStr">
        <is>
          <t>O0200</t>
        </is>
      </c>
      <c r="B201" s="30" t="inlineStr">
        <is>
          <t>H</t>
        </is>
      </c>
      <c r="C201" s="31" t="n">
        <v>3951.2</v>
      </c>
      <c r="D201" s="31" t="n">
        <v>7135</v>
      </c>
      <c r="E201" s="31" t="n">
        <v>7160.5</v>
      </c>
      <c r="F201" s="31" t="n">
        <v>7172.1</v>
      </c>
      <c r="G201" s="31" t="n">
        <v>7195.6</v>
      </c>
      <c r="H201" s="31" t="n">
        <v>7195.7</v>
      </c>
      <c r="I201" s="31" t="n">
        <v>7209.6</v>
      </c>
      <c r="J201" s="31" t="n">
        <v>7243.7</v>
      </c>
      <c r="K201" s="31" t="n">
        <v>3292.5</v>
      </c>
      <c r="L201" s="31" t="n">
        <v>3183.8</v>
      </c>
      <c r="M201" s="30" t="inlineStr">
        <is>
          <t>AMR2</t>
        </is>
      </c>
      <c r="N201" s="30" t="inlineStr">
        <is>
          <t>AMR2</t>
        </is>
      </c>
      <c r="O201" s="32" t="n">
        <v>1</v>
      </c>
      <c r="P201" s="32" t="n">
        <v>25</v>
      </c>
      <c r="Q201" s="32" t="n">
        <v>1</v>
      </c>
      <c r="R201" s="31" t="n">
        <v>56.8</v>
      </c>
      <c r="S201" s="31" t="n">
        <v>56.8</v>
      </c>
      <c r="T201" s="30" t="inlineStr">
        <is>
          <t>AMR2</t>
        </is>
      </c>
      <c r="U201" s="31" t="n">
        <v>40.2</v>
      </c>
      <c r="V201" s="31" t="n">
        <v>40.2</v>
      </c>
      <c r="W201" s="30" t="inlineStr">
        <is>
          <t>AMR2</t>
        </is>
      </c>
      <c r="X201" s="32" t="n">
        <v>0</v>
      </c>
      <c r="Y201" s="32" t="n">
        <v>0</v>
      </c>
      <c r="Z201" s="31" t="n">
        <v>0</v>
      </c>
      <c r="AA201" s="32" t="n">
        <v>0</v>
      </c>
      <c r="AB201" s="32" t="n">
        <v>0</v>
      </c>
      <c r="AC201" s="32" t="n">
        <v>0</v>
      </c>
      <c r="AD201" s="32" t="n">
        <v>1</v>
      </c>
      <c r="AE201" s="31" t="n">
        <v>7</v>
      </c>
      <c r="AF201" s="32" t="n">
        <v>1</v>
      </c>
      <c r="AG201" s="31" t="n">
        <v>2</v>
      </c>
      <c r="AH201" s="32" t="n">
        <v>54</v>
      </c>
      <c r="AI201" s="31" t="n">
        <v>56.2</v>
      </c>
      <c r="AJ201" s="31" t="n">
        <v>43.4</v>
      </c>
      <c r="AK201" s="31" t="n">
        <v>9</v>
      </c>
      <c r="AL201" s="30" t="inlineStr">
        <is>
          <t>T-0347</t>
        </is>
      </c>
      <c r="AM201" s="30" t="inlineStr">
        <is>
          <t>H-02-02</t>
        </is>
      </c>
      <c r="AN201" s="30" t="inlineStr">
        <is>
          <t>T-0194</t>
        </is>
      </c>
      <c r="AO201" s="30" t="inlineStr">
        <is>
          <t>H-04-02</t>
        </is>
      </c>
    </row>
    <row r="202">
      <c r="A202" s="30" t="inlineStr">
        <is>
          <t>O0201</t>
        </is>
      </c>
      <c r="B202" s="30" t="inlineStr">
        <is>
          <t>D</t>
        </is>
      </c>
      <c r="C202" s="31" t="n">
        <v>3954.4</v>
      </c>
      <c r="D202" s="31" t="n">
        <v>7096.3</v>
      </c>
      <c r="E202" s="31" t="n">
        <v>7119.8</v>
      </c>
      <c r="F202" s="31" t="n">
        <v>7130.4</v>
      </c>
      <c r="G202" s="31" t="n">
        <v>7150.6</v>
      </c>
      <c r="H202" s="31" t="n">
        <v>7601.8</v>
      </c>
      <c r="I202" s="31" t="n">
        <v>7614.6</v>
      </c>
      <c r="J202" s="31" t="n">
        <v>7643.5</v>
      </c>
      <c r="K202" s="31" t="n">
        <v>3689.1</v>
      </c>
      <c r="L202" s="31" t="n">
        <v>3141.9</v>
      </c>
      <c r="M202" s="30" t="inlineStr">
        <is>
          <t>AMR3</t>
        </is>
      </c>
      <c r="N202" s="30" t="inlineStr">
        <is>
          <t>AMR1</t>
        </is>
      </c>
      <c r="O202" s="32" t="n">
        <v>1</v>
      </c>
      <c r="P202" s="32" t="n">
        <v>25</v>
      </c>
      <c r="Q202" s="32" t="n">
        <v>1</v>
      </c>
      <c r="R202" s="31" t="n">
        <v>52.4</v>
      </c>
      <c r="S202" s="31" t="n">
        <v>52.4</v>
      </c>
      <c r="T202" s="30" t="inlineStr">
        <is>
          <t>AMR3</t>
        </is>
      </c>
      <c r="U202" s="31" t="n">
        <v>39.9</v>
      </c>
      <c r="V202" s="31" t="n">
        <v>39.9</v>
      </c>
      <c r="W202" s="30" t="inlineStr">
        <is>
          <t>AMR1</t>
        </is>
      </c>
      <c r="X202" s="32" t="n">
        <v>0</v>
      </c>
      <c r="Y202" s="32" t="n">
        <v>0</v>
      </c>
      <c r="Z202" s="31" t="n">
        <v>0</v>
      </c>
      <c r="AA202" s="32" t="n">
        <v>0</v>
      </c>
      <c r="AB202" s="32" t="n">
        <v>0</v>
      </c>
      <c r="AC202" s="32" t="n">
        <v>0</v>
      </c>
      <c r="AD202" s="32" t="n">
        <v>0</v>
      </c>
      <c r="AE202" s="31" t="n">
        <v>0</v>
      </c>
      <c r="AF202" s="32" t="n">
        <v>0</v>
      </c>
      <c r="AG202" s="31" t="n">
        <v>0</v>
      </c>
      <c r="AH202" s="32" t="n">
        <v>56</v>
      </c>
      <c r="AI202" s="31" t="n">
        <v>57.3</v>
      </c>
      <c r="AJ202" s="31" t="n">
        <v>38.7</v>
      </c>
      <c r="AK202" s="31" t="n">
        <v>0</v>
      </c>
      <c r="AL202" s="30" t="inlineStr">
        <is>
          <t>T-0345</t>
        </is>
      </c>
      <c r="AM202" s="30" t="inlineStr">
        <is>
          <t>D-02-01</t>
        </is>
      </c>
      <c r="AN202" s="30" t="inlineStr">
        <is>
          <t>T-0225</t>
        </is>
      </c>
      <c r="AO202" s="30" t="inlineStr">
        <is>
          <t>D-04-02</t>
        </is>
      </c>
    </row>
    <row r="203">
      <c r="A203" s="30" t="inlineStr">
        <is>
          <t>O0202</t>
        </is>
      </c>
      <c r="B203" s="30" t="inlineStr">
        <is>
          <t>F</t>
        </is>
      </c>
      <c r="C203" s="31" t="n">
        <v>3958.7</v>
      </c>
      <c r="D203" s="31" t="n">
        <v>7709.7</v>
      </c>
      <c r="E203" s="31" t="n">
        <v>7733.2</v>
      </c>
      <c r="F203" s="31" t="n">
        <v>7749.2</v>
      </c>
      <c r="G203" s="31" t="n">
        <v>7780.4</v>
      </c>
      <c r="H203" s="31" t="n">
        <v>7891.6</v>
      </c>
      <c r="I203" s="31" t="n">
        <v>7907.5</v>
      </c>
      <c r="J203" s="31" t="n">
        <v>7940.3</v>
      </c>
      <c r="K203" s="31" t="n">
        <v>3981.6</v>
      </c>
      <c r="L203" s="31" t="n">
        <v>3751</v>
      </c>
      <c r="M203" s="30" t="inlineStr">
        <is>
          <t>AMR3</t>
        </is>
      </c>
      <c r="N203" s="30" t="inlineStr">
        <is>
          <t>AMR3</t>
        </is>
      </c>
      <c r="O203" s="32" t="n">
        <v>1</v>
      </c>
      <c r="P203" s="32" t="n">
        <v>25</v>
      </c>
      <c r="Q203" s="32" t="n">
        <v>3</v>
      </c>
      <c r="R203" s="31" t="n">
        <v>67.3</v>
      </c>
      <c r="S203" s="31" t="n">
        <v>67.3</v>
      </c>
      <c r="T203" s="30" t="inlineStr">
        <is>
          <t>AMR3</t>
        </is>
      </c>
      <c r="U203" s="31" t="n">
        <v>49.1</v>
      </c>
      <c r="V203" s="31" t="n">
        <v>49.1</v>
      </c>
      <c r="W203" s="30" t="inlineStr">
        <is>
          <t>AMR3</t>
        </is>
      </c>
      <c r="X203" s="32" t="n">
        <v>0</v>
      </c>
      <c r="Y203" s="32" t="n">
        <v>0</v>
      </c>
      <c r="Z203" s="31" t="n">
        <v>0</v>
      </c>
      <c r="AA203" s="32" t="n">
        <v>0</v>
      </c>
      <c r="AB203" s="32" t="n">
        <v>0</v>
      </c>
      <c r="AC203" s="32" t="n">
        <v>0</v>
      </c>
      <c r="AD203" s="32" t="n">
        <v>0</v>
      </c>
      <c r="AE203" s="31" t="n">
        <v>0</v>
      </c>
      <c r="AF203" s="32" t="n">
        <v>0</v>
      </c>
      <c r="AG203" s="31" t="n">
        <v>0</v>
      </c>
      <c r="AH203" s="32" t="n">
        <v>74</v>
      </c>
      <c r="AI203" s="31" t="n">
        <v>73.3</v>
      </c>
      <c r="AJ203" s="31" t="n">
        <v>46.1</v>
      </c>
      <c r="AK203" s="31" t="n">
        <v>0</v>
      </c>
      <c r="AL203" s="30" t="inlineStr">
        <is>
          <t>T-0363</t>
        </is>
      </c>
      <c r="AM203" s="30" t="inlineStr">
        <is>
          <t>F-01-01</t>
        </is>
      </c>
      <c r="AN203" s="30" t="inlineStr">
        <is>
          <t>T-0183</t>
        </is>
      </c>
      <c r="AO203" s="30" t="inlineStr">
        <is>
          <t>F-06-01</t>
        </is>
      </c>
    </row>
    <row r="204">
      <c r="A204" s="30" t="inlineStr">
        <is>
          <t>O0203</t>
        </is>
      </c>
      <c r="B204" s="30" t="inlineStr">
        <is>
          <t>E</t>
        </is>
      </c>
      <c r="C204" s="31" t="n">
        <v>3964.7</v>
      </c>
      <c r="D204" s="31" t="n">
        <v>7243.8</v>
      </c>
      <c r="E204" s="31" t="n">
        <v>7275.3</v>
      </c>
      <c r="F204" s="31" t="n">
        <v>7289.9</v>
      </c>
      <c r="G204" s="31" t="n">
        <v>7317</v>
      </c>
      <c r="H204" s="31" t="n">
        <v>7663.6</v>
      </c>
      <c r="I204" s="31" t="n">
        <v>7674.7</v>
      </c>
      <c r="J204" s="31" t="n">
        <v>7709.6</v>
      </c>
      <c r="K204" s="31" t="n">
        <v>3744.9</v>
      </c>
      <c r="L204" s="31" t="n">
        <v>3279.1</v>
      </c>
      <c r="M204" s="30" t="inlineStr">
        <is>
          <t>AMR2</t>
        </is>
      </c>
      <c r="N204" s="30" t="inlineStr">
        <is>
          <t>AMR3</t>
        </is>
      </c>
      <c r="O204" s="32" t="n">
        <v>1</v>
      </c>
      <c r="P204" s="32" t="n">
        <v>25</v>
      </c>
      <c r="Q204" s="32" t="n">
        <v>1</v>
      </c>
      <c r="R204" s="31" t="n">
        <v>62.5</v>
      </c>
      <c r="S204" s="31" t="n">
        <v>62.5</v>
      </c>
      <c r="T204" s="30" t="inlineStr">
        <is>
          <t>AMR2</t>
        </is>
      </c>
      <c r="U204" s="31" t="n">
        <v>45.2</v>
      </c>
      <c r="V204" s="31" t="n">
        <v>45.2</v>
      </c>
      <c r="W204" s="30" t="inlineStr">
        <is>
          <t>AMR3</t>
        </is>
      </c>
      <c r="X204" s="32" t="n">
        <v>0</v>
      </c>
      <c r="Y204" s="32" t="n">
        <v>0</v>
      </c>
      <c r="Z204" s="31" t="n">
        <v>0</v>
      </c>
      <c r="AA204" s="32" t="n">
        <v>0</v>
      </c>
      <c r="AB204" s="32" t="n">
        <v>0</v>
      </c>
      <c r="AC204" s="32" t="n">
        <v>0</v>
      </c>
      <c r="AD204" s="32" t="n">
        <v>0</v>
      </c>
      <c r="AE204" s="31" t="n">
        <v>0</v>
      </c>
      <c r="AF204" s="32" t="n">
        <v>1</v>
      </c>
      <c r="AG204" s="31" t="n">
        <v>3</v>
      </c>
      <c r="AH204" s="32" t="n">
        <v>69</v>
      </c>
      <c r="AI204" s="31" t="n">
        <v>67.7</v>
      </c>
      <c r="AJ204" s="31" t="n">
        <v>43.5</v>
      </c>
      <c r="AK204" s="31" t="n">
        <v>8</v>
      </c>
      <c r="AL204" s="30" t="inlineStr">
        <is>
          <t>T-0350</t>
        </is>
      </c>
      <c r="AM204" s="30" t="inlineStr">
        <is>
          <t>E-03-02</t>
        </is>
      </c>
      <c r="AN204" s="30" t="inlineStr">
        <is>
          <t>T-0075</t>
        </is>
      </c>
      <c r="AO204" s="30" t="inlineStr">
        <is>
          <t>E-05-05</t>
        </is>
      </c>
    </row>
    <row r="205">
      <c r="A205" s="30" t="inlineStr">
        <is>
          <t>O0204</t>
        </is>
      </c>
      <c r="B205" s="30" t="inlineStr">
        <is>
          <t>A</t>
        </is>
      </c>
      <c r="C205" s="31" t="n">
        <v>3969.6</v>
      </c>
      <c r="D205" s="31" t="n">
        <v>7332.3</v>
      </c>
      <c r="E205" s="31" t="n">
        <v>7355.8</v>
      </c>
      <c r="F205" s="31" t="n">
        <v>7367.8</v>
      </c>
      <c r="G205" s="31" t="n">
        <v>7396.1</v>
      </c>
      <c r="H205" s="31" t="n">
        <v>7396.2</v>
      </c>
      <c r="I205" s="31" t="n">
        <v>7407</v>
      </c>
      <c r="J205" s="31" t="n">
        <v>7441.1</v>
      </c>
      <c r="K205" s="31" t="n">
        <v>3471.5</v>
      </c>
      <c r="L205" s="31" t="n">
        <v>3362.7</v>
      </c>
      <c r="M205" s="30" t="inlineStr">
        <is>
          <t>AMR1</t>
        </is>
      </c>
      <c r="N205" s="30" t="inlineStr">
        <is>
          <t>AMR1</t>
        </is>
      </c>
      <c r="O205" s="32" t="n">
        <v>1</v>
      </c>
      <c r="P205" s="32" t="n">
        <v>25</v>
      </c>
      <c r="Q205" s="32" t="n">
        <v>1</v>
      </c>
      <c r="R205" s="31" t="n">
        <v>61.9</v>
      </c>
      <c r="S205" s="31" t="n">
        <v>52.5</v>
      </c>
      <c r="T205" s="30" t="inlineStr">
        <is>
          <t>AMR3</t>
        </is>
      </c>
      <c r="U205" s="31" t="n">
        <v>44.1</v>
      </c>
      <c r="V205" s="31" t="n">
        <v>44.1</v>
      </c>
      <c r="W205" s="30" t="inlineStr">
        <is>
          <t>AMR1</t>
        </is>
      </c>
      <c r="X205" s="32" t="n">
        <v>1</v>
      </c>
      <c r="Y205" s="32" t="n">
        <v>13</v>
      </c>
      <c r="Z205" s="31" t="n">
        <v>9.4</v>
      </c>
      <c r="AA205" s="32" t="n">
        <v>0</v>
      </c>
      <c r="AB205" s="32" t="n">
        <v>0</v>
      </c>
      <c r="AC205" s="32" t="n">
        <v>0</v>
      </c>
      <c r="AD205" s="32" t="n">
        <v>0</v>
      </c>
      <c r="AE205" s="31" t="n">
        <v>0</v>
      </c>
      <c r="AF205" s="32" t="n">
        <v>0</v>
      </c>
      <c r="AG205" s="31" t="n">
        <v>0</v>
      </c>
      <c r="AH205" s="32" t="n">
        <v>72</v>
      </c>
      <c r="AI205" s="31" t="n">
        <v>70.09999999999999</v>
      </c>
      <c r="AJ205" s="31" t="n">
        <v>38.6</v>
      </c>
      <c r="AK205" s="31" t="n">
        <v>0</v>
      </c>
      <c r="AL205" s="30" t="inlineStr">
        <is>
          <t>T-0352</t>
        </is>
      </c>
      <c r="AM205" s="30" t="inlineStr">
        <is>
          <t>A-04-03</t>
        </is>
      </c>
      <c r="AN205" s="30" t="inlineStr">
        <is>
          <t>T-0154</t>
        </is>
      </c>
      <c r="AO205" s="30" t="inlineStr">
        <is>
          <t>A-02-01</t>
        </is>
      </c>
    </row>
    <row r="206">
      <c r="A206" s="30" t="inlineStr">
        <is>
          <t>O0205</t>
        </is>
      </c>
      <c r="B206" s="30" t="inlineStr">
        <is>
          <t>C</t>
        </is>
      </c>
      <c r="C206" s="31" t="n">
        <v>3973.5</v>
      </c>
      <c r="D206" s="31" t="n">
        <v>7263.1</v>
      </c>
      <c r="E206" s="31" t="n">
        <v>7299.6</v>
      </c>
      <c r="F206" s="31" t="n">
        <v>7311.2</v>
      </c>
      <c r="G206" s="31" t="n">
        <v>7333.7</v>
      </c>
      <c r="H206" s="31" t="n">
        <v>7953.9</v>
      </c>
      <c r="I206" s="31" t="n">
        <v>7981.5</v>
      </c>
      <c r="J206" s="31" t="n">
        <v>8025.3</v>
      </c>
      <c r="K206" s="31" t="n">
        <v>4051.8</v>
      </c>
      <c r="L206" s="31" t="n">
        <v>3289.6</v>
      </c>
      <c r="M206" s="30" t="inlineStr">
        <is>
          <t>AMR3</t>
        </is>
      </c>
      <c r="N206" s="30" t="inlineStr">
        <is>
          <t>AMR2</t>
        </is>
      </c>
      <c r="O206" s="32" t="n">
        <v>1</v>
      </c>
      <c r="P206" s="32" t="n">
        <v>25</v>
      </c>
      <c r="Q206" s="32" t="n">
        <v>16</v>
      </c>
      <c r="R206" s="31" t="n">
        <v>55.7</v>
      </c>
      <c r="S206" s="31" t="n">
        <v>55.7</v>
      </c>
      <c r="T206" s="30" t="inlineStr">
        <is>
          <t>AMR3</t>
        </is>
      </c>
      <c r="U206" s="31" t="n">
        <v>56.1</v>
      </c>
      <c r="V206" s="31" t="n">
        <v>56.1</v>
      </c>
      <c r="W206" s="30" t="inlineStr">
        <is>
          <t>AMR2</t>
        </is>
      </c>
      <c r="X206" s="32" t="n">
        <v>0</v>
      </c>
      <c r="Y206" s="32" t="n">
        <v>0</v>
      </c>
      <c r="Z206" s="31" t="n">
        <v>0</v>
      </c>
      <c r="AA206" s="32" t="n">
        <v>0</v>
      </c>
      <c r="AB206" s="32" t="n">
        <v>0</v>
      </c>
      <c r="AC206" s="32" t="n">
        <v>0</v>
      </c>
      <c r="AD206" s="32" t="n">
        <v>1</v>
      </c>
      <c r="AE206" s="31" t="n">
        <v>13.7</v>
      </c>
      <c r="AF206" s="32" t="n">
        <v>2</v>
      </c>
      <c r="AG206" s="31" t="n">
        <v>16.7</v>
      </c>
      <c r="AH206" s="32" t="n">
        <v>69</v>
      </c>
      <c r="AI206" s="31" t="n">
        <v>71.5</v>
      </c>
      <c r="AJ206" s="31" t="n">
        <v>43.8</v>
      </c>
      <c r="AK206" s="31" t="n">
        <v>26.7</v>
      </c>
      <c r="AL206" s="30" t="inlineStr">
        <is>
          <t>T-0351</t>
        </is>
      </c>
      <c r="AM206" s="30" t="inlineStr">
        <is>
          <t>C-01-01</t>
        </is>
      </c>
      <c r="AN206" s="30" t="inlineStr">
        <is>
          <t>T-0200</t>
        </is>
      </c>
      <c r="AO206" s="30" t="inlineStr">
        <is>
          <t>C-03-01</t>
        </is>
      </c>
    </row>
    <row r="207">
      <c r="A207" s="30" t="inlineStr">
        <is>
          <t>O0206</t>
        </is>
      </c>
      <c r="B207" s="30" t="inlineStr">
        <is>
          <t>C</t>
        </is>
      </c>
      <c r="C207" s="31" t="n">
        <v>3980.3</v>
      </c>
      <c r="D207" s="31" t="n">
        <v>7441.2</v>
      </c>
      <c r="E207" s="31" t="n">
        <v>7464.7</v>
      </c>
      <c r="F207" s="31" t="n">
        <v>7480.2</v>
      </c>
      <c r="G207" s="31" t="n">
        <v>7504.2</v>
      </c>
      <c r="H207" s="31" t="n">
        <v>7683.2</v>
      </c>
      <c r="I207" s="31" t="n">
        <v>7697.8</v>
      </c>
      <c r="J207" s="31" t="n">
        <v>7722.9</v>
      </c>
      <c r="K207" s="31" t="n">
        <v>3742.6</v>
      </c>
      <c r="L207" s="31" t="n">
        <v>3460.9</v>
      </c>
      <c r="M207" s="30" t="inlineStr">
        <is>
          <t>AMR1</t>
        </is>
      </c>
      <c r="N207" s="30" t="inlineStr">
        <is>
          <t>AMR2</t>
        </is>
      </c>
      <c r="O207" s="32" t="n">
        <v>1</v>
      </c>
      <c r="P207" s="32" t="n">
        <v>25</v>
      </c>
      <c r="Q207" s="32" t="n">
        <v>1</v>
      </c>
      <c r="R207" s="31" t="n">
        <v>61.9</v>
      </c>
      <c r="S207" s="31" t="n">
        <v>61.9</v>
      </c>
      <c r="T207" s="30" t="inlineStr">
        <is>
          <t>AMR1</t>
        </is>
      </c>
      <c r="U207" s="31" t="n">
        <v>39.4</v>
      </c>
      <c r="V207" s="31" t="n">
        <v>39.4</v>
      </c>
      <c r="W207" s="30" t="inlineStr">
        <is>
          <t>AMR2</t>
        </is>
      </c>
      <c r="X207" s="32" t="n">
        <v>0</v>
      </c>
      <c r="Y207" s="32" t="n">
        <v>0</v>
      </c>
      <c r="Z207" s="31" t="n">
        <v>0</v>
      </c>
      <c r="AA207" s="32" t="n">
        <v>0</v>
      </c>
      <c r="AB207" s="32" t="n">
        <v>0</v>
      </c>
      <c r="AC207" s="32" t="n">
        <v>0</v>
      </c>
      <c r="AD207" s="32" t="n">
        <v>1</v>
      </c>
      <c r="AE207" s="31" t="n">
        <v>1</v>
      </c>
      <c r="AF207" s="32" t="n">
        <v>0</v>
      </c>
      <c r="AG207" s="31" t="n">
        <v>0</v>
      </c>
      <c r="AH207" s="32" t="n">
        <v>51</v>
      </c>
      <c r="AI207" s="31" t="n">
        <v>53.5</v>
      </c>
      <c r="AJ207" s="31" t="n">
        <v>48.2</v>
      </c>
      <c r="AK207" s="31" t="n">
        <v>1</v>
      </c>
      <c r="AL207" s="30" t="inlineStr">
        <is>
          <t>T-0356</t>
        </is>
      </c>
      <c r="AM207" s="30" t="inlineStr">
        <is>
          <t>C-06-03</t>
        </is>
      </c>
      <c r="AN207" s="30" t="inlineStr">
        <is>
          <t>T-0197</t>
        </is>
      </c>
      <c r="AO207" s="30" t="inlineStr">
        <is>
          <t>C-06-01</t>
        </is>
      </c>
    </row>
    <row r="208">
      <c r="A208" s="30" t="inlineStr">
        <is>
          <t>O0207</t>
        </is>
      </c>
      <c r="B208" s="30" t="inlineStr">
        <is>
          <t>C</t>
        </is>
      </c>
      <c r="C208" s="31" t="n">
        <v>3983.9</v>
      </c>
      <c r="D208" s="31" t="n">
        <v>7363.7</v>
      </c>
      <c r="E208" s="31" t="n">
        <v>7387.2</v>
      </c>
      <c r="F208" s="31" t="n">
        <v>7401.6</v>
      </c>
      <c r="G208" s="31" t="n">
        <v>7424.3</v>
      </c>
      <c r="H208" s="31" t="n">
        <v>7504.3</v>
      </c>
      <c r="I208" s="31" t="n">
        <v>7515.3</v>
      </c>
      <c r="J208" s="31" t="n">
        <v>7542.9</v>
      </c>
      <c r="K208" s="31" t="n">
        <v>3559</v>
      </c>
      <c r="L208" s="31" t="n">
        <v>3379.8</v>
      </c>
      <c r="M208" s="30" t="inlineStr">
        <is>
          <t>AMR2</t>
        </is>
      </c>
      <c r="N208" s="30" t="inlineStr">
        <is>
          <t>AMR1</t>
        </is>
      </c>
      <c r="O208" s="32" t="n">
        <v>1</v>
      </c>
      <c r="P208" s="32" t="n">
        <v>25</v>
      </c>
      <c r="Q208" s="32" t="n">
        <v>2</v>
      </c>
      <c r="R208" s="31" t="n">
        <v>58.7</v>
      </c>
      <c r="S208" s="31" t="n">
        <v>58.7</v>
      </c>
      <c r="T208" s="30" t="inlineStr">
        <is>
          <t>AMR2</t>
        </is>
      </c>
      <c r="U208" s="31" t="n">
        <v>39.3</v>
      </c>
      <c r="V208" s="31" t="n">
        <v>39.3</v>
      </c>
      <c r="W208" s="30" t="inlineStr">
        <is>
          <t>AMR1</t>
        </is>
      </c>
      <c r="X208" s="32" t="n">
        <v>0</v>
      </c>
      <c r="Y208" s="32" t="n">
        <v>0</v>
      </c>
      <c r="Z208" s="31" t="n">
        <v>0</v>
      </c>
      <c r="AA208" s="32" t="n">
        <v>0</v>
      </c>
      <c r="AB208" s="32" t="n">
        <v>0</v>
      </c>
      <c r="AC208" s="32" t="n">
        <v>0</v>
      </c>
      <c r="AD208" s="32" t="n">
        <v>0</v>
      </c>
      <c r="AE208" s="31" t="n">
        <v>0</v>
      </c>
      <c r="AF208" s="32" t="n">
        <v>0</v>
      </c>
      <c r="AG208" s="31" t="n">
        <v>0</v>
      </c>
      <c r="AH208" s="32" t="n">
        <v>53</v>
      </c>
      <c r="AI208" s="31" t="n">
        <v>55</v>
      </c>
      <c r="AJ208" s="31" t="n">
        <v>44.2</v>
      </c>
      <c r="AK208" s="31" t="n">
        <v>0</v>
      </c>
      <c r="AL208" s="30" t="inlineStr">
        <is>
          <t>T-0353</t>
        </is>
      </c>
      <c r="AM208" s="30" t="inlineStr">
        <is>
          <t>C-05-01</t>
        </is>
      </c>
      <c r="AN208" s="30" t="inlineStr">
        <is>
          <t>T-0192</t>
        </is>
      </c>
      <c r="AO208" s="30" t="inlineStr">
        <is>
          <t>C-04-01</t>
        </is>
      </c>
    </row>
    <row r="209">
      <c r="A209" s="30" t="inlineStr">
        <is>
          <t>O0208</t>
        </is>
      </c>
      <c r="B209" s="30" t="inlineStr">
        <is>
          <t>H</t>
        </is>
      </c>
      <c r="C209" s="31" t="n">
        <v>3990.7</v>
      </c>
      <c r="D209" s="31" t="n">
        <v>7424.4</v>
      </c>
      <c r="E209" s="31" t="n">
        <v>7437</v>
      </c>
      <c r="F209" s="31" t="n">
        <v>7449.8</v>
      </c>
      <c r="G209" s="31" t="n">
        <v>7475.3</v>
      </c>
      <c r="H209" s="31" t="n">
        <v>7475.4</v>
      </c>
      <c r="I209" s="31" t="n">
        <v>7488.3</v>
      </c>
      <c r="J209" s="31" t="n">
        <v>7516</v>
      </c>
      <c r="K209" s="31" t="n">
        <v>3525.3</v>
      </c>
      <c r="L209" s="31" t="n">
        <v>3433.7</v>
      </c>
      <c r="M209" s="30" t="inlineStr">
        <is>
          <t>AMR2</t>
        </is>
      </c>
      <c r="N209" s="30" t="inlineStr">
        <is>
          <t>AMR2</t>
        </is>
      </c>
      <c r="O209" s="32" t="n">
        <v>1</v>
      </c>
      <c r="P209" s="32" t="n">
        <v>12</v>
      </c>
      <c r="Q209" s="32" t="n">
        <v>1</v>
      </c>
      <c r="R209" s="31" t="n">
        <v>49.1</v>
      </c>
      <c r="S209" s="31" t="n">
        <v>49.1</v>
      </c>
      <c r="T209" s="30" t="inlineStr">
        <is>
          <t>AMR2</t>
        </is>
      </c>
      <c r="U209" s="31" t="n">
        <v>39.7</v>
      </c>
      <c r="V209" s="31" t="n">
        <v>39.7</v>
      </c>
      <c r="W209" s="30" t="inlineStr">
        <is>
          <t>AMR2</t>
        </is>
      </c>
      <c r="X209" s="32" t="n">
        <v>0</v>
      </c>
      <c r="Y209" s="32" t="n">
        <v>0</v>
      </c>
      <c r="Z209" s="31" t="n">
        <v>0</v>
      </c>
      <c r="AA209" s="32" t="n">
        <v>0</v>
      </c>
      <c r="AB209" s="32" t="n">
        <v>0</v>
      </c>
      <c r="AC209" s="32" t="n">
        <v>0</v>
      </c>
      <c r="AD209" s="32" t="n">
        <v>0</v>
      </c>
      <c r="AE209" s="31" t="n">
        <v>0</v>
      </c>
      <c r="AF209" s="32" t="n">
        <v>0</v>
      </c>
      <c r="AG209" s="31" t="n">
        <v>0</v>
      </c>
      <c r="AH209" s="32" t="n">
        <v>41</v>
      </c>
      <c r="AI209" s="31" t="n">
        <v>45.4</v>
      </c>
      <c r="AJ209" s="31" t="n">
        <v>46.1</v>
      </c>
      <c r="AK209" s="31" t="n">
        <v>0</v>
      </c>
      <c r="AL209" s="30" t="inlineStr">
        <is>
          <t>T-0355</t>
        </is>
      </c>
      <c r="AM209" s="30" t="inlineStr">
        <is>
          <t>H-05-02</t>
        </is>
      </c>
      <c r="AN209" s="30" t="inlineStr">
        <is>
          <t>T-0219</t>
        </is>
      </c>
      <c r="AO209" s="30" t="inlineStr">
        <is>
          <t>H-03-01</t>
        </is>
      </c>
    </row>
    <row r="210">
      <c r="A210" s="30" t="inlineStr">
        <is>
          <t>O0209</t>
        </is>
      </c>
      <c r="B210" s="30" t="inlineStr">
        <is>
          <t>J</t>
        </is>
      </c>
      <c r="C210" s="31" t="n">
        <v>3994.4</v>
      </c>
      <c r="D210" s="31" t="n">
        <v>7487.2</v>
      </c>
      <c r="E210" s="31" t="n">
        <v>7510.7</v>
      </c>
      <c r="F210" s="31" t="n">
        <v>7526.3</v>
      </c>
      <c r="G210" s="31" t="n">
        <v>7556.2</v>
      </c>
      <c r="H210" s="31" t="n">
        <v>7803</v>
      </c>
      <c r="I210" s="31" t="n">
        <v>7814.2</v>
      </c>
      <c r="J210" s="31" t="n">
        <v>7843</v>
      </c>
      <c r="K210" s="31" t="n">
        <v>3848.6</v>
      </c>
      <c r="L210" s="31" t="n">
        <v>3492.8</v>
      </c>
      <c r="M210" s="30" t="inlineStr">
        <is>
          <t>AMR3</t>
        </is>
      </c>
      <c r="N210" s="30" t="inlineStr">
        <is>
          <t>AMR2</t>
        </is>
      </c>
      <c r="O210" s="32" t="n">
        <v>1</v>
      </c>
      <c r="P210" s="32" t="n">
        <v>25</v>
      </c>
      <c r="Q210" s="32" t="n">
        <v>1</v>
      </c>
      <c r="R210" s="31" t="n">
        <v>64.8</v>
      </c>
      <c r="S210" s="31" t="n">
        <v>64.8</v>
      </c>
      <c r="T210" s="30" t="inlineStr">
        <is>
          <t>AMR3</t>
        </is>
      </c>
      <c r="U210" s="31" t="n">
        <v>40.7</v>
      </c>
      <c r="V210" s="31" t="n">
        <v>40.7</v>
      </c>
      <c r="W210" s="30" t="inlineStr">
        <is>
          <t>AMR2</t>
        </is>
      </c>
      <c r="X210" s="32" t="n">
        <v>0</v>
      </c>
      <c r="Y210" s="32" t="n">
        <v>0</v>
      </c>
      <c r="Z210" s="31" t="n">
        <v>0</v>
      </c>
      <c r="AA210" s="32" t="n">
        <v>0</v>
      </c>
      <c r="AB210" s="32" t="n">
        <v>0</v>
      </c>
      <c r="AC210" s="32" t="n">
        <v>0</v>
      </c>
      <c r="AD210" s="32" t="n">
        <v>0</v>
      </c>
      <c r="AE210" s="31" t="n">
        <v>0</v>
      </c>
      <c r="AF210" s="32" t="n">
        <v>0</v>
      </c>
      <c r="AG210" s="31" t="n">
        <v>0</v>
      </c>
      <c r="AH210" s="32" t="n">
        <v>69</v>
      </c>
      <c r="AI210" s="31" t="n">
        <v>68.2</v>
      </c>
      <c r="AJ210" s="31" t="n">
        <v>40.8</v>
      </c>
      <c r="AK210" s="31" t="n">
        <v>0</v>
      </c>
      <c r="AL210" s="30" t="inlineStr">
        <is>
          <t>T-0357</t>
        </is>
      </c>
      <c r="AM210" s="30" t="inlineStr">
        <is>
          <t>J-06-02</t>
        </is>
      </c>
      <c r="AN210" s="30" t="inlineStr">
        <is>
          <t>T-0156</t>
        </is>
      </c>
      <c r="AO210" s="30" t="inlineStr">
        <is>
          <t>J-01-01</t>
        </is>
      </c>
    </row>
    <row r="211">
      <c r="A211" s="30" t="inlineStr">
        <is>
          <t>O0210</t>
        </is>
      </c>
      <c r="B211" s="30" t="inlineStr">
        <is>
          <t>E</t>
        </is>
      </c>
      <c r="C211" s="31" t="n">
        <v>3997.8</v>
      </c>
      <c r="D211" s="31" t="n">
        <v>7601.2</v>
      </c>
      <c r="E211" s="31" t="n">
        <v>7624.7</v>
      </c>
      <c r="F211" s="31" t="n">
        <v>7637.2</v>
      </c>
      <c r="G211" s="31" t="n">
        <v>7663.5</v>
      </c>
      <c r="H211" s="31" t="n">
        <v>9271.799999999999</v>
      </c>
      <c r="I211" s="31" t="n">
        <v>9286.9</v>
      </c>
      <c r="J211" s="31" t="n">
        <v>9318.799999999999</v>
      </c>
      <c r="K211" s="31" t="n">
        <v>5321</v>
      </c>
      <c r="L211" s="31" t="n">
        <v>3603.4</v>
      </c>
      <c r="M211" s="30" t="inlineStr">
        <is>
          <t>AMR3</t>
        </is>
      </c>
      <c r="N211" s="30" t="inlineStr">
        <is>
          <t>AMR3</t>
        </is>
      </c>
      <c r="O211" s="32" t="n">
        <v>1</v>
      </c>
      <c r="P211" s="32" t="n">
        <v>25</v>
      </c>
      <c r="Q211" s="32" t="n">
        <v>2</v>
      </c>
      <c r="R211" s="31" t="n">
        <v>60.4</v>
      </c>
      <c r="S211" s="31" t="n">
        <v>50.7</v>
      </c>
      <c r="T211" s="30" t="inlineStr">
        <is>
          <t>AMR1</t>
        </is>
      </c>
      <c r="U211" s="31" t="n">
        <v>47.6</v>
      </c>
      <c r="V211" s="31" t="n">
        <v>47.6</v>
      </c>
      <c r="W211" s="30" t="inlineStr">
        <is>
          <t>AMR3</t>
        </is>
      </c>
      <c r="X211" s="32" t="n">
        <v>1</v>
      </c>
      <c r="Y211" s="32" t="n">
        <v>13</v>
      </c>
      <c r="Z211" s="31" t="n">
        <v>9.699999999999999</v>
      </c>
      <c r="AA211" s="32" t="n">
        <v>0</v>
      </c>
      <c r="AB211" s="32" t="n">
        <v>0</v>
      </c>
      <c r="AC211" s="32" t="n">
        <v>0</v>
      </c>
      <c r="AD211" s="32" t="n">
        <v>0</v>
      </c>
      <c r="AE211" s="31" t="n">
        <v>0</v>
      </c>
      <c r="AF211" s="32" t="n">
        <v>0</v>
      </c>
      <c r="AG211" s="31" t="n">
        <v>0</v>
      </c>
      <c r="AH211" s="32" t="n">
        <v>67</v>
      </c>
      <c r="AI211" s="31" t="n">
        <v>66.2</v>
      </c>
      <c r="AJ211" s="31" t="n">
        <v>43.1</v>
      </c>
      <c r="AK211" s="31" t="n">
        <v>0</v>
      </c>
      <c r="AL211" s="30" t="inlineStr">
        <is>
          <t>T-0360</t>
        </is>
      </c>
      <c r="AM211" s="30" t="inlineStr">
        <is>
          <t>E-01-01</t>
        </is>
      </c>
      <c r="AN211" s="30" t="inlineStr">
        <is>
          <t>T-0169</t>
        </is>
      </c>
      <c r="AO211" s="30" t="inlineStr">
        <is>
          <t>E-03-01</t>
        </is>
      </c>
    </row>
    <row r="212">
      <c r="A212" s="30" t="inlineStr">
        <is>
          <t>O0211</t>
        </is>
      </c>
      <c r="B212" s="30" t="inlineStr">
        <is>
          <t>G</t>
        </is>
      </c>
      <c r="C212" s="31" t="n">
        <v>4003.1</v>
      </c>
      <c r="D212" s="31" t="n">
        <v>7516.1</v>
      </c>
      <c r="E212" s="31" t="n">
        <v>7539.6</v>
      </c>
      <c r="F212" s="31" t="n">
        <v>7551.2</v>
      </c>
      <c r="G212" s="31" t="n">
        <v>7581.6</v>
      </c>
      <c r="H212" s="31" t="n">
        <v>7940.4</v>
      </c>
      <c r="I212" s="31" t="n">
        <v>7967.8</v>
      </c>
      <c r="J212" s="31" t="n">
        <v>8005.3</v>
      </c>
      <c r="K212" s="31" t="n">
        <v>4002.2</v>
      </c>
      <c r="L212" s="31" t="n">
        <v>3513</v>
      </c>
      <c r="M212" s="30" t="inlineStr">
        <is>
          <t>AMR2</t>
        </is>
      </c>
      <c r="N212" s="30" t="inlineStr">
        <is>
          <t>AMR3</t>
        </is>
      </c>
      <c r="O212" s="32" t="n">
        <v>1</v>
      </c>
      <c r="P212" s="32" t="n">
        <v>25</v>
      </c>
      <c r="Q212" s="32" t="n">
        <v>16</v>
      </c>
      <c r="R212" s="31" t="n">
        <v>62.1</v>
      </c>
      <c r="S212" s="31" t="n">
        <v>62.1</v>
      </c>
      <c r="T212" s="30" t="inlineStr">
        <is>
          <t>AMR2</t>
        </is>
      </c>
      <c r="U212" s="31" t="n">
        <v>54.1</v>
      </c>
      <c r="V212" s="31" t="n">
        <v>54.1</v>
      </c>
      <c r="W212" s="30" t="inlineStr">
        <is>
          <t>AMR3</t>
        </is>
      </c>
      <c r="X212" s="32" t="n">
        <v>0</v>
      </c>
      <c r="Y212" s="32" t="n">
        <v>0</v>
      </c>
      <c r="Z212" s="31" t="n">
        <v>0</v>
      </c>
      <c r="AA212" s="32" t="n">
        <v>0</v>
      </c>
      <c r="AB212" s="32" t="n">
        <v>0</v>
      </c>
      <c r="AC212" s="32" t="n">
        <v>0</v>
      </c>
      <c r="AD212" s="32" t="n">
        <v>1</v>
      </c>
      <c r="AE212" s="31" t="n">
        <v>8</v>
      </c>
      <c r="AF212" s="32" t="n">
        <v>1</v>
      </c>
      <c r="AG212" s="31" t="n">
        <v>3</v>
      </c>
      <c r="AH212" s="32" t="n">
        <v>77</v>
      </c>
      <c r="AI212" s="31" t="n">
        <v>77.2</v>
      </c>
      <c r="AJ212" s="31" t="n">
        <v>45.2</v>
      </c>
      <c r="AK212" s="31" t="n">
        <v>8</v>
      </c>
      <c r="AL212" s="30" t="inlineStr">
        <is>
          <t>T-0358</t>
        </is>
      </c>
      <c r="AM212" s="30" t="inlineStr">
        <is>
          <t>G-01-01</t>
        </is>
      </c>
      <c r="AN212" s="30" t="inlineStr">
        <is>
          <t>T-0181</t>
        </is>
      </c>
      <c r="AO212" s="30" t="inlineStr">
        <is>
          <t>G-01-02</t>
        </is>
      </c>
    </row>
    <row r="213">
      <c r="A213" s="30" t="inlineStr">
        <is>
          <t>O0212</t>
        </is>
      </c>
      <c r="B213" s="30" t="inlineStr">
        <is>
          <t>D</t>
        </is>
      </c>
      <c r="C213" s="31" t="n">
        <v>4009.8</v>
      </c>
      <c r="D213" s="31" t="n">
        <v>7543</v>
      </c>
      <c r="E213" s="31" t="n">
        <v>7566.5</v>
      </c>
      <c r="F213" s="31" t="n">
        <v>7577.6</v>
      </c>
      <c r="G213" s="31" t="n">
        <v>7601.7</v>
      </c>
      <c r="H213" s="31" t="n">
        <v>8074.6</v>
      </c>
      <c r="I213" s="31" t="n">
        <v>8088.3</v>
      </c>
      <c r="J213" s="31" t="n">
        <v>8117.8</v>
      </c>
      <c r="K213" s="31" t="n">
        <v>4108</v>
      </c>
      <c r="L213" s="31" t="n">
        <v>3533.2</v>
      </c>
      <c r="M213" s="30" t="inlineStr">
        <is>
          <t>AMR1</t>
        </is>
      </c>
      <c r="N213" s="30" t="inlineStr">
        <is>
          <t>AMR3</t>
        </is>
      </c>
      <c r="O213" s="32" t="n">
        <v>1</v>
      </c>
      <c r="P213" s="32" t="n">
        <v>25</v>
      </c>
      <c r="Q213" s="32" t="n">
        <v>2</v>
      </c>
      <c r="R213" s="31" t="n">
        <v>56.8</v>
      </c>
      <c r="S213" s="31" t="n">
        <v>56.8</v>
      </c>
      <c r="T213" s="30" t="inlineStr">
        <is>
          <t>AMR1</t>
        </is>
      </c>
      <c r="U213" s="31" t="n">
        <v>41.5</v>
      </c>
      <c r="V213" s="31" t="n">
        <v>41.5</v>
      </c>
      <c r="W213" s="30" t="inlineStr">
        <is>
          <t>AMR3</t>
        </is>
      </c>
      <c r="X213" s="32" t="n">
        <v>0</v>
      </c>
      <c r="Y213" s="32" t="n">
        <v>0</v>
      </c>
      <c r="Z213" s="31" t="n">
        <v>0</v>
      </c>
      <c r="AA213" s="32" t="n">
        <v>0</v>
      </c>
      <c r="AB213" s="32" t="n">
        <v>0</v>
      </c>
      <c r="AC213" s="32" t="n">
        <v>0</v>
      </c>
      <c r="AD213" s="32" t="n">
        <v>0</v>
      </c>
      <c r="AE213" s="31" t="n">
        <v>0</v>
      </c>
      <c r="AF213" s="32" t="n">
        <v>0</v>
      </c>
      <c r="AG213" s="31" t="n">
        <v>0</v>
      </c>
      <c r="AH213" s="32" t="n">
        <v>55</v>
      </c>
      <c r="AI213" s="31" t="n">
        <v>57.9</v>
      </c>
      <c r="AJ213" s="31" t="n">
        <v>44</v>
      </c>
      <c r="AK213" s="31" t="n">
        <v>0</v>
      </c>
      <c r="AL213" s="30" t="inlineStr">
        <is>
          <t>T-0359</t>
        </is>
      </c>
      <c r="AM213" s="30" t="inlineStr">
        <is>
          <t>D-02-02</t>
        </is>
      </c>
      <c r="AN213" s="30" t="inlineStr">
        <is>
          <t>T-0228</t>
        </is>
      </c>
      <c r="AO213" s="30" t="inlineStr">
        <is>
          <t>D-01-03</t>
        </is>
      </c>
    </row>
    <row r="214">
      <c r="A214" s="30" t="inlineStr">
        <is>
          <t>O0213</t>
        </is>
      </c>
      <c r="B214" s="30" t="inlineStr">
        <is>
          <t>B</t>
        </is>
      </c>
      <c r="C214" s="31" t="n">
        <v>4015.2</v>
      </c>
      <c r="D214" s="31" t="n">
        <v>7643.6</v>
      </c>
      <c r="E214" s="31" t="n">
        <v>7673.1</v>
      </c>
      <c r="F214" s="31" t="n">
        <v>7684.2</v>
      </c>
      <c r="G214" s="31" t="n">
        <v>7709.6</v>
      </c>
      <c r="H214" s="31" t="n">
        <v>8429.799999999999</v>
      </c>
      <c r="I214" s="31" t="n">
        <v>8449.200000000001</v>
      </c>
      <c r="J214" s="31" t="n">
        <v>8479.4</v>
      </c>
      <c r="K214" s="31" t="n">
        <v>4464.2</v>
      </c>
      <c r="L214" s="31" t="n">
        <v>3628.4</v>
      </c>
      <c r="M214" s="30" t="inlineStr">
        <is>
          <t>AMR1</t>
        </is>
      </c>
      <c r="N214" s="30" t="inlineStr">
        <is>
          <t>AMR2</t>
        </is>
      </c>
      <c r="O214" s="32" t="n">
        <v>1</v>
      </c>
      <c r="P214" s="32" t="n">
        <v>25</v>
      </c>
      <c r="Q214" s="32" t="n">
        <v>6</v>
      </c>
      <c r="R214" s="31" t="n">
        <v>57.3</v>
      </c>
      <c r="S214" s="31" t="n">
        <v>57.3</v>
      </c>
      <c r="T214" s="30" t="inlineStr">
        <is>
          <t>AMR1</t>
        </is>
      </c>
      <c r="U214" s="31" t="n">
        <v>49.1</v>
      </c>
      <c r="V214" s="31" t="n">
        <v>49.1</v>
      </c>
      <c r="W214" s="30" t="inlineStr">
        <is>
          <t>AMR2</t>
        </is>
      </c>
      <c r="X214" s="32" t="n">
        <v>0</v>
      </c>
      <c r="Y214" s="32" t="n">
        <v>0</v>
      </c>
      <c r="Z214" s="31" t="n">
        <v>0</v>
      </c>
      <c r="AA214" s="32" t="n">
        <v>0</v>
      </c>
      <c r="AB214" s="32" t="n">
        <v>0</v>
      </c>
      <c r="AC214" s="32" t="n">
        <v>0</v>
      </c>
      <c r="AD214" s="32" t="n">
        <v>0</v>
      </c>
      <c r="AE214" s="31" t="n">
        <v>0</v>
      </c>
      <c r="AF214" s="32" t="n">
        <v>1</v>
      </c>
      <c r="AG214" s="31" t="n">
        <v>1</v>
      </c>
      <c r="AH214" s="32" t="n">
        <v>64</v>
      </c>
      <c r="AI214" s="31" t="n">
        <v>64.7</v>
      </c>
      <c r="AJ214" s="31" t="n">
        <v>44.9</v>
      </c>
      <c r="AK214" s="31" t="n">
        <v>6</v>
      </c>
      <c r="AL214" s="30" t="inlineStr">
        <is>
          <t>T-0362</t>
        </is>
      </c>
      <c r="AM214" s="30" t="inlineStr">
        <is>
          <t>B-03-02</t>
        </is>
      </c>
      <c r="AN214" s="30" t="inlineStr">
        <is>
          <t>T-0207</t>
        </is>
      </c>
      <c r="AO214" s="30" t="inlineStr">
        <is>
          <t>B-02-03</t>
        </is>
      </c>
    </row>
    <row r="215">
      <c r="A215" s="30" t="inlineStr">
        <is>
          <t>O0214</t>
        </is>
      </c>
      <c r="B215" s="30" t="inlineStr">
        <is>
          <t>C</t>
        </is>
      </c>
      <c r="C215" s="31" t="n">
        <v>4020.9</v>
      </c>
      <c r="D215" s="31" t="n">
        <v>7624.5</v>
      </c>
      <c r="E215" s="31" t="n">
        <v>7649</v>
      </c>
      <c r="F215" s="31" t="n">
        <v>7659.9</v>
      </c>
      <c r="G215" s="31" t="n">
        <v>7683.1</v>
      </c>
      <c r="H215" s="31" t="n">
        <v>8047.7</v>
      </c>
      <c r="I215" s="31" t="n">
        <v>8058.7</v>
      </c>
      <c r="J215" s="31" t="n">
        <v>8088.5</v>
      </c>
      <c r="K215" s="31" t="n">
        <v>4067.6</v>
      </c>
      <c r="L215" s="31" t="n">
        <v>3603.6</v>
      </c>
      <c r="M215" s="30" t="inlineStr">
        <is>
          <t>AMR2</t>
        </is>
      </c>
      <c r="N215" s="30" t="inlineStr">
        <is>
          <t>AMR1</t>
        </is>
      </c>
      <c r="O215" s="32" t="n">
        <v>1</v>
      </c>
      <c r="P215" s="32" t="n">
        <v>25</v>
      </c>
      <c r="Q215" s="32" t="n">
        <v>0</v>
      </c>
      <c r="R215" s="31" t="n">
        <v>55.7</v>
      </c>
      <c r="S215" s="31" t="n">
        <v>55.7</v>
      </c>
      <c r="T215" s="30" t="inlineStr">
        <is>
          <t>AMR2</t>
        </is>
      </c>
      <c r="U215" s="31" t="n">
        <v>41</v>
      </c>
      <c r="V215" s="31" t="n">
        <v>41</v>
      </c>
      <c r="W215" s="30" t="inlineStr">
        <is>
          <t>AMR1</t>
        </is>
      </c>
      <c r="X215" s="32" t="n">
        <v>0</v>
      </c>
      <c r="Y215" s="32" t="n">
        <v>0</v>
      </c>
      <c r="Z215" s="31" t="n">
        <v>0</v>
      </c>
      <c r="AA215" s="32" t="n">
        <v>0</v>
      </c>
      <c r="AB215" s="32" t="n">
        <v>0</v>
      </c>
      <c r="AC215" s="32" t="n">
        <v>0</v>
      </c>
      <c r="AD215" s="32" t="n">
        <v>0</v>
      </c>
      <c r="AE215" s="31" t="n">
        <v>0</v>
      </c>
      <c r="AF215" s="32" t="n">
        <v>0</v>
      </c>
      <c r="AG215" s="31" t="n">
        <v>0</v>
      </c>
      <c r="AH215" s="32" t="n">
        <v>53</v>
      </c>
      <c r="AI215" s="31" t="n">
        <v>54.1</v>
      </c>
      <c r="AJ215" s="31" t="n">
        <v>44.3</v>
      </c>
      <c r="AK215" s="31" t="n">
        <v>1</v>
      </c>
      <c r="AL215" s="30" t="inlineStr">
        <is>
          <t>T-0361</t>
        </is>
      </c>
      <c r="AM215" s="30" t="inlineStr">
        <is>
          <t>C-04-01</t>
        </is>
      </c>
      <c r="AN215" s="30" t="inlineStr">
        <is>
          <t>T-0232</t>
        </is>
      </c>
      <c r="AO215" s="30" t="inlineStr">
        <is>
          <t>C-01-02</t>
        </is>
      </c>
    </row>
    <row r="216">
      <c r="A216" s="30" t="inlineStr">
        <is>
          <t>O0215</t>
        </is>
      </c>
      <c r="B216" s="30" t="inlineStr">
        <is>
          <t>I</t>
        </is>
      </c>
      <c r="C216" s="31" t="n">
        <v>4027.1</v>
      </c>
      <c r="D216" s="31" t="n">
        <v>8117.9</v>
      </c>
      <c r="E216" s="31" t="n">
        <v>8141.4</v>
      </c>
      <c r="F216" s="31" t="n">
        <v>8157.7</v>
      </c>
      <c r="G216" s="31" t="n">
        <v>8185.5</v>
      </c>
      <c r="H216" s="31" t="n">
        <v>8185.6</v>
      </c>
      <c r="I216" s="31" t="n">
        <v>8198.9</v>
      </c>
      <c r="J216" s="31" t="n">
        <v>8225.5</v>
      </c>
      <c r="K216" s="31" t="n">
        <v>4198.4</v>
      </c>
      <c r="L216" s="31" t="n">
        <v>4090.8</v>
      </c>
      <c r="M216" s="30" t="inlineStr">
        <is>
          <t>AMR3</t>
        </is>
      </c>
      <c r="N216" s="30" t="inlineStr">
        <is>
          <t>AMR3</t>
        </is>
      </c>
      <c r="O216" s="32" t="n">
        <v>1</v>
      </c>
      <c r="P216" s="32" t="n">
        <v>25</v>
      </c>
      <c r="Q216" s="32" t="n">
        <v>1</v>
      </c>
      <c r="R216" s="31" t="n">
        <v>64.2</v>
      </c>
      <c r="S216" s="31" t="n">
        <v>64.2</v>
      </c>
      <c r="T216" s="30" t="inlineStr">
        <is>
          <t>AMR3</t>
        </is>
      </c>
      <c r="U216" s="31" t="n">
        <v>39.5</v>
      </c>
      <c r="V216" s="31" t="n">
        <v>39.5</v>
      </c>
      <c r="W216" s="30" t="inlineStr">
        <is>
          <t>AMR3</t>
        </is>
      </c>
      <c r="X216" s="32" t="n">
        <v>0</v>
      </c>
      <c r="Y216" s="32" t="n">
        <v>0</v>
      </c>
      <c r="Z216" s="31" t="n">
        <v>0</v>
      </c>
      <c r="AA216" s="32" t="n">
        <v>0</v>
      </c>
      <c r="AB216" s="32" t="n">
        <v>0</v>
      </c>
      <c r="AC216" s="32" t="n">
        <v>0</v>
      </c>
      <c r="AD216" s="32" t="n">
        <v>0</v>
      </c>
      <c r="AE216" s="31" t="n">
        <v>0</v>
      </c>
      <c r="AF216" s="32" t="n">
        <v>0</v>
      </c>
      <c r="AG216" s="31" t="n">
        <v>0</v>
      </c>
      <c r="AH216" s="32" t="n">
        <v>56</v>
      </c>
      <c r="AI216" s="31" t="n">
        <v>57.9</v>
      </c>
      <c r="AJ216" s="31" t="n">
        <v>49.6</v>
      </c>
      <c r="AK216" s="31" t="n">
        <v>0</v>
      </c>
      <c r="AL216" s="30" t="inlineStr">
        <is>
          <t>T-0373</t>
        </is>
      </c>
      <c r="AM216" s="30" t="inlineStr">
        <is>
          <t>I-04-01</t>
        </is>
      </c>
      <c r="AN216" s="30" t="inlineStr">
        <is>
          <t>T-0280</t>
        </is>
      </c>
      <c r="AO216" s="30" t="inlineStr">
        <is>
          <t>I-05-01</t>
        </is>
      </c>
    </row>
    <row r="217">
      <c r="A217" s="30" t="inlineStr">
        <is>
          <t>O0216</t>
        </is>
      </c>
      <c r="B217" s="30" t="inlineStr">
        <is>
          <t>H</t>
        </is>
      </c>
      <c r="C217" s="31" t="n">
        <v>4031.6</v>
      </c>
      <c r="D217" s="31" t="n">
        <v>7764.8</v>
      </c>
      <c r="E217" s="31" t="n">
        <v>7788.3</v>
      </c>
      <c r="F217" s="31" t="n">
        <v>7800.2</v>
      </c>
      <c r="G217" s="31" t="n">
        <v>7828.2</v>
      </c>
      <c r="H217" s="31" t="n">
        <v>7828.3</v>
      </c>
      <c r="I217" s="31" t="n">
        <v>7838.9</v>
      </c>
      <c r="J217" s="31" t="n">
        <v>7863.9</v>
      </c>
      <c r="K217" s="31" t="n">
        <v>3832.3</v>
      </c>
      <c r="L217" s="31" t="n">
        <v>3733.2</v>
      </c>
      <c r="M217" s="30" t="inlineStr">
        <is>
          <t>AMR1</t>
        </is>
      </c>
      <c r="N217" s="30" t="inlineStr">
        <is>
          <t>AMR1</t>
        </is>
      </c>
      <c r="O217" s="32" t="n">
        <v>1</v>
      </c>
      <c r="P217" s="32" t="n">
        <v>25</v>
      </c>
      <c r="Q217" s="32" t="n">
        <v>0</v>
      </c>
      <c r="R217" s="31" t="n">
        <v>60.8</v>
      </c>
      <c r="S217" s="31" t="n">
        <v>60.8</v>
      </c>
      <c r="T217" s="30" t="inlineStr">
        <is>
          <t>AMR1</t>
        </is>
      </c>
      <c r="U217" s="31" t="n">
        <v>34.8</v>
      </c>
      <c r="V217" s="31" t="n">
        <v>34.8</v>
      </c>
      <c r="W217" s="30" t="inlineStr">
        <is>
          <t>AMR1</t>
        </is>
      </c>
      <c r="X217" s="32" t="n">
        <v>0</v>
      </c>
      <c r="Y217" s="32" t="n">
        <v>0</v>
      </c>
      <c r="Z217" s="31" t="n">
        <v>0</v>
      </c>
      <c r="AA217" s="32" t="n">
        <v>0</v>
      </c>
      <c r="AB217" s="32" t="n">
        <v>0</v>
      </c>
      <c r="AC217" s="32" t="n">
        <v>0</v>
      </c>
      <c r="AD217" s="32" t="n">
        <v>0</v>
      </c>
      <c r="AE217" s="31" t="n">
        <v>0</v>
      </c>
      <c r="AF217" s="32" t="n">
        <v>0</v>
      </c>
      <c r="AG217" s="31" t="n">
        <v>0</v>
      </c>
      <c r="AH217" s="32" t="n">
        <v>54</v>
      </c>
      <c r="AI217" s="31" t="n">
        <v>56.3</v>
      </c>
      <c r="AJ217" s="31" t="n">
        <v>42.7</v>
      </c>
      <c r="AK217" s="31" t="n">
        <v>0</v>
      </c>
      <c r="AL217" s="30" t="inlineStr">
        <is>
          <t>T-0365</t>
        </is>
      </c>
      <c r="AM217" s="30" t="inlineStr">
        <is>
          <t>H-03-01</t>
        </is>
      </c>
      <c r="AN217" s="30" t="inlineStr">
        <is>
          <t>T-0226</t>
        </is>
      </c>
      <c r="AO217" s="30" t="inlineStr">
        <is>
          <t>H-03-02</t>
        </is>
      </c>
    </row>
    <row r="218">
      <c r="A218" s="30" t="inlineStr">
        <is>
          <t>O0217</t>
        </is>
      </c>
      <c r="B218" s="30" t="inlineStr">
        <is>
          <t>A</t>
        </is>
      </c>
      <c r="C218" s="31" t="n">
        <v>4037.9</v>
      </c>
      <c r="D218" s="31" t="n">
        <v>7825.9</v>
      </c>
      <c r="E218" s="31" t="n">
        <v>7849.4</v>
      </c>
      <c r="F218" s="31" t="n">
        <v>7863.6</v>
      </c>
      <c r="G218" s="31" t="n">
        <v>7891.5</v>
      </c>
      <c r="H218" s="31" t="n">
        <v>10220.8</v>
      </c>
      <c r="I218" s="31" t="n">
        <v>10236</v>
      </c>
      <c r="J218" s="31" t="n">
        <v>10274.5</v>
      </c>
      <c r="K218" s="31" t="n">
        <v>6236.6</v>
      </c>
      <c r="L218" s="31" t="n">
        <v>3788</v>
      </c>
      <c r="M218" s="30" t="inlineStr">
        <is>
          <t>AMR3</t>
        </is>
      </c>
      <c r="N218" s="30" t="inlineStr">
        <is>
          <t>AMR2</t>
        </is>
      </c>
      <c r="O218" s="32" t="n">
        <v>1</v>
      </c>
      <c r="P218" s="32" t="n">
        <v>25</v>
      </c>
      <c r="Q218" s="32" t="n">
        <v>1</v>
      </c>
      <c r="R218" s="31" t="n">
        <v>62.1</v>
      </c>
      <c r="S218" s="31" t="n">
        <v>56.3</v>
      </c>
      <c r="T218" s="30" t="inlineStr">
        <is>
          <t>AMR1</t>
        </is>
      </c>
      <c r="U218" s="31" t="n">
        <v>52.9</v>
      </c>
      <c r="V218" s="31" t="n">
        <v>52.9</v>
      </c>
      <c r="W218" s="30" t="inlineStr">
        <is>
          <t>AMR2</t>
        </is>
      </c>
      <c r="X218" s="32" t="n">
        <v>1</v>
      </c>
      <c r="Y218" s="32" t="n">
        <v>10</v>
      </c>
      <c r="Z218" s="31" t="n">
        <v>5.8</v>
      </c>
      <c r="AA218" s="32" t="n">
        <v>0</v>
      </c>
      <c r="AB218" s="32" t="n">
        <v>0</v>
      </c>
      <c r="AC218" s="32" t="n">
        <v>0</v>
      </c>
      <c r="AD218" s="32" t="n">
        <v>0</v>
      </c>
      <c r="AE218" s="31" t="n">
        <v>0</v>
      </c>
      <c r="AF218" s="32" t="n">
        <v>0</v>
      </c>
      <c r="AG218" s="31" t="n">
        <v>0</v>
      </c>
      <c r="AH218" s="32" t="n">
        <v>74</v>
      </c>
      <c r="AI218" s="31" t="n">
        <v>71.7</v>
      </c>
      <c r="AJ218" s="31" t="n">
        <v>47.6</v>
      </c>
      <c r="AK218" s="31" t="n">
        <v>0</v>
      </c>
      <c r="AL218" s="30" t="inlineStr">
        <is>
          <t>T-0366</t>
        </is>
      </c>
      <c r="AM218" s="30" t="inlineStr">
        <is>
          <t>A-02-01</t>
        </is>
      </c>
      <c r="AN218" s="30" t="inlineStr">
        <is>
          <t>T-0185</t>
        </is>
      </c>
      <c r="AO218" s="30" t="inlineStr">
        <is>
          <t>A-01-02</t>
        </is>
      </c>
    </row>
    <row r="219">
      <c r="A219" s="30" t="inlineStr">
        <is>
          <t>O0218</t>
        </is>
      </c>
      <c r="B219" s="30" t="inlineStr">
        <is>
          <t>F</t>
        </is>
      </c>
      <c r="C219" s="31" t="n">
        <v>4044.8</v>
      </c>
      <c r="D219" s="31" t="n">
        <v>8794</v>
      </c>
      <c r="E219" s="31" t="n">
        <v>8817.5</v>
      </c>
      <c r="F219" s="31" t="n">
        <v>8829.9</v>
      </c>
      <c r="G219" s="31" t="n">
        <v>8861.9</v>
      </c>
      <c r="H219" s="31" t="n">
        <v>8862</v>
      </c>
      <c r="I219" s="31" t="n">
        <v>8874</v>
      </c>
      <c r="J219" s="31" t="n">
        <v>8908.799999999999</v>
      </c>
      <c r="K219" s="31" t="n">
        <v>4864</v>
      </c>
      <c r="L219" s="31" t="n">
        <v>4749.2</v>
      </c>
      <c r="M219" s="30" t="inlineStr">
        <is>
          <t>AMR2</t>
        </is>
      </c>
      <c r="N219" s="30" t="inlineStr">
        <is>
          <t>AMR2</t>
        </is>
      </c>
      <c r="O219" s="32" t="n">
        <v>1</v>
      </c>
      <c r="P219" s="32" t="n">
        <v>25</v>
      </c>
      <c r="Q219" s="32" t="n">
        <v>2</v>
      </c>
      <c r="R219" s="31" t="n">
        <v>66.90000000000001</v>
      </c>
      <c r="S219" s="31" t="n">
        <v>66.90000000000001</v>
      </c>
      <c r="T219" s="30" t="inlineStr">
        <is>
          <t>AMR2</t>
        </is>
      </c>
      <c r="U219" s="31" t="n">
        <v>46.5</v>
      </c>
      <c r="V219" s="31" t="n">
        <v>46.5</v>
      </c>
      <c r="W219" s="30" t="inlineStr">
        <is>
          <t>AMR2</t>
        </is>
      </c>
      <c r="X219" s="32" t="n">
        <v>0</v>
      </c>
      <c r="Y219" s="32" t="n">
        <v>0</v>
      </c>
      <c r="Z219" s="31" t="n">
        <v>0</v>
      </c>
      <c r="AA219" s="32" t="n">
        <v>0</v>
      </c>
      <c r="AB219" s="32" t="n">
        <v>0</v>
      </c>
      <c r="AC219" s="32" t="n">
        <v>0</v>
      </c>
      <c r="AD219" s="32" t="n">
        <v>0</v>
      </c>
      <c r="AE219" s="31" t="n">
        <v>0</v>
      </c>
      <c r="AF219" s="32" t="n">
        <v>0</v>
      </c>
      <c r="AG219" s="31" t="n">
        <v>0</v>
      </c>
      <c r="AH219" s="32" t="n">
        <v>70</v>
      </c>
      <c r="AI219" s="31" t="n">
        <v>69.90000000000001</v>
      </c>
      <c r="AJ219" s="31" t="n">
        <v>44.8</v>
      </c>
      <c r="AK219" s="31" t="n">
        <v>0</v>
      </c>
      <c r="AL219" s="30" t="inlineStr">
        <is>
          <t>T-0393</t>
        </is>
      </c>
      <c r="AM219" s="30" t="inlineStr">
        <is>
          <t>F-06-01</t>
        </is>
      </c>
      <c r="AN219" s="30" t="inlineStr">
        <is>
          <t>T-0222</t>
        </is>
      </c>
      <c r="AO219" s="30" t="inlineStr">
        <is>
          <t>F-03-02</t>
        </is>
      </c>
    </row>
    <row r="220">
      <c r="A220" s="30" t="inlineStr">
        <is>
          <t>O0219</t>
        </is>
      </c>
      <c r="B220" s="30" t="inlineStr">
        <is>
          <t>H</t>
        </is>
      </c>
      <c r="C220" s="31" t="n">
        <v>4048.4</v>
      </c>
      <c r="D220" s="31" t="n">
        <v>7843.1</v>
      </c>
      <c r="E220" s="31" t="n">
        <v>7873.6</v>
      </c>
      <c r="F220" s="31" t="n">
        <v>7887.3</v>
      </c>
      <c r="G220" s="31" t="n">
        <v>7915.8</v>
      </c>
      <c r="H220" s="31" t="n">
        <v>7915.9</v>
      </c>
      <c r="I220" s="31" t="n">
        <v>7929.7</v>
      </c>
      <c r="J220" s="31" t="n">
        <v>7953.8</v>
      </c>
      <c r="K220" s="31" t="n">
        <v>3905.4</v>
      </c>
      <c r="L220" s="31" t="n">
        <v>3794.7</v>
      </c>
      <c r="M220" s="30" t="inlineStr">
        <is>
          <t>AMR2</t>
        </is>
      </c>
      <c r="N220" s="30" t="inlineStr">
        <is>
          <t>AMR2</t>
        </is>
      </c>
      <c r="O220" s="32" t="n">
        <v>1</v>
      </c>
      <c r="P220" s="32" t="n">
        <v>25</v>
      </c>
      <c r="Q220" s="32" t="n">
        <v>0</v>
      </c>
      <c r="R220" s="31" t="n">
        <v>63.1</v>
      </c>
      <c r="S220" s="31" t="n">
        <v>63.1</v>
      </c>
      <c r="T220" s="30" t="inlineStr">
        <is>
          <t>AMR2</t>
        </is>
      </c>
      <c r="U220" s="31" t="n">
        <v>37.2</v>
      </c>
      <c r="V220" s="31" t="n">
        <v>37.2</v>
      </c>
      <c r="W220" s="30" t="inlineStr">
        <is>
          <t>AMR2</t>
        </is>
      </c>
      <c r="X220" s="32" t="n">
        <v>0</v>
      </c>
      <c r="Y220" s="32" t="n">
        <v>0</v>
      </c>
      <c r="Z220" s="31" t="n">
        <v>0</v>
      </c>
      <c r="AA220" s="32" t="n">
        <v>0</v>
      </c>
      <c r="AB220" s="32" t="n">
        <v>0</v>
      </c>
      <c r="AC220" s="32" t="n">
        <v>0</v>
      </c>
      <c r="AD220" s="32" t="n">
        <v>0</v>
      </c>
      <c r="AE220" s="31" t="n">
        <v>0</v>
      </c>
      <c r="AF220" s="32" t="n">
        <v>1</v>
      </c>
      <c r="AG220" s="31" t="n">
        <v>2</v>
      </c>
      <c r="AH220" s="32" t="n">
        <v>54</v>
      </c>
      <c r="AI220" s="31" t="n">
        <v>56.2</v>
      </c>
      <c r="AJ220" s="31" t="n">
        <v>47.4</v>
      </c>
      <c r="AK220" s="31" t="n">
        <v>7</v>
      </c>
      <c r="AL220" s="30" t="inlineStr">
        <is>
          <t>T-0367</t>
        </is>
      </c>
      <c r="AM220" s="30" t="inlineStr">
        <is>
          <t>H-03-02</t>
        </is>
      </c>
      <c r="AN220" s="30" t="inlineStr">
        <is>
          <t>T-0234</t>
        </is>
      </c>
      <c r="AO220" s="30" t="inlineStr">
        <is>
          <t>H-06-02</t>
        </is>
      </c>
    </row>
    <row r="221">
      <c r="A221" s="30" t="inlineStr">
        <is>
          <t>O0220</t>
        </is>
      </c>
      <c r="B221" s="30" t="inlineStr">
        <is>
          <t>I</t>
        </is>
      </c>
      <c r="C221" s="31" t="n">
        <v>4054.6</v>
      </c>
      <c r="D221" s="31" t="n">
        <v>8225.6</v>
      </c>
      <c r="E221" s="31" t="n">
        <v>8249.1</v>
      </c>
      <c r="F221" s="31" t="n">
        <v>8265.200000000001</v>
      </c>
      <c r="G221" s="31" t="n">
        <v>8291.9</v>
      </c>
      <c r="H221" s="31" t="n">
        <v>8292</v>
      </c>
      <c r="I221" s="31" t="n">
        <v>8304.799999999999</v>
      </c>
      <c r="J221" s="31" t="n">
        <v>8336.1</v>
      </c>
      <c r="K221" s="31" t="n">
        <v>4281.5</v>
      </c>
      <c r="L221" s="31" t="n">
        <v>4171</v>
      </c>
      <c r="M221" s="30" t="inlineStr">
        <is>
          <t>AMR3</t>
        </is>
      </c>
      <c r="N221" s="30" t="inlineStr">
        <is>
          <t>AMR3</t>
        </is>
      </c>
      <c r="O221" s="32" t="n">
        <v>1</v>
      </c>
      <c r="P221" s="32" t="n">
        <v>25</v>
      </c>
      <c r="Q221" s="32" t="n">
        <v>1</v>
      </c>
      <c r="R221" s="31" t="n">
        <v>62.9</v>
      </c>
      <c r="S221" s="31" t="n">
        <v>62.9</v>
      </c>
      <c r="T221" s="30" t="inlineStr">
        <is>
          <t>AMR3</t>
        </is>
      </c>
      <c r="U221" s="31" t="n">
        <v>41.2</v>
      </c>
      <c r="V221" s="31" t="n">
        <v>41.2</v>
      </c>
      <c r="W221" s="30" t="inlineStr">
        <is>
          <t>AMR3</t>
        </is>
      </c>
      <c r="X221" s="32" t="n">
        <v>0</v>
      </c>
      <c r="Y221" s="32" t="n">
        <v>0</v>
      </c>
      <c r="Z221" s="31" t="n">
        <v>0</v>
      </c>
      <c r="AA221" s="32" t="n">
        <v>0</v>
      </c>
      <c r="AB221" s="32" t="n">
        <v>0</v>
      </c>
      <c r="AC221" s="32" t="n">
        <v>0</v>
      </c>
      <c r="AD221" s="32" t="n">
        <v>0</v>
      </c>
      <c r="AE221" s="31" t="n">
        <v>0</v>
      </c>
      <c r="AF221" s="32" t="n">
        <v>0</v>
      </c>
      <c r="AG221" s="31" t="n">
        <v>0</v>
      </c>
      <c r="AH221" s="32" t="n">
        <v>58</v>
      </c>
      <c r="AI221" s="31" t="n">
        <v>60.4</v>
      </c>
      <c r="AJ221" s="31" t="n">
        <v>50</v>
      </c>
      <c r="AK221" s="31" t="n">
        <v>0</v>
      </c>
      <c r="AL221" s="30" t="inlineStr">
        <is>
          <t>T-0376</t>
        </is>
      </c>
      <c r="AM221" s="30" t="inlineStr">
        <is>
          <t>I-05-01</t>
        </is>
      </c>
      <c r="AN221" s="30" t="inlineStr">
        <is>
          <t>T-0285</t>
        </is>
      </c>
      <c r="AO221" s="30" t="inlineStr">
        <is>
          <t>I-06-01</t>
        </is>
      </c>
    </row>
    <row r="222">
      <c r="A222" s="30" t="inlineStr">
        <is>
          <t>O0221</t>
        </is>
      </c>
      <c r="B222" s="30" t="inlineStr">
        <is>
          <t>E</t>
        </is>
      </c>
      <c r="C222" s="31" t="n">
        <v>4059.4</v>
      </c>
      <c r="D222" s="31" t="n">
        <v>7864</v>
      </c>
      <c r="E222" s="31" t="n">
        <v>7897.5</v>
      </c>
      <c r="F222" s="31" t="n">
        <v>7910.6</v>
      </c>
      <c r="G222" s="31" t="n">
        <v>7940.3</v>
      </c>
      <c r="H222" s="31" t="n">
        <v>10714.6</v>
      </c>
      <c r="I222" s="31" t="n">
        <v>10727.3</v>
      </c>
      <c r="J222" s="31" t="n">
        <v>10764.4</v>
      </c>
      <c r="K222" s="31" t="n">
        <v>6705</v>
      </c>
      <c r="L222" s="31" t="n">
        <v>3804.6</v>
      </c>
      <c r="M222" s="30" t="inlineStr">
        <is>
          <t>AMR1</t>
        </is>
      </c>
      <c r="N222" s="30" t="inlineStr">
        <is>
          <t>AMR3</t>
        </is>
      </c>
      <c r="O222" s="32" t="n">
        <v>1</v>
      </c>
      <c r="P222" s="32" t="n">
        <v>25</v>
      </c>
      <c r="Q222" s="32" t="n">
        <v>1</v>
      </c>
      <c r="R222" s="31" t="n">
        <v>62.8</v>
      </c>
      <c r="S222" s="31" t="n">
        <v>62.8</v>
      </c>
      <c r="T222" s="30" t="inlineStr">
        <is>
          <t>AMR1</t>
        </is>
      </c>
      <c r="U222" s="31" t="n">
        <v>50.4</v>
      </c>
      <c r="V222" s="31" t="n">
        <v>50.4</v>
      </c>
      <c r="W222" s="30" t="inlineStr">
        <is>
          <t>AMR3</t>
        </is>
      </c>
      <c r="X222" s="32" t="n">
        <v>0</v>
      </c>
      <c r="Y222" s="32" t="n">
        <v>0</v>
      </c>
      <c r="Z222" s="31" t="n">
        <v>0</v>
      </c>
      <c r="AA222" s="32" t="n">
        <v>0</v>
      </c>
      <c r="AB222" s="32" t="n">
        <v>0</v>
      </c>
      <c r="AC222" s="32" t="n">
        <v>0</v>
      </c>
      <c r="AD222" s="32" t="n">
        <v>0</v>
      </c>
      <c r="AE222" s="31" t="n">
        <v>0</v>
      </c>
      <c r="AF222" s="32" t="n">
        <v>1</v>
      </c>
      <c r="AG222" s="31" t="n">
        <v>5</v>
      </c>
      <c r="AH222" s="32" t="n">
        <v>68</v>
      </c>
      <c r="AI222" s="31" t="n">
        <v>67.09999999999999</v>
      </c>
      <c r="AJ222" s="31" t="n">
        <v>49</v>
      </c>
      <c r="AK222" s="31" t="n">
        <v>10</v>
      </c>
      <c r="AL222" s="30" t="inlineStr">
        <is>
          <t>T-0368</t>
        </is>
      </c>
      <c r="AM222" s="30" t="inlineStr">
        <is>
          <t>E-05-03</t>
        </is>
      </c>
      <c r="AN222" s="30" t="inlineStr">
        <is>
          <t>T-0202</t>
        </is>
      </c>
      <c r="AO222" s="30" t="inlineStr">
        <is>
          <t>E-04-02</t>
        </is>
      </c>
    </row>
    <row r="223">
      <c r="A223" s="30" t="inlineStr">
        <is>
          <t>O0222</t>
        </is>
      </c>
      <c r="B223" s="30" t="inlineStr">
        <is>
          <t>A</t>
        </is>
      </c>
      <c r="C223" s="31" t="n">
        <v>4065.8</v>
      </c>
      <c r="D223" s="31" t="n">
        <v>8129.9</v>
      </c>
      <c r="E223" s="31" t="n">
        <v>8165.4</v>
      </c>
      <c r="F223" s="31" t="n">
        <v>8177.9</v>
      </c>
      <c r="G223" s="31" t="n">
        <v>8206.700000000001</v>
      </c>
      <c r="H223" s="31" t="n">
        <v>8206.799999999999</v>
      </c>
      <c r="I223" s="31" t="n">
        <v>8215.700000000001</v>
      </c>
      <c r="J223" s="31" t="n">
        <v>8249.799999999999</v>
      </c>
      <c r="K223" s="31" t="n">
        <v>4184</v>
      </c>
      <c r="L223" s="31" t="n">
        <v>4064.1</v>
      </c>
      <c r="M223" s="30" t="inlineStr">
        <is>
          <t>AMR2</t>
        </is>
      </c>
      <c r="N223" s="30" t="inlineStr">
        <is>
          <t>AMR2</t>
        </is>
      </c>
      <c r="O223" s="32" t="n">
        <v>1</v>
      </c>
      <c r="P223" s="32" t="n">
        <v>25</v>
      </c>
      <c r="Q223" s="32" t="n">
        <v>1</v>
      </c>
      <c r="R223" s="31" t="n">
        <v>62.9</v>
      </c>
      <c r="S223" s="31" t="n">
        <v>62.9</v>
      </c>
      <c r="T223" s="30" t="inlineStr">
        <is>
          <t>AMR2</t>
        </is>
      </c>
      <c r="U223" s="31" t="n">
        <v>43.7</v>
      </c>
      <c r="V223" s="31" t="n">
        <v>43.7</v>
      </c>
      <c r="W223" s="30" t="inlineStr">
        <is>
          <t>AMR2</t>
        </is>
      </c>
      <c r="X223" s="32" t="n">
        <v>0</v>
      </c>
      <c r="Y223" s="32" t="n">
        <v>0</v>
      </c>
      <c r="Z223" s="31" t="n">
        <v>0</v>
      </c>
      <c r="AA223" s="32" t="n">
        <v>0</v>
      </c>
      <c r="AB223" s="32" t="n">
        <v>0</v>
      </c>
      <c r="AC223" s="32" t="n">
        <v>0</v>
      </c>
      <c r="AD223" s="32" t="n">
        <v>0</v>
      </c>
      <c r="AE223" s="31" t="n">
        <v>0</v>
      </c>
      <c r="AF223" s="32" t="n">
        <v>1</v>
      </c>
      <c r="AG223" s="31" t="n">
        <v>7</v>
      </c>
      <c r="AH223" s="32" t="n">
        <v>70</v>
      </c>
      <c r="AI223" s="31" t="n">
        <v>68.59999999999999</v>
      </c>
      <c r="AJ223" s="31" t="n">
        <v>39.2</v>
      </c>
      <c r="AK223" s="31" t="n">
        <v>12</v>
      </c>
      <c r="AL223" s="30" t="inlineStr">
        <is>
          <t>T-0374</t>
        </is>
      </c>
      <c r="AM223" s="30" t="inlineStr">
        <is>
          <t>A-05-03</t>
        </is>
      </c>
      <c r="AN223" s="30" t="inlineStr">
        <is>
          <t>T-0159</t>
        </is>
      </c>
      <c r="AO223" s="30" t="inlineStr">
        <is>
          <t>A-03-01</t>
        </is>
      </c>
    </row>
    <row r="224">
      <c r="A224" s="30" t="inlineStr">
        <is>
          <t>O0223</t>
        </is>
      </c>
      <c r="B224" s="30" t="inlineStr">
        <is>
          <t>I</t>
        </is>
      </c>
      <c r="C224" s="31" t="n">
        <v>4072.3</v>
      </c>
      <c r="D224" s="31" t="n">
        <v>8005.4</v>
      </c>
      <c r="E224" s="31" t="n">
        <v>8033.9</v>
      </c>
      <c r="F224" s="31" t="n">
        <v>8046.8</v>
      </c>
      <c r="G224" s="31" t="n">
        <v>8074.5</v>
      </c>
      <c r="H224" s="31" t="n">
        <v>8610.299999999999</v>
      </c>
      <c r="I224" s="31" t="n">
        <v>8637.200000000001</v>
      </c>
      <c r="J224" s="31" t="n">
        <v>8669.200000000001</v>
      </c>
      <c r="K224" s="31" t="n">
        <v>4596.9</v>
      </c>
      <c r="L224" s="31" t="n">
        <v>3933.1</v>
      </c>
      <c r="M224" s="30" t="inlineStr">
        <is>
          <t>AMR3</t>
        </is>
      </c>
      <c r="N224" s="30" t="inlineStr">
        <is>
          <t>AMR1</t>
        </is>
      </c>
      <c r="O224" s="32" t="n">
        <v>1</v>
      </c>
      <c r="P224" s="32" t="n">
        <v>25</v>
      </c>
      <c r="Q224" s="32" t="n">
        <v>14</v>
      </c>
      <c r="R224" s="31" t="n">
        <v>61.5</v>
      </c>
      <c r="S224" s="31" t="n">
        <v>61.5</v>
      </c>
      <c r="T224" s="30" t="inlineStr">
        <is>
          <t>AMR3</t>
        </is>
      </c>
      <c r="U224" s="31" t="n">
        <v>54.6</v>
      </c>
      <c r="V224" s="31" t="n">
        <v>54.6</v>
      </c>
      <c r="W224" s="30" t="inlineStr">
        <is>
          <t>AMR1</t>
        </is>
      </c>
      <c r="X224" s="32" t="n">
        <v>0</v>
      </c>
      <c r="Y224" s="32" t="n">
        <v>0</v>
      </c>
      <c r="Z224" s="31" t="n">
        <v>0</v>
      </c>
      <c r="AA224" s="32" t="n">
        <v>0</v>
      </c>
      <c r="AB224" s="32" t="n">
        <v>0</v>
      </c>
      <c r="AC224" s="32" t="n">
        <v>0</v>
      </c>
      <c r="AD224" s="32" t="n">
        <v>1</v>
      </c>
      <c r="AE224" s="31" t="n">
        <v>1.5</v>
      </c>
      <c r="AF224" s="32" t="n">
        <v>0</v>
      </c>
      <c r="AG224" s="31" t="n">
        <v>0</v>
      </c>
      <c r="AH224" s="32" t="n">
        <v>70</v>
      </c>
      <c r="AI224" s="31" t="n">
        <v>71.8</v>
      </c>
      <c r="AJ224" s="31" t="n">
        <v>49.7</v>
      </c>
      <c r="AK224" s="31" t="n">
        <v>6.5</v>
      </c>
      <c r="AL224" s="30" t="inlineStr">
        <is>
          <t>T-0370</t>
        </is>
      </c>
      <c r="AM224" s="30" t="inlineStr">
        <is>
          <t>I-03-01</t>
        </is>
      </c>
      <c r="AN224" s="30" t="inlineStr">
        <is>
          <t>T-0287</t>
        </is>
      </c>
      <c r="AO224" s="30" t="inlineStr">
        <is>
          <t>I-05-03</t>
        </is>
      </c>
    </row>
    <row r="225">
      <c r="A225" s="30" t="inlineStr">
        <is>
          <t>O0224</t>
        </is>
      </c>
      <c r="B225" s="30" t="inlineStr">
        <is>
          <t>C</t>
        </is>
      </c>
      <c r="C225" s="31" t="n">
        <v>4077.8</v>
      </c>
      <c r="D225" s="31" t="n">
        <v>7986.6</v>
      </c>
      <c r="E225" s="31" t="n">
        <v>8010.1</v>
      </c>
      <c r="F225" s="31" t="n">
        <v>8022.1</v>
      </c>
      <c r="G225" s="31" t="n">
        <v>8047.6</v>
      </c>
      <c r="H225" s="31" t="n">
        <v>8786.5</v>
      </c>
      <c r="I225" s="31" t="n">
        <v>8800.1</v>
      </c>
      <c r="J225" s="31" t="n">
        <v>8826.4</v>
      </c>
      <c r="K225" s="31" t="n">
        <v>4748.6</v>
      </c>
      <c r="L225" s="31" t="n">
        <v>3908.8</v>
      </c>
      <c r="M225" s="30" t="inlineStr">
        <is>
          <t>AMR1</t>
        </is>
      </c>
      <c r="N225" s="30" t="inlineStr">
        <is>
          <t>AMR3</t>
        </is>
      </c>
      <c r="O225" s="32" t="n">
        <v>1</v>
      </c>
      <c r="P225" s="32" t="n">
        <v>25</v>
      </c>
      <c r="Q225" s="32" t="n">
        <v>1</v>
      </c>
      <c r="R225" s="31" t="n">
        <v>58.3</v>
      </c>
      <c r="S225" s="31" t="n">
        <v>58.3</v>
      </c>
      <c r="T225" s="30" t="inlineStr">
        <is>
          <t>AMR1</t>
        </is>
      </c>
      <c r="U225" s="31" t="n">
        <v>41.1</v>
      </c>
      <c r="V225" s="31" t="n">
        <v>41.1</v>
      </c>
      <c r="W225" s="30" t="inlineStr">
        <is>
          <t>AMR3</t>
        </is>
      </c>
      <c r="X225" s="32" t="n">
        <v>0</v>
      </c>
      <c r="Y225" s="32" t="n">
        <v>0</v>
      </c>
      <c r="Z225" s="31" t="n">
        <v>0</v>
      </c>
      <c r="AA225" s="32" t="n">
        <v>0</v>
      </c>
      <c r="AB225" s="32" t="n">
        <v>0</v>
      </c>
      <c r="AC225" s="32" t="n">
        <v>0</v>
      </c>
      <c r="AD225" s="32" t="n">
        <v>0</v>
      </c>
      <c r="AE225" s="31" t="n">
        <v>0</v>
      </c>
      <c r="AF225" s="32" t="n">
        <v>0</v>
      </c>
      <c r="AG225" s="31" t="n">
        <v>0</v>
      </c>
      <c r="AH225" s="32" t="n">
        <v>53</v>
      </c>
      <c r="AI225" s="31" t="n">
        <v>54.6</v>
      </c>
      <c r="AJ225" s="31" t="n">
        <v>46.3</v>
      </c>
      <c r="AK225" s="31" t="n">
        <v>0</v>
      </c>
      <c r="AL225" s="30" t="inlineStr">
        <is>
          <t>T-0369</t>
        </is>
      </c>
      <c r="AM225" s="30" t="inlineStr">
        <is>
          <t>C-03-01</t>
        </is>
      </c>
      <c r="AN225" s="30" t="inlineStr">
        <is>
          <t>T-0243</t>
        </is>
      </c>
      <c r="AO225" s="30" t="inlineStr">
        <is>
          <t>C-02-02</t>
        </is>
      </c>
    </row>
    <row r="226">
      <c r="A226" s="30" t="inlineStr">
        <is>
          <t>O0225</t>
        </is>
      </c>
      <c r="B226" s="30" t="inlineStr">
        <is>
          <t>D</t>
        </is>
      </c>
      <c r="C226" s="31" t="n">
        <v>4084.2</v>
      </c>
      <c r="D226" s="31" t="n">
        <v>8088.6</v>
      </c>
      <c r="E226" s="31" t="n">
        <v>8112.1</v>
      </c>
      <c r="F226" s="31" t="n">
        <v>8127.5</v>
      </c>
      <c r="G226" s="31" t="n">
        <v>8151.7</v>
      </c>
      <c r="H226" s="31" t="n">
        <v>9029.5</v>
      </c>
      <c r="I226" s="31" t="n">
        <v>9044.4</v>
      </c>
      <c r="J226" s="31" t="n">
        <v>9073.700000000001</v>
      </c>
      <c r="K226" s="31" t="n">
        <v>4989.5</v>
      </c>
      <c r="L226" s="31" t="n">
        <v>4004.4</v>
      </c>
      <c r="M226" s="30" t="inlineStr">
        <is>
          <t>AMR1</t>
        </is>
      </c>
      <c r="N226" s="30" t="inlineStr">
        <is>
          <t>AMR1</t>
        </is>
      </c>
      <c r="O226" s="32" t="n">
        <v>1</v>
      </c>
      <c r="P226" s="32" t="n">
        <v>25</v>
      </c>
      <c r="Q226" s="32" t="n">
        <v>2</v>
      </c>
      <c r="R226" s="31" t="n">
        <v>60.4</v>
      </c>
      <c r="S226" s="31" t="n">
        <v>55.9</v>
      </c>
      <c r="T226" s="30" t="inlineStr">
        <is>
          <t>AMR2</t>
        </is>
      </c>
      <c r="U226" s="31" t="n">
        <v>42.9</v>
      </c>
      <c r="V226" s="31" t="n">
        <v>42.9</v>
      </c>
      <c r="W226" s="30" t="inlineStr">
        <is>
          <t>AMR1</t>
        </is>
      </c>
      <c r="X226" s="32" t="n">
        <v>1</v>
      </c>
      <c r="Y226" s="32" t="n">
        <v>12</v>
      </c>
      <c r="Z226" s="31" t="n">
        <v>4.5</v>
      </c>
      <c r="AA226" s="32" t="n">
        <v>0</v>
      </c>
      <c r="AB226" s="32" t="n">
        <v>0</v>
      </c>
      <c r="AC226" s="32" t="n">
        <v>0</v>
      </c>
      <c r="AD226" s="32" t="n">
        <v>0</v>
      </c>
      <c r="AE226" s="31" t="n">
        <v>0</v>
      </c>
      <c r="AF226" s="32" t="n">
        <v>0</v>
      </c>
      <c r="AG226" s="31" t="n">
        <v>0</v>
      </c>
      <c r="AH226" s="32" t="n">
        <v>56</v>
      </c>
      <c r="AI226" s="31" t="n">
        <v>58.3</v>
      </c>
      <c r="AJ226" s="31" t="n">
        <v>49</v>
      </c>
      <c r="AK226" s="31" t="n">
        <v>0</v>
      </c>
      <c r="AL226" s="30" t="inlineStr">
        <is>
          <t>T-0372</t>
        </is>
      </c>
      <c r="AM226" s="30" t="inlineStr">
        <is>
          <t>D-03-02</t>
        </is>
      </c>
      <c r="AN226" s="30" t="inlineStr">
        <is>
          <t>T-0284</t>
        </is>
      </c>
      <c r="AO226" s="30" t="inlineStr">
        <is>
          <t>D-05-03</t>
        </is>
      </c>
    </row>
    <row r="227">
      <c r="A227" s="30" t="inlineStr">
        <is>
          <t>O0226</t>
        </is>
      </c>
      <c r="B227" s="30" t="inlineStr">
        <is>
          <t>H</t>
        </is>
      </c>
      <c r="C227" s="31" t="n">
        <v>4090.4</v>
      </c>
      <c r="D227" s="31" t="n">
        <v>8025.4</v>
      </c>
      <c r="E227" s="31" t="n">
        <v>8057.9</v>
      </c>
      <c r="F227" s="31" t="n">
        <v>8072.5</v>
      </c>
      <c r="G227" s="31" t="n">
        <v>8093.6</v>
      </c>
      <c r="H227" s="31" t="n">
        <v>8093.7</v>
      </c>
      <c r="I227" s="31" t="n">
        <v>8104.7</v>
      </c>
      <c r="J227" s="31" t="n">
        <v>8129.8</v>
      </c>
      <c r="K227" s="31" t="n">
        <v>4039.4</v>
      </c>
      <c r="L227" s="31" t="n">
        <v>3935</v>
      </c>
      <c r="M227" s="30" t="inlineStr">
        <is>
          <t>AMR2</t>
        </is>
      </c>
      <c r="N227" s="30" t="inlineStr">
        <is>
          <t>AMR2</t>
        </is>
      </c>
      <c r="O227" s="32" t="n">
        <v>1</v>
      </c>
      <c r="P227" s="32" t="n">
        <v>25</v>
      </c>
      <c r="Q227" s="32" t="n">
        <v>2</v>
      </c>
      <c r="R227" s="31" t="n">
        <v>58.2</v>
      </c>
      <c r="S227" s="31" t="n">
        <v>58.2</v>
      </c>
      <c r="T227" s="30" t="inlineStr">
        <is>
          <t>AMR2</t>
        </is>
      </c>
      <c r="U227" s="31" t="n">
        <v>32.7</v>
      </c>
      <c r="V227" s="31" t="n">
        <v>32.7</v>
      </c>
      <c r="W227" s="30" t="inlineStr">
        <is>
          <t>AMR2</t>
        </is>
      </c>
      <c r="X227" s="32" t="n">
        <v>0</v>
      </c>
      <c r="Y227" s="32" t="n">
        <v>0</v>
      </c>
      <c r="Z227" s="31" t="n">
        <v>0</v>
      </c>
      <c r="AA227" s="32" t="n">
        <v>0</v>
      </c>
      <c r="AB227" s="32" t="n">
        <v>0</v>
      </c>
      <c r="AC227" s="32" t="n">
        <v>0</v>
      </c>
      <c r="AD227" s="32" t="n">
        <v>2</v>
      </c>
      <c r="AE227" s="31" t="n">
        <v>2.6</v>
      </c>
      <c r="AF227" s="32" t="n">
        <v>1</v>
      </c>
      <c r="AG227" s="31" t="n">
        <v>4</v>
      </c>
      <c r="AH227" s="32" t="n">
        <v>54</v>
      </c>
      <c r="AI227" s="31" t="n">
        <v>56.1</v>
      </c>
      <c r="AJ227" s="31" t="n">
        <v>36.6</v>
      </c>
      <c r="AK227" s="31" t="n">
        <v>11.6</v>
      </c>
      <c r="AL227" s="30" t="inlineStr">
        <is>
          <t>T-0371</t>
        </is>
      </c>
      <c r="AM227" s="30" t="inlineStr">
        <is>
          <t>H-06-02</t>
        </is>
      </c>
      <c r="AN227" s="30" t="inlineStr">
        <is>
          <t>T-0253</t>
        </is>
      </c>
      <c r="AO227" s="30" t="inlineStr">
        <is>
          <t>H-01-01</t>
        </is>
      </c>
    </row>
    <row r="228">
      <c r="A228" s="30" t="inlineStr">
        <is>
          <t>O0227</t>
        </is>
      </c>
      <c r="B228" s="30" t="inlineStr">
        <is>
          <t>A</t>
        </is>
      </c>
      <c r="C228" s="31" t="n">
        <v>4093.4</v>
      </c>
      <c r="D228" s="31" t="n">
        <v>8347.700000000001</v>
      </c>
      <c r="E228" s="31" t="n">
        <v>8384.200000000001</v>
      </c>
      <c r="F228" s="31" t="n">
        <v>8399.700000000001</v>
      </c>
      <c r="G228" s="31" t="n">
        <v>8429.700000000001</v>
      </c>
      <c r="H228" s="31" t="n">
        <v>9786.5</v>
      </c>
      <c r="I228" s="31" t="n">
        <v>9800.700000000001</v>
      </c>
      <c r="J228" s="31" t="n">
        <v>9837.700000000001</v>
      </c>
      <c r="K228" s="31" t="n">
        <v>5744.3</v>
      </c>
      <c r="L228" s="31" t="n">
        <v>4254.3</v>
      </c>
      <c r="M228" s="30" t="inlineStr">
        <is>
          <t>AMR2</t>
        </is>
      </c>
      <c r="N228" s="30" t="inlineStr">
        <is>
          <t>AMR1</t>
        </is>
      </c>
      <c r="O228" s="32" t="n">
        <v>1</v>
      </c>
      <c r="P228" s="32" t="n">
        <v>25</v>
      </c>
      <c r="Q228" s="32" t="n">
        <v>2</v>
      </c>
      <c r="R228" s="31" t="n">
        <v>66.3</v>
      </c>
      <c r="S228" s="31" t="n">
        <v>66.3</v>
      </c>
      <c r="T228" s="30" t="inlineStr">
        <is>
          <t>AMR2</t>
        </is>
      </c>
      <c r="U228" s="31" t="n">
        <v>50</v>
      </c>
      <c r="V228" s="31" t="n">
        <v>50</v>
      </c>
      <c r="W228" s="30" t="inlineStr">
        <is>
          <t>AMR1</t>
        </is>
      </c>
      <c r="X228" s="32" t="n">
        <v>0</v>
      </c>
      <c r="Y228" s="32" t="n">
        <v>0</v>
      </c>
      <c r="Z228" s="31" t="n">
        <v>0</v>
      </c>
      <c r="AA228" s="32" t="n">
        <v>0</v>
      </c>
      <c r="AB228" s="32" t="n">
        <v>0</v>
      </c>
      <c r="AC228" s="32" t="n">
        <v>0</v>
      </c>
      <c r="AD228" s="32" t="n">
        <v>0</v>
      </c>
      <c r="AE228" s="31" t="n">
        <v>0</v>
      </c>
      <c r="AF228" s="32" t="n">
        <v>1</v>
      </c>
      <c r="AG228" s="31" t="n">
        <v>8</v>
      </c>
      <c r="AH228" s="32" t="n">
        <v>72</v>
      </c>
      <c r="AI228" s="31" t="n">
        <v>72</v>
      </c>
      <c r="AJ228" s="31" t="n">
        <v>48.2</v>
      </c>
      <c r="AK228" s="31" t="n">
        <v>13</v>
      </c>
      <c r="AL228" s="30" t="inlineStr">
        <is>
          <t>T-0380</t>
        </is>
      </c>
      <c r="AM228" s="30" t="inlineStr">
        <is>
          <t>A-03-01</t>
        </is>
      </c>
      <c r="AN228" s="30" t="inlineStr">
        <is>
          <t>T-0176</t>
        </is>
      </c>
      <c r="AO228" s="30" t="inlineStr">
        <is>
          <t>A-05-01</t>
        </is>
      </c>
    </row>
    <row r="229">
      <c r="A229" s="30" t="inlineStr">
        <is>
          <t>O0228</t>
        </is>
      </c>
      <c r="B229" s="30" t="inlineStr">
        <is>
          <t>D</t>
        </is>
      </c>
      <c r="C229" s="31" t="n">
        <v>4099.3</v>
      </c>
      <c r="D229" s="31" t="n">
        <v>8151.8</v>
      </c>
      <c r="E229" s="31" t="n">
        <v>8177.9</v>
      </c>
      <c r="F229" s="31" t="n">
        <v>8194.1</v>
      </c>
      <c r="G229" s="31" t="n">
        <v>8216.4</v>
      </c>
      <c r="H229" s="31" t="n">
        <v>8216.5</v>
      </c>
      <c r="I229" s="31" t="n">
        <v>8229.1</v>
      </c>
      <c r="J229" s="31" t="n">
        <v>8270.299999999999</v>
      </c>
      <c r="K229" s="31" t="n">
        <v>4171</v>
      </c>
      <c r="L229" s="31" t="n">
        <v>4052.5</v>
      </c>
      <c r="M229" s="30" t="inlineStr">
        <is>
          <t>AMR1</t>
        </is>
      </c>
      <c r="N229" s="30" t="inlineStr">
        <is>
          <t>AMR1</t>
        </is>
      </c>
      <c r="O229" s="32" t="n">
        <v>1</v>
      </c>
      <c r="P229" s="32" t="n">
        <v>13</v>
      </c>
      <c r="Q229" s="32" t="n">
        <v>1</v>
      </c>
      <c r="R229" s="31" t="n">
        <v>48.9</v>
      </c>
      <c r="S229" s="31" t="n">
        <v>48.9</v>
      </c>
      <c r="T229" s="30" t="inlineStr">
        <is>
          <t>AMR1</t>
        </is>
      </c>
      <c r="U229" s="31" t="n">
        <v>41.7</v>
      </c>
      <c r="V229" s="31" t="n">
        <v>41.7</v>
      </c>
      <c r="W229" s="30" t="inlineStr">
        <is>
          <t>AMR1</t>
        </is>
      </c>
      <c r="X229" s="32" t="n">
        <v>0</v>
      </c>
      <c r="Y229" s="32" t="n">
        <v>0</v>
      </c>
      <c r="Z229" s="31" t="n">
        <v>0</v>
      </c>
      <c r="AA229" s="32" t="n">
        <v>0</v>
      </c>
      <c r="AB229" s="32" t="n">
        <v>0</v>
      </c>
      <c r="AC229" s="32" t="n">
        <v>0</v>
      </c>
      <c r="AD229" s="32" t="n">
        <v>1</v>
      </c>
      <c r="AE229" s="31" t="n">
        <v>11</v>
      </c>
      <c r="AF229" s="32" t="n">
        <v>1</v>
      </c>
      <c r="AG229" s="31" t="n">
        <v>6</v>
      </c>
      <c r="AH229" s="32" t="n">
        <v>52</v>
      </c>
      <c r="AI229" s="31" t="n">
        <v>54.6</v>
      </c>
      <c r="AJ229" s="31" t="n">
        <v>46.6</v>
      </c>
      <c r="AK229" s="31" t="n">
        <v>17.2</v>
      </c>
      <c r="AL229" s="30" t="inlineStr">
        <is>
          <t>T-0375</t>
        </is>
      </c>
      <c r="AM229" s="30" t="inlineStr">
        <is>
          <t>D-04-02</t>
        </is>
      </c>
      <c r="AN229" s="30" t="inlineStr">
        <is>
          <t>T-0238</t>
        </is>
      </c>
      <c r="AO229" s="30" t="inlineStr">
        <is>
          <t>D-02-03</t>
        </is>
      </c>
    </row>
    <row r="230">
      <c r="A230" s="30" t="inlineStr">
        <is>
          <t>O0229</t>
        </is>
      </c>
      <c r="B230" s="30" t="inlineStr">
        <is>
          <t>F</t>
        </is>
      </c>
      <c r="C230" s="31" t="n">
        <v>4104.2</v>
      </c>
      <c r="D230" s="31" t="n">
        <v>8580.5</v>
      </c>
      <c r="E230" s="31" t="n">
        <v>8604</v>
      </c>
      <c r="F230" s="31" t="n">
        <v>8614.5</v>
      </c>
      <c r="G230" s="31" t="n">
        <v>8647.5</v>
      </c>
      <c r="H230" s="31" t="n">
        <v>8647.6</v>
      </c>
      <c r="I230" s="31" t="n">
        <v>8661.9</v>
      </c>
      <c r="J230" s="31" t="n">
        <v>8696.700000000001</v>
      </c>
      <c r="K230" s="31" t="n">
        <v>4592.5</v>
      </c>
      <c r="L230" s="31" t="n">
        <v>4476.3</v>
      </c>
      <c r="M230" s="30" t="inlineStr">
        <is>
          <t>AMR2</t>
        </is>
      </c>
      <c r="N230" s="30" t="inlineStr">
        <is>
          <t>AMR2</t>
        </is>
      </c>
      <c r="O230" s="32" t="n">
        <v>1</v>
      </c>
      <c r="P230" s="32" t="n">
        <v>25</v>
      </c>
      <c r="Q230" s="32" t="n">
        <v>1</v>
      </c>
      <c r="R230" s="31" t="n">
        <v>65.2</v>
      </c>
      <c r="S230" s="31" t="n">
        <v>61.5</v>
      </c>
      <c r="T230" s="30" t="inlineStr">
        <is>
          <t>AMR3</t>
        </is>
      </c>
      <c r="U230" s="31" t="n">
        <v>47.3</v>
      </c>
      <c r="V230" s="31" t="n">
        <v>47.3</v>
      </c>
      <c r="W230" s="30" t="inlineStr">
        <is>
          <t>AMR2</t>
        </is>
      </c>
      <c r="X230" s="32" t="n">
        <v>1</v>
      </c>
      <c r="Y230" s="32" t="n">
        <v>12</v>
      </c>
      <c r="Z230" s="31" t="n">
        <v>3.7</v>
      </c>
      <c r="AA230" s="32" t="n">
        <v>0</v>
      </c>
      <c r="AB230" s="32" t="n">
        <v>0</v>
      </c>
      <c r="AC230" s="32" t="n">
        <v>0</v>
      </c>
      <c r="AD230" s="32" t="n">
        <v>0</v>
      </c>
      <c r="AE230" s="31" t="n">
        <v>0</v>
      </c>
      <c r="AF230" s="32" t="n">
        <v>0</v>
      </c>
      <c r="AG230" s="31" t="n">
        <v>0</v>
      </c>
      <c r="AH230" s="32" t="n">
        <v>72</v>
      </c>
      <c r="AI230" s="31" t="n">
        <v>71.5</v>
      </c>
      <c r="AJ230" s="31" t="n">
        <v>44.6</v>
      </c>
      <c r="AK230" s="31" t="n">
        <v>0</v>
      </c>
      <c r="AL230" s="30" t="inlineStr">
        <is>
          <t>T-0386</t>
        </is>
      </c>
      <c r="AM230" s="30" t="inlineStr">
        <is>
          <t>F-05-01</t>
        </is>
      </c>
      <c r="AN230" s="30" t="inlineStr">
        <is>
          <t>T-0201</t>
        </is>
      </c>
      <c r="AO230" s="30" t="inlineStr">
        <is>
          <t>F-02-02</t>
        </is>
      </c>
    </row>
    <row r="231">
      <c r="A231" s="30" t="inlineStr">
        <is>
          <t>O0230</t>
        </is>
      </c>
      <c r="B231" s="30" t="inlineStr">
        <is>
          <t>D</t>
        </is>
      </c>
      <c r="C231" s="31" t="n">
        <v>4107.5</v>
      </c>
      <c r="D231" s="31" t="n">
        <v>8270.4</v>
      </c>
      <c r="E231" s="31" t="n">
        <v>8297.9</v>
      </c>
      <c r="F231" s="31" t="n">
        <v>8313.799999999999</v>
      </c>
      <c r="G231" s="31" t="n">
        <v>8335.4</v>
      </c>
      <c r="H231" s="31" t="n">
        <v>8335.5</v>
      </c>
      <c r="I231" s="31" t="n">
        <v>8350.299999999999</v>
      </c>
      <c r="J231" s="31" t="n">
        <v>8390.6</v>
      </c>
      <c r="K231" s="31" t="n">
        <v>4283.1</v>
      </c>
      <c r="L231" s="31" t="n">
        <v>4162.9</v>
      </c>
      <c r="M231" s="30" t="inlineStr">
        <is>
          <t>AMR1</t>
        </is>
      </c>
      <c r="N231" s="30" t="inlineStr">
        <is>
          <t>AMR1</t>
        </is>
      </c>
      <c r="O231" s="32" t="n">
        <v>1</v>
      </c>
      <c r="P231" s="32" t="n">
        <v>25</v>
      </c>
      <c r="Q231" s="32" t="n">
        <v>1</v>
      </c>
      <c r="R231" s="31" t="n">
        <v>59.1</v>
      </c>
      <c r="S231" s="31" t="n">
        <v>59.1</v>
      </c>
      <c r="T231" s="30" t="inlineStr">
        <is>
          <t>AMR1</t>
        </is>
      </c>
      <c r="U231" s="31" t="n">
        <v>41.8</v>
      </c>
      <c r="V231" s="31" t="n">
        <v>41.8</v>
      </c>
      <c r="W231" s="30" t="inlineStr">
        <is>
          <t>AMR1</t>
        </is>
      </c>
      <c r="X231" s="32" t="n">
        <v>0</v>
      </c>
      <c r="Y231" s="32" t="n">
        <v>0</v>
      </c>
      <c r="Z231" s="31" t="n">
        <v>0</v>
      </c>
      <c r="AA231" s="32" t="n">
        <v>0</v>
      </c>
      <c r="AB231" s="32" t="n">
        <v>0</v>
      </c>
      <c r="AC231" s="32" t="n">
        <v>0</v>
      </c>
      <c r="AD231" s="32" t="n">
        <v>1</v>
      </c>
      <c r="AE231" s="31" t="n">
        <v>11</v>
      </c>
      <c r="AF231" s="32" t="n">
        <v>1</v>
      </c>
      <c r="AG231" s="31" t="n">
        <v>6</v>
      </c>
      <c r="AH231" s="32" t="n">
        <v>56</v>
      </c>
      <c r="AI231" s="31" t="n">
        <v>57.8</v>
      </c>
      <c r="AJ231" s="31" t="n">
        <v>47.3</v>
      </c>
      <c r="AK231" s="31" t="n">
        <v>15</v>
      </c>
      <c r="AL231" s="30" t="inlineStr">
        <is>
          <t>T-0378</t>
        </is>
      </c>
      <c r="AM231" s="30" t="inlineStr">
        <is>
          <t>D-01-03</t>
        </is>
      </c>
      <c r="AN231" s="30" t="inlineStr">
        <is>
          <t>T-0250</t>
        </is>
      </c>
      <c r="AO231" s="30" t="inlineStr">
        <is>
          <t>D-04-03</t>
        </is>
      </c>
    </row>
    <row r="232">
      <c r="A232" s="30" t="inlineStr">
        <is>
          <t>O0231</t>
        </is>
      </c>
      <c r="B232" s="30" t="inlineStr">
        <is>
          <t>H</t>
        </is>
      </c>
      <c r="C232" s="31" t="n">
        <v>4113.2</v>
      </c>
      <c r="D232" s="31" t="n">
        <v>8249.9</v>
      </c>
      <c r="E232" s="31" t="n">
        <v>8273.4</v>
      </c>
      <c r="F232" s="31" t="n">
        <v>8284.9</v>
      </c>
      <c r="G232" s="31" t="n">
        <v>8311.6</v>
      </c>
      <c r="H232" s="31" t="n">
        <v>8311.700000000001</v>
      </c>
      <c r="I232" s="31" t="n">
        <v>8320.5</v>
      </c>
      <c r="J232" s="31" t="n">
        <v>8347.6</v>
      </c>
      <c r="K232" s="31" t="n">
        <v>4234.4</v>
      </c>
      <c r="L232" s="31" t="n">
        <v>4136.7</v>
      </c>
      <c r="M232" s="30" t="inlineStr">
        <is>
          <t>AMR2</t>
        </is>
      </c>
      <c r="N232" s="30" t="inlineStr">
        <is>
          <t>AMR2</t>
        </is>
      </c>
      <c r="O232" s="32" t="n">
        <v>1</v>
      </c>
      <c r="P232" s="32" t="n">
        <v>25</v>
      </c>
      <c r="Q232" s="32" t="n">
        <v>1</v>
      </c>
      <c r="R232" s="31" t="n">
        <v>59.9</v>
      </c>
      <c r="S232" s="31" t="n">
        <v>59.9</v>
      </c>
      <c r="T232" s="30" t="inlineStr">
        <is>
          <t>AMR2</t>
        </is>
      </c>
      <c r="U232" s="31" t="n">
        <v>33.5</v>
      </c>
      <c r="V232" s="31" t="n">
        <v>33.5</v>
      </c>
      <c r="W232" s="30" t="inlineStr">
        <is>
          <t>AMR2</t>
        </is>
      </c>
      <c r="X232" s="32" t="n">
        <v>0</v>
      </c>
      <c r="Y232" s="32" t="n">
        <v>0</v>
      </c>
      <c r="Z232" s="31" t="n">
        <v>0</v>
      </c>
      <c r="AA232" s="32" t="n">
        <v>0</v>
      </c>
      <c r="AB232" s="32" t="n">
        <v>0</v>
      </c>
      <c r="AC232" s="32" t="n">
        <v>0</v>
      </c>
      <c r="AD232" s="32" t="n">
        <v>2</v>
      </c>
      <c r="AE232" s="31" t="n">
        <v>3.6</v>
      </c>
      <c r="AF232" s="32" t="n">
        <v>0</v>
      </c>
      <c r="AG232" s="31" t="n">
        <v>0</v>
      </c>
      <c r="AH232" s="32" t="n">
        <v>52</v>
      </c>
      <c r="AI232" s="31" t="n">
        <v>54.2</v>
      </c>
      <c r="AJ232" s="31" t="n">
        <v>39.8</v>
      </c>
      <c r="AK232" s="31" t="n">
        <v>3.6</v>
      </c>
      <c r="AL232" s="30" t="inlineStr">
        <is>
          <t>T-0377</t>
        </is>
      </c>
      <c r="AM232" s="30" t="inlineStr">
        <is>
          <t>H-01-01</t>
        </is>
      </c>
      <c r="AN232" s="30" t="inlineStr">
        <is>
          <t>T-0277</t>
        </is>
      </c>
      <c r="AO232" s="30" t="inlineStr">
        <is>
          <t>H-01-03</t>
        </is>
      </c>
    </row>
    <row r="233">
      <c r="A233" s="30" t="inlineStr">
        <is>
          <t>O0232</t>
        </is>
      </c>
      <c r="B233" s="30" t="inlineStr">
        <is>
          <t>H</t>
        </is>
      </c>
      <c r="C233" s="31" t="n">
        <v>4120.2</v>
      </c>
      <c r="D233" s="31" t="n">
        <v>8336.200000000001</v>
      </c>
      <c r="E233" s="31" t="n">
        <v>8359.700000000001</v>
      </c>
      <c r="F233" s="31" t="n">
        <v>8370.200000000001</v>
      </c>
      <c r="G233" s="31" t="n">
        <v>8391.9</v>
      </c>
      <c r="H233" s="31" t="n">
        <v>8392</v>
      </c>
      <c r="I233" s="31" t="n">
        <v>8404.1</v>
      </c>
      <c r="J233" s="31" t="n">
        <v>8430.799999999999</v>
      </c>
      <c r="K233" s="31" t="n">
        <v>4310.6</v>
      </c>
      <c r="L233" s="31" t="n">
        <v>4216</v>
      </c>
      <c r="M233" s="30" t="inlineStr">
        <is>
          <t>AMR3</t>
        </is>
      </c>
      <c r="N233" s="30" t="inlineStr">
        <is>
          <t>AMR3</t>
        </is>
      </c>
      <c r="O233" s="32" t="n">
        <v>1</v>
      </c>
      <c r="P233" s="32" t="n">
        <v>25</v>
      </c>
      <c r="Q233" s="32" t="n">
        <v>1</v>
      </c>
      <c r="R233" s="31" t="n">
        <v>53.9</v>
      </c>
      <c r="S233" s="31" t="n">
        <v>53.9</v>
      </c>
      <c r="T233" s="30" t="inlineStr">
        <is>
          <t>AMR3</t>
        </is>
      </c>
      <c r="U233" s="31" t="n">
        <v>40</v>
      </c>
      <c r="V233" s="31" t="n">
        <v>40</v>
      </c>
      <c r="W233" s="30" t="inlineStr">
        <is>
          <t>AMR3</t>
        </is>
      </c>
      <c r="X233" s="32" t="n">
        <v>0</v>
      </c>
      <c r="Y233" s="32" t="n">
        <v>0</v>
      </c>
      <c r="Z233" s="31" t="n">
        <v>0</v>
      </c>
      <c r="AA233" s="32" t="n">
        <v>0</v>
      </c>
      <c r="AB233" s="32" t="n">
        <v>0</v>
      </c>
      <c r="AC233" s="32" t="n">
        <v>0</v>
      </c>
      <c r="AD233" s="32" t="n">
        <v>0</v>
      </c>
      <c r="AE233" s="31" t="n">
        <v>0</v>
      </c>
      <c r="AF233" s="32" t="n">
        <v>0</v>
      </c>
      <c r="AG233" s="31" t="n">
        <v>0</v>
      </c>
      <c r="AH233" s="32" t="n">
        <v>52</v>
      </c>
      <c r="AI233" s="31" t="n">
        <v>54.2</v>
      </c>
      <c r="AJ233" s="31" t="n">
        <v>40.3</v>
      </c>
      <c r="AK233" s="31" t="n">
        <v>0</v>
      </c>
      <c r="AL233" s="30" t="inlineStr">
        <is>
          <t>T-0379</t>
        </is>
      </c>
      <c r="AM233" s="30" t="inlineStr">
        <is>
          <t>H-01-03</t>
        </is>
      </c>
      <c r="AN233" s="30" t="inlineStr">
        <is>
          <t>T-0282</t>
        </is>
      </c>
      <c r="AO233" s="30" t="inlineStr">
        <is>
          <t>H-02-03</t>
        </is>
      </c>
    </row>
    <row r="234">
      <c r="A234" s="30" t="inlineStr">
        <is>
          <t>O0233</t>
        </is>
      </c>
      <c r="B234" s="30" t="inlineStr">
        <is>
          <t>D</t>
        </is>
      </c>
      <c r="C234" s="31" t="n">
        <v>4125</v>
      </c>
      <c r="D234" s="31" t="n">
        <v>8479.5</v>
      </c>
      <c r="E234" s="31" t="n">
        <v>8503</v>
      </c>
      <c r="F234" s="31" t="n">
        <v>8516.299999999999</v>
      </c>
      <c r="G234" s="31" t="n">
        <v>8541.4</v>
      </c>
      <c r="H234" s="31" t="n">
        <v>8541.5</v>
      </c>
      <c r="I234" s="31" t="n">
        <v>8551.4</v>
      </c>
      <c r="J234" s="31" t="n">
        <v>8580.4</v>
      </c>
      <c r="K234" s="31" t="n">
        <v>4455.4</v>
      </c>
      <c r="L234" s="31" t="n">
        <v>4354.5</v>
      </c>
      <c r="M234" s="30" t="inlineStr">
        <is>
          <t>AMR2</t>
        </is>
      </c>
      <c r="N234" s="30" t="inlineStr">
        <is>
          <t>AMR2</t>
        </is>
      </c>
      <c r="O234" s="32" t="n">
        <v>1</v>
      </c>
      <c r="P234" s="32" t="n">
        <v>25</v>
      </c>
      <c r="Q234" s="32" t="n">
        <v>1</v>
      </c>
      <c r="R234" s="31" t="n">
        <v>58.4</v>
      </c>
      <c r="S234" s="31" t="n">
        <v>58.4</v>
      </c>
      <c r="T234" s="30" t="inlineStr">
        <is>
          <t>AMR2</t>
        </is>
      </c>
      <c r="U234" s="31" t="n">
        <v>37</v>
      </c>
      <c r="V234" s="31" t="n">
        <v>37</v>
      </c>
      <c r="W234" s="30" t="inlineStr">
        <is>
          <t>AMR2</t>
        </is>
      </c>
      <c r="X234" s="32" t="n">
        <v>0</v>
      </c>
      <c r="Y234" s="32" t="n">
        <v>0</v>
      </c>
      <c r="Z234" s="31" t="n">
        <v>0</v>
      </c>
      <c r="AA234" s="32" t="n">
        <v>0</v>
      </c>
      <c r="AB234" s="32" t="n">
        <v>0</v>
      </c>
      <c r="AC234" s="32" t="n">
        <v>0</v>
      </c>
      <c r="AD234" s="32" t="n">
        <v>0</v>
      </c>
      <c r="AE234" s="31" t="n">
        <v>0</v>
      </c>
      <c r="AF234" s="32" t="n">
        <v>0</v>
      </c>
      <c r="AG234" s="31" t="n">
        <v>0</v>
      </c>
      <c r="AH234" s="32" t="n">
        <v>58</v>
      </c>
      <c r="AI234" s="31" t="n">
        <v>59</v>
      </c>
      <c r="AJ234" s="31" t="n">
        <v>41.8</v>
      </c>
      <c r="AK234" s="31" t="n">
        <v>0</v>
      </c>
      <c r="AL234" s="30" t="inlineStr">
        <is>
          <t>T-0383</t>
        </is>
      </c>
      <c r="AM234" s="30" t="inlineStr">
        <is>
          <t>D-05-02</t>
        </is>
      </c>
      <c r="AN234" s="30" t="inlineStr">
        <is>
          <t>T-0281</t>
        </is>
      </c>
      <c r="AO234" s="30" t="inlineStr">
        <is>
          <t>D-06-02</t>
        </is>
      </c>
    </row>
    <row r="235">
      <c r="A235" s="30" t="inlineStr">
        <is>
          <t>O0234</t>
        </is>
      </c>
      <c r="B235" s="30" t="inlineStr">
        <is>
          <t>D</t>
        </is>
      </c>
      <c r="C235" s="31" t="n">
        <v>4130.9</v>
      </c>
      <c r="D235" s="31" t="n">
        <v>8390.700000000001</v>
      </c>
      <c r="E235" s="31" t="n">
        <v>8414.200000000001</v>
      </c>
      <c r="F235" s="31" t="n">
        <v>8429.6</v>
      </c>
      <c r="G235" s="31" t="n">
        <v>8452.799999999999</v>
      </c>
      <c r="H235" s="31" t="n">
        <v>8452.9</v>
      </c>
      <c r="I235" s="31" t="n">
        <v>8463.6</v>
      </c>
      <c r="J235" s="31" t="n">
        <v>8498.9</v>
      </c>
      <c r="K235" s="31" t="n">
        <v>4368</v>
      </c>
      <c r="L235" s="31" t="n">
        <v>4259.8</v>
      </c>
      <c r="M235" s="30" t="inlineStr">
        <is>
          <t>AMR1</t>
        </is>
      </c>
      <c r="N235" s="30" t="inlineStr">
        <is>
          <t>AMR1</t>
        </is>
      </c>
      <c r="O235" s="32" t="n">
        <v>1</v>
      </c>
      <c r="P235" s="32" t="n">
        <v>25</v>
      </c>
      <c r="Q235" s="32" t="n">
        <v>1</v>
      </c>
      <c r="R235" s="31" t="n">
        <v>60.2</v>
      </c>
      <c r="S235" s="31" t="n">
        <v>52.6</v>
      </c>
      <c r="T235" s="30" t="inlineStr">
        <is>
          <t>AMR3</t>
        </is>
      </c>
      <c r="U235" s="31" t="n">
        <v>38.2</v>
      </c>
      <c r="V235" s="31" t="n">
        <v>38.2</v>
      </c>
      <c r="W235" s="30" t="inlineStr">
        <is>
          <t>AMR1</t>
        </is>
      </c>
      <c r="X235" s="32" t="n">
        <v>1</v>
      </c>
      <c r="Y235" s="32" t="n">
        <v>11</v>
      </c>
      <c r="Z235" s="31" t="n">
        <v>7.6</v>
      </c>
      <c r="AA235" s="32" t="n">
        <v>0</v>
      </c>
      <c r="AB235" s="32" t="n">
        <v>0</v>
      </c>
      <c r="AC235" s="32" t="n">
        <v>0</v>
      </c>
      <c r="AD235" s="32" t="n">
        <v>1</v>
      </c>
      <c r="AE235" s="31" t="n">
        <v>6</v>
      </c>
      <c r="AF235" s="32" t="n">
        <v>1</v>
      </c>
      <c r="AG235" s="31" t="n">
        <v>1</v>
      </c>
      <c r="AH235" s="32" t="n">
        <v>56</v>
      </c>
      <c r="AI235" s="31" t="n">
        <v>57.3</v>
      </c>
      <c r="AJ235" s="31" t="n">
        <v>44.8</v>
      </c>
      <c r="AK235" s="31" t="n">
        <v>6</v>
      </c>
      <c r="AL235" s="30" t="inlineStr">
        <is>
          <t>T-0381</t>
        </is>
      </c>
      <c r="AM235" s="30" t="inlineStr">
        <is>
          <t>D-02-03</t>
        </is>
      </c>
      <c r="AN235" s="30" t="inlineStr">
        <is>
          <t>T-0275</t>
        </is>
      </c>
      <c r="AO235" s="30" t="inlineStr">
        <is>
          <t>D-05-02</t>
        </is>
      </c>
    </row>
    <row r="236">
      <c r="A236" s="30" t="inlineStr">
        <is>
          <t>O0235</t>
        </is>
      </c>
      <c r="B236" s="30" t="inlineStr">
        <is>
          <t>H</t>
        </is>
      </c>
      <c r="C236" s="31" t="n">
        <v>4134.8</v>
      </c>
      <c r="D236" s="31" t="n">
        <v>8826.5</v>
      </c>
      <c r="E236" s="31" t="n">
        <v>8850</v>
      </c>
      <c r="F236" s="31" t="n">
        <v>8866.299999999999</v>
      </c>
      <c r="G236" s="31" t="n">
        <v>8891</v>
      </c>
      <c r="H236" s="31" t="n">
        <v>8891.1</v>
      </c>
      <c r="I236" s="31" t="n">
        <v>8900.1</v>
      </c>
      <c r="J236" s="31" t="n">
        <v>8924</v>
      </c>
      <c r="K236" s="31" t="n">
        <v>4789.2</v>
      </c>
      <c r="L236" s="31" t="n">
        <v>4691.7</v>
      </c>
      <c r="M236" s="30" t="inlineStr">
        <is>
          <t>AMR3</t>
        </is>
      </c>
      <c r="N236" s="30" t="inlineStr">
        <is>
          <t>AMR3</t>
        </is>
      </c>
      <c r="O236" s="32" t="n">
        <v>1</v>
      </c>
      <c r="P236" s="32" t="n">
        <v>25</v>
      </c>
      <c r="Q236" s="32" t="n">
        <v>1</v>
      </c>
      <c r="R236" s="31" t="n">
        <v>62.7</v>
      </c>
      <c r="S236" s="31" t="n">
        <v>59.9</v>
      </c>
      <c r="T236" s="30" t="inlineStr">
        <is>
          <t>AMR1</t>
        </is>
      </c>
      <c r="U236" s="31" t="n">
        <v>34.1</v>
      </c>
      <c r="V236" s="31" t="n">
        <v>34.1</v>
      </c>
      <c r="W236" s="30" t="inlineStr">
        <is>
          <t>AMR3</t>
        </is>
      </c>
      <c r="X236" s="32" t="n">
        <v>1</v>
      </c>
      <c r="Y236" s="32" t="n">
        <v>11</v>
      </c>
      <c r="Z236" s="31" t="n">
        <v>2.8</v>
      </c>
      <c r="AA236" s="32" t="n">
        <v>0</v>
      </c>
      <c r="AB236" s="32" t="n">
        <v>0</v>
      </c>
      <c r="AC236" s="32" t="n">
        <v>0</v>
      </c>
      <c r="AD236" s="32" t="n">
        <v>0</v>
      </c>
      <c r="AE236" s="31" t="n">
        <v>0</v>
      </c>
      <c r="AF236" s="32" t="n">
        <v>0</v>
      </c>
      <c r="AG236" s="31" t="n">
        <v>0</v>
      </c>
      <c r="AH236" s="32" t="n">
        <v>52</v>
      </c>
      <c r="AI236" s="31" t="n">
        <v>54.2</v>
      </c>
      <c r="AJ236" s="31" t="n">
        <v>43.2</v>
      </c>
      <c r="AK236" s="31" t="n">
        <v>0</v>
      </c>
      <c r="AL236" s="30" t="inlineStr">
        <is>
          <t>T-0394</t>
        </is>
      </c>
      <c r="AM236" s="30" t="inlineStr">
        <is>
          <t>H-01-02</t>
        </is>
      </c>
      <c r="AN236" s="30" t="inlineStr">
        <is>
          <t>T-0328</t>
        </is>
      </c>
      <c r="AO236" s="30" t="inlineStr">
        <is>
          <t>H-02-01</t>
        </is>
      </c>
    </row>
    <row r="237">
      <c r="A237" s="30" t="inlineStr">
        <is>
          <t>O0236</t>
        </is>
      </c>
      <c r="B237" s="30" t="inlineStr">
        <is>
          <t>H</t>
        </is>
      </c>
      <c r="C237" s="31" t="n">
        <v>4141.1</v>
      </c>
      <c r="D237" s="31" t="n">
        <v>8430.9</v>
      </c>
      <c r="E237" s="31" t="n">
        <v>8454.4</v>
      </c>
      <c r="F237" s="31" t="n">
        <v>8465.799999999999</v>
      </c>
      <c r="G237" s="31" t="n">
        <v>8491.1</v>
      </c>
      <c r="H237" s="31" t="n">
        <v>8491.200000000001</v>
      </c>
      <c r="I237" s="31" t="n">
        <v>8505</v>
      </c>
      <c r="J237" s="31" t="n">
        <v>8527.700000000001</v>
      </c>
      <c r="K237" s="31" t="n">
        <v>4386.6</v>
      </c>
      <c r="L237" s="31" t="n">
        <v>4289.8</v>
      </c>
      <c r="M237" s="30" t="inlineStr">
        <is>
          <t>AMR3</t>
        </is>
      </c>
      <c r="N237" s="30" t="inlineStr">
        <is>
          <t>AMR3</t>
        </is>
      </c>
      <c r="O237" s="32" t="n">
        <v>1</v>
      </c>
      <c r="P237" s="32" t="n">
        <v>25</v>
      </c>
      <c r="Q237" s="32" t="n">
        <v>1</v>
      </c>
      <c r="R237" s="31" t="n">
        <v>58.4</v>
      </c>
      <c r="S237" s="31" t="n">
        <v>58.4</v>
      </c>
      <c r="T237" s="30" t="inlineStr">
        <is>
          <t>AMR3</t>
        </is>
      </c>
      <c r="U237" s="31" t="n">
        <v>35.8</v>
      </c>
      <c r="V237" s="31" t="n">
        <v>35.8</v>
      </c>
      <c r="W237" s="30" t="inlineStr">
        <is>
          <t>AMR3</t>
        </is>
      </c>
      <c r="X237" s="32" t="n">
        <v>0</v>
      </c>
      <c r="Y237" s="32" t="n">
        <v>0</v>
      </c>
      <c r="Z237" s="31" t="n">
        <v>0</v>
      </c>
      <c r="AA237" s="32" t="n">
        <v>0</v>
      </c>
      <c r="AB237" s="32" t="n">
        <v>0</v>
      </c>
      <c r="AC237" s="32" t="n">
        <v>0</v>
      </c>
      <c r="AD237" s="32" t="n">
        <v>0</v>
      </c>
      <c r="AE237" s="31" t="n">
        <v>0</v>
      </c>
      <c r="AF237" s="32" t="n">
        <v>0</v>
      </c>
      <c r="AG237" s="31" t="n">
        <v>0</v>
      </c>
      <c r="AH237" s="32" t="n">
        <v>54</v>
      </c>
      <c r="AI237" s="31" t="n">
        <v>56.1</v>
      </c>
      <c r="AJ237" s="31" t="n">
        <v>40.6</v>
      </c>
      <c r="AK237" s="31" t="n">
        <v>0</v>
      </c>
      <c r="AL237" s="30" t="inlineStr">
        <is>
          <t>T-0382</t>
        </is>
      </c>
      <c r="AM237" s="30" t="inlineStr">
        <is>
          <t>H-02-03</t>
        </is>
      </c>
      <c r="AN237" s="30" t="inlineStr">
        <is>
          <t>T-0305</t>
        </is>
      </c>
      <c r="AO237" s="30" t="inlineStr">
        <is>
          <t>H-06-01</t>
        </is>
      </c>
    </row>
    <row r="238">
      <c r="A238" s="30" t="inlineStr">
        <is>
          <t>O0237</t>
        </is>
      </c>
      <c r="B238" s="30" t="inlineStr">
        <is>
          <t>B</t>
        </is>
      </c>
      <c r="C238" s="31" t="n">
        <v>4145.3</v>
      </c>
      <c r="D238" s="31" t="n">
        <v>8499</v>
      </c>
      <c r="E238" s="31" t="n">
        <v>8527.5</v>
      </c>
      <c r="F238" s="31" t="n">
        <v>8543</v>
      </c>
      <c r="G238" s="31" t="n">
        <v>8567.1</v>
      </c>
      <c r="H238" s="31" t="n">
        <v>8567.200000000001</v>
      </c>
      <c r="I238" s="31" t="n">
        <v>8577.799999999999</v>
      </c>
      <c r="J238" s="31" t="n">
        <v>8610.200000000001</v>
      </c>
      <c r="K238" s="31" t="n">
        <v>4464.9</v>
      </c>
      <c r="L238" s="31" t="n">
        <v>4353.7</v>
      </c>
      <c r="M238" s="30" t="inlineStr">
        <is>
          <t>AMR1</t>
        </is>
      </c>
      <c r="N238" s="30" t="inlineStr">
        <is>
          <t>AMR1</t>
        </is>
      </c>
      <c r="O238" s="32" t="n">
        <v>1</v>
      </c>
      <c r="P238" s="32" t="n">
        <v>25</v>
      </c>
      <c r="Q238" s="32" t="n">
        <v>1</v>
      </c>
      <c r="R238" s="31" t="n">
        <v>61.2</v>
      </c>
      <c r="S238" s="31" t="n">
        <v>61.2</v>
      </c>
      <c r="T238" s="30" t="inlineStr">
        <is>
          <t>AMR1</t>
        </is>
      </c>
      <c r="U238" s="31" t="n">
        <v>42.7</v>
      </c>
      <c r="V238" s="31" t="n">
        <v>42.7</v>
      </c>
      <c r="W238" s="30" t="inlineStr">
        <is>
          <t>AMR1</t>
        </is>
      </c>
      <c r="X238" s="32" t="n">
        <v>0</v>
      </c>
      <c r="Y238" s="32" t="n">
        <v>0</v>
      </c>
      <c r="Z238" s="31" t="n">
        <v>0</v>
      </c>
      <c r="AA238" s="32" t="n">
        <v>0</v>
      </c>
      <c r="AB238" s="32" t="n">
        <v>0</v>
      </c>
      <c r="AC238" s="32" t="n">
        <v>0</v>
      </c>
      <c r="AD238" s="32" t="n">
        <v>0</v>
      </c>
      <c r="AE238" s="31" t="n">
        <v>0</v>
      </c>
      <c r="AF238" s="32" t="n">
        <v>0</v>
      </c>
      <c r="AG238" s="31" t="n">
        <v>0</v>
      </c>
      <c r="AH238" s="32" t="n">
        <v>58</v>
      </c>
      <c r="AI238" s="31" t="n">
        <v>59</v>
      </c>
      <c r="AJ238" s="31" t="n">
        <v>47.1</v>
      </c>
      <c r="AK238" s="31" t="n">
        <v>5</v>
      </c>
      <c r="AL238" s="30" t="inlineStr">
        <is>
          <t>T-0384</t>
        </is>
      </c>
      <c r="AM238" s="30" t="inlineStr">
        <is>
          <t>B-04-02</t>
        </is>
      </c>
      <c r="AN238" s="30" t="inlineStr">
        <is>
          <t>T-0210</t>
        </is>
      </c>
      <c r="AO238" s="30" t="inlineStr">
        <is>
          <t>B-03-03</t>
        </is>
      </c>
    </row>
    <row r="239">
      <c r="A239" s="30" t="inlineStr">
        <is>
          <t>O0238</t>
        </is>
      </c>
      <c r="B239" s="30" t="inlineStr">
        <is>
          <t>H</t>
        </is>
      </c>
      <c r="C239" s="31" t="n">
        <v>4148.5</v>
      </c>
      <c r="D239" s="31" t="n">
        <v>8527.799999999999</v>
      </c>
      <c r="E239" s="31" t="n">
        <v>8551.299999999999</v>
      </c>
      <c r="F239" s="31" t="n">
        <v>8563</v>
      </c>
      <c r="G239" s="31" t="n">
        <v>8586.299999999999</v>
      </c>
      <c r="H239" s="31" t="n">
        <v>8586.4</v>
      </c>
      <c r="I239" s="31" t="n">
        <v>8602</v>
      </c>
      <c r="J239" s="31" t="n">
        <v>8627.299999999999</v>
      </c>
      <c r="K239" s="31" t="n">
        <v>4478.8</v>
      </c>
      <c r="L239" s="31" t="n">
        <v>4379.3</v>
      </c>
      <c r="M239" s="30" t="inlineStr">
        <is>
          <t>AMR3</t>
        </is>
      </c>
      <c r="N239" s="30" t="inlineStr">
        <is>
          <t>AMR3</t>
        </is>
      </c>
      <c r="O239" s="32" t="n">
        <v>1</v>
      </c>
      <c r="P239" s="32" t="n">
        <v>25</v>
      </c>
      <c r="Q239" s="32" t="n">
        <v>2</v>
      </c>
      <c r="R239" s="31" t="n">
        <v>57.5</v>
      </c>
      <c r="S239" s="31" t="n">
        <v>57.5</v>
      </c>
      <c r="T239" s="30" t="inlineStr">
        <is>
          <t>AMR3</t>
        </is>
      </c>
      <c r="U239" s="31" t="n">
        <v>40</v>
      </c>
      <c r="V239" s="31" t="n">
        <v>40</v>
      </c>
      <c r="W239" s="30" t="inlineStr">
        <is>
          <t>AMR3</t>
        </is>
      </c>
      <c r="X239" s="32" t="n">
        <v>0</v>
      </c>
      <c r="Y239" s="32" t="n">
        <v>0</v>
      </c>
      <c r="Z239" s="31" t="n">
        <v>0</v>
      </c>
      <c r="AA239" s="32" t="n">
        <v>0</v>
      </c>
      <c r="AB239" s="32" t="n">
        <v>0</v>
      </c>
      <c r="AC239" s="32" t="n">
        <v>0</v>
      </c>
      <c r="AD239" s="32" t="n">
        <v>0</v>
      </c>
      <c r="AE239" s="31" t="n">
        <v>0</v>
      </c>
      <c r="AF239" s="32" t="n">
        <v>0</v>
      </c>
      <c r="AG239" s="31" t="n">
        <v>0</v>
      </c>
      <c r="AH239" s="32" t="n">
        <v>54</v>
      </c>
      <c r="AI239" s="31" t="n">
        <v>56.2</v>
      </c>
      <c r="AJ239" s="31" t="n">
        <v>43.2</v>
      </c>
      <c r="AK239" s="31" t="n">
        <v>0</v>
      </c>
      <c r="AL239" s="30" t="inlineStr">
        <is>
          <t>T-0385</t>
        </is>
      </c>
      <c r="AM239" s="30" t="inlineStr">
        <is>
          <t>H-06-01</t>
        </is>
      </c>
      <c r="AN239" s="30" t="inlineStr">
        <is>
          <t>T-0324</t>
        </is>
      </c>
      <c r="AO239" s="30" t="inlineStr">
        <is>
          <t>H-03-03</t>
        </is>
      </c>
    </row>
    <row r="240">
      <c r="A240" s="30" t="inlineStr">
        <is>
          <t>O0239</t>
        </is>
      </c>
      <c r="B240" s="30" t="inlineStr">
        <is>
          <t>F</t>
        </is>
      </c>
      <c r="C240" s="31" t="n">
        <v>4155.3</v>
      </c>
      <c r="D240" s="31" t="n">
        <v>9549</v>
      </c>
      <c r="E240" s="31" t="n">
        <v>9577.5</v>
      </c>
      <c r="F240" s="31" t="n">
        <v>9591.299999999999</v>
      </c>
      <c r="G240" s="31" t="n">
        <v>9624.799999999999</v>
      </c>
      <c r="H240" s="31" t="n">
        <v>9624.9</v>
      </c>
      <c r="I240" s="31" t="n">
        <v>9637.1</v>
      </c>
      <c r="J240" s="31" t="n">
        <v>9667.9</v>
      </c>
      <c r="K240" s="31" t="n">
        <v>5512.6</v>
      </c>
      <c r="L240" s="31" t="n">
        <v>5393.7</v>
      </c>
      <c r="M240" s="30" t="inlineStr">
        <is>
          <t>AMR3</t>
        </is>
      </c>
      <c r="N240" s="30" t="inlineStr">
        <is>
          <t>AMR3</t>
        </is>
      </c>
      <c r="O240" s="32" t="n">
        <v>1</v>
      </c>
      <c r="P240" s="32" t="n">
        <v>25</v>
      </c>
      <c r="Q240" s="32" t="n">
        <v>1</v>
      </c>
      <c r="R240" s="31" t="n">
        <v>67.40000000000001</v>
      </c>
      <c r="S240" s="31" t="n">
        <v>67.40000000000001</v>
      </c>
      <c r="T240" s="30" t="inlineStr">
        <is>
          <t>AMR3</t>
        </is>
      </c>
      <c r="U240" s="31" t="n">
        <v>43.7</v>
      </c>
      <c r="V240" s="31" t="n">
        <v>43.7</v>
      </c>
      <c r="W240" s="30" t="inlineStr">
        <is>
          <t>AMR3</t>
        </is>
      </c>
      <c r="X240" s="32" t="n">
        <v>0</v>
      </c>
      <c r="Y240" s="32" t="n">
        <v>0</v>
      </c>
      <c r="Z240" s="31" t="n">
        <v>0</v>
      </c>
      <c r="AA240" s="32" t="n">
        <v>0</v>
      </c>
      <c r="AB240" s="32" t="n">
        <v>0</v>
      </c>
      <c r="AC240" s="32" t="n">
        <v>0</v>
      </c>
      <c r="AD240" s="32" t="n">
        <v>0</v>
      </c>
      <c r="AE240" s="31" t="n">
        <v>0</v>
      </c>
      <c r="AF240" s="32" t="n">
        <v>0</v>
      </c>
      <c r="AG240" s="31" t="n">
        <v>0</v>
      </c>
      <c r="AH240" s="32" t="n">
        <v>72</v>
      </c>
      <c r="AI240" s="31" t="n">
        <v>70.59999999999999</v>
      </c>
      <c r="AJ240" s="31" t="n">
        <v>43.2</v>
      </c>
      <c r="AK240" s="31" t="n">
        <v>5</v>
      </c>
      <c r="AL240" s="30" t="inlineStr">
        <is>
          <t>T-0412</t>
        </is>
      </c>
      <c r="AM240" s="30" t="inlineStr">
        <is>
          <t>F-02-02</t>
        </is>
      </c>
      <c r="AN240" s="30" t="inlineStr">
        <is>
          <t>T-0229</t>
        </is>
      </c>
      <c r="AO240" s="30" t="inlineStr">
        <is>
          <t>F-05-02</t>
        </is>
      </c>
    </row>
    <row r="241">
      <c r="A241" s="30" t="inlineStr">
        <is>
          <t>O0240</t>
        </is>
      </c>
      <c r="B241" s="30" t="inlineStr">
        <is>
          <t>I</t>
        </is>
      </c>
      <c r="C241" s="31" t="n">
        <v>4161.7</v>
      </c>
      <c r="D241" s="31" t="n">
        <v>8669.299999999999</v>
      </c>
      <c r="E241" s="31" t="n">
        <v>8692.799999999999</v>
      </c>
      <c r="F241" s="31" t="n">
        <v>8704</v>
      </c>
      <c r="G241" s="31" t="n">
        <v>8733.5</v>
      </c>
      <c r="H241" s="31" t="n">
        <v>8733.6</v>
      </c>
      <c r="I241" s="31" t="n">
        <v>8746.1</v>
      </c>
      <c r="J241" s="31" t="n">
        <v>8769.200000000001</v>
      </c>
      <c r="K241" s="31" t="n">
        <v>4607.5</v>
      </c>
      <c r="L241" s="31" t="n">
        <v>4507.6</v>
      </c>
      <c r="M241" s="30" t="inlineStr">
        <is>
          <t>AMR1</t>
        </is>
      </c>
      <c r="N241" s="30" t="inlineStr">
        <is>
          <t>AMR1</t>
        </is>
      </c>
      <c r="O241" s="32" t="n">
        <v>1</v>
      </c>
      <c r="P241" s="32" t="n">
        <v>25</v>
      </c>
      <c r="Q241" s="32" t="n">
        <v>2</v>
      </c>
      <c r="R241" s="31" t="n">
        <v>60</v>
      </c>
      <c r="S241" s="31" t="n">
        <v>60</v>
      </c>
      <c r="T241" s="30" t="inlineStr">
        <is>
          <t>AMR1</t>
        </is>
      </c>
      <c r="U241" s="31" t="n">
        <v>35.3</v>
      </c>
      <c r="V241" s="31" t="n">
        <v>35.3</v>
      </c>
      <c r="W241" s="30" t="inlineStr">
        <is>
          <t>AMR1</t>
        </is>
      </c>
      <c r="X241" s="32" t="n">
        <v>0</v>
      </c>
      <c r="Y241" s="32" t="n">
        <v>0</v>
      </c>
      <c r="Z241" s="31" t="n">
        <v>0</v>
      </c>
      <c r="AA241" s="32" t="n">
        <v>0</v>
      </c>
      <c r="AB241" s="32" t="n">
        <v>0</v>
      </c>
      <c r="AC241" s="32" t="n">
        <v>0</v>
      </c>
      <c r="AD241" s="32" t="n">
        <v>0</v>
      </c>
      <c r="AE241" s="31" t="n">
        <v>0</v>
      </c>
      <c r="AF241" s="32" t="n">
        <v>0</v>
      </c>
      <c r="AG241" s="31" t="n">
        <v>0</v>
      </c>
      <c r="AH241" s="32" t="n">
        <v>58</v>
      </c>
      <c r="AI241" s="31" t="n">
        <v>59.3</v>
      </c>
      <c r="AJ241" s="31" t="n">
        <v>40.5</v>
      </c>
      <c r="AK241" s="31" t="n">
        <v>0</v>
      </c>
      <c r="AL241" s="30" t="inlineStr">
        <is>
          <t>T-0388</t>
        </is>
      </c>
      <c r="AM241" s="30" t="inlineStr">
        <is>
          <t>I-06-01</t>
        </is>
      </c>
      <c r="AN241" s="30" t="inlineStr">
        <is>
          <t>T-0289</t>
        </is>
      </c>
      <c r="AO241" s="30" t="inlineStr">
        <is>
          <t>I-01-02</t>
        </is>
      </c>
    </row>
    <row r="242">
      <c r="A242" s="30" t="inlineStr">
        <is>
          <t>O0241</t>
        </is>
      </c>
      <c r="B242" s="30" t="inlineStr">
        <is>
          <t>C</t>
        </is>
      </c>
      <c r="C242" s="31" t="n">
        <v>4166.5</v>
      </c>
      <c r="D242" s="31" t="n">
        <v>8627.4</v>
      </c>
      <c r="E242" s="31" t="n">
        <v>8650.9</v>
      </c>
      <c r="F242" s="31" t="n">
        <v>8662.799999999999</v>
      </c>
      <c r="G242" s="31" t="n">
        <v>8682.6</v>
      </c>
      <c r="H242" s="31" t="n">
        <v>9335.4</v>
      </c>
      <c r="I242" s="31" t="n">
        <v>9362.799999999999</v>
      </c>
      <c r="J242" s="31" t="n">
        <v>9393.6</v>
      </c>
      <c r="K242" s="31" t="n">
        <v>5227.1</v>
      </c>
      <c r="L242" s="31" t="n">
        <v>4460.9</v>
      </c>
      <c r="M242" s="30" t="inlineStr">
        <is>
          <t>AMR3</t>
        </is>
      </c>
      <c r="N242" s="30" t="inlineStr">
        <is>
          <t>AMR2</t>
        </is>
      </c>
      <c r="O242" s="32" t="n">
        <v>1</v>
      </c>
      <c r="P242" s="32" t="n">
        <v>25</v>
      </c>
      <c r="Q242" s="32" t="n">
        <v>16</v>
      </c>
      <c r="R242" s="31" t="n">
        <v>54.1</v>
      </c>
      <c r="S242" s="31" t="n">
        <v>54.1</v>
      </c>
      <c r="T242" s="30" t="inlineStr">
        <is>
          <t>AMR3</t>
        </is>
      </c>
      <c r="U242" s="31" t="n">
        <v>56.6</v>
      </c>
      <c r="V242" s="31" t="n">
        <v>56.6</v>
      </c>
      <c r="W242" s="30" t="inlineStr">
        <is>
          <t>AMR2</t>
        </is>
      </c>
      <c r="X242" s="32" t="n">
        <v>0</v>
      </c>
      <c r="Y242" s="32" t="n">
        <v>0</v>
      </c>
      <c r="Z242" s="31" t="n">
        <v>0</v>
      </c>
      <c r="AA242" s="32" t="n">
        <v>0</v>
      </c>
      <c r="AB242" s="32" t="n">
        <v>0</v>
      </c>
      <c r="AC242" s="32" t="n">
        <v>0</v>
      </c>
      <c r="AD242" s="32" t="n">
        <v>0</v>
      </c>
      <c r="AE242" s="31" t="n">
        <v>0</v>
      </c>
      <c r="AF242" s="32" t="n">
        <v>0</v>
      </c>
      <c r="AG242" s="31" t="n">
        <v>0</v>
      </c>
      <c r="AH242" s="32" t="n">
        <v>68</v>
      </c>
      <c r="AI242" s="31" t="n">
        <v>70.7</v>
      </c>
      <c r="AJ242" s="31" t="n">
        <v>42.7</v>
      </c>
      <c r="AK242" s="31" t="n">
        <v>0</v>
      </c>
      <c r="AL242" s="30" t="inlineStr">
        <is>
          <t>T-0387</t>
        </is>
      </c>
      <c r="AM242" s="30" t="inlineStr">
        <is>
          <t>C-06-01</t>
        </is>
      </c>
      <c r="AN242" s="30" t="inlineStr">
        <is>
          <t>T-0273</t>
        </is>
      </c>
      <c r="AO242" s="30" t="inlineStr">
        <is>
          <t>C-03-03</t>
        </is>
      </c>
    </row>
    <row r="243">
      <c r="A243" s="30" t="inlineStr">
        <is>
          <t>O0242</t>
        </is>
      </c>
      <c r="B243" s="30" t="inlineStr">
        <is>
          <t>C</t>
        </is>
      </c>
      <c r="C243" s="31" t="n">
        <v>4173.3</v>
      </c>
      <c r="D243" s="31" t="n">
        <v>8682.700000000001</v>
      </c>
      <c r="E243" s="31" t="n">
        <v>8705</v>
      </c>
      <c r="F243" s="31" t="n">
        <v>8718.1</v>
      </c>
      <c r="G243" s="31" t="n">
        <v>8738</v>
      </c>
      <c r="H243" s="31" t="n">
        <v>9135</v>
      </c>
      <c r="I243" s="31" t="n">
        <v>9160.6</v>
      </c>
      <c r="J243" s="31" t="n">
        <v>9203.700000000001</v>
      </c>
      <c r="K243" s="31" t="n">
        <v>5030.4</v>
      </c>
      <c r="L243" s="31" t="n">
        <v>4509.4</v>
      </c>
      <c r="M243" s="30" t="inlineStr">
        <is>
          <t>AMR3</t>
        </is>
      </c>
      <c r="N243" s="30" t="inlineStr">
        <is>
          <t>AMR3</t>
        </is>
      </c>
      <c r="O243" s="32" t="n">
        <v>1</v>
      </c>
      <c r="P243" s="32" t="n">
        <v>11</v>
      </c>
      <c r="Q243" s="32" t="n">
        <v>16</v>
      </c>
      <c r="R243" s="31" t="n">
        <v>43</v>
      </c>
      <c r="S243" s="31" t="n">
        <v>43</v>
      </c>
      <c r="T243" s="30" t="inlineStr">
        <is>
          <t>AMR3</t>
        </is>
      </c>
      <c r="U243" s="31" t="n">
        <v>55.1</v>
      </c>
      <c r="V243" s="31" t="n">
        <v>55.1</v>
      </c>
      <c r="W243" s="30" t="inlineStr">
        <is>
          <t>AMR3</t>
        </is>
      </c>
      <c r="X243" s="32" t="n">
        <v>0</v>
      </c>
      <c r="Y243" s="32" t="n">
        <v>0</v>
      </c>
      <c r="Z243" s="31" t="n">
        <v>0</v>
      </c>
      <c r="AA243" s="32" t="n">
        <v>0</v>
      </c>
      <c r="AB243" s="32" t="n">
        <v>0</v>
      </c>
      <c r="AC243" s="32" t="n">
        <v>0</v>
      </c>
      <c r="AD243" s="32" t="n">
        <v>1</v>
      </c>
      <c r="AE243" s="31" t="n">
        <v>14</v>
      </c>
      <c r="AF243" s="32" t="n">
        <v>2</v>
      </c>
      <c r="AG243" s="31" t="n">
        <v>15</v>
      </c>
      <c r="AH243" s="32" t="n">
        <v>53</v>
      </c>
      <c r="AI243" s="31" t="n">
        <v>57.3</v>
      </c>
      <c r="AJ243" s="31" t="n">
        <v>41.7</v>
      </c>
      <c r="AK243" s="31" t="n">
        <v>25</v>
      </c>
      <c r="AL243" s="30" t="inlineStr">
        <is>
          <t>T-0389</t>
        </is>
      </c>
      <c r="AM243" s="30" t="inlineStr">
        <is>
          <t>C-01-02</t>
        </is>
      </c>
      <c r="AN243" s="30" t="inlineStr">
        <is>
          <t>T-0269</t>
        </is>
      </c>
      <c r="AO243" s="30" t="inlineStr">
        <is>
          <t>C-02-03</t>
        </is>
      </c>
    </row>
    <row r="244">
      <c r="A244" s="30" t="inlineStr">
        <is>
          <t>O0243</t>
        </is>
      </c>
      <c r="B244" s="30" t="inlineStr">
        <is>
          <t>C</t>
        </is>
      </c>
      <c r="C244" s="31" t="n">
        <v>4178.2</v>
      </c>
      <c r="D244" s="31" t="n">
        <v>8738.1</v>
      </c>
      <c r="E244" s="31" t="n">
        <v>8750.1</v>
      </c>
      <c r="F244" s="31" t="n">
        <v>8764</v>
      </c>
      <c r="G244" s="31" t="n">
        <v>8786.4</v>
      </c>
      <c r="H244" s="31" t="n">
        <v>9393.700000000001</v>
      </c>
      <c r="I244" s="31" t="n">
        <v>9419.700000000001</v>
      </c>
      <c r="J244" s="31" t="n">
        <v>9456</v>
      </c>
      <c r="K244" s="31" t="n">
        <v>5277.8</v>
      </c>
      <c r="L244" s="31" t="n">
        <v>4559.9</v>
      </c>
      <c r="M244" s="30" t="inlineStr">
        <is>
          <t>AMR3</t>
        </is>
      </c>
      <c r="N244" s="30" t="inlineStr">
        <is>
          <t>AMR2</t>
        </is>
      </c>
      <c r="O244" s="32" t="n">
        <v>1</v>
      </c>
      <c r="P244" s="32" t="n">
        <v>12</v>
      </c>
      <c r="Q244" s="32" t="n">
        <v>16</v>
      </c>
      <c r="R244" s="31" t="n">
        <v>47</v>
      </c>
      <c r="S244" s="31" t="n">
        <v>47</v>
      </c>
      <c r="T244" s="30" t="inlineStr">
        <is>
          <t>AMR3</t>
        </is>
      </c>
      <c r="U244" s="31" t="n">
        <v>55.2</v>
      </c>
      <c r="V244" s="31" t="n">
        <v>55.2</v>
      </c>
      <c r="W244" s="30" t="inlineStr">
        <is>
          <t>AMR2</t>
        </is>
      </c>
      <c r="X244" s="32" t="n">
        <v>0</v>
      </c>
      <c r="Y244" s="32" t="n">
        <v>0</v>
      </c>
      <c r="Z244" s="31" t="n">
        <v>0</v>
      </c>
      <c r="AA244" s="32" t="n">
        <v>0</v>
      </c>
      <c r="AB244" s="32" t="n">
        <v>0</v>
      </c>
      <c r="AC244" s="32" t="n">
        <v>0</v>
      </c>
      <c r="AD244" s="32" t="n">
        <v>2</v>
      </c>
      <c r="AE244" s="31" t="n">
        <v>5.6</v>
      </c>
      <c r="AF244" s="32" t="n">
        <v>0</v>
      </c>
      <c r="AG244" s="31" t="n">
        <v>0</v>
      </c>
      <c r="AH244" s="32" t="n">
        <v>56</v>
      </c>
      <c r="AI244" s="31" t="n">
        <v>59.9</v>
      </c>
      <c r="AJ244" s="31" t="n">
        <v>45.1</v>
      </c>
      <c r="AK244" s="31" t="n">
        <v>5.6</v>
      </c>
      <c r="AL244" s="30" t="inlineStr">
        <is>
          <t>T-0391</t>
        </is>
      </c>
      <c r="AM244" s="30" t="inlineStr">
        <is>
          <t>C-01-04</t>
        </is>
      </c>
      <c r="AN244" s="30" t="inlineStr">
        <is>
          <t>T-0279</t>
        </is>
      </c>
      <c r="AO244" s="30" t="inlineStr">
        <is>
          <t>C-04-02</t>
        </is>
      </c>
    </row>
    <row r="245">
      <c r="A245" s="30" t="inlineStr">
        <is>
          <t>O0244</t>
        </is>
      </c>
      <c r="B245" s="30" t="inlineStr">
        <is>
          <t>H</t>
        </is>
      </c>
      <c r="C245" s="31" t="n">
        <v>4181.8</v>
      </c>
      <c r="D245" s="31" t="n">
        <v>8696.799999999999</v>
      </c>
      <c r="E245" s="31" t="n">
        <v>8720.299999999999</v>
      </c>
      <c r="F245" s="31" t="n">
        <v>8731.700000000001</v>
      </c>
      <c r="G245" s="31" t="n">
        <v>8758.200000000001</v>
      </c>
      <c r="H245" s="31" t="n">
        <v>8758.299999999999</v>
      </c>
      <c r="I245" s="31" t="n">
        <v>8769.700000000001</v>
      </c>
      <c r="J245" s="31" t="n">
        <v>8793.9</v>
      </c>
      <c r="K245" s="31" t="n">
        <v>4612.1</v>
      </c>
      <c r="L245" s="31" t="n">
        <v>4515</v>
      </c>
      <c r="M245" s="30" t="inlineStr">
        <is>
          <t>AMR2</t>
        </is>
      </c>
      <c r="N245" s="30" t="inlineStr">
        <is>
          <t>AMR2</t>
        </is>
      </c>
      <c r="O245" s="32" t="n">
        <v>1</v>
      </c>
      <c r="P245" s="32" t="n">
        <v>25</v>
      </c>
      <c r="Q245" s="32" t="n">
        <v>0</v>
      </c>
      <c r="R245" s="31" t="n">
        <v>58.8</v>
      </c>
      <c r="S245" s="31" t="n">
        <v>58.8</v>
      </c>
      <c r="T245" s="30" t="inlineStr">
        <is>
          <t>AMR2</t>
        </is>
      </c>
      <c r="U245" s="31" t="n">
        <v>34.8</v>
      </c>
      <c r="V245" s="31" t="n">
        <v>34.8</v>
      </c>
      <c r="W245" s="30" t="inlineStr">
        <is>
          <t>AMR2</t>
        </is>
      </c>
      <c r="X245" s="32" t="n">
        <v>0</v>
      </c>
      <c r="Y245" s="32" t="n">
        <v>0</v>
      </c>
      <c r="Z245" s="31" t="n">
        <v>0</v>
      </c>
      <c r="AA245" s="32" t="n">
        <v>0</v>
      </c>
      <c r="AB245" s="32" t="n">
        <v>0</v>
      </c>
      <c r="AC245" s="32" t="n">
        <v>0</v>
      </c>
      <c r="AD245" s="32" t="n">
        <v>0</v>
      </c>
      <c r="AE245" s="31" t="n">
        <v>0</v>
      </c>
      <c r="AF245" s="32" t="n">
        <v>0</v>
      </c>
      <c r="AG245" s="31" t="n">
        <v>0</v>
      </c>
      <c r="AH245" s="32" t="n">
        <v>54</v>
      </c>
      <c r="AI245" s="31" t="n">
        <v>56.3</v>
      </c>
      <c r="AJ245" s="31" t="n">
        <v>40.7</v>
      </c>
      <c r="AK245" s="31" t="n">
        <v>0</v>
      </c>
      <c r="AL245" s="30" t="inlineStr">
        <is>
          <t>T-0390</t>
        </is>
      </c>
      <c r="AM245" s="30" t="inlineStr">
        <is>
          <t>H-03-03</t>
        </is>
      </c>
      <c r="AN245" s="30" t="inlineStr">
        <is>
          <t>T-0326</t>
        </is>
      </c>
      <c r="AO245" s="30" t="inlineStr">
        <is>
          <t>H-01-02</t>
        </is>
      </c>
    </row>
    <row r="246">
      <c r="A246" s="30" t="inlineStr">
        <is>
          <t>O0245</t>
        </is>
      </c>
      <c r="B246" s="30" t="inlineStr">
        <is>
          <t>I</t>
        </is>
      </c>
      <c r="C246" s="31" t="n">
        <v>4188.8</v>
      </c>
      <c r="D246" s="31" t="n">
        <v>8769.299999999999</v>
      </c>
      <c r="E246" s="31" t="n">
        <v>8792.799999999999</v>
      </c>
      <c r="F246" s="31" t="n">
        <v>8808.9</v>
      </c>
      <c r="G246" s="31" t="n">
        <v>8831.9</v>
      </c>
      <c r="H246" s="31" t="n">
        <v>8832</v>
      </c>
      <c r="I246" s="31" t="n">
        <v>8843</v>
      </c>
      <c r="J246" s="31" t="n">
        <v>8867.9</v>
      </c>
      <c r="K246" s="31" t="n">
        <v>4679.1</v>
      </c>
      <c r="L246" s="31" t="n">
        <v>4580.5</v>
      </c>
      <c r="M246" s="30" t="inlineStr">
        <is>
          <t>AMR1</t>
        </is>
      </c>
      <c r="N246" s="30" t="inlineStr">
        <is>
          <t>AMR1</t>
        </is>
      </c>
      <c r="O246" s="32" t="n">
        <v>1</v>
      </c>
      <c r="P246" s="32" t="n">
        <v>25</v>
      </c>
      <c r="Q246" s="32" t="n">
        <v>1</v>
      </c>
      <c r="R246" s="31" t="n">
        <v>60.8</v>
      </c>
      <c r="S246" s="31" t="n">
        <v>60.8</v>
      </c>
      <c r="T246" s="30" t="inlineStr">
        <is>
          <t>AMR1</t>
        </is>
      </c>
      <c r="U246" s="31" t="n">
        <v>37.6</v>
      </c>
      <c r="V246" s="31" t="n">
        <v>37.6</v>
      </c>
      <c r="W246" s="30" t="inlineStr">
        <is>
          <t>AMR1</t>
        </is>
      </c>
      <c r="X246" s="32" t="n">
        <v>0</v>
      </c>
      <c r="Y246" s="32" t="n">
        <v>0</v>
      </c>
      <c r="Z246" s="31" t="n">
        <v>0</v>
      </c>
      <c r="AA246" s="32" t="n">
        <v>0</v>
      </c>
      <c r="AB246" s="32" t="n">
        <v>0</v>
      </c>
      <c r="AC246" s="32" t="n">
        <v>0</v>
      </c>
      <c r="AD246" s="32" t="n">
        <v>0</v>
      </c>
      <c r="AE246" s="31" t="n">
        <v>0</v>
      </c>
      <c r="AF246" s="32" t="n">
        <v>0</v>
      </c>
      <c r="AG246" s="31" t="n">
        <v>0</v>
      </c>
      <c r="AH246" s="32" t="n">
        <v>52</v>
      </c>
      <c r="AI246" s="31" t="n">
        <v>54.2</v>
      </c>
      <c r="AJ246" s="31" t="n">
        <v>44.3</v>
      </c>
      <c r="AK246" s="31" t="n">
        <v>0</v>
      </c>
      <c r="AL246" s="30" t="inlineStr">
        <is>
          <t>T-0392</t>
        </is>
      </c>
      <c r="AM246" s="30" t="inlineStr">
        <is>
          <t>I-01-02</t>
        </is>
      </c>
      <c r="AN246" s="30" t="inlineStr">
        <is>
          <t>T-0295</t>
        </is>
      </c>
      <c r="AO246" s="30" t="inlineStr">
        <is>
          <t>I-02-02</t>
        </is>
      </c>
    </row>
    <row r="247">
      <c r="A247" s="30" t="inlineStr">
        <is>
          <t>O0246</t>
        </is>
      </c>
      <c r="B247" s="30" t="inlineStr">
        <is>
          <t>G</t>
        </is>
      </c>
      <c r="C247" s="31" t="n">
        <v>4194.2</v>
      </c>
      <c r="D247" s="31" t="n">
        <v>8924.1</v>
      </c>
      <c r="E247" s="31" t="n">
        <v>8956.6</v>
      </c>
      <c r="F247" s="31" t="n">
        <v>8971.799999999999</v>
      </c>
      <c r="G247" s="31" t="n">
        <v>8996.299999999999</v>
      </c>
      <c r="H247" s="31" t="n">
        <v>8996.4</v>
      </c>
      <c r="I247" s="31" t="n">
        <v>9007.799999999999</v>
      </c>
      <c r="J247" s="31" t="n">
        <v>9033.299999999999</v>
      </c>
      <c r="K247" s="31" t="n">
        <v>4839.1</v>
      </c>
      <c r="L247" s="31" t="n">
        <v>4729.9</v>
      </c>
      <c r="M247" s="30" t="inlineStr">
        <is>
          <t>AMR3</t>
        </is>
      </c>
      <c r="N247" s="30" t="inlineStr">
        <is>
          <t>AMR3</t>
        </is>
      </c>
      <c r="O247" s="32" t="n">
        <v>1</v>
      </c>
      <c r="P247" s="32" t="n">
        <v>25</v>
      </c>
      <c r="Q247" s="32" t="n">
        <v>0</v>
      </c>
      <c r="R247" s="31" t="n">
        <v>60.6</v>
      </c>
      <c r="S247" s="31" t="n">
        <v>50.1</v>
      </c>
      <c r="T247" s="30" t="inlineStr">
        <is>
          <t>AMR1</t>
        </is>
      </c>
      <c r="U247" s="31" t="n">
        <v>36.6</v>
      </c>
      <c r="V247" s="31" t="n">
        <v>36.6</v>
      </c>
      <c r="W247" s="30" t="inlineStr">
        <is>
          <t>AMR3</t>
        </is>
      </c>
      <c r="X247" s="32" t="n">
        <v>1</v>
      </c>
      <c r="Y247" s="32" t="n">
        <v>13</v>
      </c>
      <c r="Z247" s="31" t="n">
        <v>10.5</v>
      </c>
      <c r="AA247" s="32" t="n">
        <v>1</v>
      </c>
      <c r="AB247" s="32" t="n">
        <v>0</v>
      </c>
      <c r="AC247" s="32" t="n">
        <v>0</v>
      </c>
      <c r="AD247" s="32" t="n">
        <v>0</v>
      </c>
      <c r="AE247" s="31" t="n">
        <v>0</v>
      </c>
      <c r="AF247" s="32" t="n">
        <v>1</v>
      </c>
      <c r="AG247" s="31" t="n">
        <v>4</v>
      </c>
      <c r="AH247" s="32" t="n">
        <v>58</v>
      </c>
      <c r="AI247" s="31" t="n">
        <v>59.5</v>
      </c>
      <c r="AJ247" s="31" t="n">
        <v>40.6</v>
      </c>
      <c r="AK247" s="31" t="n">
        <v>9</v>
      </c>
      <c r="AL247" s="30" t="inlineStr">
        <is>
          <t>T-0397</t>
        </is>
      </c>
      <c r="AM247" s="30" t="inlineStr">
        <is>
          <t>G-03-01</t>
        </is>
      </c>
      <c r="AN247" s="30" t="inlineStr">
        <is>
          <t>T-0184</t>
        </is>
      </c>
      <c r="AO247" s="30" t="inlineStr">
        <is>
          <t>G-03-02</t>
        </is>
      </c>
    </row>
    <row r="248">
      <c r="A248" s="30" t="inlineStr">
        <is>
          <t>O0247</t>
        </is>
      </c>
      <c r="B248" s="30" t="inlineStr">
        <is>
          <t>I</t>
        </is>
      </c>
      <c r="C248" s="31" t="n">
        <v>4199</v>
      </c>
      <c r="D248" s="31" t="n">
        <v>8908.9</v>
      </c>
      <c r="E248" s="31" t="n">
        <v>8932.4</v>
      </c>
      <c r="F248" s="31" t="n">
        <v>8943.799999999999</v>
      </c>
      <c r="G248" s="31" t="n">
        <v>8966.6</v>
      </c>
      <c r="H248" s="31" t="n">
        <v>8966.700000000001</v>
      </c>
      <c r="I248" s="31" t="n">
        <v>8982.200000000001</v>
      </c>
      <c r="J248" s="31" t="n">
        <v>9010.5</v>
      </c>
      <c r="K248" s="31" t="n">
        <v>4811.5</v>
      </c>
      <c r="L248" s="31" t="n">
        <v>4709.9</v>
      </c>
      <c r="M248" s="30" t="inlineStr">
        <is>
          <t>AMR2</t>
        </is>
      </c>
      <c r="N248" s="30" t="inlineStr">
        <is>
          <t>AMR2</t>
        </is>
      </c>
      <c r="O248" s="32" t="n">
        <v>1</v>
      </c>
      <c r="P248" s="32" t="n">
        <v>25</v>
      </c>
      <c r="Q248" s="32" t="n">
        <v>1</v>
      </c>
      <c r="R248" s="31" t="n">
        <v>55.9</v>
      </c>
      <c r="S248" s="31" t="n">
        <v>55.9</v>
      </c>
      <c r="T248" s="30" t="inlineStr">
        <is>
          <t>AMR2</t>
        </is>
      </c>
      <c r="U248" s="31" t="n">
        <v>42.5</v>
      </c>
      <c r="V248" s="31" t="n">
        <v>42.5</v>
      </c>
      <c r="W248" s="30" t="inlineStr">
        <is>
          <t>AMR2</t>
        </is>
      </c>
      <c r="X248" s="32" t="n">
        <v>0</v>
      </c>
      <c r="Y248" s="32" t="n">
        <v>0</v>
      </c>
      <c r="Z248" s="31" t="n">
        <v>0</v>
      </c>
      <c r="AA248" s="32" t="n">
        <v>0</v>
      </c>
      <c r="AB248" s="32" t="n">
        <v>0</v>
      </c>
      <c r="AC248" s="32" t="n">
        <v>0</v>
      </c>
      <c r="AD248" s="32" t="n">
        <v>0</v>
      </c>
      <c r="AE248" s="31" t="n">
        <v>0</v>
      </c>
      <c r="AF248" s="32" t="n">
        <v>0</v>
      </c>
      <c r="AG248" s="31" t="n">
        <v>0</v>
      </c>
      <c r="AH248" s="32" t="n">
        <v>54</v>
      </c>
      <c r="AI248" s="31" t="n">
        <v>57.2</v>
      </c>
      <c r="AJ248" s="31" t="n">
        <v>44.3</v>
      </c>
      <c r="AK248" s="31" t="n">
        <v>0</v>
      </c>
      <c r="AL248" s="30" t="inlineStr">
        <is>
          <t>T-0396</t>
        </is>
      </c>
      <c r="AM248" s="30" t="inlineStr">
        <is>
          <t>I-02-02</t>
        </is>
      </c>
      <c r="AN248" s="30" t="inlineStr">
        <is>
          <t>T-0298</t>
        </is>
      </c>
      <c r="AO248" s="30" t="inlineStr">
        <is>
          <t>I-03-02</t>
        </is>
      </c>
    </row>
    <row r="249">
      <c r="A249" s="30" t="inlineStr">
        <is>
          <t>O0248</t>
        </is>
      </c>
      <c r="B249" s="30" t="inlineStr">
        <is>
          <t>C</t>
        </is>
      </c>
      <c r="C249" s="31" t="n">
        <v>4204.3</v>
      </c>
      <c r="D249" s="31" t="n">
        <v>8868</v>
      </c>
      <c r="E249" s="31" t="n">
        <v>8891.5</v>
      </c>
      <c r="F249" s="31" t="n">
        <v>8904.200000000001</v>
      </c>
      <c r="G249" s="31" t="n">
        <v>8924.4</v>
      </c>
      <c r="H249" s="31" t="n">
        <v>8924.5</v>
      </c>
      <c r="I249" s="31" t="n">
        <v>8936.1</v>
      </c>
      <c r="J249" s="31" t="n">
        <v>8963.4</v>
      </c>
      <c r="K249" s="31" t="n">
        <v>4759.1</v>
      </c>
      <c r="L249" s="31" t="n">
        <v>4663.7</v>
      </c>
      <c r="M249" s="30" t="inlineStr">
        <is>
          <t>AMR1</t>
        </is>
      </c>
      <c r="N249" s="30" t="inlineStr">
        <is>
          <t>AMR1</t>
        </is>
      </c>
      <c r="O249" s="32" t="n">
        <v>1</v>
      </c>
      <c r="P249" s="32" t="n">
        <v>25</v>
      </c>
      <c r="Q249" s="32" t="n">
        <v>1</v>
      </c>
      <c r="R249" s="31" t="n">
        <v>54.5</v>
      </c>
      <c r="S249" s="31" t="n">
        <v>54.5</v>
      </c>
      <c r="T249" s="30" t="inlineStr">
        <is>
          <t>AMR1</t>
        </is>
      </c>
      <c r="U249" s="31" t="n">
        <v>39</v>
      </c>
      <c r="V249" s="31" t="n">
        <v>39</v>
      </c>
      <c r="W249" s="30" t="inlineStr">
        <is>
          <t>AMR1</t>
        </is>
      </c>
      <c r="X249" s="32" t="n">
        <v>0</v>
      </c>
      <c r="Y249" s="32" t="n">
        <v>0</v>
      </c>
      <c r="Z249" s="31" t="n">
        <v>0</v>
      </c>
      <c r="AA249" s="32" t="n">
        <v>0</v>
      </c>
      <c r="AB249" s="32" t="n">
        <v>0</v>
      </c>
      <c r="AC249" s="32" t="n">
        <v>0</v>
      </c>
      <c r="AD249" s="32" t="n">
        <v>0</v>
      </c>
      <c r="AE249" s="31" t="n">
        <v>0</v>
      </c>
      <c r="AF249" s="32" t="n">
        <v>0</v>
      </c>
      <c r="AG249" s="31" t="n">
        <v>0</v>
      </c>
      <c r="AH249" s="32" t="n">
        <v>54</v>
      </c>
      <c r="AI249" s="31" t="n">
        <v>54.9</v>
      </c>
      <c r="AJ249" s="31" t="n">
        <v>40.4</v>
      </c>
      <c r="AK249" s="31" t="n">
        <v>0</v>
      </c>
      <c r="AL249" s="30" t="inlineStr">
        <is>
          <t>T-0395</t>
        </is>
      </c>
      <c r="AM249" s="30" t="inlineStr">
        <is>
          <t>C-02-02</t>
        </is>
      </c>
      <c r="AN249" s="30" t="inlineStr">
        <is>
          <t>T-0260</t>
        </is>
      </c>
      <c r="AO249" s="30" t="inlineStr">
        <is>
          <t>C-03-02</t>
        </is>
      </c>
    </row>
    <row r="250">
      <c r="A250" s="30" t="inlineStr">
        <is>
          <t>O0249</t>
        </is>
      </c>
      <c r="B250" s="30" t="inlineStr">
        <is>
          <t>C</t>
        </is>
      </c>
      <c r="C250" s="31" t="n">
        <v>4209.8</v>
      </c>
      <c r="D250" s="31" t="n">
        <v>9010.6</v>
      </c>
      <c r="E250" s="31" t="n">
        <v>9034.1</v>
      </c>
      <c r="F250" s="31" t="n">
        <v>9045.1</v>
      </c>
      <c r="G250" s="31" t="n">
        <v>9067.1</v>
      </c>
      <c r="H250" s="31" t="n">
        <v>9067.200000000001</v>
      </c>
      <c r="I250" s="31" t="n">
        <v>9079.9</v>
      </c>
      <c r="J250" s="31" t="n">
        <v>9106.299999999999</v>
      </c>
      <c r="K250" s="31" t="n">
        <v>4896.5</v>
      </c>
      <c r="L250" s="31" t="n">
        <v>4800.8</v>
      </c>
      <c r="M250" s="30" t="inlineStr">
        <is>
          <t>AMR2</t>
        </is>
      </c>
      <c r="N250" s="30" t="inlineStr">
        <is>
          <t>AMR2</t>
        </is>
      </c>
      <c r="O250" s="32" t="n">
        <v>1</v>
      </c>
      <c r="P250" s="32" t="n">
        <v>25</v>
      </c>
      <c r="Q250" s="32" t="n">
        <v>0</v>
      </c>
      <c r="R250" s="31" t="n">
        <v>53.8</v>
      </c>
      <c r="S250" s="31" t="n">
        <v>53.8</v>
      </c>
      <c r="T250" s="30" t="inlineStr">
        <is>
          <t>AMR2</t>
        </is>
      </c>
      <c r="U250" s="31" t="n">
        <v>38.3</v>
      </c>
      <c r="V250" s="31" t="n">
        <v>38.3</v>
      </c>
      <c r="W250" s="30" t="inlineStr">
        <is>
          <t>AMR2</t>
        </is>
      </c>
      <c r="X250" s="32" t="n">
        <v>0</v>
      </c>
      <c r="Y250" s="32" t="n">
        <v>0</v>
      </c>
      <c r="Z250" s="31" t="n">
        <v>0</v>
      </c>
      <c r="AA250" s="32" t="n">
        <v>0</v>
      </c>
      <c r="AB250" s="32" t="n">
        <v>0</v>
      </c>
      <c r="AC250" s="32" t="n">
        <v>0</v>
      </c>
      <c r="AD250" s="32" t="n">
        <v>0</v>
      </c>
      <c r="AE250" s="31" t="n">
        <v>0</v>
      </c>
      <c r="AF250" s="32" t="n">
        <v>0</v>
      </c>
      <c r="AG250" s="31" t="n">
        <v>0</v>
      </c>
      <c r="AH250" s="32" t="n">
        <v>54</v>
      </c>
      <c r="AI250" s="31" t="n">
        <v>55.9</v>
      </c>
      <c r="AJ250" s="31" t="n">
        <v>39.7</v>
      </c>
      <c r="AK250" s="31" t="n">
        <v>0</v>
      </c>
      <c r="AL250" s="30" t="inlineStr">
        <is>
          <t>T-0399</t>
        </is>
      </c>
      <c r="AM250" s="30" t="inlineStr">
        <is>
          <t>C-03-02</t>
        </is>
      </c>
      <c r="AN250" s="30" t="inlineStr">
        <is>
          <t>T-0263</t>
        </is>
      </c>
      <c r="AO250" s="30" t="inlineStr">
        <is>
          <t>C-05-02</t>
        </is>
      </c>
    </row>
    <row r="251">
      <c r="A251" s="30" t="inlineStr">
        <is>
          <t>O0250</t>
        </is>
      </c>
      <c r="B251" s="30" t="inlineStr">
        <is>
          <t>D</t>
        </is>
      </c>
      <c r="C251" s="31" t="n">
        <v>4213.7</v>
      </c>
      <c r="D251" s="31" t="n">
        <v>8963.5</v>
      </c>
      <c r="E251" s="31" t="n">
        <v>8987</v>
      </c>
      <c r="F251" s="31" t="n">
        <v>9002.799999999999</v>
      </c>
      <c r="G251" s="31" t="n">
        <v>9029.4</v>
      </c>
      <c r="H251" s="31" t="n">
        <v>9357</v>
      </c>
      <c r="I251" s="31" t="n">
        <v>9385.6</v>
      </c>
      <c r="J251" s="31" t="n">
        <v>9416</v>
      </c>
      <c r="K251" s="31" t="n">
        <v>5202.3</v>
      </c>
      <c r="L251" s="31" t="n">
        <v>4749.8</v>
      </c>
      <c r="M251" s="30" t="inlineStr">
        <is>
          <t>AMR1</t>
        </is>
      </c>
      <c r="N251" s="30" t="inlineStr">
        <is>
          <t>AMR1</t>
        </is>
      </c>
      <c r="O251" s="32" t="n">
        <v>1</v>
      </c>
      <c r="P251" s="32" t="n">
        <v>25</v>
      </c>
      <c r="Q251" s="32" t="n">
        <v>16</v>
      </c>
      <c r="R251" s="31" t="n">
        <v>61.6</v>
      </c>
      <c r="S251" s="31" t="n">
        <v>56.5</v>
      </c>
      <c r="T251" s="30" t="inlineStr">
        <is>
          <t>AMR2</t>
        </is>
      </c>
      <c r="U251" s="31" t="n">
        <v>57.9</v>
      </c>
      <c r="V251" s="31" t="n">
        <v>57.9</v>
      </c>
      <c r="W251" s="30" t="inlineStr">
        <is>
          <t>AMR1</t>
        </is>
      </c>
      <c r="X251" s="32" t="n">
        <v>1</v>
      </c>
      <c r="Y251" s="32" t="n">
        <v>11</v>
      </c>
      <c r="Z251" s="31" t="n">
        <v>5.1</v>
      </c>
      <c r="AA251" s="32" t="n">
        <v>0</v>
      </c>
      <c r="AB251" s="32" t="n">
        <v>0</v>
      </c>
      <c r="AC251" s="32" t="n">
        <v>0</v>
      </c>
      <c r="AD251" s="32" t="n">
        <v>0</v>
      </c>
      <c r="AE251" s="31" t="n">
        <v>0</v>
      </c>
      <c r="AF251" s="32" t="n">
        <v>0</v>
      </c>
      <c r="AG251" s="31" t="n">
        <v>0</v>
      </c>
      <c r="AH251" s="32" t="n">
        <v>72</v>
      </c>
      <c r="AI251" s="31" t="n">
        <v>73.90000000000001</v>
      </c>
      <c r="AJ251" s="31" t="n">
        <v>51</v>
      </c>
      <c r="AK251" s="31" t="n">
        <v>0</v>
      </c>
      <c r="AL251" s="30" t="inlineStr">
        <is>
          <t>T-0398</t>
        </is>
      </c>
      <c r="AM251" s="30" t="inlineStr">
        <is>
          <t>D-06-02</t>
        </is>
      </c>
      <c r="AN251" s="30" t="inlineStr">
        <is>
          <t>T-0304</t>
        </is>
      </c>
      <c r="AO251" s="30" t="inlineStr">
        <is>
          <t>D-03-01</t>
        </is>
      </c>
    </row>
    <row r="252">
      <c r="A252" s="30" t="inlineStr">
        <is>
          <t>O0251</t>
        </is>
      </c>
      <c r="B252" s="30" t="inlineStr">
        <is>
          <t>F</t>
        </is>
      </c>
      <c r="C252" s="31" t="n">
        <v>4218.4</v>
      </c>
      <c r="D252" s="31" t="n">
        <v>10530.8</v>
      </c>
      <c r="E252" s="31" t="n">
        <v>10554.3</v>
      </c>
      <c r="F252" s="31" t="n">
        <v>10568.1</v>
      </c>
      <c r="G252" s="31" t="n">
        <v>10601.9</v>
      </c>
      <c r="H252" s="31" t="n">
        <v>10602</v>
      </c>
      <c r="I252" s="31" t="n">
        <v>10616.8</v>
      </c>
      <c r="J252" s="31" t="n">
        <v>10649.3</v>
      </c>
      <c r="K252" s="31" t="n">
        <v>6430.9</v>
      </c>
      <c r="L252" s="31" t="n">
        <v>6312.4</v>
      </c>
      <c r="M252" s="30" t="inlineStr">
        <is>
          <t>AMR3</t>
        </is>
      </c>
      <c r="N252" s="30" t="inlineStr">
        <is>
          <t>AMR3</t>
        </is>
      </c>
      <c r="O252" s="32" t="n">
        <v>1</v>
      </c>
      <c r="P252" s="32" t="n">
        <v>25</v>
      </c>
      <c r="Q252" s="32" t="n">
        <v>1</v>
      </c>
      <c r="R252" s="31" t="n">
        <v>67.7</v>
      </c>
      <c r="S252" s="31" t="n">
        <v>67.7</v>
      </c>
      <c r="T252" s="30" t="inlineStr">
        <is>
          <t>AMR3</t>
        </is>
      </c>
      <c r="U252" s="31" t="n">
        <v>48</v>
      </c>
      <c r="V252" s="31" t="n">
        <v>48</v>
      </c>
      <c r="W252" s="30" t="inlineStr">
        <is>
          <t>AMR3</t>
        </is>
      </c>
      <c r="X252" s="32" t="n">
        <v>0</v>
      </c>
      <c r="Y252" s="32" t="n">
        <v>0</v>
      </c>
      <c r="Z252" s="31" t="n">
        <v>0</v>
      </c>
      <c r="AA252" s="32" t="n">
        <v>0</v>
      </c>
      <c r="AB252" s="32" t="n">
        <v>0</v>
      </c>
      <c r="AC252" s="32" t="n">
        <v>0</v>
      </c>
      <c r="AD252" s="32" t="n">
        <v>0</v>
      </c>
      <c r="AE252" s="31" t="n">
        <v>0</v>
      </c>
      <c r="AF252" s="32" t="n">
        <v>0</v>
      </c>
      <c r="AG252" s="31" t="n">
        <v>0</v>
      </c>
      <c r="AH252" s="32" t="n">
        <v>72</v>
      </c>
      <c r="AI252" s="31" t="n">
        <v>70.59999999999999</v>
      </c>
      <c r="AJ252" s="31" t="n">
        <v>47.8</v>
      </c>
      <c r="AK252" s="31" t="n">
        <v>0</v>
      </c>
      <c r="AL252" s="30" t="inlineStr">
        <is>
          <t>T-0440</t>
        </is>
      </c>
      <c r="AM252" s="30" t="inlineStr">
        <is>
          <t>F-02-03</t>
        </is>
      </c>
      <c r="AN252" s="30" t="inlineStr">
        <is>
          <t>T-0252</t>
        </is>
      </c>
      <c r="AO252" s="30" t="inlineStr">
        <is>
          <t>F-04-02</t>
        </is>
      </c>
    </row>
    <row r="253">
      <c r="A253" s="30" t="inlineStr">
        <is>
          <t>O0252</t>
        </is>
      </c>
      <c r="B253" s="30" t="inlineStr">
        <is>
          <t>H</t>
        </is>
      </c>
      <c r="C253" s="31" t="n">
        <v>4221.5</v>
      </c>
      <c r="D253" s="31" t="n">
        <v>9033.4</v>
      </c>
      <c r="E253" s="31" t="n">
        <v>9057.9</v>
      </c>
      <c r="F253" s="31" t="n">
        <v>9069.9</v>
      </c>
      <c r="G253" s="31" t="n">
        <v>9095.5</v>
      </c>
      <c r="H253" s="31" t="n">
        <v>9095.6</v>
      </c>
      <c r="I253" s="31" t="n">
        <v>9109.299999999999</v>
      </c>
      <c r="J253" s="31" t="n">
        <v>9134.9</v>
      </c>
      <c r="K253" s="31" t="n">
        <v>4913.4</v>
      </c>
      <c r="L253" s="31" t="n">
        <v>4811.9</v>
      </c>
      <c r="M253" s="30" t="inlineStr">
        <is>
          <t>AMR3</t>
        </is>
      </c>
      <c r="N253" s="30" t="inlineStr">
        <is>
          <t>AMR3</t>
        </is>
      </c>
      <c r="O253" s="32" t="n">
        <v>1</v>
      </c>
      <c r="P253" s="32" t="n">
        <v>25</v>
      </c>
      <c r="Q253" s="32" t="n">
        <v>1</v>
      </c>
      <c r="R253" s="31" t="n">
        <v>59.3</v>
      </c>
      <c r="S253" s="31" t="n">
        <v>59.3</v>
      </c>
      <c r="T253" s="30" t="inlineStr">
        <is>
          <t>AMR3</t>
        </is>
      </c>
      <c r="U253" s="31" t="n">
        <v>38.5</v>
      </c>
      <c r="V253" s="31" t="n">
        <v>38.5</v>
      </c>
      <c r="W253" s="30" t="inlineStr">
        <is>
          <t>AMR3</t>
        </is>
      </c>
      <c r="X253" s="32" t="n">
        <v>0</v>
      </c>
      <c r="Y253" s="32" t="n">
        <v>0</v>
      </c>
      <c r="Z253" s="31" t="n">
        <v>0</v>
      </c>
      <c r="AA253" s="32" t="n">
        <v>0</v>
      </c>
      <c r="AB253" s="32" t="n">
        <v>0</v>
      </c>
      <c r="AC253" s="32" t="n">
        <v>0</v>
      </c>
      <c r="AD253" s="32" t="n">
        <v>0</v>
      </c>
      <c r="AE253" s="31" t="n">
        <v>0</v>
      </c>
      <c r="AF253" s="32" t="n">
        <v>0</v>
      </c>
      <c r="AG253" s="31" t="n">
        <v>0</v>
      </c>
      <c r="AH253" s="32" t="n">
        <v>54</v>
      </c>
      <c r="AI253" s="31" t="n">
        <v>56.2</v>
      </c>
      <c r="AJ253" s="31" t="n">
        <v>44.2</v>
      </c>
      <c r="AK253" s="31" t="n">
        <v>1</v>
      </c>
      <c r="AL253" s="30" t="inlineStr">
        <is>
          <t>T-0400</t>
        </is>
      </c>
      <c r="AM253" s="30" t="inlineStr">
        <is>
          <t>H-02-01</t>
        </is>
      </c>
      <c r="AN253" s="30" t="inlineStr">
        <is>
          <t>T-0332</t>
        </is>
      </c>
      <c r="AO253" s="30" t="inlineStr">
        <is>
          <t>H-04-03</t>
        </is>
      </c>
    </row>
    <row r="254">
      <c r="A254" s="30" t="inlineStr">
        <is>
          <t>O0253</t>
        </is>
      </c>
      <c r="B254" s="30" t="inlineStr">
        <is>
          <t>D</t>
        </is>
      </c>
      <c r="C254" s="31" t="n">
        <v>4227.9</v>
      </c>
      <c r="D254" s="31" t="n">
        <v>9244.299999999999</v>
      </c>
      <c r="E254" s="31" t="n">
        <v>9268.299999999999</v>
      </c>
      <c r="F254" s="31" t="n">
        <v>9280.1</v>
      </c>
      <c r="G254" s="31" t="n">
        <v>9306.5</v>
      </c>
      <c r="H254" s="31" t="n">
        <v>9306.6</v>
      </c>
      <c r="I254" s="31" t="n">
        <v>9320</v>
      </c>
      <c r="J254" s="31" t="n">
        <v>9356.9</v>
      </c>
      <c r="K254" s="31" t="n">
        <v>5129</v>
      </c>
      <c r="L254" s="31" t="n">
        <v>5016.4</v>
      </c>
      <c r="M254" s="30" t="inlineStr">
        <is>
          <t>AMR1</t>
        </is>
      </c>
      <c r="N254" s="30" t="inlineStr">
        <is>
          <t>AMR1</t>
        </is>
      </c>
      <c r="O254" s="32" t="n">
        <v>1</v>
      </c>
      <c r="P254" s="32" t="n">
        <v>12</v>
      </c>
      <c r="Q254" s="32" t="n">
        <v>1</v>
      </c>
      <c r="R254" s="31" t="n">
        <v>47.9</v>
      </c>
      <c r="S254" s="31" t="n">
        <v>47.9</v>
      </c>
      <c r="T254" s="30" t="inlineStr">
        <is>
          <t>AMR1</t>
        </is>
      </c>
      <c r="U254" s="31" t="n">
        <v>42.4</v>
      </c>
      <c r="V254" s="31" t="n">
        <v>42.4</v>
      </c>
      <c r="W254" s="30" t="inlineStr">
        <is>
          <t>AMR1</t>
        </is>
      </c>
      <c r="X254" s="32" t="n">
        <v>0</v>
      </c>
      <c r="Y254" s="32" t="n">
        <v>0</v>
      </c>
      <c r="Z254" s="31" t="n">
        <v>0</v>
      </c>
      <c r="AA254" s="32" t="n">
        <v>0</v>
      </c>
      <c r="AB254" s="32" t="n">
        <v>0</v>
      </c>
      <c r="AC254" s="32" t="n">
        <v>0</v>
      </c>
      <c r="AD254" s="32" t="n">
        <v>1</v>
      </c>
      <c r="AE254" s="31" t="n">
        <v>7</v>
      </c>
      <c r="AF254" s="32" t="n">
        <v>2</v>
      </c>
      <c r="AG254" s="31" t="n">
        <v>9</v>
      </c>
      <c r="AH254" s="32" t="n">
        <v>43</v>
      </c>
      <c r="AI254" s="31" t="n">
        <v>46.5</v>
      </c>
      <c r="AJ254" s="31" t="n">
        <v>47</v>
      </c>
      <c r="AK254" s="31" t="n">
        <v>19</v>
      </c>
      <c r="AL254" s="30" t="inlineStr">
        <is>
          <t>T-0406</t>
        </is>
      </c>
      <c r="AM254" s="30" t="inlineStr">
        <is>
          <t>D-05-03</t>
        </is>
      </c>
      <c r="AN254" s="30" t="inlineStr">
        <is>
          <t>T-0292</t>
        </is>
      </c>
      <c r="AO254" s="30" t="inlineStr">
        <is>
          <t>D-03-03</t>
        </is>
      </c>
    </row>
    <row r="255">
      <c r="A255" s="30" t="inlineStr">
        <is>
          <t>O0254</t>
        </is>
      </c>
      <c r="B255" s="30" t="inlineStr">
        <is>
          <t>J</t>
        </is>
      </c>
      <c r="C255" s="31" t="n">
        <v>4234.1</v>
      </c>
      <c r="D255" s="31" t="n">
        <v>9073.799999999999</v>
      </c>
      <c r="E255" s="31" t="n">
        <v>9097.299999999999</v>
      </c>
      <c r="F255" s="31" t="n">
        <v>9108.200000000001</v>
      </c>
      <c r="G255" s="31" t="n">
        <v>9138.200000000001</v>
      </c>
      <c r="H255" s="31" t="n">
        <v>9138.299999999999</v>
      </c>
      <c r="I255" s="31" t="n">
        <v>9152.299999999999</v>
      </c>
      <c r="J255" s="31" t="n">
        <v>9184.1</v>
      </c>
      <c r="K255" s="31" t="n">
        <v>4950</v>
      </c>
      <c r="L255" s="31" t="n">
        <v>4839.7</v>
      </c>
      <c r="M255" s="30" t="inlineStr">
        <is>
          <t>AMR1</t>
        </is>
      </c>
      <c r="N255" s="30" t="inlineStr">
        <is>
          <t>AMR1</t>
        </is>
      </c>
      <c r="O255" s="32" t="n">
        <v>1</v>
      </c>
      <c r="P255" s="32" t="n">
        <v>25</v>
      </c>
      <c r="Q255" s="32" t="n">
        <v>1</v>
      </c>
      <c r="R255" s="31" t="n">
        <v>62.6</v>
      </c>
      <c r="S255" s="31" t="n">
        <v>62.6</v>
      </c>
      <c r="T255" s="30" t="inlineStr">
        <is>
          <t>AMR1</t>
        </is>
      </c>
      <c r="U255" s="31" t="n">
        <v>44</v>
      </c>
      <c r="V255" s="31" t="n">
        <v>44</v>
      </c>
      <c r="W255" s="30" t="inlineStr">
        <is>
          <t>AMR1</t>
        </is>
      </c>
      <c r="X255" s="32" t="n">
        <v>0</v>
      </c>
      <c r="Y255" s="32" t="n">
        <v>0</v>
      </c>
      <c r="Z255" s="31" t="n">
        <v>0</v>
      </c>
      <c r="AA255" s="32" t="n">
        <v>0</v>
      </c>
      <c r="AB255" s="32" t="n">
        <v>0</v>
      </c>
      <c r="AC255" s="32" t="n">
        <v>0</v>
      </c>
      <c r="AD255" s="32" t="n">
        <v>0</v>
      </c>
      <c r="AE255" s="31" t="n">
        <v>0</v>
      </c>
      <c r="AF255" s="32" t="n">
        <v>0</v>
      </c>
      <c r="AG255" s="31" t="n">
        <v>0</v>
      </c>
      <c r="AH255" s="32" t="n">
        <v>68</v>
      </c>
      <c r="AI255" s="31" t="n">
        <v>68.3</v>
      </c>
      <c r="AJ255" s="31" t="n">
        <v>41.9</v>
      </c>
      <c r="AK255" s="31" t="n">
        <v>0</v>
      </c>
      <c r="AL255" s="30" t="inlineStr">
        <is>
          <t>T-0401</t>
        </is>
      </c>
      <c r="AM255" s="30" t="inlineStr">
        <is>
          <t>J-01-01</t>
        </is>
      </c>
      <c r="AN255" s="30" t="inlineStr">
        <is>
          <t>T-0171</t>
        </is>
      </c>
      <c r="AO255" s="30" t="inlineStr">
        <is>
          <t>J-04-01</t>
        </is>
      </c>
    </row>
    <row r="256">
      <c r="A256" s="30" t="inlineStr">
        <is>
          <t>O0255</t>
        </is>
      </c>
      <c r="B256" s="30" t="inlineStr">
        <is>
          <t>D</t>
        </is>
      </c>
      <c r="C256" s="31" t="n">
        <v>4238.8</v>
      </c>
      <c r="D256" s="31" t="n">
        <v>9106.4</v>
      </c>
      <c r="E256" s="31" t="n">
        <v>9129.9</v>
      </c>
      <c r="F256" s="31" t="n">
        <v>9143.299999999999</v>
      </c>
      <c r="G256" s="31" t="n">
        <v>9167.4</v>
      </c>
      <c r="H256" s="31" t="n">
        <v>9167.5</v>
      </c>
      <c r="I256" s="31" t="n">
        <v>9178.200000000001</v>
      </c>
      <c r="J256" s="31" t="n">
        <v>9220</v>
      </c>
      <c r="K256" s="31" t="n">
        <v>4981.2</v>
      </c>
      <c r="L256" s="31" t="n">
        <v>4867.6</v>
      </c>
      <c r="M256" s="30" t="inlineStr">
        <is>
          <t>AMR2</t>
        </is>
      </c>
      <c r="N256" s="30" t="inlineStr">
        <is>
          <t>AMR2</t>
        </is>
      </c>
      <c r="O256" s="32" t="n">
        <v>1</v>
      </c>
      <c r="P256" s="32" t="n">
        <v>25</v>
      </c>
      <c r="Q256" s="32" t="n">
        <v>1</v>
      </c>
      <c r="R256" s="31" t="n">
        <v>57.5</v>
      </c>
      <c r="S256" s="31" t="n">
        <v>57.5</v>
      </c>
      <c r="T256" s="30" t="inlineStr">
        <is>
          <t>AMR2</t>
        </is>
      </c>
      <c r="U256" s="31" t="n">
        <v>36</v>
      </c>
      <c r="V256" s="31" t="n">
        <v>36</v>
      </c>
      <c r="W256" s="30" t="inlineStr">
        <is>
          <t>AMR2</t>
        </is>
      </c>
      <c r="X256" s="32" t="n">
        <v>0</v>
      </c>
      <c r="Y256" s="32" t="n">
        <v>0</v>
      </c>
      <c r="Z256" s="31" t="n">
        <v>0</v>
      </c>
      <c r="AA256" s="32" t="n">
        <v>0</v>
      </c>
      <c r="AB256" s="32" t="n">
        <v>0</v>
      </c>
      <c r="AC256" s="32" t="n">
        <v>0</v>
      </c>
      <c r="AD256" s="32" t="n">
        <v>1</v>
      </c>
      <c r="AE256" s="31" t="n">
        <v>16.2</v>
      </c>
      <c r="AF256" s="32" t="n">
        <v>1</v>
      </c>
      <c r="AG256" s="31" t="n">
        <v>11.2</v>
      </c>
      <c r="AH256" s="32" t="n">
        <v>56</v>
      </c>
      <c r="AI256" s="31" t="n">
        <v>57.4</v>
      </c>
      <c r="AJ256" s="31" t="n">
        <v>39.9</v>
      </c>
      <c r="AK256" s="31" t="n">
        <v>16.2</v>
      </c>
      <c r="AL256" s="30" t="inlineStr">
        <is>
          <t>T-0402</t>
        </is>
      </c>
      <c r="AM256" s="30" t="inlineStr">
        <is>
          <t>D-04-03</t>
        </is>
      </c>
      <c r="AN256" s="30" t="inlineStr">
        <is>
          <t>T-0290</t>
        </is>
      </c>
      <c r="AO256" s="30" t="inlineStr">
        <is>
          <t>D-01-01</t>
        </is>
      </c>
    </row>
    <row r="257">
      <c r="A257" s="30" t="inlineStr">
        <is>
          <t>O0256</t>
        </is>
      </c>
      <c r="B257" s="30" t="inlineStr">
        <is>
          <t>D</t>
        </is>
      </c>
      <c r="C257" s="31" t="n">
        <v>4245.1</v>
      </c>
      <c r="D257" s="31" t="n">
        <v>9184.200000000001</v>
      </c>
      <c r="E257" s="31" t="n">
        <v>9207.700000000001</v>
      </c>
      <c r="F257" s="31" t="n">
        <v>9221.9</v>
      </c>
      <c r="G257" s="31" t="n">
        <v>9244.200000000001</v>
      </c>
      <c r="H257" s="31" t="n">
        <v>11072.6</v>
      </c>
      <c r="I257" s="31" t="n">
        <v>11090.7</v>
      </c>
      <c r="J257" s="31" t="n">
        <v>11120.2</v>
      </c>
      <c r="K257" s="31" t="n">
        <v>6875.1</v>
      </c>
      <c r="L257" s="31" t="n">
        <v>4939.1</v>
      </c>
      <c r="M257" s="30" t="inlineStr">
        <is>
          <t>AMR1</t>
        </is>
      </c>
      <c r="N257" s="30" t="inlineStr">
        <is>
          <t>AMR1</t>
        </is>
      </c>
      <c r="O257" s="32" t="n">
        <v>1</v>
      </c>
      <c r="P257" s="32" t="n">
        <v>25</v>
      </c>
      <c r="Q257" s="32" t="n">
        <v>5</v>
      </c>
      <c r="R257" s="31" t="n">
        <v>58.1</v>
      </c>
      <c r="S257" s="31" t="n">
        <v>58.1</v>
      </c>
      <c r="T257" s="30" t="inlineStr">
        <is>
          <t>AMR1</t>
        </is>
      </c>
      <c r="U257" s="31" t="n">
        <v>47.9</v>
      </c>
      <c r="V257" s="31" t="n">
        <v>47.9</v>
      </c>
      <c r="W257" s="30" t="inlineStr">
        <is>
          <t>AMR1</t>
        </is>
      </c>
      <c r="X257" s="32" t="n">
        <v>0</v>
      </c>
      <c r="Y257" s="32" t="n">
        <v>0</v>
      </c>
      <c r="Z257" s="31" t="n">
        <v>0</v>
      </c>
      <c r="AA257" s="32" t="n">
        <v>0</v>
      </c>
      <c r="AB257" s="32" t="n">
        <v>0</v>
      </c>
      <c r="AC257" s="32" t="n">
        <v>0</v>
      </c>
      <c r="AD257" s="32" t="n">
        <v>0</v>
      </c>
      <c r="AE257" s="31" t="n">
        <v>0</v>
      </c>
      <c r="AF257" s="32" t="n">
        <v>0</v>
      </c>
      <c r="AG257" s="31" t="n">
        <v>0</v>
      </c>
      <c r="AH257" s="32" t="n">
        <v>58</v>
      </c>
      <c r="AI257" s="31" t="n">
        <v>59.2</v>
      </c>
      <c r="AJ257" s="31" t="n">
        <v>48.4</v>
      </c>
      <c r="AK257" s="31" t="n">
        <v>0</v>
      </c>
      <c r="AL257" s="30" t="inlineStr">
        <is>
          <t>T-0403</t>
        </is>
      </c>
      <c r="AM257" s="30" t="inlineStr">
        <is>
          <t>D-01-01</t>
        </is>
      </c>
      <c r="AN257" s="30" t="inlineStr">
        <is>
          <t>T-0345</t>
        </is>
      </c>
      <c r="AO257" s="30" t="inlineStr">
        <is>
          <t>D-02-01</t>
        </is>
      </c>
    </row>
    <row r="258">
      <c r="A258" s="30" t="inlineStr">
        <is>
          <t>O0257</t>
        </is>
      </c>
      <c r="B258" s="30" t="inlineStr">
        <is>
          <t>E</t>
        </is>
      </c>
      <c r="C258" s="31" t="n">
        <v>4250.5</v>
      </c>
      <c r="D258" s="31" t="n">
        <v>9203.799999999999</v>
      </c>
      <c r="E258" s="31" t="n">
        <v>9231.299999999999</v>
      </c>
      <c r="F258" s="31" t="n">
        <v>9243.700000000001</v>
      </c>
      <c r="G258" s="31" t="n">
        <v>9271.700000000001</v>
      </c>
      <c r="H258" s="31" t="n">
        <v>9641.9</v>
      </c>
      <c r="I258" s="31" t="n">
        <v>9658.9</v>
      </c>
      <c r="J258" s="31" t="n">
        <v>9694.4</v>
      </c>
      <c r="K258" s="31" t="n">
        <v>5443.9</v>
      </c>
      <c r="L258" s="31" t="n">
        <v>4953.3</v>
      </c>
      <c r="M258" s="30" t="inlineStr">
        <is>
          <t>AMR3</t>
        </is>
      </c>
      <c r="N258" s="30" t="inlineStr">
        <is>
          <t>AMR2</t>
        </is>
      </c>
      <c r="O258" s="32" t="n">
        <v>1</v>
      </c>
      <c r="P258" s="32" t="n">
        <v>25</v>
      </c>
      <c r="Q258" s="32" t="n">
        <v>7</v>
      </c>
      <c r="R258" s="31" t="n">
        <v>59.6</v>
      </c>
      <c r="S258" s="31" t="n">
        <v>59.6</v>
      </c>
      <c r="T258" s="30" t="inlineStr">
        <is>
          <t>AMR3</t>
        </is>
      </c>
      <c r="U258" s="31" t="n">
        <v>50.7</v>
      </c>
      <c r="V258" s="31" t="n">
        <v>50.7</v>
      </c>
      <c r="W258" s="30" t="inlineStr">
        <is>
          <t>AMR2</t>
        </is>
      </c>
      <c r="X258" s="32" t="n">
        <v>0</v>
      </c>
      <c r="Y258" s="32" t="n">
        <v>0</v>
      </c>
      <c r="Z258" s="31" t="n">
        <v>0</v>
      </c>
      <c r="AA258" s="32" t="n">
        <v>0</v>
      </c>
      <c r="AB258" s="32" t="n">
        <v>0</v>
      </c>
      <c r="AC258" s="32" t="n">
        <v>0</v>
      </c>
      <c r="AD258" s="32" t="n">
        <v>0</v>
      </c>
      <c r="AE258" s="31" t="n">
        <v>0</v>
      </c>
      <c r="AF258" s="32" t="n">
        <v>0</v>
      </c>
      <c r="AG258" s="31" t="n">
        <v>0</v>
      </c>
      <c r="AH258" s="32" t="n">
        <v>77</v>
      </c>
      <c r="AI258" s="31" t="n">
        <v>76.7</v>
      </c>
      <c r="AJ258" s="31" t="n">
        <v>39.7</v>
      </c>
      <c r="AK258" s="31" t="n">
        <v>4</v>
      </c>
      <c r="AL258" s="30" t="inlineStr">
        <is>
          <t>T-0404</t>
        </is>
      </c>
      <c r="AM258" s="30" t="inlineStr">
        <is>
          <t>E-06-03</t>
        </is>
      </c>
      <c r="AN258" s="30" t="inlineStr">
        <is>
          <t>T-0175</t>
        </is>
      </c>
      <c r="AO258" s="30" t="inlineStr">
        <is>
          <t>E-04-01</t>
        </is>
      </c>
    </row>
    <row r="259">
      <c r="A259" s="30" t="inlineStr">
        <is>
          <t>O0258</t>
        </is>
      </c>
      <c r="B259" s="30" t="inlineStr">
        <is>
          <t>J</t>
        </is>
      </c>
      <c r="C259" s="31" t="n">
        <v>4254</v>
      </c>
      <c r="D259" s="31" t="n">
        <v>9416.1</v>
      </c>
      <c r="E259" s="31" t="n">
        <v>9439.6</v>
      </c>
      <c r="F259" s="31" t="n">
        <v>9453.4</v>
      </c>
      <c r="G259" s="31" t="n">
        <v>9485.6</v>
      </c>
      <c r="H259" s="31" t="n">
        <v>9485.700000000001</v>
      </c>
      <c r="I259" s="31" t="n">
        <v>9497.200000000001</v>
      </c>
      <c r="J259" s="31" t="n">
        <v>9530.200000000001</v>
      </c>
      <c r="K259" s="31" t="n">
        <v>5276.2</v>
      </c>
      <c r="L259" s="31" t="n">
        <v>5162.1</v>
      </c>
      <c r="M259" s="30" t="inlineStr">
        <is>
          <t>AMR1</t>
        </is>
      </c>
      <c r="N259" s="30" t="inlineStr">
        <is>
          <t>AMR1</t>
        </is>
      </c>
      <c r="O259" s="32" t="n">
        <v>1</v>
      </c>
      <c r="P259" s="32" t="n">
        <v>25</v>
      </c>
      <c r="Q259" s="32" t="n">
        <v>1</v>
      </c>
      <c r="R259" s="31" t="n">
        <v>67.7</v>
      </c>
      <c r="S259" s="31" t="n">
        <v>67.7</v>
      </c>
      <c r="T259" s="30" t="inlineStr">
        <is>
          <t>AMR1</t>
        </is>
      </c>
      <c r="U259" s="31" t="n">
        <v>41.2</v>
      </c>
      <c r="V259" s="31" t="n">
        <v>41.2</v>
      </c>
      <c r="W259" s="30" t="inlineStr">
        <is>
          <t>AMR1</t>
        </is>
      </c>
      <c r="X259" s="32" t="n">
        <v>0</v>
      </c>
      <c r="Y259" s="32" t="n">
        <v>0</v>
      </c>
      <c r="Z259" s="31" t="n">
        <v>0</v>
      </c>
      <c r="AA259" s="32" t="n">
        <v>0</v>
      </c>
      <c r="AB259" s="32" t="n">
        <v>0</v>
      </c>
      <c r="AC259" s="32" t="n">
        <v>0</v>
      </c>
      <c r="AD259" s="32" t="n">
        <v>0</v>
      </c>
      <c r="AE259" s="31" t="n">
        <v>0</v>
      </c>
      <c r="AF259" s="32" t="n">
        <v>0</v>
      </c>
      <c r="AG259" s="31" t="n">
        <v>0</v>
      </c>
      <c r="AH259" s="32" t="n">
        <v>70</v>
      </c>
      <c r="AI259" s="31" t="n">
        <v>69.8</v>
      </c>
      <c r="AJ259" s="31" t="n">
        <v>44.2</v>
      </c>
      <c r="AK259" s="31" t="n">
        <v>0</v>
      </c>
      <c r="AL259" s="30" t="inlineStr">
        <is>
          <t>T-0408</t>
        </is>
      </c>
      <c r="AM259" s="30" t="inlineStr">
        <is>
          <t>J-02-01</t>
        </is>
      </c>
      <c r="AN259" s="30" t="inlineStr">
        <is>
          <t>T-0189</t>
        </is>
      </c>
      <c r="AO259" s="30" t="inlineStr">
        <is>
          <t>J-06-01</t>
        </is>
      </c>
    </row>
    <row r="260">
      <c r="A260" s="30" t="inlineStr">
        <is>
          <t>O0259</t>
        </is>
      </c>
      <c r="B260" s="30" t="inlineStr">
        <is>
          <t>I</t>
        </is>
      </c>
      <c r="C260" s="31" t="n">
        <v>4260.7</v>
      </c>
      <c r="D260" s="31" t="n">
        <v>9220.1</v>
      </c>
      <c r="E260" s="31" t="n">
        <v>9255.6</v>
      </c>
      <c r="F260" s="31" t="n">
        <v>9268.5</v>
      </c>
      <c r="G260" s="31" t="n">
        <v>9295.6</v>
      </c>
      <c r="H260" s="31" t="n">
        <v>9295.700000000001</v>
      </c>
      <c r="I260" s="31" t="n">
        <v>9306.700000000001</v>
      </c>
      <c r="J260" s="31" t="n">
        <v>9335.299999999999</v>
      </c>
      <c r="K260" s="31" t="n">
        <v>5074.6</v>
      </c>
      <c r="L260" s="31" t="n">
        <v>4959.4</v>
      </c>
      <c r="M260" s="30" t="inlineStr">
        <is>
          <t>AMR2</t>
        </is>
      </c>
      <c r="N260" s="30" t="inlineStr">
        <is>
          <t>AMR2</t>
        </is>
      </c>
      <c r="O260" s="32" t="n">
        <v>1</v>
      </c>
      <c r="P260" s="32" t="n">
        <v>25</v>
      </c>
      <c r="Q260" s="32" t="n">
        <v>0</v>
      </c>
      <c r="R260" s="31" t="n">
        <v>60.9</v>
      </c>
      <c r="S260" s="31" t="n">
        <v>60.9</v>
      </c>
      <c r="T260" s="30" t="inlineStr">
        <is>
          <t>AMR2</t>
        </is>
      </c>
      <c r="U260" s="31" t="n">
        <v>33.8</v>
      </c>
      <c r="V260" s="31" t="n">
        <v>33.8</v>
      </c>
      <c r="W260" s="30" t="inlineStr">
        <is>
          <t>AMR2</t>
        </is>
      </c>
      <c r="X260" s="32" t="n">
        <v>0</v>
      </c>
      <c r="Y260" s="32" t="n">
        <v>0</v>
      </c>
      <c r="Z260" s="31" t="n">
        <v>0</v>
      </c>
      <c r="AA260" s="32" t="n">
        <v>0</v>
      </c>
      <c r="AB260" s="32" t="n">
        <v>0</v>
      </c>
      <c r="AC260" s="32" t="n">
        <v>0</v>
      </c>
      <c r="AD260" s="32" t="n">
        <v>1</v>
      </c>
      <c r="AE260" s="31" t="n">
        <v>3</v>
      </c>
      <c r="AF260" s="32" t="n">
        <v>1</v>
      </c>
      <c r="AG260" s="31" t="n">
        <v>7</v>
      </c>
      <c r="AH260" s="32" t="n">
        <v>56</v>
      </c>
      <c r="AI260" s="31" t="n">
        <v>58.8</v>
      </c>
      <c r="AJ260" s="31" t="n">
        <v>41.3</v>
      </c>
      <c r="AK260" s="31" t="n">
        <v>15</v>
      </c>
      <c r="AL260" s="30" t="inlineStr">
        <is>
          <t>T-0405</t>
        </is>
      </c>
      <c r="AM260" s="30" t="inlineStr">
        <is>
          <t>I-03-02</t>
        </is>
      </c>
      <c r="AN260" s="30" t="inlineStr">
        <is>
          <t>T-0307</t>
        </is>
      </c>
      <c r="AO260" s="30" t="inlineStr">
        <is>
          <t>I-05-02</t>
        </is>
      </c>
    </row>
    <row r="261">
      <c r="A261" s="30" t="inlineStr">
        <is>
          <t>O0260</t>
        </is>
      </c>
      <c r="B261" s="30" t="inlineStr">
        <is>
          <t>I</t>
        </is>
      </c>
      <c r="C261" s="31" t="n">
        <v>4264.1</v>
      </c>
      <c r="D261" s="31" t="n">
        <v>9318.9</v>
      </c>
      <c r="E261" s="31" t="n">
        <v>9342.4</v>
      </c>
      <c r="F261" s="31" t="n">
        <v>9355.200000000001</v>
      </c>
      <c r="G261" s="31" t="n">
        <v>9381.700000000001</v>
      </c>
      <c r="H261" s="31" t="n">
        <v>9381.799999999999</v>
      </c>
      <c r="I261" s="31" t="n">
        <v>9392</v>
      </c>
      <c r="J261" s="31" t="n">
        <v>9433.6</v>
      </c>
      <c r="K261" s="31" t="n">
        <v>5169.5</v>
      </c>
      <c r="L261" s="31" t="n">
        <v>5054.8</v>
      </c>
      <c r="M261" s="30" t="inlineStr">
        <is>
          <t>AMR3</t>
        </is>
      </c>
      <c r="N261" s="30" t="inlineStr">
        <is>
          <t>AMR3</t>
        </is>
      </c>
      <c r="O261" s="32" t="n">
        <v>1</v>
      </c>
      <c r="P261" s="32" t="n">
        <v>25</v>
      </c>
      <c r="Q261" s="32" t="n">
        <v>1</v>
      </c>
      <c r="R261" s="31" t="n">
        <v>59.4</v>
      </c>
      <c r="S261" s="31" t="n">
        <v>59.4</v>
      </c>
      <c r="T261" s="30" t="inlineStr">
        <is>
          <t>AMR3</t>
        </is>
      </c>
      <c r="U261" s="31" t="n">
        <v>40.2</v>
      </c>
      <c r="V261" s="31" t="n">
        <v>40.2</v>
      </c>
      <c r="W261" s="30" t="inlineStr">
        <is>
          <t>AMR3</t>
        </is>
      </c>
      <c r="X261" s="32" t="n">
        <v>0</v>
      </c>
      <c r="Y261" s="32" t="n">
        <v>0</v>
      </c>
      <c r="Z261" s="31" t="n">
        <v>0</v>
      </c>
      <c r="AA261" s="32" t="n">
        <v>0</v>
      </c>
      <c r="AB261" s="32" t="n">
        <v>0</v>
      </c>
      <c r="AC261" s="32" t="n">
        <v>0</v>
      </c>
      <c r="AD261" s="32" t="n">
        <v>1</v>
      </c>
      <c r="AE261" s="31" t="n">
        <v>11.2</v>
      </c>
      <c r="AF261" s="32" t="n">
        <v>1</v>
      </c>
      <c r="AG261" s="31" t="n">
        <v>6.2</v>
      </c>
      <c r="AH261" s="32" t="n">
        <v>56</v>
      </c>
      <c r="AI261" s="31" t="n">
        <v>57.9</v>
      </c>
      <c r="AJ261" s="31" t="n">
        <v>45.5</v>
      </c>
      <c r="AK261" s="31" t="n">
        <v>11.2</v>
      </c>
      <c r="AL261" s="30" t="inlineStr">
        <is>
          <t>T-0407</t>
        </is>
      </c>
      <c r="AM261" s="30" t="inlineStr">
        <is>
          <t>I-05-02</t>
        </is>
      </c>
      <c r="AN261" s="30" t="inlineStr">
        <is>
          <t>T-0317</t>
        </is>
      </c>
      <c r="AO261" s="30" t="inlineStr">
        <is>
          <t>I-04-02</t>
        </is>
      </c>
    </row>
    <row r="262">
      <c r="A262" s="30" t="inlineStr">
        <is>
          <t>O0261</t>
        </is>
      </c>
      <c r="B262" s="30" t="inlineStr">
        <is>
          <t>C</t>
        </is>
      </c>
      <c r="C262" s="31" t="n">
        <v>4268.4</v>
      </c>
      <c r="D262" s="31" t="n">
        <v>9433.700000000001</v>
      </c>
      <c r="E262" s="31" t="n">
        <v>9463.200000000001</v>
      </c>
      <c r="F262" s="31" t="n">
        <v>9475.200000000001</v>
      </c>
      <c r="G262" s="31" t="n">
        <v>9500.4</v>
      </c>
      <c r="H262" s="31" t="n">
        <v>9500.5</v>
      </c>
      <c r="I262" s="31" t="n">
        <v>9514.700000000001</v>
      </c>
      <c r="J262" s="31" t="n">
        <v>9548.9</v>
      </c>
      <c r="K262" s="31" t="n">
        <v>5280.5</v>
      </c>
      <c r="L262" s="31" t="n">
        <v>5165.3</v>
      </c>
      <c r="M262" s="30" t="inlineStr">
        <is>
          <t>AMR3</t>
        </is>
      </c>
      <c r="N262" s="30" t="inlineStr">
        <is>
          <t>AMR3</t>
        </is>
      </c>
      <c r="O262" s="32" t="n">
        <v>1</v>
      </c>
      <c r="P262" s="32" t="n">
        <v>25</v>
      </c>
      <c r="Q262" s="32" t="n">
        <v>1</v>
      </c>
      <c r="R262" s="31" t="n">
        <v>58.8</v>
      </c>
      <c r="S262" s="31" t="n">
        <v>58.8</v>
      </c>
      <c r="T262" s="30" t="inlineStr">
        <is>
          <t>AMR3</t>
        </is>
      </c>
      <c r="U262" s="31" t="n">
        <v>43.6</v>
      </c>
      <c r="V262" s="31" t="n">
        <v>43.6</v>
      </c>
      <c r="W262" s="30" t="inlineStr">
        <is>
          <t>AMR3</t>
        </is>
      </c>
      <c r="X262" s="32" t="n">
        <v>0</v>
      </c>
      <c r="Y262" s="32" t="n">
        <v>0</v>
      </c>
      <c r="Z262" s="31" t="n">
        <v>0</v>
      </c>
      <c r="AA262" s="32" t="n">
        <v>0</v>
      </c>
      <c r="AB262" s="32" t="n">
        <v>0</v>
      </c>
      <c r="AC262" s="32" t="n">
        <v>0</v>
      </c>
      <c r="AD262" s="32" t="n">
        <v>1</v>
      </c>
      <c r="AE262" s="31" t="n">
        <v>5</v>
      </c>
      <c r="AF262" s="32" t="n">
        <v>1</v>
      </c>
      <c r="AG262" s="31" t="n">
        <v>1</v>
      </c>
      <c r="AH262" s="32" t="n">
        <v>54</v>
      </c>
      <c r="AI262" s="31" t="n">
        <v>54.8</v>
      </c>
      <c r="AJ262" s="31" t="n">
        <v>49.3</v>
      </c>
      <c r="AK262" s="31" t="n">
        <v>11</v>
      </c>
      <c r="AL262" s="30" t="inlineStr">
        <is>
          <t>T-0409</t>
        </is>
      </c>
      <c r="AM262" s="30" t="inlineStr">
        <is>
          <t>C-04-02</t>
        </is>
      </c>
      <c r="AN262" s="30" t="inlineStr">
        <is>
          <t>T-0299</t>
        </is>
      </c>
      <c r="AO262" s="30" t="inlineStr">
        <is>
          <t>C-02-01</t>
        </is>
      </c>
    </row>
    <row r="263">
      <c r="A263" s="30" t="inlineStr">
        <is>
          <t>O0262</t>
        </is>
      </c>
      <c r="B263" s="30" t="inlineStr">
        <is>
          <t>G</t>
        </is>
      </c>
      <c r="C263" s="31" t="n">
        <v>4275.2</v>
      </c>
      <c r="D263" s="31" t="n">
        <v>10985</v>
      </c>
      <c r="E263" s="31" t="n">
        <v>11008.5</v>
      </c>
      <c r="F263" s="31" t="n">
        <v>11024.1</v>
      </c>
      <c r="G263" s="31" t="n">
        <v>11053.2</v>
      </c>
      <c r="H263" s="31" t="n">
        <v>11053.3</v>
      </c>
      <c r="I263" s="31" t="n">
        <v>11068</v>
      </c>
      <c r="J263" s="31" t="n">
        <v>11099.3</v>
      </c>
      <c r="K263" s="31" t="n">
        <v>6824.1</v>
      </c>
      <c r="L263" s="31" t="n">
        <v>6709.8</v>
      </c>
      <c r="M263" s="30" t="inlineStr">
        <is>
          <t>AMR3</t>
        </is>
      </c>
      <c r="N263" s="30" t="inlineStr">
        <is>
          <t>AMR3</t>
        </is>
      </c>
      <c r="O263" s="32" t="n">
        <v>1</v>
      </c>
      <c r="P263" s="32" t="n">
        <v>25</v>
      </c>
      <c r="Q263" s="32" t="n">
        <v>1</v>
      </c>
      <c r="R263" s="31" t="n">
        <v>66.40000000000001</v>
      </c>
      <c r="S263" s="31" t="n">
        <v>66.40000000000001</v>
      </c>
      <c r="T263" s="30" t="inlineStr">
        <is>
          <t>AMR3</t>
        </is>
      </c>
      <c r="U263" s="31" t="n">
        <v>43.2</v>
      </c>
      <c r="V263" s="31" t="n">
        <v>43.2</v>
      </c>
      <c r="W263" s="30" t="inlineStr">
        <is>
          <t>AMR3</t>
        </is>
      </c>
      <c r="X263" s="32" t="n">
        <v>0</v>
      </c>
      <c r="Y263" s="32" t="n">
        <v>0</v>
      </c>
      <c r="Z263" s="31" t="n">
        <v>0</v>
      </c>
      <c r="AA263" s="32" t="n">
        <v>0</v>
      </c>
      <c r="AB263" s="32" t="n">
        <v>0</v>
      </c>
      <c r="AC263" s="32" t="n">
        <v>0</v>
      </c>
      <c r="AD263" s="32" t="n">
        <v>0</v>
      </c>
      <c r="AE263" s="31" t="n">
        <v>0</v>
      </c>
      <c r="AF263" s="32" t="n">
        <v>0</v>
      </c>
      <c r="AG263" s="31" t="n">
        <v>0</v>
      </c>
      <c r="AH263" s="32" t="n">
        <v>60</v>
      </c>
      <c r="AI263" s="31" t="n">
        <v>61.9</v>
      </c>
      <c r="AJ263" s="31" t="n">
        <v>52.3</v>
      </c>
      <c r="AK263" s="31" t="n">
        <v>0</v>
      </c>
      <c r="AL263" s="30" t="inlineStr">
        <is>
          <t>T-0453</t>
        </is>
      </c>
      <c r="AM263" s="30" t="inlineStr">
        <is>
          <t>G-04-02</t>
        </is>
      </c>
      <c r="AN263" s="30" t="inlineStr">
        <is>
          <t>T-0236</t>
        </is>
      </c>
      <c r="AO263" s="30" t="inlineStr">
        <is>
          <t>G-02-02</t>
        </is>
      </c>
    </row>
    <row r="264">
      <c r="A264" s="30" t="inlineStr">
        <is>
          <t>O0263</t>
        </is>
      </c>
      <c r="B264" s="30" t="inlineStr">
        <is>
          <t>J</t>
        </is>
      </c>
      <c r="C264" s="31" t="n">
        <v>4282</v>
      </c>
      <c r="D264" s="31" t="n">
        <v>15202.6</v>
      </c>
      <c r="E264" s="31" t="n">
        <v>15226.1</v>
      </c>
      <c r="F264" s="31" t="n">
        <v>15249.2</v>
      </c>
      <c r="G264" s="31" t="n">
        <v>15279.4</v>
      </c>
      <c r="H264" s="31" t="n">
        <v>15279.5</v>
      </c>
      <c r="I264" s="31" t="n">
        <v>15295.7</v>
      </c>
      <c r="J264" s="31" t="n">
        <v>15325.2</v>
      </c>
      <c r="K264" s="31" t="n">
        <v>11043.2</v>
      </c>
      <c r="L264" s="31" t="n">
        <v>10920.6</v>
      </c>
      <c r="M264" s="30" t="inlineStr">
        <is>
          <t>AMR2</t>
        </is>
      </c>
      <c r="N264" s="30" t="inlineStr">
        <is>
          <t>AMR2</t>
        </is>
      </c>
      <c r="O264" s="32" t="n">
        <v>1</v>
      </c>
      <c r="P264" s="32" t="n">
        <v>25</v>
      </c>
      <c r="Q264" s="32" t="n">
        <v>1</v>
      </c>
      <c r="R264" s="31" t="n">
        <v>73.40000000000001</v>
      </c>
      <c r="S264" s="31" t="n">
        <v>72.09999999999999</v>
      </c>
      <c r="T264" s="30" t="inlineStr">
        <is>
          <t>AMR3</t>
        </is>
      </c>
      <c r="U264" s="31" t="n">
        <v>46.4</v>
      </c>
      <c r="V264" s="31" t="n">
        <v>46.4</v>
      </c>
      <c r="W264" s="30" t="inlineStr">
        <is>
          <t>AMR2</t>
        </is>
      </c>
      <c r="X264" s="32" t="n">
        <v>1</v>
      </c>
      <c r="Y264" s="32" t="n">
        <v>5</v>
      </c>
      <c r="Z264" s="31" t="n">
        <v>1.3</v>
      </c>
      <c r="AA264" s="32" t="n">
        <v>0</v>
      </c>
      <c r="AB264" s="32" t="n">
        <v>0</v>
      </c>
      <c r="AC264" s="32" t="n">
        <v>0</v>
      </c>
      <c r="AD264" s="32" t="n">
        <v>0</v>
      </c>
      <c r="AE264" s="31" t="n">
        <v>0</v>
      </c>
      <c r="AF264" s="32" t="n">
        <v>0</v>
      </c>
      <c r="AG264" s="31" t="n">
        <v>0</v>
      </c>
      <c r="AH264" s="32" t="n">
        <v>68</v>
      </c>
      <c r="AI264" s="31" t="n">
        <v>67.40000000000001</v>
      </c>
      <c r="AJ264" s="31" t="n">
        <v>55.1</v>
      </c>
      <c r="AK264" s="31" t="n">
        <v>0</v>
      </c>
      <c r="AL264" s="30" t="inlineStr">
        <is>
          <t>T-0569</t>
        </is>
      </c>
      <c r="AM264" s="30" t="inlineStr">
        <is>
          <t>J-04-03</t>
        </is>
      </c>
      <c r="AN264" s="30" t="inlineStr">
        <is>
          <t>T-0401</t>
        </is>
      </c>
      <c r="AO264" s="30" t="inlineStr">
        <is>
          <t>J-01-01</t>
        </is>
      </c>
    </row>
    <row r="265">
      <c r="A265" s="30" t="inlineStr">
        <is>
          <t>O0264</t>
        </is>
      </c>
      <c r="B265" s="30" t="inlineStr">
        <is>
          <t>B</t>
        </is>
      </c>
      <c r="C265" s="31" t="n">
        <v>4287.3</v>
      </c>
      <c r="D265" s="31" t="n">
        <v>9456.1</v>
      </c>
      <c r="E265" s="31" t="n">
        <v>9487.6</v>
      </c>
      <c r="F265" s="31" t="n">
        <v>9499.799999999999</v>
      </c>
      <c r="G265" s="31" t="n">
        <v>9523.1</v>
      </c>
      <c r="H265" s="31" t="n">
        <v>9523.200000000001</v>
      </c>
      <c r="I265" s="31" t="n">
        <v>9533.9</v>
      </c>
      <c r="J265" s="31" t="n">
        <v>9569.299999999999</v>
      </c>
      <c r="K265" s="31" t="n">
        <v>5282</v>
      </c>
      <c r="L265" s="31" t="n">
        <v>5168.8</v>
      </c>
      <c r="M265" s="30" t="inlineStr">
        <is>
          <t>AMR2</t>
        </is>
      </c>
      <c r="N265" s="30" t="inlineStr">
        <is>
          <t>AMR2</t>
        </is>
      </c>
      <c r="O265" s="32" t="n">
        <v>1</v>
      </c>
      <c r="P265" s="32" t="n">
        <v>25</v>
      </c>
      <c r="Q265" s="32" t="n">
        <v>1</v>
      </c>
      <c r="R265" s="31" t="n">
        <v>55.5</v>
      </c>
      <c r="S265" s="31" t="n">
        <v>55.5</v>
      </c>
      <c r="T265" s="30" t="inlineStr">
        <is>
          <t>AMR2</t>
        </is>
      </c>
      <c r="U265" s="31" t="n">
        <v>40.7</v>
      </c>
      <c r="V265" s="31" t="n">
        <v>40.7</v>
      </c>
      <c r="W265" s="30" t="inlineStr">
        <is>
          <t>AMR2</t>
        </is>
      </c>
      <c r="X265" s="32" t="n">
        <v>0</v>
      </c>
      <c r="Y265" s="32" t="n">
        <v>0</v>
      </c>
      <c r="Z265" s="31" t="n">
        <v>0</v>
      </c>
      <c r="AA265" s="32" t="n">
        <v>0</v>
      </c>
      <c r="AB265" s="32" t="n">
        <v>0</v>
      </c>
      <c r="AC265" s="32" t="n">
        <v>0</v>
      </c>
      <c r="AD265" s="32" t="n">
        <v>2</v>
      </c>
      <c r="AE265" s="31" t="n">
        <v>5.1</v>
      </c>
      <c r="AF265" s="32" t="n">
        <v>1</v>
      </c>
      <c r="AG265" s="31" t="n">
        <v>3</v>
      </c>
      <c r="AH265" s="32" t="n">
        <v>60</v>
      </c>
      <c r="AI265" s="31" t="n">
        <v>60.6</v>
      </c>
      <c r="AJ265" s="31" t="n">
        <v>39.4</v>
      </c>
      <c r="AK265" s="31" t="n">
        <v>13.1</v>
      </c>
      <c r="AL265" s="30" t="inlineStr">
        <is>
          <t>T-0410</t>
        </is>
      </c>
      <c r="AM265" s="30" t="inlineStr">
        <is>
          <t>B-01-03</t>
        </is>
      </c>
      <c r="AN265" s="30" t="inlineStr">
        <is>
          <t>T-0215</t>
        </is>
      </c>
      <c r="AO265" s="30" t="inlineStr">
        <is>
          <t>B-05-02</t>
        </is>
      </c>
    </row>
    <row r="266">
      <c r="A266" s="30" t="inlineStr">
        <is>
          <t>O0265</t>
        </is>
      </c>
      <c r="B266" s="30" t="inlineStr">
        <is>
          <t>H</t>
        </is>
      </c>
      <c r="C266" s="31" t="n">
        <v>4292.4</v>
      </c>
      <c r="D266" s="31" t="n">
        <v>9896.799999999999</v>
      </c>
      <c r="E266" s="31" t="n">
        <v>9924.299999999999</v>
      </c>
      <c r="F266" s="31" t="n">
        <v>9938.700000000001</v>
      </c>
      <c r="G266" s="31" t="n">
        <v>9965.799999999999</v>
      </c>
      <c r="H266" s="31" t="n">
        <v>9965.9</v>
      </c>
      <c r="I266" s="31" t="n">
        <v>9976.200000000001</v>
      </c>
      <c r="J266" s="31" t="n">
        <v>10001</v>
      </c>
      <c r="K266" s="31" t="n">
        <v>5708.6</v>
      </c>
      <c r="L266" s="31" t="n">
        <v>5604.4</v>
      </c>
      <c r="M266" s="30" t="inlineStr">
        <is>
          <t>AMR2</t>
        </is>
      </c>
      <c r="N266" s="30" t="inlineStr">
        <is>
          <t>AMR2</t>
        </is>
      </c>
      <c r="O266" s="32" t="n">
        <v>1</v>
      </c>
      <c r="P266" s="32" t="n">
        <v>25</v>
      </c>
      <c r="Q266" s="32" t="n">
        <v>1</v>
      </c>
      <c r="R266" s="31" t="n">
        <v>63.2</v>
      </c>
      <c r="S266" s="31" t="n">
        <v>63.2</v>
      </c>
      <c r="T266" s="30" t="inlineStr">
        <is>
          <t>AMR2</t>
        </is>
      </c>
      <c r="U266" s="31" t="n">
        <v>34.3</v>
      </c>
      <c r="V266" s="31" t="n">
        <v>34.3</v>
      </c>
      <c r="W266" s="30" t="inlineStr">
        <is>
          <t>AMR2</t>
        </is>
      </c>
      <c r="X266" s="32" t="n">
        <v>0</v>
      </c>
      <c r="Y266" s="32" t="n">
        <v>0</v>
      </c>
      <c r="Z266" s="31" t="n">
        <v>0</v>
      </c>
      <c r="AA266" s="32" t="n">
        <v>0</v>
      </c>
      <c r="AB266" s="32" t="n">
        <v>0</v>
      </c>
      <c r="AC266" s="32" t="n">
        <v>0</v>
      </c>
      <c r="AD266" s="32" t="n">
        <v>0</v>
      </c>
      <c r="AE266" s="31" t="n">
        <v>0</v>
      </c>
      <c r="AF266" s="32" t="n">
        <v>0</v>
      </c>
      <c r="AG266" s="31" t="n">
        <v>0</v>
      </c>
      <c r="AH266" s="32" t="n">
        <v>54</v>
      </c>
      <c r="AI266" s="31" t="n">
        <v>56.2</v>
      </c>
      <c r="AJ266" s="31" t="n">
        <v>43.9</v>
      </c>
      <c r="AK266" s="31" t="n">
        <v>4</v>
      </c>
      <c r="AL266" s="30" t="inlineStr">
        <is>
          <t>T-0422</t>
        </is>
      </c>
      <c r="AM266" s="30" t="inlineStr">
        <is>
          <t>H-02-02</t>
        </is>
      </c>
      <c r="AN266" s="30" t="inlineStr">
        <is>
          <t>T-0349</t>
        </is>
      </c>
      <c r="AO266" s="30" t="inlineStr">
        <is>
          <t>H-04-02</t>
        </is>
      </c>
    </row>
    <row r="267">
      <c r="A267" s="30" t="inlineStr">
        <is>
          <t>O0266</t>
        </is>
      </c>
      <c r="B267" s="30" t="inlineStr">
        <is>
          <t>I</t>
        </is>
      </c>
      <c r="C267" s="31" t="n">
        <v>4299.4</v>
      </c>
      <c r="D267" s="31" t="n">
        <v>9569.4</v>
      </c>
      <c r="E267" s="31" t="n">
        <v>9601.9</v>
      </c>
      <c r="F267" s="31" t="n">
        <v>9615.299999999999</v>
      </c>
      <c r="G267" s="31" t="n">
        <v>9641.799999999999</v>
      </c>
      <c r="H267" s="31" t="n">
        <v>9729.299999999999</v>
      </c>
      <c r="I267" s="31" t="n">
        <v>9739.5</v>
      </c>
      <c r="J267" s="31" t="n">
        <v>9768.299999999999</v>
      </c>
      <c r="K267" s="31" t="n">
        <v>5468.9</v>
      </c>
      <c r="L267" s="31" t="n">
        <v>5270</v>
      </c>
      <c r="M267" s="30" t="inlineStr">
        <is>
          <t>AMR2</t>
        </is>
      </c>
      <c r="N267" s="30" t="inlineStr">
        <is>
          <t>AMR3</t>
        </is>
      </c>
      <c r="O267" s="32" t="n">
        <v>1</v>
      </c>
      <c r="P267" s="32" t="n">
        <v>25</v>
      </c>
      <c r="Q267" s="32" t="n">
        <v>1</v>
      </c>
      <c r="R267" s="31" t="n">
        <v>60</v>
      </c>
      <c r="S267" s="31" t="n">
        <v>60</v>
      </c>
      <c r="T267" s="30" t="inlineStr">
        <is>
          <t>AMR2</t>
        </is>
      </c>
      <c r="U267" s="31" t="n">
        <v>36.1</v>
      </c>
      <c r="V267" s="31" t="n">
        <v>36.1</v>
      </c>
      <c r="W267" s="30" t="inlineStr">
        <is>
          <t>AMR3</t>
        </is>
      </c>
      <c r="X267" s="32" t="n">
        <v>0</v>
      </c>
      <c r="Y267" s="32" t="n">
        <v>0</v>
      </c>
      <c r="Z267" s="31" t="n">
        <v>0</v>
      </c>
      <c r="AA267" s="32" t="n">
        <v>0</v>
      </c>
      <c r="AB267" s="32" t="n">
        <v>0</v>
      </c>
      <c r="AC267" s="32" t="n">
        <v>0</v>
      </c>
      <c r="AD267" s="32" t="n">
        <v>0</v>
      </c>
      <c r="AE267" s="31" t="n">
        <v>0</v>
      </c>
      <c r="AF267" s="32" t="n">
        <v>1</v>
      </c>
      <c r="AG267" s="31" t="n">
        <v>4</v>
      </c>
      <c r="AH267" s="32" t="n">
        <v>58</v>
      </c>
      <c r="AI267" s="31" t="n">
        <v>60.4</v>
      </c>
      <c r="AJ267" s="31" t="n">
        <v>42</v>
      </c>
      <c r="AK267" s="31" t="n">
        <v>9</v>
      </c>
      <c r="AL267" s="30" t="inlineStr">
        <is>
          <t>T-0413</t>
        </is>
      </c>
      <c r="AM267" s="30" t="inlineStr">
        <is>
          <t>I-04-02</t>
        </is>
      </c>
      <c r="AN267" s="30" t="inlineStr">
        <is>
          <t>T-0319</t>
        </is>
      </c>
      <c r="AO267" s="30" t="inlineStr">
        <is>
          <t>I-06-02</t>
        </is>
      </c>
    </row>
    <row r="268">
      <c r="A268" s="30" t="inlineStr">
        <is>
          <t>O0267</t>
        </is>
      </c>
      <c r="B268" s="30" t="inlineStr">
        <is>
          <t>H</t>
        </is>
      </c>
      <c r="C268" s="31" t="n">
        <v>4304.3</v>
      </c>
      <c r="D268" s="31" t="n">
        <v>9530.299999999999</v>
      </c>
      <c r="E268" s="31" t="n">
        <v>9553.799999999999</v>
      </c>
      <c r="F268" s="31" t="n">
        <v>9566.700000000001</v>
      </c>
      <c r="G268" s="31" t="n">
        <v>9588.799999999999</v>
      </c>
      <c r="H268" s="31" t="n">
        <v>9588.9</v>
      </c>
      <c r="I268" s="31" t="n">
        <v>9597.9</v>
      </c>
      <c r="J268" s="31" t="n">
        <v>9621.4</v>
      </c>
      <c r="K268" s="31" t="n">
        <v>5317.1</v>
      </c>
      <c r="L268" s="31" t="n">
        <v>5226</v>
      </c>
      <c r="M268" s="30" t="inlineStr">
        <is>
          <t>AMR1</t>
        </is>
      </c>
      <c r="N268" s="30" t="inlineStr">
        <is>
          <t>AMR1</t>
        </is>
      </c>
      <c r="O268" s="32" t="n">
        <v>1</v>
      </c>
      <c r="P268" s="32" t="n">
        <v>25</v>
      </c>
      <c r="Q268" s="32" t="n">
        <v>1</v>
      </c>
      <c r="R268" s="31" t="n">
        <v>56.7</v>
      </c>
      <c r="S268" s="31" t="n">
        <v>56.7</v>
      </c>
      <c r="T268" s="30" t="inlineStr">
        <is>
          <t>AMR1</t>
        </is>
      </c>
      <c r="U268" s="31" t="n">
        <v>33.2</v>
      </c>
      <c r="V268" s="31" t="n">
        <v>33.2</v>
      </c>
      <c r="W268" s="30" t="inlineStr">
        <is>
          <t>AMR1</t>
        </is>
      </c>
      <c r="X268" s="32" t="n">
        <v>0</v>
      </c>
      <c r="Y268" s="32" t="n">
        <v>0</v>
      </c>
      <c r="Z268" s="31" t="n">
        <v>0</v>
      </c>
      <c r="AA268" s="32" t="n">
        <v>0</v>
      </c>
      <c r="AB268" s="32" t="n">
        <v>0</v>
      </c>
      <c r="AC268" s="32" t="n">
        <v>0</v>
      </c>
      <c r="AD268" s="32" t="n">
        <v>0</v>
      </c>
      <c r="AE268" s="31" t="n">
        <v>0</v>
      </c>
      <c r="AF268" s="32" t="n">
        <v>0</v>
      </c>
      <c r="AG268" s="31" t="n">
        <v>0</v>
      </c>
      <c r="AH268" s="32" t="n">
        <v>52</v>
      </c>
      <c r="AI268" s="31" t="n">
        <v>54.7</v>
      </c>
      <c r="AJ268" s="31" t="n">
        <v>36.3</v>
      </c>
      <c r="AK268" s="31" t="n">
        <v>0</v>
      </c>
      <c r="AL268" s="30" t="inlineStr">
        <is>
          <t>T-0411</t>
        </is>
      </c>
      <c r="AM268" s="30" t="inlineStr">
        <is>
          <t>H-04-03</t>
        </is>
      </c>
      <c r="AN268" s="30" t="inlineStr">
        <is>
          <t>T-0340</t>
        </is>
      </c>
      <c r="AO268" s="30" t="inlineStr">
        <is>
          <t>H-04-01</t>
        </is>
      </c>
    </row>
    <row r="269">
      <c r="A269" s="30" t="inlineStr">
        <is>
          <t>O0268</t>
        </is>
      </c>
      <c r="B269" s="30" t="inlineStr">
        <is>
          <t>I</t>
        </is>
      </c>
      <c r="C269" s="31" t="n">
        <v>4307.7</v>
      </c>
      <c r="D269" s="31" t="n">
        <v>9668</v>
      </c>
      <c r="E269" s="31" t="n">
        <v>9691.5</v>
      </c>
      <c r="F269" s="31" t="n">
        <v>9704</v>
      </c>
      <c r="G269" s="31" t="n">
        <v>9729.200000000001</v>
      </c>
      <c r="H269" s="31" t="n">
        <v>10134.9</v>
      </c>
      <c r="I269" s="31" t="n">
        <v>10163</v>
      </c>
      <c r="J269" s="31" t="n">
        <v>10191.7</v>
      </c>
      <c r="K269" s="31" t="n">
        <v>5884</v>
      </c>
      <c r="L269" s="31" t="n">
        <v>5360.3</v>
      </c>
      <c r="M269" s="30" t="inlineStr">
        <is>
          <t>AMR3</t>
        </is>
      </c>
      <c r="N269" s="30" t="inlineStr">
        <is>
          <t>AMR1</t>
        </is>
      </c>
      <c r="O269" s="32" t="n">
        <v>1</v>
      </c>
      <c r="P269" s="32" t="n">
        <v>25</v>
      </c>
      <c r="Q269" s="32" t="n">
        <v>14</v>
      </c>
      <c r="R269" s="31" t="n">
        <v>57.8</v>
      </c>
      <c r="S269" s="31" t="n">
        <v>57.8</v>
      </c>
      <c r="T269" s="30" t="inlineStr">
        <is>
          <t>AMR3</t>
        </is>
      </c>
      <c r="U269" s="31" t="n">
        <v>53.5</v>
      </c>
      <c r="V269" s="31" t="n">
        <v>53.5</v>
      </c>
      <c r="W269" s="30" t="inlineStr">
        <is>
          <t>AMR1</t>
        </is>
      </c>
      <c r="X269" s="32" t="n">
        <v>0</v>
      </c>
      <c r="Y269" s="32" t="n">
        <v>0</v>
      </c>
      <c r="Z269" s="31" t="n">
        <v>0</v>
      </c>
      <c r="AA269" s="32" t="n">
        <v>0</v>
      </c>
      <c r="AB269" s="32" t="n">
        <v>0</v>
      </c>
      <c r="AC269" s="32" t="n">
        <v>0</v>
      </c>
      <c r="AD269" s="32" t="n">
        <v>0</v>
      </c>
      <c r="AE269" s="31" t="n">
        <v>0</v>
      </c>
      <c r="AF269" s="32" t="n">
        <v>0</v>
      </c>
      <c r="AG269" s="31" t="n">
        <v>0</v>
      </c>
      <c r="AH269" s="32" t="n">
        <v>67</v>
      </c>
      <c r="AI269" s="31" t="n">
        <v>69.59999999999999</v>
      </c>
      <c r="AJ269" s="31" t="n">
        <v>44.9</v>
      </c>
      <c r="AK269" s="31" t="n">
        <v>3.5</v>
      </c>
      <c r="AL269" s="30" t="inlineStr">
        <is>
          <t>T-0415</t>
        </is>
      </c>
      <c r="AM269" s="30" t="inlineStr">
        <is>
          <t>I-05-03</t>
        </is>
      </c>
      <c r="AN269" s="30" t="inlineStr">
        <is>
          <t>T-0339</t>
        </is>
      </c>
      <c r="AO269" s="30" t="inlineStr">
        <is>
          <t>I-01-01</t>
        </is>
      </c>
    </row>
    <row r="270">
      <c r="A270" s="30" t="inlineStr">
        <is>
          <t>O0269</t>
        </is>
      </c>
      <c r="B270" s="30" t="inlineStr">
        <is>
          <t>F</t>
        </is>
      </c>
      <c r="C270" s="31" t="n">
        <v>4312.6</v>
      </c>
      <c r="D270" s="31" t="n">
        <v>9716.700000000001</v>
      </c>
      <c r="E270" s="31" t="n">
        <v>9742.200000000001</v>
      </c>
      <c r="F270" s="31" t="n">
        <v>9756.6</v>
      </c>
      <c r="G270" s="31" t="n">
        <v>9786.4</v>
      </c>
      <c r="H270" s="31" t="n">
        <v>13100.3</v>
      </c>
      <c r="I270" s="31" t="n">
        <v>13115.4</v>
      </c>
      <c r="J270" s="31" t="n">
        <v>13149.4</v>
      </c>
      <c r="K270" s="31" t="n">
        <v>8836.799999999999</v>
      </c>
      <c r="L270" s="31" t="n">
        <v>5404.1</v>
      </c>
      <c r="M270" s="30" t="inlineStr">
        <is>
          <t>AMR1</t>
        </is>
      </c>
      <c r="N270" s="30" t="inlineStr">
        <is>
          <t>AMR2</t>
        </is>
      </c>
      <c r="O270" s="32" t="n">
        <v>1</v>
      </c>
      <c r="P270" s="32" t="n">
        <v>25</v>
      </c>
      <c r="Q270" s="32" t="n">
        <v>1</v>
      </c>
      <c r="R270" s="31" t="n">
        <v>65.09999999999999</v>
      </c>
      <c r="S270" s="31" t="n">
        <v>65.09999999999999</v>
      </c>
      <c r="T270" s="30" t="inlineStr">
        <is>
          <t>AMR1</t>
        </is>
      </c>
      <c r="U270" s="31" t="n">
        <v>48.3</v>
      </c>
      <c r="V270" s="31" t="n">
        <v>48.3</v>
      </c>
      <c r="W270" s="30" t="inlineStr">
        <is>
          <t>AMR2</t>
        </is>
      </c>
      <c r="X270" s="32" t="n">
        <v>0</v>
      </c>
      <c r="Y270" s="32" t="n">
        <v>0</v>
      </c>
      <c r="Z270" s="31" t="n">
        <v>0</v>
      </c>
      <c r="AA270" s="32" t="n">
        <v>0</v>
      </c>
      <c r="AB270" s="32" t="n">
        <v>0</v>
      </c>
      <c r="AC270" s="32" t="n">
        <v>0</v>
      </c>
      <c r="AD270" s="32" t="n">
        <v>0</v>
      </c>
      <c r="AE270" s="31" t="n">
        <v>0</v>
      </c>
      <c r="AF270" s="32" t="n">
        <v>0</v>
      </c>
      <c r="AG270" s="31" t="n">
        <v>0</v>
      </c>
      <c r="AH270" s="32" t="n">
        <v>73</v>
      </c>
      <c r="AI270" s="31" t="n">
        <v>71.3</v>
      </c>
      <c r="AJ270" s="31" t="n">
        <v>45.5</v>
      </c>
      <c r="AK270" s="31" t="n">
        <v>2</v>
      </c>
      <c r="AL270" s="30" t="inlineStr">
        <is>
          <t>T-0417</t>
        </is>
      </c>
      <c r="AM270" s="30" t="inlineStr">
        <is>
          <t>F-03-02</t>
        </is>
      </c>
      <c r="AN270" s="30" t="inlineStr">
        <is>
          <t>T-0288</t>
        </is>
      </c>
      <c r="AO270" s="30" t="inlineStr">
        <is>
          <t>F-01-02</t>
        </is>
      </c>
    </row>
    <row r="271">
      <c r="A271" s="30" t="inlineStr">
        <is>
          <t>O0270</t>
        </is>
      </c>
      <c r="B271" s="30" t="inlineStr">
        <is>
          <t>H</t>
        </is>
      </c>
      <c r="C271" s="31" t="n">
        <v>4315.8</v>
      </c>
      <c r="D271" s="31" t="n">
        <v>9621.5</v>
      </c>
      <c r="E271" s="31" t="n">
        <v>9645</v>
      </c>
      <c r="F271" s="31" t="n">
        <v>9657.6</v>
      </c>
      <c r="G271" s="31" t="n">
        <v>9680.9</v>
      </c>
      <c r="H271" s="31" t="n">
        <v>9681</v>
      </c>
      <c r="I271" s="31" t="n">
        <v>9693.200000000001</v>
      </c>
      <c r="J271" s="31" t="n">
        <v>9716.6</v>
      </c>
      <c r="K271" s="31" t="n">
        <v>5400.8</v>
      </c>
      <c r="L271" s="31" t="n">
        <v>5305.7</v>
      </c>
      <c r="M271" s="30" t="inlineStr">
        <is>
          <t>AMR1</t>
        </is>
      </c>
      <c r="N271" s="30" t="inlineStr">
        <is>
          <t>AMR1</t>
        </is>
      </c>
      <c r="O271" s="32" t="n">
        <v>1</v>
      </c>
      <c r="P271" s="32" t="n">
        <v>25</v>
      </c>
      <c r="Q271" s="32" t="n">
        <v>1</v>
      </c>
      <c r="R271" s="31" t="n">
        <v>57.6</v>
      </c>
      <c r="S271" s="31" t="n">
        <v>57.6</v>
      </c>
      <c r="T271" s="30" t="inlineStr">
        <is>
          <t>AMR1</t>
        </is>
      </c>
      <c r="U271" s="31" t="n">
        <v>36.3</v>
      </c>
      <c r="V271" s="31" t="n">
        <v>36.3</v>
      </c>
      <c r="W271" s="30" t="inlineStr">
        <is>
          <t>AMR1</t>
        </is>
      </c>
      <c r="X271" s="32" t="n">
        <v>0</v>
      </c>
      <c r="Y271" s="32" t="n">
        <v>0</v>
      </c>
      <c r="Z271" s="31" t="n">
        <v>0</v>
      </c>
      <c r="AA271" s="32" t="n">
        <v>0</v>
      </c>
      <c r="AB271" s="32" t="n">
        <v>0</v>
      </c>
      <c r="AC271" s="32" t="n">
        <v>0</v>
      </c>
      <c r="AD271" s="32" t="n">
        <v>0</v>
      </c>
      <c r="AE271" s="31" t="n">
        <v>0</v>
      </c>
      <c r="AF271" s="32" t="n">
        <v>0</v>
      </c>
      <c r="AG271" s="31" t="n">
        <v>0</v>
      </c>
      <c r="AH271" s="32" t="n">
        <v>52</v>
      </c>
      <c r="AI271" s="31" t="n">
        <v>54.7</v>
      </c>
      <c r="AJ271" s="31" t="n">
        <v>40.3</v>
      </c>
      <c r="AK271" s="31" t="n">
        <v>0</v>
      </c>
      <c r="AL271" s="30" t="inlineStr">
        <is>
          <t>T-0414</t>
        </is>
      </c>
      <c r="AM271" s="30" t="inlineStr">
        <is>
          <t>H-04-01</t>
        </is>
      </c>
      <c r="AN271" s="30" t="inlineStr">
        <is>
          <t>T-0343</t>
        </is>
      </c>
      <c r="AO271" s="30" t="inlineStr">
        <is>
          <t>H-05-01</t>
        </is>
      </c>
    </row>
    <row r="272">
      <c r="A272" s="30" t="inlineStr">
        <is>
          <t>O0271</t>
        </is>
      </c>
      <c r="B272" s="30" t="inlineStr">
        <is>
          <t>G</t>
        </is>
      </c>
      <c r="C272" s="31" t="n">
        <v>4319.3</v>
      </c>
      <c r="D272" s="31" t="n">
        <v>9694.5</v>
      </c>
      <c r="E272" s="31" t="n">
        <v>9718</v>
      </c>
      <c r="F272" s="31" t="n">
        <v>9730.1</v>
      </c>
      <c r="G272" s="31" t="n">
        <v>9757.700000000001</v>
      </c>
      <c r="H272" s="31" t="n">
        <v>9757.799999999999</v>
      </c>
      <c r="I272" s="31" t="n">
        <v>9770.4</v>
      </c>
      <c r="J272" s="31" t="n">
        <v>9794.200000000001</v>
      </c>
      <c r="K272" s="31" t="n">
        <v>5474.9</v>
      </c>
      <c r="L272" s="31" t="n">
        <v>5375.2</v>
      </c>
      <c r="M272" s="30" t="inlineStr">
        <is>
          <t>AMR2</t>
        </is>
      </c>
      <c r="N272" s="30" t="inlineStr">
        <is>
          <t>AMR2</t>
        </is>
      </c>
      <c r="O272" s="32" t="n">
        <v>1</v>
      </c>
      <c r="P272" s="32" t="n">
        <v>25</v>
      </c>
      <c r="Q272" s="32" t="n">
        <v>1</v>
      </c>
      <c r="R272" s="31" t="n">
        <v>59.8</v>
      </c>
      <c r="S272" s="31" t="n">
        <v>59.8</v>
      </c>
      <c r="T272" s="30" t="inlineStr">
        <is>
          <t>AMR2</t>
        </is>
      </c>
      <c r="U272" s="31" t="n">
        <v>36.1</v>
      </c>
      <c r="V272" s="31" t="n">
        <v>36.1</v>
      </c>
      <c r="W272" s="30" t="inlineStr">
        <is>
          <t>AMR2</t>
        </is>
      </c>
      <c r="X272" s="32" t="n">
        <v>0</v>
      </c>
      <c r="Y272" s="32" t="n">
        <v>0</v>
      </c>
      <c r="Z272" s="31" t="n">
        <v>0</v>
      </c>
      <c r="AA272" s="32" t="n">
        <v>0</v>
      </c>
      <c r="AB272" s="32" t="n">
        <v>0</v>
      </c>
      <c r="AC272" s="32" t="n">
        <v>0</v>
      </c>
      <c r="AD272" s="32" t="n">
        <v>0</v>
      </c>
      <c r="AE272" s="31" t="n">
        <v>0</v>
      </c>
      <c r="AF272" s="32" t="n">
        <v>0</v>
      </c>
      <c r="AG272" s="31" t="n">
        <v>0</v>
      </c>
      <c r="AH272" s="32" t="n">
        <v>60</v>
      </c>
      <c r="AI272" s="31" t="n">
        <v>61</v>
      </c>
      <c r="AJ272" s="31" t="n">
        <v>38.6</v>
      </c>
      <c r="AK272" s="31" t="n">
        <v>0</v>
      </c>
      <c r="AL272" s="30" t="inlineStr">
        <is>
          <t>T-0416</t>
        </is>
      </c>
      <c r="AM272" s="30" t="inlineStr">
        <is>
          <t>G-01-02</t>
        </is>
      </c>
      <c r="AN272" s="30" t="inlineStr">
        <is>
          <t>T-0217</t>
        </is>
      </c>
      <c r="AO272" s="30" t="inlineStr">
        <is>
          <t>G-04-01</t>
        </is>
      </c>
    </row>
    <row r="273">
      <c r="A273" s="30" t="inlineStr">
        <is>
          <t>O0272</t>
        </is>
      </c>
      <c r="B273" s="30" t="inlineStr">
        <is>
          <t>I</t>
        </is>
      </c>
      <c r="C273" s="31" t="n">
        <v>4324.9</v>
      </c>
      <c r="D273" s="31" t="n">
        <v>9974.1</v>
      </c>
      <c r="E273" s="31" t="n">
        <v>9997.6</v>
      </c>
      <c r="F273" s="31" t="n">
        <v>10008.6</v>
      </c>
      <c r="G273" s="31" t="n">
        <v>10037</v>
      </c>
      <c r="H273" s="31" t="n">
        <v>10037.1</v>
      </c>
      <c r="I273" s="31" t="n">
        <v>10050.1</v>
      </c>
      <c r="J273" s="31" t="n">
        <v>10075.8</v>
      </c>
      <c r="K273" s="31" t="n">
        <v>5750.9</v>
      </c>
      <c r="L273" s="31" t="n">
        <v>5649.2</v>
      </c>
      <c r="M273" s="30" t="inlineStr">
        <is>
          <t>AMR3</t>
        </is>
      </c>
      <c r="N273" s="30" t="inlineStr">
        <is>
          <t>AMR3</t>
        </is>
      </c>
      <c r="O273" s="32" t="n">
        <v>1</v>
      </c>
      <c r="P273" s="32" t="n">
        <v>25</v>
      </c>
      <c r="Q273" s="32" t="n">
        <v>0</v>
      </c>
      <c r="R273" s="31" t="n">
        <v>60.3</v>
      </c>
      <c r="S273" s="31" t="n">
        <v>60.3</v>
      </c>
      <c r="T273" s="30" t="inlineStr">
        <is>
          <t>AMR3</t>
        </is>
      </c>
      <c r="U273" s="31" t="n">
        <v>38.4</v>
      </c>
      <c r="V273" s="31" t="n">
        <v>38.4</v>
      </c>
      <c r="W273" s="30" t="inlineStr">
        <is>
          <t>AMR3</t>
        </is>
      </c>
      <c r="X273" s="32" t="n">
        <v>0</v>
      </c>
      <c r="Y273" s="32" t="n">
        <v>0</v>
      </c>
      <c r="Z273" s="31" t="n">
        <v>0</v>
      </c>
      <c r="AA273" s="32" t="n">
        <v>0</v>
      </c>
      <c r="AB273" s="32" t="n">
        <v>0</v>
      </c>
      <c r="AC273" s="32" t="n">
        <v>0</v>
      </c>
      <c r="AD273" s="32" t="n">
        <v>0</v>
      </c>
      <c r="AE273" s="31" t="n">
        <v>0</v>
      </c>
      <c r="AF273" s="32" t="n">
        <v>0</v>
      </c>
      <c r="AG273" s="31" t="n">
        <v>0</v>
      </c>
      <c r="AH273" s="32" t="n">
        <v>54</v>
      </c>
      <c r="AI273" s="31" t="n">
        <v>56.3</v>
      </c>
      <c r="AJ273" s="31" t="n">
        <v>45.3</v>
      </c>
      <c r="AK273" s="31" t="n">
        <v>0</v>
      </c>
      <c r="AL273" s="30" t="inlineStr">
        <is>
          <t>T-0424</t>
        </is>
      </c>
      <c r="AM273" s="30" t="inlineStr">
        <is>
          <t>I-03-03</t>
        </is>
      </c>
      <c r="AN273" s="30" t="inlineStr">
        <is>
          <t>T-0330</t>
        </is>
      </c>
      <c r="AO273" s="30" t="inlineStr">
        <is>
          <t>I-01-03</t>
        </is>
      </c>
    </row>
    <row r="274">
      <c r="A274" s="30" t="inlineStr">
        <is>
          <t>O0273</t>
        </is>
      </c>
      <c r="B274" s="30" t="inlineStr">
        <is>
          <t>I</t>
        </is>
      </c>
      <c r="C274" s="31" t="n">
        <v>4328.6</v>
      </c>
      <c r="D274" s="31" t="n">
        <v>9768.4</v>
      </c>
      <c r="E274" s="31" t="n">
        <v>9791.9</v>
      </c>
      <c r="F274" s="31" t="n">
        <v>9807.4</v>
      </c>
      <c r="G274" s="31" t="n">
        <v>9832.4</v>
      </c>
      <c r="H274" s="31" t="n">
        <v>9832.5</v>
      </c>
      <c r="I274" s="31" t="n">
        <v>9846.4</v>
      </c>
      <c r="J274" s="31" t="n">
        <v>9877.1</v>
      </c>
      <c r="K274" s="31" t="n">
        <v>5548.5</v>
      </c>
      <c r="L274" s="31" t="n">
        <v>5439.8</v>
      </c>
      <c r="M274" s="30" t="inlineStr">
        <is>
          <t>AMR3</t>
        </is>
      </c>
      <c r="N274" s="30" t="inlineStr">
        <is>
          <t>AMR3</t>
        </is>
      </c>
      <c r="O274" s="32" t="n">
        <v>1</v>
      </c>
      <c r="P274" s="32" t="n">
        <v>25</v>
      </c>
      <c r="Q274" s="32" t="n">
        <v>2</v>
      </c>
      <c r="R274" s="31" t="n">
        <v>59.8</v>
      </c>
      <c r="S274" s="31" t="n">
        <v>59.8</v>
      </c>
      <c r="T274" s="30" t="inlineStr">
        <is>
          <t>AMR3</t>
        </is>
      </c>
      <c r="U274" s="31" t="n">
        <v>39.8</v>
      </c>
      <c r="V274" s="31" t="n">
        <v>39.8</v>
      </c>
      <c r="W274" s="30" t="inlineStr">
        <is>
          <t>AMR3</t>
        </is>
      </c>
      <c r="X274" s="32" t="n">
        <v>0</v>
      </c>
      <c r="Y274" s="32" t="n">
        <v>0</v>
      </c>
      <c r="Z274" s="31" t="n">
        <v>0</v>
      </c>
      <c r="AA274" s="32" t="n">
        <v>0</v>
      </c>
      <c r="AB274" s="32" t="n">
        <v>0</v>
      </c>
      <c r="AC274" s="32" t="n">
        <v>0</v>
      </c>
      <c r="AD274" s="32" t="n">
        <v>1</v>
      </c>
      <c r="AE274" s="31" t="n">
        <v>4.5</v>
      </c>
      <c r="AF274" s="32" t="n">
        <v>0</v>
      </c>
      <c r="AG274" s="31" t="n">
        <v>0</v>
      </c>
      <c r="AH274" s="32" t="n">
        <v>58</v>
      </c>
      <c r="AI274" s="31" t="n">
        <v>59.3</v>
      </c>
      <c r="AJ274" s="31" t="n">
        <v>44.8</v>
      </c>
      <c r="AK274" s="31" t="n">
        <v>4.5</v>
      </c>
      <c r="AL274" s="30" t="inlineStr">
        <is>
          <t>T-0418</t>
        </is>
      </c>
      <c r="AM274" s="30" t="inlineStr">
        <is>
          <t>I-06-02</t>
        </is>
      </c>
      <c r="AN274" s="30" t="inlineStr">
        <is>
          <t>T-0321</t>
        </is>
      </c>
      <c r="AO274" s="30" t="inlineStr">
        <is>
          <t>I-02-03</t>
        </is>
      </c>
    </row>
    <row r="275">
      <c r="A275" s="30" t="inlineStr">
        <is>
          <t>O0274</t>
        </is>
      </c>
      <c r="B275" s="30" t="inlineStr">
        <is>
          <t>H</t>
        </is>
      </c>
      <c r="C275" s="31" t="n">
        <v>4333.4</v>
      </c>
      <c r="D275" s="31" t="n">
        <v>9794.299999999999</v>
      </c>
      <c r="E275" s="31" t="n">
        <v>9817.799999999999</v>
      </c>
      <c r="F275" s="31" t="n">
        <v>9833.299999999999</v>
      </c>
      <c r="G275" s="31" t="n">
        <v>9856.200000000001</v>
      </c>
      <c r="H275" s="31" t="n">
        <v>9856.299999999999</v>
      </c>
      <c r="I275" s="31" t="n">
        <v>9871.700000000001</v>
      </c>
      <c r="J275" s="31" t="n">
        <v>9896.700000000001</v>
      </c>
      <c r="K275" s="31" t="n">
        <v>5563.3</v>
      </c>
      <c r="L275" s="31" t="n">
        <v>5460.9</v>
      </c>
      <c r="M275" s="30" t="inlineStr">
        <is>
          <t>AMR2</t>
        </is>
      </c>
      <c r="N275" s="30" t="inlineStr">
        <is>
          <t>AMR2</t>
        </is>
      </c>
      <c r="O275" s="32" t="n">
        <v>1</v>
      </c>
      <c r="P275" s="32" t="n">
        <v>25</v>
      </c>
      <c r="Q275" s="32" t="n">
        <v>1</v>
      </c>
      <c r="R275" s="31" t="n">
        <v>60.1</v>
      </c>
      <c r="S275" s="31" t="n">
        <v>60.1</v>
      </c>
      <c r="T275" s="30" t="inlineStr">
        <is>
          <t>AMR2</t>
        </is>
      </c>
      <c r="U275" s="31" t="n">
        <v>39.6</v>
      </c>
      <c r="V275" s="31" t="n">
        <v>39.6</v>
      </c>
      <c r="W275" s="30" t="inlineStr">
        <is>
          <t>AMR2</t>
        </is>
      </c>
      <c r="X275" s="32" t="n">
        <v>0</v>
      </c>
      <c r="Y275" s="32" t="n">
        <v>0</v>
      </c>
      <c r="Z275" s="31" t="n">
        <v>0</v>
      </c>
      <c r="AA275" s="32" t="n">
        <v>0</v>
      </c>
      <c r="AB275" s="32" t="n">
        <v>0</v>
      </c>
      <c r="AC275" s="32" t="n">
        <v>0</v>
      </c>
      <c r="AD275" s="32" t="n">
        <v>0</v>
      </c>
      <c r="AE275" s="31" t="n">
        <v>0</v>
      </c>
      <c r="AF275" s="32" t="n">
        <v>0</v>
      </c>
      <c r="AG275" s="31" t="n">
        <v>0</v>
      </c>
      <c r="AH275" s="32" t="n">
        <v>54</v>
      </c>
      <c r="AI275" s="31" t="n">
        <v>56.2</v>
      </c>
      <c r="AJ275" s="31" t="n">
        <v>46.1</v>
      </c>
      <c r="AK275" s="31" t="n">
        <v>0</v>
      </c>
      <c r="AL275" s="30" t="inlineStr">
        <is>
          <t>T-0419</t>
        </is>
      </c>
      <c r="AM275" s="30" t="inlineStr">
        <is>
          <t>H-05-01</t>
        </is>
      </c>
      <c r="AN275" s="30" t="inlineStr">
        <is>
          <t>T-0347</t>
        </is>
      </c>
      <c r="AO275" s="30" t="inlineStr">
        <is>
          <t>H-02-02</t>
        </is>
      </c>
    </row>
    <row r="276">
      <c r="A276" s="30" t="inlineStr">
        <is>
          <t>O0275</t>
        </is>
      </c>
      <c r="B276" s="30" t="inlineStr">
        <is>
          <t>I</t>
        </is>
      </c>
      <c r="C276" s="31" t="n">
        <v>4336.9</v>
      </c>
      <c r="D276" s="31" t="n">
        <v>10064.6</v>
      </c>
      <c r="E276" s="31" t="n">
        <v>10079.2</v>
      </c>
      <c r="F276" s="31" t="n">
        <v>10091.1</v>
      </c>
      <c r="G276" s="31" t="n">
        <v>10117</v>
      </c>
      <c r="H276" s="31" t="n">
        <v>10117.1</v>
      </c>
      <c r="I276" s="31" t="n">
        <v>10133.2</v>
      </c>
      <c r="J276" s="31" t="n">
        <v>10159.6</v>
      </c>
      <c r="K276" s="31" t="n">
        <v>5822.7</v>
      </c>
      <c r="L276" s="31" t="n">
        <v>5727.7</v>
      </c>
      <c r="M276" s="30" t="inlineStr">
        <is>
          <t>AMR2</t>
        </is>
      </c>
      <c r="N276" s="30" t="inlineStr">
        <is>
          <t>AMR2</t>
        </is>
      </c>
      <c r="O276" s="32" t="n">
        <v>1</v>
      </c>
      <c r="P276" s="32" t="n">
        <v>14</v>
      </c>
      <c r="Q276" s="32" t="n">
        <v>1</v>
      </c>
      <c r="R276" s="31" t="n">
        <v>50.6</v>
      </c>
      <c r="S276" s="31" t="n">
        <v>50.6</v>
      </c>
      <c r="T276" s="30" t="inlineStr">
        <is>
          <t>AMR2</t>
        </is>
      </c>
      <c r="U276" s="31" t="n">
        <v>39.7</v>
      </c>
      <c r="V276" s="31" t="n">
        <v>39.7</v>
      </c>
      <c r="W276" s="30" t="inlineStr">
        <is>
          <t>AMR2</t>
        </is>
      </c>
      <c r="X276" s="32" t="n">
        <v>0</v>
      </c>
      <c r="Y276" s="32" t="n">
        <v>0</v>
      </c>
      <c r="Z276" s="31" t="n">
        <v>0</v>
      </c>
      <c r="AA276" s="32" t="n">
        <v>0</v>
      </c>
      <c r="AB276" s="32" t="n">
        <v>0</v>
      </c>
      <c r="AC276" s="32" t="n">
        <v>0</v>
      </c>
      <c r="AD276" s="32" t="n">
        <v>0</v>
      </c>
      <c r="AE276" s="31" t="n">
        <v>0</v>
      </c>
      <c r="AF276" s="32" t="n">
        <v>0</v>
      </c>
      <c r="AG276" s="31" t="n">
        <v>0</v>
      </c>
      <c r="AH276" s="32" t="n">
        <v>45</v>
      </c>
      <c r="AI276" s="31" t="n">
        <v>49.8</v>
      </c>
      <c r="AJ276" s="31" t="n">
        <v>45.1</v>
      </c>
      <c r="AK276" s="31" t="n">
        <v>0</v>
      </c>
      <c r="AL276" s="30" t="inlineStr">
        <is>
          <t>T-0427</t>
        </is>
      </c>
      <c r="AM276" s="30" t="inlineStr">
        <is>
          <t>I-01-03</t>
        </is>
      </c>
      <c r="AN276" s="30" t="inlineStr">
        <is>
          <t>T-0336</t>
        </is>
      </c>
      <c r="AO276" s="30" t="inlineStr">
        <is>
          <t>I-04-03</t>
        </is>
      </c>
    </row>
    <row r="277">
      <c r="A277" s="30" t="inlineStr">
        <is>
          <t>O0276</t>
        </is>
      </c>
      <c r="B277" s="30" t="inlineStr">
        <is>
          <t>B</t>
        </is>
      </c>
      <c r="C277" s="31" t="n">
        <v>4340.1</v>
      </c>
      <c r="D277" s="31" t="n">
        <v>9837.799999999999</v>
      </c>
      <c r="E277" s="31" t="n">
        <v>9861.299999999999</v>
      </c>
      <c r="F277" s="31" t="n">
        <v>9873.9</v>
      </c>
      <c r="G277" s="31" t="n">
        <v>9896.700000000001</v>
      </c>
      <c r="H277" s="31" t="n">
        <v>9896.799999999999</v>
      </c>
      <c r="I277" s="31" t="n">
        <v>9906.299999999999</v>
      </c>
      <c r="J277" s="31" t="n">
        <v>9934.9</v>
      </c>
      <c r="K277" s="31" t="n">
        <v>5594.8</v>
      </c>
      <c r="L277" s="31" t="n">
        <v>5497.7</v>
      </c>
      <c r="M277" s="30" t="inlineStr">
        <is>
          <t>AMR1</t>
        </is>
      </c>
      <c r="N277" s="30" t="inlineStr">
        <is>
          <t>AMR1</t>
        </is>
      </c>
      <c r="O277" s="32" t="n">
        <v>1</v>
      </c>
      <c r="P277" s="32" t="n">
        <v>25</v>
      </c>
      <c r="Q277" s="32" t="n">
        <v>1</v>
      </c>
      <c r="R277" s="31" t="n">
        <v>57</v>
      </c>
      <c r="S277" s="31" t="n">
        <v>57</v>
      </c>
      <c r="T277" s="30" t="inlineStr">
        <is>
          <t>AMR1</t>
        </is>
      </c>
      <c r="U277" s="31" t="n">
        <v>37.8</v>
      </c>
      <c r="V277" s="31" t="n">
        <v>37.8</v>
      </c>
      <c r="W277" s="30" t="inlineStr">
        <is>
          <t>AMR1</t>
        </is>
      </c>
      <c r="X277" s="32" t="n">
        <v>0</v>
      </c>
      <c r="Y277" s="32" t="n">
        <v>0</v>
      </c>
      <c r="Z277" s="31" t="n">
        <v>0</v>
      </c>
      <c r="AA277" s="32" t="n">
        <v>0</v>
      </c>
      <c r="AB277" s="32" t="n">
        <v>0</v>
      </c>
      <c r="AC277" s="32" t="n">
        <v>0</v>
      </c>
      <c r="AD277" s="32" t="n">
        <v>0</v>
      </c>
      <c r="AE277" s="31" t="n">
        <v>0</v>
      </c>
      <c r="AF277" s="32" t="n">
        <v>0</v>
      </c>
      <c r="AG277" s="31" t="n">
        <v>0</v>
      </c>
      <c r="AH277" s="32" t="n">
        <v>58</v>
      </c>
      <c r="AI277" s="31" t="n">
        <v>59</v>
      </c>
      <c r="AJ277" s="31" t="n">
        <v>38</v>
      </c>
      <c r="AK277" s="31" t="n">
        <v>0</v>
      </c>
      <c r="AL277" s="30" t="inlineStr">
        <is>
          <t>T-0420</t>
        </is>
      </c>
      <c r="AM277" s="30" t="inlineStr">
        <is>
          <t>B-05-02</t>
        </is>
      </c>
      <c r="AN277" s="30" t="inlineStr">
        <is>
          <t>T-0245</t>
        </is>
      </c>
      <c r="AO277" s="30" t="inlineStr">
        <is>
          <t>B-03-01</t>
        </is>
      </c>
    </row>
    <row r="278">
      <c r="A278" s="30" t="inlineStr">
        <is>
          <t>O0277</t>
        </is>
      </c>
      <c r="B278" s="30" t="inlineStr">
        <is>
          <t>I</t>
        </is>
      </c>
      <c r="C278" s="31" t="n">
        <v>4343.7</v>
      </c>
      <c r="D278" s="31" t="n">
        <v>9877.200000000001</v>
      </c>
      <c r="E278" s="31" t="n">
        <v>9900.700000000001</v>
      </c>
      <c r="F278" s="31" t="n">
        <v>9911.4</v>
      </c>
      <c r="G278" s="31" t="n">
        <v>9936</v>
      </c>
      <c r="H278" s="31" t="n">
        <v>9936.1</v>
      </c>
      <c r="I278" s="31" t="n">
        <v>9947</v>
      </c>
      <c r="J278" s="31" t="n">
        <v>9974</v>
      </c>
      <c r="K278" s="31" t="n">
        <v>5630.3</v>
      </c>
      <c r="L278" s="31" t="n">
        <v>5533.5</v>
      </c>
      <c r="M278" s="30" t="inlineStr">
        <is>
          <t>AMR3</t>
        </is>
      </c>
      <c r="N278" s="30" t="inlineStr">
        <is>
          <t>AMR3</t>
        </is>
      </c>
      <c r="O278" s="32" t="n">
        <v>1</v>
      </c>
      <c r="P278" s="32" t="n">
        <v>25</v>
      </c>
      <c r="Q278" s="32" t="n">
        <v>1</v>
      </c>
      <c r="R278" s="31" t="n">
        <v>57</v>
      </c>
      <c r="S278" s="31" t="n">
        <v>57</v>
      </c>
      <c r="T278" s="30" t="inlineStr">
        <is>
          <t>AMR3</t>
        </is>
      </c>
      <c r="U278" s="31" t="n">
        <v>36.6</v>
      </c>
      <c r="V278" s="31" t="n">
        <v>36.6</v>
      </c>
      <c r="W278" s="30" t="inlineStr">
        <is>
          <t>AMR3</t>
        </is>
      </c>
      <c r="X278" s="32" t="n">
        <v>0</v>
      </c>
      <c r="Y278" s="32" t="n">
        <v>0</v>
      </c>
      <c r="Z278" s="31" t="n">
        <v>0</v>
      </c>
      <c r="AA278" s="32" t="n">
        <v>0</v>
      </c>
      <c r="AB278" s="32" t="n">
        <v>0</v>
      </c>
      <c r="AC278" s="32" t="n">
        <v>0</v>
      </c>
      <c r="AD278" s="32" t="n">
        <v>0</v>
      </c>
      <c r="AE278" s="31" t="n">
        <v>0</v>
      </c>
      <c r="AF278" s="32" t="n">
        <v>0</v>
      </c>
      <c r="AG278" s="31" t="n">
        <v>0</v>
      </c>
      <c r="AH278" s="32" t="n">
        <v>54</v>
      </c>
      <c r="AI278" s="31" t="n">
        <v>57.2</v>
      </c>
      <c r="AJ278" s="31" t="n">
        <v>39.5</v>
      </c>
      <c r="AK278" s="31" t="n">
        <v>0</v>
      </c>
      <c r="AL278" s="30" t="inlineStr">
        <is>
          <t>T-0421</t>
        </is>
      </c>
      <c r="AM278" s="30" t="inlineStr">
        <is>
          <t>I-02-03</t>
        </is>
      </c>
      <c r="AN278" s="30" t="inlineStr">
        <is>
          <t>T-0325</t>
        </is>
      </c>
      <c r="AO278" s="30" t="inlineStr">
        <is>
          <t>I-03-03</t>
        </is>
      </c>
    </row>
    <row r="279">
      <c r="A279" s="30" t="inlineStr">
        <is>
          <t>O0278</t>
        </is>
      </c>
      <c r="B279" s="30" t="inlineStr">
        <is>
          <t>A</t>
        </is>
      </c>
      <c r="C279" s="31" t="n">
        <v>4347.6</v>
      </c>
      <c r="D279" s="31" t="n">
        <v>10159.7</v>
      </c>
      <c r="E279" s="31" t="n">
        <v>10183.2</v>
      </c>
      <c r="F279" s="31" t="n">
        <v>10194.7</v>
      </c>
      <c r="G279" s="31" t="n">
        <v>10220.7</v>
      </c>
      <c r="H279" s="31" t="n">
        <v>11219.5</v>
      </c>
      <c r="I279" s="31" t="n">
        <v>11234.8</v>
      </c>
      <c r="J279" s="31" t="n">
        <v>11267.8</v>
      </c>
      <c r="K279" s="31" t="n">
        <v>6920.2</v>
      </c>
      <c r="L279" s="31" t="n">
        <v>5812.1</v>
      </c>
      <c r="M279" s="30" t="inlineStr">
        <is>
          <t>AMR2</t>
        </is>
      </c>
      <c r="N279" s="30" t="inlineStr">
        <is>
          <t>AMR2</t>
        </is>
      </c>
      <c r="O279" s="32" t="n">
        <v>1</v>
      </c>
      <c r="P279" s="32" t="n">
        <v>25</v>
      </c>
      <c r="Q279" s="32" t="n">
        <v>1</v>
      </c>
      <c r="R279" s="31" t="n">
        <v>59.1</v>
      </c>
      <c r="S279" s="31" t="n">
        <v>59.1</v>
      </c>
      <c r="T279" s="30" t="inlineStr">
        <is>
          <t>AMR2</t>
        </is>
      </c>
      <c r="U279" s="31" t="n">
        <v>48.9</v>
      </c>
      <c r="V279" s="31" t="n">
        <v>48.9</v>
      </c>
      <c r="W279" s="30" t="inlineStr">
        <is>
          <t>AMR2</t>
        </is>
      </c>
      <c r="X279" s="32" t="n">
        <v>0</v>
      </c>
      <c r="Y279" s="32" t="n">
        <v>0</v>
      </c>
      <c r="Z279" s="31" t="n">
        <v>0</v>
      </c>
      <c r="AA279" s="32" t="n">
        <v>0</v>
      </c>
      <c r="AB279" s="32" t="n">
        <v>0</v>
      </c>
      <c r="AC279" s="32" t="n">
        <v>0</v>
      </c>
      <c r="AD279" s="32" t="n">
        <v>0</v>
      </c>
      <c r="AE279" s="31" t="n">
        <v>0</v>
      </c>
      <c r="AF279" s="32" t="n">
        <v>0</v>
      </c>
      <c r="AG279" s="31" t="n">
        <v>0</v>
      </c>
      <c r="AH279" s="32" t="n">
        <v>70</v>
      </c>
      <c r="AI279" s="31" t="n">
        <v>68.7</v>
      </c>
      <c r="AJ279" s="31" t="n">
        <v>40.6</v>
      </c>
      <c r="AK279" s="31" t="n">
        <v>0</v>
      </c>
      <c r="AL279" s="30" t="inlineStr">
        <is>
          <t>T-0430</t>
        </is>
      </c>
      <c r="AM279" s="30" t="inlineStr">
        <is>
          <t>A-05-01</t>
        </is>
      </c>
      <c r="AN279" s="30" t="inlineStr">
        <is>
          <t>T-0193</t>
        </is>
      </c>
      <c r="AO279" s="30" t="inlineStr">
        <is>
          <t>A-03-02</t>
        </is>
      </c>
    </row>
    <row r="280">
      <c r="A280" s="30" t="inlineStr">
        <is>
          <t>O0279</t>
        </is>
      </c>
      <c r="B280" s="30" t="inlineStr">
        <is>
          <t>B</t>
        </is>
      </c>
      <c r="C280" s="31" t="n">
        <v>4354.4</v>
      </c>
      <c r="D280" s="31" t="n">
        <v>9935</v>
      </c>
      <c r="E280" s="31" t="n">
        <v>9958.5</v>
      </c>
      <c r="F280" s="31" t="n">
        <v>9971.799999999999</v>
      </c>
      <c r="G280" s="31" t="n">
        <v>9997.200000000001</v>
      </c>
      <c r="H280" s="31" t="n">
        <v>9997.299999999999</v>
      </c>
      <c r="I280" s="31" t="n">
        <v>10010.2</v>
      </c>
      <c r="J280" s="31" t="n">
        <v>10035.4</v>
      </c>
      <c r="K280" s="31" t="n">
        <v>5681</v>
      </c>
      <c r="L280" s="31" t="n">
        <v>5580.6</v>
      </c>
      <c r="M280" s="30" t="inlineStr">
        <is>
          <t>AMR1</t>
        </is>
      </c>
      <c r="N280" s="30" t="inlineStr">
        <is>
          <t>AMR1</t>
        </is>
      </c>
      <c r="O280" s="32" t="n">
        <v>1</v>
      </c>
      <c r="P280" s="32" t="n">
        <v>25</v>
      </c>
      <c r="Q280" s="32" t="n">
        <v>0</v>
      </c>
      <c r="R280" s="31" t="n">
        <v>59.5</v>
      </c>
      <c r="S280" s="31" t="n">
        <v>52.3</v>
      </c>
      <c r="T280" s="30" t="inlineStr">
        <is>
          <t>AMR3</t>
        </is>
      </c>
      <c r="U280" s="31" t="n">
        <v>37.9</v>
      </c>
      <c r="V280" s="31" t="n">
        <v>37.9</v>
      </c>
      <c r="W280" s="30" t="inlineStr">
        <is>
          <t>AMR1</t>
        </is>
      </c>
      <c r="X280" s="32" t="n">
        <v>1</v>
      </c>
      <c r="Y280" s="32" t="n">
        <v>11</v>
      </c>
      <c r="Z280" s="31" t="n">
        <v>7.2</v>
      </c>
      <c r="AA280" s="32" t="n">
        <v>0</v>
      </c>
      <c r="AB280" s="32" t="n">
        <v>0</v>
      </c>
      <c r="AC280" s="32" t="n">
        <v>0</v>
      </c>
      <c r="AD280" s="32" t="n">
        <v>0</v>
      </c>
      <c r="AE280" s="31" t="n">
        <v>0</v>
      </c>
      <c r="AF280" s="32" t="n">
        <v>0</v>
      </c>
      <c r="AG280" s="31" t="n">
        <v>0</v>
      </c>
      <c r="AH280" s="32" t="n">
        <v>58</v>
      </c>
      <c r="AI280" s="31" t="n">
        <v>59</v>
      </c>
      <c r="AJ280" s="31" t="n">
        <v>41.3</v>
      </c>
      <c r="AK280" s="31" t="n">
        <v>0</v>
      </c>
      <c r="AL280" s="30" t="inlineStr">
        <is>
          <t>T-0423</t>
        </is>
      </c>
      <c r="AM280" s="30" t="inlineStr">
        <is>
          <t>B-03-01</t>
        </is>
      </c>
      <c r="AN280" s="30" t="inlineStr">
        <is>
          <t>T-0251</t>
        </is>
      </c>
      <c r="AO280" s="30" t="inlineStr">
        <is>
          <t>B-06-02</t>
        </is>
      </c>
    </row>
    <row r="281">
      <c r="A281" s="30" t="inlineStr">
        <is>
          <t>O0280</t>
        </is>
      </c>
      <c r="B281" s="30" t="inlineStr">
        <is>
          <t>H</t>
        </is>
      </c>
      <c r="C281" s="31" t="n">
        <v>4361.1</v>
      </c>
      <c r="D281" s="31" t="n">
        <v>10001.1</v>
      </c>
      <c r="E281" s="31" t="n">
        <v>10024.6</v>
      </c>
      <c r="F281" s="31" t="n">
        <v>10040.4</v>
      </c>
      <c r="G281" s="31" t="n">
        <v>10064.5</v>
      </c>
      <c r="H281" s="31" t="n">
        <v>10294.3</v>
      </c>
      <c r="I281" s="31" t="n">
        <v>10320.1</v>
      </c>
      <c r="J281" s="31" t="n">
        <v>10346.6</v>
      </c>
      <c r="K281" s="31" t="n">
        <v>5985.5</v>
      </c>
      <c r="L281" s="31" t="n">
        <v>5640</v>
      </c>
      <c r="M281" s="30" t="inlineStr">
        <is>
          <t>AMR2</t>
        </is>
      </c>
      <c r="N281" s="30" t="inlineStr">
        <is>
          <t>AMR1</t>
        </is>
      </c>
      <c r="O281" s="32" t="n">
        <v>1</v>
      </c>
      <c r="P281" s="32" t="n">
        <v>25</v>
      </c>
      <c r="Q281" s="32" t="n">
        <v>14</v>
      </c>
      <c r="R281" s="31" t="n">
        <v>61.6</v>
      </c>
      <c r="S281" s="31" t="n">
        <v>61.6</v>
      </c>
      <c r="T281" s="30" t="inlineStr">
        <is>
          <t>AMR2</t>
        </is>
      </c>
      <c r="U281" s="31" t="n">
        <v>50.6</v>
      </c>
      <c r="V281" s="31" t="n">
        <v>50.6</v>
      </c>
      <c r="W281" s="30" t="inlineStr">
        <is>
          <t>AMR1</t>
        </is>
      </c>
      <c r="X281" s="32" t="n">
        <v>0</v>
      </c>
      <c r="Y281" s="32" t="n">
        <v>0</v>
      </c>
      <c r="Z281" s="31" t="n">
        <v>0</v>
      </c>
      <c r="AA281" s="32" t="n">
        <v>0</v>
      </c>
      <c r="AB281" s="32" t="n">
        <v>0</v>
      </c>
      <c r="AC281" s="32" t="n">
        <v>0</v>
      </c>
      <c r="AD281" s="32" t="n">
        <v>0</v>
      </c>
      <c r="AE281" s="31" t="n">
        <v>0</v>
      </c>
      <c r="AF281" s="32" t="n">
        <v>0</v>
      </c>
      <c r="AG281" s="31" t="n">
        <v>0</v>
      </c>
      <c r="AH281" s="32" t="n">
        <v>67</v>
      </c>
      <c r="AI281" s="31" t="n">
        <v>69.40000000000001</v>
      </c>
      <c r="AJ281" s="31" t="n">
        <v>46.3</v>
      </c>
      <c r="AK281" s="31" t="n">
        <v>0</v>
      </c>
      <c r="AL281" s="30" t="inlineStr">
        <is>
          <t>T-0425</t>
        </is>
      </c>
      <c r="AM281" s="30" t="inlineStr">
        <is>
          <t>H-04-02</t>
        </is>
      </c>
      <c r="AN281" s="30" t="inlineStr">
        <is>
          <t>T-0355</t>
        </is>
      </c>
      <c r="AO281" s="30" t="inlineStr">
        <is>
          <t>H-05-02</t>
        </is>
      </c>
    </row>
    <row r="282">
      <c r="A282" s="30" t="inlineStr">
        <is>
          <t>O0281</t>
        </is>
      </c>
      <c r="B282" s="30" t="inlineStr">
        <is>
          <t>B</t>
        </is>
      </c>
      <c r="C282" s="31" t="n">
        <v>4367.4</v>
      </c>
      <c r="D282" s="31" t="n">
        <v>10075.9</v>
      </c>
      <c r="E282" s="31" t="n">
        <v>10103.4</v>
      </c>
      <c r="F282" s="31" t="n">
        <v>10116.2</v>
      </c>
      <c r="G282" s="31" t="n">
        <v>10137.8</v>
      </c>
      <c r="H282" s="31" t="n">
        <v>10287.9</v>
      </c>
      <c r="I282" s="31" t="n">
        <v>10299.2</v>
      </c>
      <c r="J282" s="31" t="n">
        <v>10328.7</v>
      </c>
      <c r="K282" s="31" t="n">
        <v>5961.3</v>
      </c>
      <c r="L282" s="31" t="n">
        <v>5708.5</v>
      </c>
      <c r="M282" s="30" t="inlineStr">
        <is>
          <t>AMR3</t>
        </is>
      </c>
      <c r="N282" s="30" t="inlineStr">
        <is>
          <t>AMR3</t>
        </is>
      </c>
      <c r="O282" s="32" t="n">
        <v>1</v>
      </c>
      <c r="P282" s="32" t="n">
        <v>25</v>
      </c>
      <c r="Q282" s="32" t="n">
        <v>3</v>
      </c>
      <c r="R282" s="31" t="n">
        <v>56.8</v>
      </c>
      <c r="S282" s="31" t="n">
        <v>56.8</v>
      </c>
      <c r="T282" s="30" t="inlineStr">
        <is>
          <t>AMR3</t>
        </is>
      </c>
      <c r="U282" s="31" t="n">
        <v>42</v>
      </c>
      <c r="V282" s="31" t="n">
        <v>42</v>
      </c>
      <c r="W282" s="30" t="inlineStr">
        <is>
          <t>AMR3</t>
        </is>
      </c>
      <c r="X282" s="32" t="n">
        <v>0</v>
      </c>
      <c r="Y282" s="32" t="n">
        <v>0</v>
      </c>
      <c r="Z282" s="31" t="n">
        <v>0</v>
      </c>
      <c r="AA282" s="32" t="n">
        <v>0</v>
      </c>
      <c r="AB282" s="32" t="n">
        <v>0</v>
      </c>
      <c r="AC282" s="32" t="n">
        <v>0</v>
      </c>
      <c r="AD282" s="32" t="n">
        <v>0</v>
      </c>
      <c r="AE282" s="31" t="n">
        <v>0</v>
      </c>
      <c r="AF282" s="32" t="n">
        <v>0</v>
      </c>
      <c r="AG282" s="31" t="n">
        <v>0</v>
      </c>
      <c r="AH282" s="32" t="n">
        <v>57</v>
      </c>
      <c r="AI282" s="31" t="n">
        <v>59.1</v>
      </c>
      <c r="AJ282" s="31" t="n">
        <v>39.6</v>
      </c>
      <c r="AK282" s="31" t="n">
        <v>4</v>
      </c>
      <c r="AL282" s="30" t="inlineStr">
        <is>
          <t>T-0428</t>
        </is>
      </c>
      <c r="AM282" s="30" t="inlineStr">
        <is>
          <t>B-06-02</t>
        </is>
      </c>
      <c r="AN282" s="30" t="inlineStr">
        <is>
          <t>T-0254</t>
        </is>
      </c>
      <c r="AO282" s="30" t="inlineStr">
        <is>
          <t>B-04-03</t>
        </is>
      </c>
    </row>
    <row r="283">
      <c r="A283" s="30" t="inlineStr">
        <is>
          <t>O0282</t>
        </is>
      </c>
      <c r="B283" s="30" t="inlineStr">
        <is>
          <t>D</t>
        </is>
      </c>
      <c r="C283" s="31" t="n">
        <v>4372.6</v>
      </c>
      <c r="D283" s="31" t="n">
        <v>10035.5</v>
      </c>
      <c r="E283" s="31" t="n">
        <v>10059</v>
      </c>
      <c r="F283" s="31" t="n">
        <v>10072.2</v>
      </c>
      <c r="G283" s="31" t="n">
        <v>10097.2</v>
      </c>
      <c r="H283" s="31" t="n">
        <v>10097.3</v>
      </c>
      <c r="I283" s="31" t="n">
        <v>10106.6</v>
      </c>
      <c r="J283" s="31" t="n">
        <v>10134.8</v>
      </c>
      <c r="K283" s="31" t="n">
        <v>5762.2</v>
      </c>
      <c r="L283" s="31" t="n">
        <v>5662.9</v>
      </c>
      <c r="M283" s="30" t="inlineStr">
        <is>
          <t>AMR1</t>
        </is>
      </c>
      <c r="N283" s="30" t="inlineStr">
        <is>
          <t>AMR1</t>
        </is>
      </c>
      <c r="O283" s="32" t="n">
        <v>1</v>
      </c>
      <c r="P283" s="32" t="n">
        <v>25</v>
      </c>
      <c r="Q283" s="32" t="n">
        <v>0</v>
      </c>
      <c r="R283" s="31" t="n">
        <v>57.2</v>
      </c>
      <c r="S283" s="31" t="n">
        <v>51.2</v>
      </c>
      <c r="T283" s="30" t="inlineStr">
        <is>
          <t>AMR3</t>
        </is>
      </c>
      <c r="U283" s="31" t="n">
        <v>35.7</v>
      </c>
      <c r="V283" s="31" t="n">
        <v>35.7</v>
      </c>
      <c r="W283" s="30" t="inlineStr">
        <is>
          <t>AMR1</t>
        </is>
      </c>
      <c r="X283" s="32" t="n">
        <v>1</v>
      </c>
      <c r="Y283" s="32" t="n">
        <v>10</v>
      </c>
      <c r="Z283" s="31" t="n">
        <v>6</v>
      </c>
      <c r="AA283" s="32" t="n">
        <v>0</v>
      </c>
      <c r="AB283" s="32" t="n">
        <v>0</v>
      </c>
      <c r="AC283" s="32" t="n">
        <v>0</v>
      </c>
      <c r="AD283" s="32" t="n">
        <v>0</v>
      </c>
      <c r="AE283" s="31" t="n">
        <v>0</v>
      </c>
      <c r="AF283" s="32" t="n">
        <v>0</v>
      </c>
      <c r="AG283" s="31" t="n">
        <v>0</v>
      </c>
      <c r="AH283" s="32" t="n">
        <v>56</v>
      </c>
      <c r="AI283" s="31" t="n">
        <v>59.2</v>
      </c>
      <c r="AJ283" s="31" t="n">
        <v>40</v>
      </c>
      <c r="AK283" s="31" t="n">
        <v>0</v>
      </c>
      <c r="AL283" s="30" t="inlineStr">
        <is>
          <t>T-0426</t>
        </is>
      </c>
      <c r="AM283" s="30" t="inlineStr">
        <is>
          <t>D-03-01</t>
        </is>
      </c>
      <c r="AN283" s="30" t="inlineStr">
        <is>
          <t>T-0308</t>
        </is>
      </c>
      <c r="AO283" s="30" t="inlineStr">
        <is>
          <t>D-04-01</t>
        </is>
      </c>
    </row>
    <row r="284">
      <c r="A284" s="30" t="inlineStr">
        <is>
          <t>O0283</t>
        </is>
      </c>
      <c r="B284" s="30" t="inlineStr">
        <is>
          <t>F</t>
        </is>
      </c>
      <c r="C284" s="31" t="n">
        <v>4376.8</v>
      </c>
      <c r="D284" s="31" t="n">
        <v>10274.6</v>
      </c>
      <c r="E284" s="31" t="n">
        <v>10298.1</v>
      </c>
      <c r="F284" s="31" t="n">
        <v>10312</v>
      </c>
      <c r="G284" s="31" t="n">
        <v>10342.7</v>
      </c>
      <c r="H284" s="31" t="n">
        <v>10342.8</v>
      </c>
      <c r="I284" s="31" t="n">
        <v>10359.1</v>
      </c>
      <c r="J284" s="31" t="n">
        <v>10390.8</v>
      </c>
      <c r="K284" s="31" t="n">
        <v>6014</v>
      </c>
      <c r="L284" s="31" t="n">
        <v>5897.8</v>
      </c>
      <c r="M284" s="30" t="inlineStr">
        <is>
          <t>AMR2</t>
        </is>
      </c>
      <c r="N284" s="30" t="inlineStr">
        <is>
          <t>AMR2</t>
        </is>
      </c>
      <c r="O284" s="32" t="n">
        <v>1</v>
      </c>
      <c r="P284" s="32" t="n">
        <v>25</v>
      </c>
      <c r="Q284" s="32" t="n">
        <v>1</v>
      </c>
      <c r="R284" s="31" t="n">
        <v>66.3</v>
      </c>
      <c r="S284" s="31" t="n">
        <v>66.3</v>
      </c>
      <c r="T284" s="30" t="inlineStr">
        <is>
          <t>AMR2</t>
        </is>
      </c>
      <c r="U284" s="31" t="n">
        <v>46.2</v>
      </c>
      <c r="V284" s="31" t="n">
        <v>46.2</v>
      </c>
      <c r="W284" s="30" t="inlineStr">
        <is>
          <t>AMR2</t>
        </is>
      </c>
      <c r="X284" s="32" t="n">
        <v>0</v>
      </c>
      <c r="Y284" s="32" t="n">
        <v>0</v>
      </c>
      <c r="Z284" s="31" t="n">
        <v>0</v>
      </c>
      <c r="AA284" s="32" t="n">
        <v>0</v>
      </c>
      <c r="AB284" s="32" t="n">
        <v>0</v>
      </c>
      <c r="AC284" s="32" t="n">
        <v>0</v>
      </c>
      <c r="AD284" s="32" t="n">
        <v>0</v>
      </c>
      <c r="AE284" s="31" t="n">
        <v>0</v>
      </c>
      <c r="AF284" s="32" t="n">
        <v>0</v>
      </c>
      <c r="AG284" s="31" t="n">
        <v>0</v>
      </c>
      <c r="AH284" s="32" t="n">
        <v>72</v>
      </c>
      <c r="AI284" s="31" t="n">
        <v>71.5</v>
      </c>
      <c r="AJ284" s="31" t="n">
        <v>44.6</v>
      </c>
      <c r="AK284" s="31" t="n">
        <v>0</v>
      </c>
      <c r="AL284" s="30" t="inlineStr">
        <is>
          <t>T-0433</t>
        </is>
      </c>
      <c r="AM284" s="30" t="inlineStr">
        <is>
          <t>F-05-02</t>
        </is>
      </c>
      <c r="AN284" s="30" t="inlineStr">
        <is>
          <t>T-0249</t>
        </is>
      </c>
      <c r="AO284" s="30" t="inlineStr">
        <is>
          <t>F-02-03</t>
        </is>
      </c>
    </row>
    <row r="285">
      <c r="A285" s="30" t="inlineStr">
        <is>
          <t>O0284</t>
        </is>
      </c>
      <c r="B285" s="30" t="inlineStr">
        <is>
          <t>C</t>
        </is>
      </c>
      <c r="C285" s="31" t="n">
        <v>4383.5</v>
      </c>
      <c r="D285" s="31" t="n">
        <v>10137.9</v>
      </c>
      <c r="E285" s="31" t="n">
        <v>10150.6</v>
      </c>
      <c r="F285" s="31" t="n">
        <v>10162.7</v>
      </c>
      <c r="G285" s="31" t="n">
        <v>10186.5</v>
      </c>
      <c r="H285" s="31" t="n">
        <v>10186.6</v>
      </c>
      <c r="I285" s="31" t="n">
        <v>10196.8</v>
      </c>
      <c r="J285" s="31" t="n">
        <v>10224.5</v>
      </c>
      <c r="K285" s="31" t="n">
        <v>5841</v>
      </c>
      <c r="L285" s="31" t="n">
        <v>5754.4</v>
      </c>
      <c r="M285" s="30" t="inlineStr">
        <is>
          <t>AMR3</t>
        </is>
      </c>
      <c r="N285" s="30" t="inlineStr">
        <is>
          <t>AMR3</t>
        </is>
      </c>
      <c r="O285" s="32" t="n">
        <v>1</v>
      </c>
      <c r="P285" s="32" t="n">
        <v>13</v>
      </c>
      <c r="Q285" s="32" t="n">
        <v>1</v>
      </c>
      <c r="R285" s="31" t="n">
        <v>47.9</v>
      </c>
      <c r="S285" s="31" t="n">
        <v>47.9</v>
      </c>
      <c r="T285" s="30" t="inlineStr">
        <is>
          <t>AMR3</t>
        </is>
      </c>
      <c r="U285" s="31" t="n">
        <v>38.2</v>
      </c>
      <c r="V285" s="31" t="n">
        <v>38.2</v>
      </c>
      <c r="W285" s="30" t="inlineStr">
        <is>
          <t>AMR3</t>
        </is>
      </c>
      <c r="X285" s="32" t="n">
        <v>0</v>
      </c>
      <c r="Y285" s="32" t="n">
        <v>0</v>
      </c>
      <c r="Z285" s="31" t="n">
        <v>0</v>
      </c>
      <c r="AA285" s="32" t="n">
        <v>0</v>
      </c>
      <c r="AB285" s="32" t="n">
        <v>0</v>
      </c>
      <c r="AC285" s="32" t="n">
        <v>0</v>
      </c>
      <c r="AD285" s="32" t="n">
        <v>0</v>
      </c>
      <c r="AE285" s="31" t="n">
        <v>0</v>
      </c>
      <c r="AF285" s="32" t="n">
        <v>0</v>
      </c>
      <c r="AG285" s="31" t="n">
        <v>0</v>
      </c>
      <c r="AH285" s="32" t="n">
        <v>42</v>
      </c>
      <c r="AI285" s="31" t="n">
        <v>43.9</v>
      </c>
      <c r="AJ285" s="31" t="n">
        <v>42.6</v>
      </c>
      <c r="AK285" s="31" t="n">
        <v>0</v>
      </c>
      <c r="AL285" s="30" t="inlineStr">
        <is>
          <t>T-0429</t>
        </is>
      </c>
      <c r="AM285" s="30" t="inlineStr">
        <is>
          <t>C-02-01</t>
        </is>
      </c>
      <c r="AN285" s="30" t="inlineStr">
        <is>
          <t>T-0306</t>
        </is>
      </c>
      <c r="AO285" s="30" t="inlineStr">
        <is>
          <t>C-06-02</t>
        </is>
      </c>
    </row>
    <row r="286">
      <c r="A286" s="30" t="inlineStr">
        <is>
          <t>O0285</t>
        </is>
      </c>
      <c r="B286" s="30" t="inlineStr">
        <is>
          <t>G</t>
        </is>
      </c>
      <c r="C286" s="31" t="n">
        <v>4389.4</v>
      </c>
      <c r="D286" s="31" t="n">
        <v>10224.6</v>
      </c>
      <c r="E286" s="31" t="n">
        <v>10248.1</v>
      </c>
      <c r="F286" s="31" t="n">
        <v>10260</v>
      </c>
      <c r="G286" s="31" t="n">
        <v>10287.8</v>
      </c>
      <c r="H286" s="31" t="n">
        <v>11796.2</v>
      </c>
      <c r="I286" s="31" t="n">
        <v>11825.9</v>
      </c>
      <c r="J286" s="31" t="n">
        <v>11857.2</v>
      </c>
      <c r="K286" s="31" t="n">
        <v>7467.8</v>
      </c>
      <c r="L286" s="31" t="n">
        <v>5835.2</v>
      </c>
      <c r="M286" s="30" t="inlineStr">
        <is>
          <t>AMR3</t>
        </is>
      </c>
      <c r="N286" s="30" t="inlineStr">
        <is>
          <t>AMR3</t>
        </is>
      </c>
      <c r="O286" s="32" t="n">
        <v>1</v>
      </c>
      <c r="P286" s="32" t="n">
        <v>25</v>
      </c>
      <c r="Q286" s="32" t="n">
        <v>16</v>
      </c>
      <c r="R286" s="31" t="n">
        <v>61.4</v>
      </c>
      <c r="S286" s="31" t="n">
        <v>61.4</v>
      </c>
      <c r="T286" s="30" t="inlineStr">
        <is>
          <t>AMR3</t>
        </is>
      </c>
      <c r="U286" s="31" t="n">
        <v>58.2</v>
      </c>
      <c r="V286" s="31" t="n">
        <v>58.2</v>
      </c>
      <c r="W286" s="30" t="inlineStr">
        <is>
          <t>AMR3</t>
        </is>
      </c>
      <c r="X286" s="32" t="n">
        <v>0</v>
      </c>
      <c r="Y286" s="32" t="n">
        <v>0</v>
      </c>
      <c r="Z286" s="31" t="n">
        <v>0</v>
      </c>
      <c r="AA286" s="32" t="n">
        <v>0</v>
      </c>
      <c r="AB286" s="32" t="n">
        <v>0</v>
      </c>
      <c r="AC286" s="32" t="n">
        <v>0</v>
      </c>
      <c r="AD286" s="32" t="n">
        <v>0</v>
      </c>
      <c r="AE286" s="31" t="n">
        <v>0</v>
      </c>
      <c r="AF286" s="32" t="n">
        <v>0</v>
      </c>
      <c r="AG286" s="31" t="n">
        <v>0</v>
      </c>
      <c r="AH286" s="32" t="n">
        <v>75</v>
      </c>
      <c r="AI286" s="31" t="n">
        <v>75.59999999999999</v>
      </c>
      <c r="AJ286" s="31" t="n">
        <v>48.6</v>
      </c>
      <c r="AK286" s="31" t="n">
        <v>0</v>
      </c>
      <c r="AL286" s="30" t="inlineStr">
        <is>
          <t>T-0432</t>
        </is>
      </c>
      <c r="AM286" s="30" t="inlineStr">
        <is>
          <t>G-04-01</t>
        </is>
      </c>
      <c r="AN286" s="30" t="inlineStr">
        <is>
          <t>T-0293</t>
        </is>
      </c>
      <c r="AO286" s="30" t="inlineStr">
        <is>
          <t>G-02-01</t>
        </is>
      </c>
    </row>
    <row r="287">
      <c r="A287" s="30" t="inlineStr">
        <is>
          <t>O0286</t>
        </is>
      </c>
      <c r="B287" s="30" t="inlineStr">
        <is>
          <t>I</t>
        </is>
      </c>
      <c r="C287" s="31" t="n">
        <v>4394.4</v>
      </c>
      <c r="D287" s="31" t="n">
        <v>10191.8</v>
      </c>
      <c r="E287" s="31" t="n">
        <v>10215.3</v>
      </c>
      <c r="F287" s="31" t="n">
        <v>10230.4</v>
      </c>
      <c r="G287" s="31" t="n">
        <v>10256.6</v>
      </c>
      <c r="H287" s="31" t="n">
        <v>10256.7</v>
      </c>
      <c r="I287" s="31" t="n">
        <v>10266.6</v>
      </c>
      <c r="J287" s="31" t="n">
        <v>10294.2</v>
      </c>
      <c r="K287" s="31" t="n">
        <v>5899.8</v>
      </c>
      <c r="L287" s="31" t="n">
        <v>5797.4</v>
      </c>
      <c r="M287" s="30" t="inlineStr">
        <is>
          <t>AMR1</t>
        </is>
      </c>
      <c r="N287" s="30" t="inlineStr">
        <is>
          <t>AMR1</t>
        </is>
      </c>
      <c r="O287" s="32" t="n">
        <v>1</v>
      </c>
      <c r="P287" s="32" t="n">
        <v>25</v>
      </c>
      <c r="Q287" s="32" t="n">
        <v>1</v>
      </c>
      <c r="R287" s="31" t="n">
        <v>62.9</v>
      </c>
      <c r="S287" s="31" t="n">
        <v>62.9</v>
      </c>
      <c r="T287" s="30" t="inlineStr">
        <is>
          <t>AMR1</t>
        </is>
      </c>
      <c r="U287" s="31" t="n">
        <v>39.2</v>
      </c>
      <c r="V287" s="31" t="n">
        <v>39.2</v>
      </c>
      <c r="W287" s="30" t="inlineStr">
        <is>
          <t>AMR1</t>
        </is>
      </c>
      <c r="X287" s="32" t="n">
        <v>0</v>
      </c>
      <c r="Y287" s="32" t="n">
        <v>0</v>
      </c>
      <c r="Z287" s="31" t="n">
        <v>0</v>
      </c>
      <c r="AA287" s="32" t="n">
        <v>0</v>
      </c>
      <c r="AB287" s="32" t="n">
        <v>0</v>
      </c>
      <c r="AC287" s="32" t="n">
        <v>0</v>
      </c>
      <c r="AD287" s="32" t="n">
        <v>0</v>
      </c>
      <c r="AE287" s="31" t="n">
        <v>0</v>
      </c>
      <c r="AF287" s="32" t="n">
        <v>0</v>
      </c>
      <c r="AG287" s="31" t="n">
        <v>0</v>
      </c>
      <c r="AH287" s="32" t="n">
        <v>52</v>
      </c>
      <c r="AI287" s="31" t="n">
        <v>54.3</v>
      </c>
      <c r="AJ287" s="31" t="n">
        <v>48</v>
      </c>
      <c r="AK287" s="31" t="n">
        <v>0</v>
      </c>
      <c r="AL287" s="30" t="inlineStr">
        <is>
          <t>T-0431</t>
        </is>
      </c>
      <c r="AM287" s="30" t="inlineStr">
        <is>
          <t>I-01-01</t>
        </is>
      </c>
      <c r="AN287" s="30" t="inlineStr">
        <is>
          <t>T-0354</t>
        </is>
      </c>
      <c r="AO287" s="30" t="inlineStr">
        <is>
          <t>I-02-01</t>
        </is>
      </c>
    </row>
    <row r="288">
      <c r="A288" s="30" t="inlineStr">
        <is>
          <t>O0287</t>
        </is>
      </c>
      <c r="B288" s="30" t="inlineStr">
        <is>
          <t>F</t>
        </is>
      </c>
      <c r="C288" s="31" t="n">
        <v>4398.7</v>
      </c>
      <c r="D288" s="31" t="n">
        <v>10664.4</v>
      </c>
      <c r="E288" s="31" t="n">
        <v>10696.9</v>
      </c>
      <c r="F288" s="31" t="n">
        <v>10712.8</v>
      </c>
      <c r="G288" s="31" t="n">
        <v>10741.2</v>
      </c>
      <c r="H288" s="31" t="n">
        <v>10741.3</v>
      </c>
      <c r="I288" s="31" t="n">
        <v>10754.5</v>
      </c>
      <c r="J288" s="31" t="n">
        <v>10788.1</v>
      </c>
      <c r="K288" s="31" t="n">
        <v>6389.4</v>
      </c>
      <c r="L288" s="31" t="n">
        <v>6265.7</v>
      </c>
      <c r="M288" s="30" t="inlineStr">
        <is>
          <t>AMR1</t>
        </is>
      </c>
      <c r="N288" s="30" t="inlineStr">
        <is>
          <t>AMR1</t>
        </is>
      </c>
      <c r="O288" s="32" t="n">
        <v>1</v>
      </c>
      <c r="P288" s="32" t="n">
        <v>25</v>
      </c>
      <c r="Q288" s="32" t="n">
        <v>1</v>
      </c>
      <c r="R288" s="31" t="n">
        <v>66</v>
      </c>
      <c r="S288" s="31" t="n">
        <v>66</v>
      </c>
      <c r="T288" s="30" t="inlineStr">
        <is>
          <t>AMR1</t>
        </is>
      </c>
      <c r="U288" s="31" t="n">
        <v>44.9</v>
      </c>
      <c r="V288" s="31" t="n">
        <v>44.9</v>
      </c>
      <c r="W288" s="30" t="inlineStr">
        <is>
          <t>AMR1</t>
        </is>
      </c>
      <c r="X288" s="32" t="n">
        <v>0</v>
      </c>
      <c r="Y288" s="32" t="n">
        <v>0</v>
      </c>
      <c r="Z288" s="31" t="n">
        <v>0</v>
      </c>
      <c r="AA288" s="32" t="n">
        <v>0</v>
      </c>
      <c r="AB288" s="32" t="n">
        <v>0</v>
      </c>
      <c r="AC288" s="32" t="n">
        <v>0</v>
      </c>
      <c r="AD288" s="32" t="n">
        <v>1</v>
      </c>
      <c r="AE288" s="31" t="n">
        <v>1.6</v>
      </c>
      <c r="AF288" s="32" t="n">
        <v>1</v>
      </c>
      <c r="AG288" s="31" t="n">
        <v>4</v>
      </c>
      <c r="AH288" s="32" t="n">
        <v>70</v>
      </c>
      <c r="AI288" s="31" t="n">
        <v>70</v>
      </c>
      <c r="AJ288" s="31" t="n">
        <v>43</v>
      </c>
      <c r="AK288" s="31" t="n">
        <v>10.6</v>
      </c>
      <c r="AL288" s="30" t="inlineStr">
        <is>
          <t>T-0444</t>
        </is>
      </c>
      <c r="AM288" s="30" t="inlineStr">
        <is>
          <t>F-04-02</t>
        </is>
      </c>
      <c r="AN288" s="30" t="inlineStr">
        <is>
          <t>T-0258</t>
        </is>
      </c>
      <c r="AO288" s="30" t="inlineStr">
        <is>
          <t>F-03-03</t>
        </is>
      </c>
    </row>
    <row r="289">
      <c r="A289" s="30" t="inlineStr">
        <is>
          <t>O0288</t>
        </is>
      </c>
      <c r="B289" s="30" t="inlineStr">
        <is>
          <t>J</t>
        </is>
      </c>
      <c r="C289" s="31" t="n">
        <v>4405.4</v>
      </c>
      <c r="D289" s="31" t="n">
        <v>10346.7</v>
      </c>
      <c r="E289" s="31" t="n">
        <v>10376.2</v>
      </c>
      <c r="F289" s="31" t="n">
        <v>10389</v>
      </c>
      <c r="G289" s="31" t="n">
        <v>10421.5</v>
      </c>
      <c r="H289" s="31" t="n">
        <v>10421.6</v>
      </c>
      <c r="I289" s="31" t="n">
        <v>10435.9</v>
      </c>
      <c r="J289" s="31" t="n">
        <v>10464.3</v>
      </c>
      <c r="K289" s="31" t="n">
        <v>6058.9</v>
      </c>
      <c r="L289" s="31" t="n">
        <v>5941.3</v>
      </c>
      <c r="M289" s="30" t="inlineStr">
        <is>
          <t>AMR1</t>
        </is>
      </c>
      <c r="N289" s="30" t="inlineStr">
        <is>
          <t>AMR1</t>
        </is>
      </c>
      <c r="O289" s="32" t="n">
        <v>1</v>
      </c>
      <c r="P289" s="32" t="n">
        <v>25</v>
      </c>
      <c r="Q289" s="32" t="n">
        <v>1</v>
      </c>
      <c r="R289" s="31" t="n">
        <v>65.40000000000001</v>
      </c>
      <c r="S289" s="31" t="n">
        <v>65.40000000000001</v>
      </c>
      <c r="T289" s="30" t="inlineStr">
        <is>
          <t>AMR1</t>
        </is>
      </c>
      <c r="U289" s="31" t="n">
        <v>43.3</v>
      </c>
      <c r="V289" s="31" t="n">
        <v>43.3</v>
      </c>
      <c r="W289" s="30" t="inlineStr">
        <is>
          <t>AMR1</t>
        </is>
      </c>
      <c r="X289" s="32" t="n">
        <v>0</v>
      </c>
      <c r="Y289" s="32" t="n">
        <v>0</v>
      </c>
      <c r="Z289" s="31" t="n">
        <v>0</v>
      </c>
      <c r="AA289" s="32" t="n">
        <v>0</v>
      </c>
      <c r="AB289" s="32" t="n">
        <v>0</v>
      </c>
      <c r="AC289" s="32" t="n">
        <v>0</v>
      </c>
      <c r="AD289" s="32" t="n">
        <v>0</v>
      </c>
      <c r="AE289" s="31" t="n">
        <v>0</v>
      </c>
      <c r="AF289" s="32" t="n">
        <v>1</v>
      </c>
      <c r="AG289" s="31" t="n">
        <v>1</v>
      </c>
      <c r="AH289" s="32" t="n">
        <v>68</v>
      </c>
      <c r="AI289" s="31" t="n">
        <v>67.5</v>
      </c>
      <c r="AJ289" s="31" t="n">
        <v>44</v>
      </c>
      <c r="AK289" s="31" t="n">
        <v>6</v>
      </c>
      <c r="AL289" s="30" t="inlineStr">
        <is>
          <t>T-0435</t>
        </is>
      </c>
      <c r="AM289" s="30" t="inlineStr">
        <is>
          <t>J-04-01</t>
        </is>
      </c>
      <c r="AN289" s="30" t="inlineStr">
        <is>
          <t>T-0213</t>
        </is>
      </c>
      <c r="AO289" s="30" t="inlineStr">
        <is>
          <t>J-03-01</t>
        </is>
      </c>
    </row>
    <row r="290">
      <c r="A290" s="30" t="inlineStr">
        <is>
          <t>O0289</t>
        </is>
      </c>
      <c r="B290" s="30" t="inlineStr">
        <is>
          <t>I</t>
        </is>
      </c>
      <c r="C290" s="31" t="n">
        <v>4410.7</v>
      </c>
      <c r="D290" s="31" t="n">
        <v>10559</v>
      </c>
      <c r="E290" s="31" t="n">
        <v>10582.5</v>
      </c>
      <c r="F290" s="31" t="n">
        <v>10597.7</v>
      </c>
      <c r="G290" s="31" t="n">
        <v>10624.1</v>
      </c>
      <c r="H290" s="31" t="n">
        <v>10624.2</v>
      </c>
      <c r="I290" s="31" t="n">
        <v>10636.3</v>
      </c>
      <c r="J290" s="31" t="n">
        <v>10664.3</v>
      </c>
      <c r="K290" s="31" t="n">
        <v>6253.6</v>
      </c>
      <c r="L290" s="31" t="n">
        <v>6148.3</v>
      </c>
      <c r="M290" s="30" t="inlineStr">
        <is>
          <t>AMR1</t>
        </is>
      </c>
      <c r="N290" s="30" t="inlineStr">
        <is>
          <t>AMR1</t>
        </is>
      </c>
      <c r="O290" s="32" t="n">
        <v>1</v>
      </c>
      <c r="P290" s="32" t="n">
        <v>25</v>
      </c>
      <c r="Q290" s="32" t="n">
        <v>1</v>
      </c>
      <c r="R290" s="31" t="n">
        <v>61.7</v>
      </c>
      <c r="S290" s="31" t="n">
        <v>61.7</v>
      </c>
      <c r="T290" s="30" t="inlineStr">
        <is>
          <t>AMR1</t>
        </is>
      </c>
      <c r="U290" s="31" t="n">
        <v>37.7</v>
      </c>
      <c r="V290" s="31" t="n">
        <v>37.7</v>
      </c>
      <c r="W290" s="30" t="inlineStr">
        <is>
          <t>AMR1</t>
        </is>
      </c>
      <c r="X290" s="32" t="n">
        <v>0</v>
      </c>
      <c r="Y290" s="32" t="n">
        <v>0</v>
      </c>
      <c r="Z290" s="31" t="n">
        <v>0</v>
      </c>
      <c r="AA290" s="32" t="n">
        <v>0</v>
      </c>
      <c r="AB290" s="32" t="n">
        <v>0</v>
      </c>
      <c r="AC290" s="32" t="n">
        <v>0</v>
      </c>
      <c r="AD290" s="32" t="n">
        <v>1</v>
      </c>
      <c r="AE290" s="31" t="n">
        <v>2</v>
      </c>
      <c r="AF290" s="32" t="n">
        <v>0</v>
      </c>
      <c r="AG290" s="31" t="n">
        <v>0</v>
      </c>
      <c r="AH290" s="32" t="n">
        <v>56</v>
      </c>
      <c r="AI290" s="31" t="n">
        <v>57.9</v>
      </c>
      <c r="AJ290" s="31" t="n">
        <v>45.3</v>
      </c>
      <c r="AK290" s="31" t="n">
        <v>2</v>
      </c>
      <c r="AL290" s="30" t="inlineStr">
        <is>
          <t>T-0441</t>
        </is>
      </c>
      <c r="AM290" s="30" t="inlineStr">
        <is>
          <t>I-04-01</t>
        </is>
      </c>
      <c r="AN290" s="30" t="inlineStr">
        <is>
          <t>T-0376</t>
        </is>
      </c>
      <c r="AO290" s="30" t="inlineStr">
        <is>
          <t>I-05-01</t>
        </is>
      </c>
    </row>
    <row r="291">
      <c r="A291" s="30" t="inlineStr">
        <is>
          <t>O0290</t>
        </is>
      </c>
      <c r="B291" s="30" t="inlineStr">
        <is>
          <t>I</t>
        </is>
      </c>
      <c r="C291" s="31" t="n">
        <v>4415</v>
      </c>
      <c r="D291" s="31" t="n">
        <v>10328.8</v>
      </c>
      <c r="E291" s="31" t="n">
        <v>10352.3</v>
      </c>
      <c r="F291" s="31" t="n">
        <v>10363.4</v>
      </c>
      <c r="G291" s="31" t="n">
        <v>10387.9</v>
      </c>
      <c r="H291" s="31" t="n">
        <v>10388</v>
      </c>
      <c r="I291" s="31" t="n">
        <v>10398.4</v>
      </c>
      <c r="J291" s="31" t="n">
        <v>10429.8</v>
      </c>
      <c r="K291" s="31" t="n">
        <v>6014.8</v>
      </c>
      <c r="L291" s="31" t="n">
        <v>5913.8</v>
      </c>
      <c r="M291" s="30" t="inlineStr">
        <is>
          <t>AMR3</t>
        </is>
      </c>
      <c r="N291" s="30" t="inlineStr">
        <is>
          <t>AMR3</t>
        </is>
      </c>
      <c r="O291" s="32" t="n">
        <v>1</v>
      </c>
      <c r="P291" s="32" t="n">
        <v>25</v>
      </c>
      <c r="Q291" s="32" t="n">
        <v>1</v>
      </c>
      <c r="R291" s="31" t="n">
        <v>57.3</v>
      </c>
      <c r="S291" s="31" t="n">
        <v>57.3</v>
      </c>
      <c r="T291" s="30" t="inlineStr">
        <is>
          <t>AMR3</t>
        </is>
      </c>
      <c r="U291" s="31" t="n">
        <v>36.9</v>
      </c>
      <c r="V291" s="31" t="n">
        <v>36.9</v>
      </c>
      <c r="W291" s="30" t="inlineStr">
        <is>
          <t>AMR3</t>
        </is>
      </c>
      <c r="X291" s="32" t="n">
        <v>0</v>
      </c>
      <c r="Y291" s="32" t="n">
        <v>0</v>
      </c>
      <c r="Z291" s="31" t="n">
        <v>0</v>
      </c>
      <c r="AA291" s="32" t="n">
        <v>0</v>
      </c>
      <c r="AB291" s="32" t="n">
        <v>0</v>
      </c>
      <c r="AC291" s="32" t="n">
        <v>0</v>
      </c>
      <c r="AD291" s="32" t="n">
        <v>1</v>
      </c>
      <c r="AE291" s="31" t="n">
        <v>2</v>
      </c>
      <c r="AF291" s="32" t="n">
        <v>0</v>
      </c>
      <c r="AG291" s="31" t="n">
        <v>0</v>
      </c>
      <c r="AH291" s="32" t="n">
        <v>56</v>
      </c>
      <c r="AI291" s="31" t="n">
        <v>58.8</v>
      </c>
      <c r="AJ291" s="31" t="n">
        <v>40.1</v>
      </c>
      <c r="AK291" s="31" t="n">
        <v>2</v>
      </c>
      <c r="AL291" s="30" t="inlineStr">
        <is>
          <t>T-0434</t>
        </is>
      </c>
      <c r="AM291" s="30" t="inlineStr">
        <is>
          <t>I-02-01</t>
        </is>
      </c>
      <c r="AN291" s="30" t="inlineStr">
        <is>
          <t>T-0370</t>
        </is>
      </c>
      <c r="AO291" s="30" t="inlineStr">
        <is>
          <t>I-03-01</t>
        </is>
      </c>
    </row>
    <row r="292">
      <c r="A292" s="30" t="inlineStr">
        <is>
          <t>O0291</t>
        </is>
      </c>
      <c r="B292" s="30" t="inlineStr">
        <is>
          <t>J</t>
        </is>
      </c>
      <c r="C292" s="31" t="n">
        <v>4421.9</v>
      </c>
      <c r="D292" s="31" t="n">
        <v>11227.2</v>
      </c>
      <c r="E292" s="31" t="n">
        <v>11251.7</v>
      </c>
      <c r="F292" s="31" t="n">
        <v>11267.6</v>
      </c>
      <c r="G292" s="31" t="n">
        <v>11297.6</v>
      </c>
      <c r="H292" s="31" t="n">
        <v>11297.7</v>
      </c>
      <c r="I292" s="31" t="n">
        <v>11311.8</v>
      </c>
      <c r="J292" s="31" t="n">
        <v>11340.1</v>
      </c>
      <c r="K292" s="31" t="n">
        <v>6918.2</v>
      </c>
      <c r="L292" s="31" t="n">
        <v>6805.3</v>
      </c>
      <c r="M292" s="30" t="inlineStr">
        <is>
          <t>AMR1</t>
        </is>
      </c>
      <c r="N292" s="30" t="inlineStr">
        <is>
          <t>AMR1</t>
        </is>
      </c>
      <c r="O292" s="32" t="n">
        <v>1</v>
      </c>
      <c r="P292" s="32" t="n">
        <v>25</v>
      </c>
      <c r="Q292" s="32" t="n">
        <v>0</v>
      </c>
      <c r="R292" s="31" t="n">
        <v>66.8</v>
      </c>
      <c r="S292" s="31" t="n">
        <v>66.8</v>
      </c>
      <c r="T292" s="30" t="inlineStr">
        <is>
          <t>AMR1</t>
        </is>
      </c>
      <c r="U292" s="31" t="n">
        <v>43.1</v>
      </c>
      <c r="V292" s="31" t="n">
        <v>43.1</v>
      </c>
      <c r="W292" s="30" t="inlineStr">
        <is>
          <t>AMR1</t>
        </is>
      </c>
      <c r="X292" s="32" t="n">
        <v>0</v>
      </c>
      <c r="Y292" s="32" t="n">
        <v>0</v>
      </c>
      <c r="Z292" s="31" t="n">
        <v>0</v>
      </c>
      <c r="AA292" s="32" t="n">
        <v>0</v>
      </c>
      <c r="AB292" s="32" t="n">
        <v>0</v>
      </c>
      <c r="AC292" s="32" t="n">
        <v>0</v>
      </c>
      <c r="AD292" s="32" t="n">
        <v>0</v>
      </c>
      <c r="AE292" s="31" t="n">
        <v>0</v>
      </c>
      <c r="AF292" s="32" t="n">
        <v>0</v>
      </c>
      <c r="AG292" s="31" t="n">
        <v>0</v>
      </c>
      <c r="AH292" s="32" t="n">
        <v>66</v>
      </c>
      <c r="AI292" s="31" t="n">
        <v>65.90000000000001</v>
      </c>
      <c r="AJ292" s="31" t="n">
        <v>45.9</v>
      </c>
      <c r="AK292" s="31" t="n">
        <v>1</v>
      </c>
      <c r="AL292" s="30" t="inlineStr">
        <is>
          <t>T-0460</t>
        </is>
      </c>
      <c r="AM292" s="30" t="inlineStr">
        <is>
          <t>J-03-01</t>
        </is>
      </c>
      <c r="AN292" s="30" t="inlineStr">
        <is>
          <t>T-0230</t>
        </is>
      </c>
      <c r="AO292" s="30" t="inlineStr">
        <is>
          <t>J-01-02</t>
        </is>
      </c>
    </row>
    <row r="293">
      <c r="A293" s="30" t="inlineStr">
        <is>
          <t>O0292</t>
        </is>
      </c>
      <c r="B293" s="30" t="inlineStr">
        <is>
          <t>H</t>
        </is>
      </c>
      <c r="C293" s="31" t="n">
        <v>4426.9</v>
      </c>
      <c r="D293" s="31" t="n">
        <v>10390.9</v>
      </c>
      <c r="E293" s="31" t="n">
        <v>10414.4</v>
      </c>
      <c r="F293" s="31" t="n">
        <v>10427.1</v>
      </c>
      <c r="G293" s="31" t="n">
        <v>10450.5</v>
      </c>
      <c r="H293" s="31" t="n">
        <v>10450.6</v>
      </c>
      <c r="I293" s="31" t="n">
        <v>10466.1</v>
      </c>
      <c r="J293" s="31" t="n">
        <v>10489.8</v>
      </c>
      <c r="K293" s="31" t="n">
        <v>6062.9</v>
      </c>
      <c r="L293" s="31" t="n">
        <v>5964</v>
      </c>
      <c r="M293" s="30" t="inlineStr">
        <is>
          <t>AMR2</t>
        </is>
      </c>
      <c r="N293" s="30" t="inlineStr">
        <is>
          <t>AMR2</t>
        </is>
      </c>
      <c r="O293" s="32" t="n">
        <v>1</v>
      </c>
      <c r="P293" s="32" t="n">
        <v>25</v>
      </c>
      <c r="Q293" s="32" t="n">
        <v>1</v>
      </c>
      <c r="R293" s="31" t="n">
        <v>57.8</v>
      </c>
      <c r="S293" s="31" t="n">
        <v>57.8</v>
      </c>
      <c r="T293" s="30" t="inlineStr">
        <is>
          <t>AMR2</t>
        </is>
      </c>
      <c r="U293" s="31" t="n">
        <v>38.3</v>
      </c>
      <c r="V293" s="31" t="n">
        <v>38.3</v>
      </c>
      <c r="W293" s="30" t="inlineStr">
        <is>
          <t>AMR2</t>
        </is>
      </c>
      <c r="X293" s="32" t="n">
        <v>0</v>
      </c>
      <c r="Y293" s="32" t="n">
        <v>0</v>
      </c>
      <c r="Z293" s="31" t="n">
        <v>0</v>
      </c>
      <c r="AA293" s="32" t="n">
        <v>0</v>
      </c>
      <c r="AB293" s="32" t="n">
        <v>0</v>
      </c>
      <c r="AC293" s="32" t="n">
        <v>0</v>
      </c>
      <c r="AD293" s="32" t="n">
        <v>0</v>
      </c>
      <c r="AE293" s="31" t="n">
        <v>0</v>
      </c>
      <c r="AF293" s="32" t="n">
        <v>0</v>
      </c>
      <c r="AG293" s="31" t="n">
        <v>0</v>
      </c>
      <c r="AH293" s="32" t="n">
        <v>54</v>
      </c>
      <c r="AI293" s="31" t="n">
        <v>56.3</v>
      </c>
      <c r="AJ293" s="31" t="n">
        <v>42.5</v>
      </c>
      <c r="AK293" s="31" t="n">
        <v>0</v>
      </c>
      <c r="AL293" s="30" t="inlineStr">
        <is>
          <t>T-0436</t>
        </is>
      </c>
      <c r="AM293" s="30" t="inlineStr">
        <is>
          <t>H-05-02</t>
        </is>
      </c>
      <c r="AN293" s="30" t="inlineStr">
        <is>
          <t>T-0365</t>
        </is>
      </c>
      <c r="AO293" s="30" t="inlineStr">
        <is>
          <t>H-03-01</t>
        </is>
      </c>
    </row>
    <row r="294">
      <c r="A294" s="30" t="inlineStr">
        <is>
          <t>O0293</t>
        </is>
      </c>
      <c r="B294" s="30" t="inlineStr">
        <is>
          <t>I</t>
        </is>
      </c>
      <c r="C294" s="31" t="n">
        <v>4433.4</v>
      </c>
      <c r="D294" s="31" t="n">
        <v>10429.9</v>
      </c>
      <c r="E294" s="31" t="n">
        <v>10453.4</v>
      </c>
      <c r="F294" s="31" t="n">
        <v>10464.8</v>
      </c>
      <c r="G294" s="31" t="n">
        <v>10488.3</v>
      </c>
      <c r="H294" s="31" t="n">
        <v>10488.4</v>
      </c>
      <c r="I294" s="31" t="n">
        <v>10502.3</v>
      </c>
      <c r="J294" s="31" t="n">
        <v>10530.7</v>
      </c>
      <c r="K294" s="31" t="n">
        <v>6097.3</v>
      </c>
      <c r="L294" s="31" t="n">
        <v>5996.5</v>
      </c>
      <c r="M294" s="30" t="inlineStr">
        <is>
          <t>AMR3</t>
        </is>
      </c>
      <c r="N294" s="30" t="inlineStr">
        <is>
          <t>AMR3</t>
        </is>
      </c>
      <c r="O294" s="32" t="n">
        <v>1</v>
      </c>
      <c r="P294" s="32" t="n">
        <v>25</v>
      </c>
      <c r="Q294" s="32" t="n">
        <v>0</v>
      </c>
      <c r="R294" s="31" t="n">
        <v>55.8</v>
      </c>
      <c r="S294" s="31" t="n">
        <v>55.8</v>
      </c>
      <c r="T294" s="30" t="inlineStr">
        <is>
          <t>AMR3</t>
        </is>
      </c>
      <c r="U294" s="31" t="n">
        <v>39.5</v>
      </c>
      <c r="V294" s="31" t="n">
        <v>39.5</v>
      </c>
      <c r="W294" s="30" t="inlineStr">
        <is>
          <t>AMR3</t>
        </is>
      </c>
      <c r="X294" s="32" t="n">
        <v>0</v>
      </c>
      <c r="Y294" s="32" t="n">
        <v>0</v>
      </c>
      <c r="Z294" s="31" t="n">
        <v>0</v>
      </c>
      <c r="AA294" s="32" t="n">
        <v>0</v>
      </c>
      <c r="AB294" s="32" t="n">
        <v>0</v>
      </c>
      <c r="AC294" s="32" t="n">
        <v>0</v>
      </c>
      <c r="AD294" s="32" t="n">
        <v>0</v>
      </c>
      <c r="AE294" s="31" t="n">
        <v>0</v>
      </c>
      <c r="AF294" s="32" t="n">
        <v>0</v>
      </c>
      <c r="AG294" s="31" t="n">
        <v>0</v>
      </c>
      <c r="AH294" s="32" t="n">
        <v>56</v>
      </c>
      <c r="AI294" s="31" t="n">
        <v>58.8</v>
      </c>
      <c r="AJ294" s="31" t="n">
        <v>41.9</v>
      </c>
      <c r="AK294" s="31" t="n">
        <v>0</v>
      </c>
      <c r="AL294" s="30" t="inlineStr">
        <is>
          <t>T-0437</t>
        </is>
      </c>
      <c r="AM294" s="30" t="inlineStr">
        <is>
          <t>I-03-01</t>
        </is>
      </c>
      <c r="AN294" s="30" t="inlineStr">
        <is>
          <t>T-0373</t>
        </is>
      </c>
      <c r="AO294" s="30" t="inlineStr">
        <is>
          <t>I-04-01</t>
        </is>
      </c>
    </row>
    <row r="295">
      <c r="A295" s="30" t="inlineStr">
        <is>
          <t>O0294</t>
        </is>
      </c>
      <c r="B295" s="30" t="inlineStr">
        <is>
          <t>D</t>
        </is>
      </c>
      <c r="C295" s="31" t="n">
        <v>4439.3</v>
      </c>
      <c r="D295" s="31" t="n">
        <v>10464.4</v>
      </c>
      <c r="E295" s="31" t="n">
        <v>10487.9</v>
      </c>
      <c r="F295" s="31" t="n">
        <v>10499.7</v>
      </c>
      <c r="G295" s="31" t="n">
        <v>10521.2</v>
      </c>
      <c r="H295" s="31" t="n">
        <v>10521.3</v>
      </c>
      <c r="I295" s="31" t="n">
        <v>10530.8</v>
      </c>
      <c r="J295" s="31" t="n">
        <v>10558.9</v>
      </c>
      <c r="K295" s="31" t="n">
        <v>6119.6</v>
      </c>
      <c r="L295" s="31" t="n">
        <v>6025.1</v>
      </c>
      <c r="M295" s="30" t="inlineStr">
        <is>
          <t>AMR1</t>
        </is>
      </c>
      <c r="N295" s="30" t="inlineStr">
        <is>
          <t>AMR1</t>
        </is>
      </c>
      <c r="O295" s="32" t="n">
        <v>1</v>
      </c>
      <c r="P295" s="32" t="n">
        <v>25</v>
      </c>
      <c r="Q295" s="32" t="n">
        <v>1</v>
      </c>
      <c r="R295" s="31" t="n">
        <v>53.3</v>
      </c>
      <c r="S295" s="31" t="n">
        <v>53.3</v>
      </c>
      <c r="T295" s="30" t="inlineStr">
        <is>
          <t>AMR1</t>
        </is>
      </c>
      <c r="U295" s="31" t="n">
        <v>35.2</v>
      </c>
      <c r="V295" s="31" t="n">
        <v>35.2</v>
      </c>
      <c r="W295" s="30" t="inlineStr">
        <is>
          <t>AMR1</t>
        </is>
      </c>
      <c r="X295" s="32" t="n">
        <v>0</v>
      </c>
      <c r="Y295" s="32" t="n">
        <v>0</v>
      </c>
      <c r="Z295" s="31" t="n">
        <v>0</v>
      </c>
      <c r="AA295" s="32" t="n">
        <v>0</v>
      </c>
      <c r="AB295" s="32" t="n">
        <v>0</v>
      </c>
      <c r="AC295" s="32" t="n">
        <v>0</v>
      </c>
      <c r="AD295" s="32" t="n">
        <v>0</v>
      </c>
      <c r="AE295" s="31" t="n">
        <v>0</v>
      </c>
      <c r="AF295" s="32" t="n">
        <v>0</v>
      </c>
      <c r="AG295" s="31" t="n">
        <v>0</v>
      </c>
      <c r="AH295" s="32" t="n">
        <v>58</v>
      </c>
      <c r="AI295" s="31" t="n">
        <v>59.5</v>
      </c>
      <c r="AJ295" s="31" t="n">
        <v>34.9</v>
      </c>
      <c r="AK295" s="31" t="n">
        <v>0</v>
      </c>
      <c r="AL295" s="30" t="inlineStr">
        <is>
          <t>T-0438</t>
        </is>
      </c>
      <c r="AM295" s="30" t="inlineStr">
        <is>
          <t>D-04-01</t>
        </is>
      </c>
      <c r="AN295" s="30" t="inlineStr">
        <is>
          <t>T-0314</t>
        </is>
      </c>
      <c r="AO295" s="30" t="inlineStr">
        <is>
          <t>D-06-01</t>
        </is>
      </c>
    </row>
    <row r="296">
      <c r="A296" s="30" t="inlineStr">
        <is>
          <t>O0295</t>
        </is>
      </c>
      <c r="B296" s="30" t="inlineStr">
        <is>
          <t>E</t>
        </is>
      </c>
      <c r="C296" s="31" t="n">
        <v>4444.2</v>
      </c>
      <c r="D296" s="31" t="n">
        <v>10489.9</v>
      </c>
      <c r="E296" s="31" t="n">
        <v>10513.4</v>
      </c>
      <c r="F296" s="31" t="n">
        <v>10527.4</v>
      </c>
      <c r="G296" s="31" t="n">
        <v>10555.4</v>
      </c>
      <c r="H296" s="31" t="n">
        <v>10555.5</v>
      </c>
      <c r="I296" s="31" t="n">
        <v>10568.2</v>
      </c>
      <c r="J296" s="31" t="n">
        <v>10597.6</v>
      </c>
      <c r="K296" s="31" t="n">
        <v>6153.4</v>
      </c>
      <c r="L296" s="31" t="n">
        <v>6045.7</v>
      </c>
      <c r="M296" s="30" t="inlineStr">
        <is>
          <t>AMR2</t>
        </is>
      </c>
      <c r="N296" s="30" t="inlineStr">
        <is>
          <t>AMR2</t>
        </is>
      </c>
      <c r="O296" s="32" t="n">
        <v>1</v>
      </c>
      <c r="P296" s="32" t="n">
        <v>25</v>
      </c>
      <c r="Q296" s="32" t="n">
        <v>0</v>
      </c>
      <c r="R296" s="31" t="n">
        <v>62.8</v>
      </c>
      <c r="S296" s="31" t="n">
        <v>62.8</v>
      </c>
      <c r="T296" s="30" t="inlineStr">
        <is>
          <t>AMR2</t>
        </is>
      </c>
      <c r="U296" s="31" t="n">
        <v>42.8</v>
      </c>
      <c r="V296" s="31" t="n">
        <v>42.8</v>
      </c>
      <c r="W296" s="30" t="inlineStr">
        <is>
          <t>AMR2</t>
        </is>
      </c>
      <c r="X296" s="32" t="n">
        <v>0</v>
      </c>
      <c r="Y296" s="32" t="n">
        <v>0</v>
      </c>
      <c r="Z296" s="31" t="n">
        <v>0</v>
      </c>
      <c r="AA296" s="32" t="n">
        <v>0</v>
      </c>
      <c r="AB296" s="32" t="n">
        <v>0</v>
      </c>
      <c r="AC296" s="32" t="n">
        <v>0</v>
      </c>
      <c r="AD296" s="32" t="n">
        <v>0</v>
      </c>
      <c r="AE296" s="31" t="n">
        <v>0</v>
      </c>
      <c r="AF296" s="32" t="n">
        <v>0</v>
      </c>
      <c r="AG296" s="31" t="n">
        <v>0</v>
      </c>
      <c r="AH296" s="32" t="n">
        <v>66</v>
      </c>
      <c r="AI296" s="31" t="n">
        <v>65.5</v>
      </c>
      <c r="AJ296" s="31" t="n">
        <v>42.1</v>
      </c>
      <c r="AK296" s="31" t="n">
        <v>0</v>
      </c>
      <c r="AL296" s="30" t="inlineStr">
        <is>
          <t>T-0439</t>
        </is>
      </c>
      <c r="AM296" s="30" t="inlineStr">
        <is>
          <t>E-03-01</t>
        </is>
      </c>
      <c r="AN296" s="30" t="inlineStr">
        <is>
          <t>T-0199</t>
        </is>
      </c>
      <c r="AO296" s="30" t="inlineStr">
        <is>
          <t>E-01-02</t>
        </is>
      </c>
    </row>
    <row r="297">
      <c r="A297" s="30" t="inlineStr">
        <is>
          <t>O0296</t>
        </is>
      </c>
      <c r="B297" s="30" t="inlineStr">
        <is>
          <t>E</t>
        </is>
      </c>
      <c r="C297" s="31" t="n">
        <v>4449.9</v>
      </c>
      <c r="D297" s="31" t="n">
        <v>10649.4</v>
      </c>
      <c r="E297" s="31" t="n">
        <v>10672.9</v>
      </c>
      <c r="F297" s="31" t="n">
        <v>10686.5</v>
      </c>
      <c r="G297" s="31" t="n">
        <v>10714.5</v>
      </c>
      <c r="H297" s="31" t="n">
        <v>13216.8</v>
      </c>
      <c r="I297" s="31" t="n">
        <v>13232.6</v>
      </c>
      <c r="J297" s="31" t="n">
        <v>13265.5</v>
      </c>
      <c r="K297" s="31" t="n">
        <v>8815.6</v>
      </c>
      <c r="L297" s="31" t="n">
        <v>6199.5</v>
      </c>
      <c r="M297" s="30" t="inlineStr">
        <is>
          <t>AMR3</t>
        </is>
      </c>
      <c r="N297" s="30" t="inlineStr">
        <is>
          <t>AMR2</t>
        </is>
      </c>
      <c r="O297" s="32" t="n">
        <v>1</v>
      </c>
      <c r="P297" s="32" t="n">
        <v>25</v>
      </c>
      <c r="Q297" s="32" t="n">
        <v>1</v>
      </c>
      <c r="R297" s="31" t="n">
        <v>61.6</v>
      </c>
      <c r="S297" s="31" t="n">
        <v>61.6</v>
      </c>
      <c r="T297" s="30" t="inlineStr">
        <is>
          <t>AMR3</t>
        </is>
      </c>
      <c r="U297" s="31" t="n">
        <v>49.4</v>
      </c>
      <c r="V297" s="31" t="n">
        <v>49.4</v>
      </c>
      <c r="W297" s="30" t="inlineStr">
        <is>
          <t>AMR2</t>
        </is>
      </c>
      <c r="X297" s="32" t="n">
        <v>0</v>
      </c>
      <c r="Y297" s="32" t="n">
        <v>0</v>
      </c>
      <c r="Z297" s="31" t="n">
        <v>0</v>
      </c>
      <c r="AA297" s="32" t="n">
        <v>0</v>
      </c>
      <c r="AB297" s="32" t="n">
        <v>0</v>
      </c>
      <c r="AC297" s="32" t="n">
        <v>0</v>
      </c>
      <c r="AD297" s="32" t="n">
        <v>0</v>
      </c>
      <c r="AE297" s="31" t="n">
        <v>0</v>
      </c>
      <c r="AF297" s="32" t="n">
        <v>0</v>
      </c>
      <c r="AG297" s="31" t="n">
        <v>0</v>
      </c>
      <c r="AH297" s="32" t="n">
        <v>68</v>
      </c>
      <c r="AI297" s="31" t="n">
        <v>67</v>
      </c>
      <c r="AJ297" s="31" t="n">
        <v>46.8</v>
      </c>
      <c r="AK297" s="31" t="n">
        <v>0</v>
      </c>
      <c r="AL297" s="30" t="inlineStr">
        <is>
          <t>T-0443</t>
        </is>
      </c>
      <c r="AM297" s="30" t="inlineStr">
        <is>
          <t>E-04-01</t>
        </is>
      </c>
      <c r="AN297" s="30" t="inlineStr">
        <is>
          <t>T-0256</t>
        </is>
      </c>
      <c r="AO297" s="30" t="inlineStr">
        <is>
          <t>E-01-03</t>
        </is>
      </c>
    </row>
    <row r="298">
      <c r="A298" s="30" t="inlineStr">
        <is>
          <t>O0297</t>
        </is>
      </c>
      <c r="B298" s="30" t="inlineStr">
        <is>
          <t>H</t>
        </is>
      </c>
      <c r="C298" s="31" t="n">
        <v>4456.4</v>
      </c>
      <c r="D298" s="31" t="n">
        <v>10597.7</v>
      </c>
      <c r="E298" s="31" t="n">
        <v>10621.2</v>
      </c>
      <c r="F298" s="31" t="n">
        <v>10633.3</v>
      </c>
      <c r="G298" s="31" t="n">
        <v>10660.3</v>
      </c>
      <c r="H298" s="31" t="n">
        <v>10660.4</v>
      </c>
      <c r="I298" s="31" t="n">
        <v>10673.3</v>
      </c>
      <c r="J298" s="31" t="n">
        <v>10701.9</v>
      </c>
      <c r="K298" s="31" t="n">
        <v>6245.5</v>
      </c>
      <c r="L298" s="31" t="n">
        <v>6141.3</v>
      </c>
      <c r="M298" s="30" t="inlineStr">
        <is>
          <t>AMR2</t>
        </is>
      </c>
      <c r="N298" s="30" t="inlineStr">
        <is>
          <t>AMR2</t>
        </is>
      </c>
      <c r="O298" s="32" t="n">
        <v>1</v>
      </c>
      <c r="P298" s="32" t="n">
        <v>25</v>
      </c>
      <c r="Q298" s="32" t="n">
        <v>0</v>
      </c>
      <c r="R298" s="31" t="n">
        <v>60</v>
      </c>
      <c r="S298" s="31" t="n">
        <v>60</v>
      </c>
      <c r="T298" s="30" t="inlineStr">
        <is>
          <t>AMR2</t>
        </is>
      </c>
      <c r="U298" s="31" t="n">
        <v>40.7</v>
      </c>
      <c r="V298" s="31" t="n">
        <v>40.7</v>
      </c>
      <c r="W298" s="30" t="inlineStr">
        <is>
          <t>AMR2</t>
        </is>
      </c>
      <c r="X298" s="32" t="n">
        <v>0</v>
      </c>
      <c r="Y298" s="32" t="n">
        <v>0</v>
      </c>
      <c r="Z298" s="31" t="n">
        <v>0</v>
      </c>
      <c r="AA298" s="32" t="n">
        <v>0</v>
      </c>
      <c r="AB298" s="32" t="n">
        <v>0</v>
      </c>
      <c r="AC298" s="32" t="n">
        <v>0</v>
      </c>
      <c r="AD298" s="32" t="n">
        <v>0</v>
      </c>
      <c r="AE298" s="31" t="n">
        <v>0</v>
      </c>
      <c r="AF298" s="32" t="n">
        <v>0</v>
      </c>
      <c r="AG298" s="31" t="n">
        <v>0</v>
      </c>
      <c r="AH298" s="32" t="n">
        <v>54</v>
      </c>
      <c r="AI298" s="31" t="n">
        <v>56.3</v>
      </c>
      <c r="AJ298" s="31" t="n">
        <v>47.8</v>
      </c>
      <c r="AK298" s="31" t="n">
        <v>0</v>
      </c>
      <c r="AL298" s="30" t="inlineStr">
        <is>
          <t>T-0442</t>
        </is>
      </c>
      <c r="AM298" s="30" t="inlineStr">
        <is>
          <t>H-03-01</t>
        </is>
      </c>
      <c r="AN298" s="30" t="inlineStr">
        <is>
          <t>T-0367</t>
        </is>
      </c>
      <c r="AO298" s="30" t="inlineStr">
        <is>
          <t>H-03-02</t>
        </is>
      </c>
    </row>
    <row r="299">
      <c r="A299" s="30" t="inlineStr">
        <is>
          <t>O0298</t>
        </is>
      </c>
      <c r="B299" s="30" t="inlineStr">
        <is>
          <t>G</t>
        </is>
      </c>
      <c r="C299" s="31" t="n">
        <v>4462.3</v>
      </c>
      <c r="D299" s="31" t="n">
        <v>10788.2</v>
      </c>
      <c r="E299" s="31" t="n">
        <v>10822.7</v>
      </c>
      <c r="F299" s="31" t="n">
        <v>10837.1</v>
      </c>
      <c r="G299" s="31" t="n">
        <v>10865.6</v>
      </c>
      <c r="H299" s="31" t="n">
        <v>10865.7</v>
      </c>
      <c r="I299" s="31" t="n">
        <v>10880.1</v>
      </c>
      <c r="J299" s="31" t="n">
        <v>10905.3</v>
      </c>
      <c r="K299" s="31" t="n">
        <v>6443</v>
      </c>
      <c r="L299" s="31" t="n">
        <v>6325.9</v>
      </c>
      <c r="M299" s="30" t="inlineStr">
        <is>
          <t>AMR1</t>
        </is>
      </c>
      <c r="N299" s="30" t="inlineStr">
        <is>
          <t>AMR1</t>
        </is>
      </c>
      <c r="O299" s="32" t="n">
        <v>1</v>
      </c>
      <c r="P299" s="32" t="n">
        <v>25</v>
      </c>
      <c r="Q299" s="32" t="n">
        <v>0</v>
      </c>
      <c r="R299" s="31" t="n">
        <v>63.8</v>
      </c>
      <c r="S299" s="31" t="n">
        <v>63.8</v>
      </c>
      <c r="T299" s="30" t="inlineStr">
        <is>
          <t>AMR1</t>
        </is>
      </c>
      <c r="U299" s="31" t="n">
        <v>39.3</v>
      </c>
      <c r="V299" s="31" t="n">
        <v>39.3</v>
      </c>
      <c r="W299" s="30" t="inlineStr">
        <is>
          <t>AMR1</t>
        </is>
      </c>
      <c r="X299" s="32" t="n">
        <v>0</v>
      </c>
      <c r="Y299" s="32" t="n">
        <v>0</v>
      </c>
      <c r="Z299" s="31" t="n">
        <v>0</v>
      </c>
      <c r="AA299" s="32" t="n">
        <v>0</v>
      </c>
      <c r="AB299" s="32" t="n">
        <v>0</v>
      </c>
      <c r="AC299" s="32" t="n">
        <v>0</v>
      </c>
      <c r="AD299" s="32" t="n">
        <v>0</v>
      </c>
      <c r="AE299" s="31" t="n">
        <v>0</v>
      </c>
      <c r="AF299" s="32" t="n">
        <v>1</v>
      </c>
      <c r="AG299" s="31" t="n">
        <v>6</v>
      </c>
      <c r="AH299" s="32" t="n">
        <v>58</v>
      </c>
      <c r="AI299" s="31" t="n">
        <v>59.5</v>
      </c>
      <c r="AJ299" s="31" t="n">
        <v>46.5</v>
      </c>
      <c r="AK299" s="31" t="n">
        <v>11</v>
      </c>
      <c r="AL299" s="30" t="inlineStr">
        <is>
          <t>T-0448</t>
        </is>
      </c>
      <c r="AM299" s="30" t="inlineStr">
        <is>
          <t>G-03-02</t>
        </is>
      </c>
      <c r="AN299" s="30" t="inlineStr">
        <is>
          <t>T-0220</t>
        </is>
      </c>
      <c r="AO299" s="30" t="inlineStr">
        <is>
          <t>G-04-02</t>
        </is>
      </c>
    </row>
    <row r="300">
      <c r="A300" s="30" t="inlineStr">
        <is>
          <t>O0299</t>
        </is>
      </c>
      <c r="B300" s="30" t="inlineStr">
        <is>
          <t>H</t>
        </is>
      </c>
      <c r="C300" s="31" t="n">
        <v>4467.7</v>
      </c>
      <c r="D300" s="31" t="n">
        <v>10905.4</v>
      </c>
      <c r="E300" s="31" t="n">
        <v>10928.9</v>
      </c>
      <c r="F300" s="31" t="n">
        <v>10945.2</v>
      </c>
      <c r="G300" s="31" t="n">
        <v>10968.2</v>
      </c>
      <c r="H300" s="31" t="n">
        <v>10968.3</v>
      </c>
      <c r="I300" s="31" t="n">
        <v>10982.6</v>
      </c>
      <c r="J300" s="31" t="n">
        <v>11009.4</v>
      </c>
      <c r="K300" s="31" t="n">
        <v>6541.7</v>
      </c>
      <c r="L300" s="31" t="n">
        <v>6437.7</v>
      </c>
      <c r="M300" s="30" t="inlineStr">
        <is>
          <t>AMR1</t>
        </is>
      </c>
      <c r="N300" s="30" t="inlineStr">
        <is>
          <t>AMR1</t>
        </is>
      </c>
      <c r="O300" s="32" t="n">
        <v>1</v>
      </c>
      <c r="P300" s="32" t="n">
        <v>25</v>
      </c>
      <c r="Q300" s="32" t="n">
        <v>2</v>
      </c>
      <c r="R300" s="31" t="n">
        <v>61.8</v>
      </c>
      <c r="S300" s="31" t="n">
        <v>61.8</v>
      </c>
      <c r="T300" s="30" t="inlineStr">
        <is>
          <t>AMR1</t>
        </is>
      </c>
      <c r="U300" s="31" t="n">
        <v>40.3</v>
      </c>
      <c r="V300" s="31" t="n">
        <v>40.3</v>
      </c>
      <c r="W300" s="30" t="inlineStr">
        <is>
          <t>AMR1</t>
        </is>
      </c>
      <c r="X300" s="32" t="n">
        <v>0</v>
      </c>
      <c r="Y300" s="32" t="n">
        <v>0</v>
      </c>
      <c r="Z300" s="31" t="n">
        <v>0</v>
      </c>
      <c r="AA300" s="32" t="n">
        <v>0</v>
      </c>
      <c r="AB300" s="32" t="n">
        <v>0</v>
      </c>
      <c r="AC300" s="32" t="n">
        <v>0</v>
      </c>
      <c r="AD300" s="32" t="n">
        <v>0</v>
      </c>
      <c r="AE300" s="31" t="n">
        <v>0</v>
      </c>
      <c r="AF300" s="32" t="n">
        <v>0</v>
      </c>
      <c r="AG300" s="31" t="n">
        <v>0</v>
      </c>
      <c r="AH300" s="32" t="n">
        <v>54</v>
      </c>
      <c r="AI300" s="31" t="n">
        <v>56.1</v>
      </c>
      <c r="AJ300" s="31" t="n">
        <v>47.8</v>
      </c>
      <c r="AK300" s="31" t="n">
        <v>0</v>
      </c>
      <c r="AL300" s="30" t="inlineStr">
        <is>
          <t>T-0451</t>
        </is>
      </c>
      <c r="AM300" s="30" t="inlineStr">
        <is>
          <t>H-06-02</t>
        </is>
      </c>
      <c r="AN300" s="30" t="inlineStr">
        <is>
          <t>T-0377</t>
        </is>
      </c>
      <c r="AO300" s="30" t="inlineStr">
        <is>
          <t>H-01-01</t>
        </is>
      </c>
    </row>
    <row r="301">
      <c r="A301" s="30" t="inlineStr">
        <is>
          <t>O0300</t>
        </is>
      </c>
      <c r="B301" s="30" t="inlineStr">
        <is>
          <t>C</t>
        </is>
      </c>
      <c r="C301" s="31" t="n">
        <v>4473.7</v>
      </c>
      <c r="D301" s="31" t="n">
        <v>10702</v>
      </c>
      <c r="E301" s="31" t="n">
        <v>10725.5</v>
      </c>
      <c r="F301" s="31" t="n">
        <v>10740.2</v>
      </c>
      <c r="G301" s="31" t="n">
        <v>10762.4</v>
      </c>
      <c r="H301" s="31" t="n">
        <v>11112</v>
      </c>
      <c r="I301" s="31" t="n">
        <v>11122.6</v>
      </c>
      <c r="J301" s="31" t="n">
        <v>11153.3</v>
      </c>
      <c r="K301" s="31" t="n">
        <v>6679.6</v>
      </c>
      <c r="L301" s="31" t="n">
        <v>6228.3</v>
      </c>
      <c r="M301" s="30" t="inlineStr">
        <is>
          <t>AMR2</t>
        </is>
      </c>
      <c r="N301" s="30" t="inlineStr">
        <is>
          <t>AMR2</t>
        </is>
      </c>
      <c r="O301" s="32" t="n">
        <v>1</v>
      </c>
      <c r="P301" s="32" t="n">
        <v>25</v>
      </c>
      <c r="Q301" s="32" t="n">
        <v>3</v>
      </c>
      <c r="R301" s="31" t="n">
        <v>58.5</v>
      </c>
      <c r="S301" s="31" t="n">
        <v>58.5</v>
      </c>
      <c r="T301" s="30" t="inlineStr">
        <is>
          <t>AMR2</t>
        </is>
      </c>
      <c r="U301" s="31" t="n">
        <v>41.5</v>
      </c>
      <c r="V301" s="31" t="n">
        <v>41.5</v>
      </c>
      <c r="W301" s="30" t="inlineStr">
        <is>
          <t>AMR2</t>
        </is>
      </c>
      <c r="X301" s="32" t="n">
        <v>0</v>
      </c>
      <c r="Y301" s="32" t="n">
        <v>0</v>
      </c>
      <c r="Z301" s="31" t="n">
        <v>0</v>
      </c>
      <c r="AA301" s="32" t="n">
        <v>0</v>
      </c>
      <c r="AB301" s="32" t="n">
        <v>0</v>
      </c>
      <c r="AC301" s="32" t="n">
        <v>0</v>
      </c>
      <c r="AD301" s="32" t="n">
        <v>1</v>
      </c>
      <c r="AE301" s="31" t="n">
        <v>1</v>
      </c>
      <c r="AF301" s="32" t="n">
        <v>0</v>
      </c>
      <c r="AG301" s="31" t="n">
        <v>0</v>
      </c>
      <c r="AH301" s="32" t="n">
        <v>54</v>
      </c>
      <c r="AI301" s="31" t="n">
        <v>56.2</v>
      </c>
      <c r="AJ301" s="31" t="n">
        <v>44.5</v>
      </c>
      <c r="AK301" s="31" t="n">
        <v>1</v>
      </c>
      <c r="AL301" s="30" t="inlineStr">
        <is>
          <t>T-0445</t>
        </is>
      </c>
      <c r="AM301" s="30" t="inlineStr">
        <is>
          <t>C-05-02</t>
        </is>
      </c>
      <c r="AN301" s="30" t="inlineStr">
        <is>
          <t>T-0312</t>
        </is>
      </c>
      <c r="AO301" s="30" t="inlineStr">
        <is>
          <t>C-01-03</t>
        </is>
      </c>
    </row>
    <row r="302">
      <c r="A302" s="30" t="inlineStr">
        <is>
          <t>O0301</t>
        </is>
      </c>
      <c r="B302" s="30" t="inlineStr">
        <is>
          <t>D</t>
        </is>
      </c>
      <c r="C302" s="31" t="n">
        <v>4479.5</v>
      </c>
      <c r="D302" s="31" t="n">
        <v>10762.5</v>
      </c>
      <c r="E302" s="31" t="n">
        <v>10775.1</v>
      </c>
      <c r="F302" s="31" t="n">
        <v>10790.3</v>
      </c>
      <c r="G302" s="31" t="n">
        <v>10812.9</v>
      </c>
      <c r="H302" s="31" t="n">
        <v>10813</v>
      </c>
      <c r="I302" s="31" t="n">
        <v>10825.8</v>
      </c>
      <c r="J302" s="31" t="n">
        <v>10854.5</v>
      </c>
      <c r="K302" s="31" t="n">
        <v>6375</v>
      </c>
      <c r="L302" s="31" t="n">
        <v>6283</v>
      </c>
      <c r="M302" s="30" t="inlineStr">
        <is>
          <t>AMR2</t>
        </is>
      </c>
      <c r="N302" s="30" t="inlineStr">
        <is>
          <t>AMR2</t>
        </is>
      </c>
      <c r="O302" s="32" t="n">
        <v>1</v>
      </c>
      <c r="P302" s="32" t="n">
        <v>12</v>
      </c>
      <c r="Q302" s="32" t="n">
        <v>2</v>
      </c>
      <c r="R302" s="31" t="n">
        <v>46.1</v>
      </c>
      <c r="S302" s="31" t="n">
        <v>46.1</v>
      </c>
      <c r="T302" s="30" t="inlineStr">
        <is>
          <t>AMR2</t>
        </is>
      </c>
      <c r="U302" s="31" t="n">
        <v>41</v>
      </c>
      <c r="V302" s="31" t="n">
        <v>41</v>
      </c>
      <c r="W302" s="30" t="inlineStr">
        <is>
          <t>AMR2</t>
        </is>
      </c>
      <c r="X302" s="32" t="n">
        <v>0</v>
      </c>
      <c r="Y302" s="32" t="n">
        <v>0</v>
      </c>
      <c r="Z302" s="31" t="n">
        <v>0</v>
      </c>
      <c r="AA302" s="32" t="n">
        <v>0</v>
      </c>
      <c r="AB302" s="32" t="n">
        <v>0</v>
      </c>
      <c r="AC302" s="32" t="n">
        <v>0</v>
      </c>
      <c r="AD302" s="32" t="n">
        <v>0</v>
      </c>
      <c r="AE302" s="31" t="n">
        <v>0</v>
      </c>
      <c r="AF302" s="32" t="n">
        <v>0</v>
      </c>
      <c r="AG302" s="31" t="n">
        <v>0</v>
      </c>
      <c r="AH302" s="32" t="n">
        <v>45</v>
      </c>
      <c r="AI302" s="31" t="n">
        <v>48.2</v>
      </c>
      <c r="AJ302" s="31" t="n">
        <v>43.7</v>
      </c>
      <c r="AK302" s="31" t="n">
        <v>0</v>
      </c>
      <c r="AL302" s="30" t="inlineStr">
        <is>
          <t>T-0446</t>
        </is>
      </c>
      <c r="AM302" s="30" t="inlineStr">
        <is>
          <t>D-06-01</t>
        </is>
      </c>
      <c r="AN302" s="30" t="inlineStr">
        <is>
          <t>T-0316</t>
        </is>
      </c>
      <c r="AO302" s="30" t="inlineStr">
        <is>
          <t>D-06-03</t>
        </is>
      </c>
    </row>
    <row r="303">
      <c r="A303" s="30" t="inlineStr">
        <is>
          <t>O0302</t>
        </is>
      </c>
      <c r="B303" s="30" t="inlineStr">
        <is>
          <t>H</t>
        </is>
      </c>
      <c r="C303" s="31" t="n">
        <v>4483.7</v>
      </c>
      <c r="D303" s="31" t="n">
        <v>10764.5</v>
      </c>
      <c r="E303" s="31" t="n">
        <v>10799</v>
      </c>
      <c r="F303" s="31" t="n">
        <v>10811.9</v>
      </c>
      <c r="G303" s="31" t="n">
        <v>10836.7</v>
      </c>
      <c r="H303" s="31" t="n">
        <v>10836.8</v>
      </c>
      <c r="I303" s="31" t="n">
        <v>10847.6</v>
      </c>
      <c r="J303" s="31" t="n">
        <v>10874.4</v>
      </c>
      <c r="K303" s="31" t="n">
        <v>6390.7</v>
      </c>
      <c r="L303" s="31" t="n">
        <v>6280.8</v>
      </c>
      <c r="M303" s="30" t="inlineStr">
        <is>
          <t>AMR3</t>
        </is>
      </c>
      <c r="N303" s="30" t="inlineStr">
        <is>
          <t>AMR3</t>
        </is>
      </c>
      <c r="O303" s="32" t="n">
        <v>1</v>
      </c>
      <c r="P303" s="32" t="n">
        <v>25</v>
      </c>
      <c r="Q303" s="32" t="n">
        <v>0</v>
      </c>
      <c r="R303" s="31" t="n">
        <v>58.6</v>
      </c>
      <c r="S303" s="31" t="n">
        <v>58.6</v>
      </c>
      <c r="T303" s="30" t="inlineStr">
        <is>
          <t>AMR3</t>
        </is>
      </c>
      <c r="U303" s="31" t="n">
        <v>36.9</v>
      </c>
      <c r="V303" s="31" t="n">
        <v>36.9</v>
      </c>
      <c r="W303" s="30" t="inlineStr">
        <is>
          <t>AMR3</t>
        </is>
      </c>
      <c r="X303" s="32" t="n">
        <v>0</v>
      </c>
      <c r="Y303" s="32" t="n">
        <v>0</v>
      </c>
      <c r="Z303" s="31" t="n">
        <v>0</v>
      </c>
      <c r="AA303" s="32" t="n">
        <v>0</v>
      </c>
      <c r="AB303" s="32" t="n">
        <v>0</v>
      </c>
      <c r="AC303" s="32" t="n">
        <v>0</v>
      </c>
      <c r="AD303" s="32" t="n">
        <v>0</v>
      </c>
      <c r="AE303" s="31" t="n">
        <v>0</v>
      </c>
      <c r="AF303" s="32" t="n">
        <v>1</v>
      </c>
      <c r="AG303" s="31" t="n">
        <v>6</v>
      </c>
      <c r="AH303" s="32" t="n">
        <v>54</v>
      </c>
      <c r="AI303" s="31" t="n">
        <v>56.2</v>
      </c>
      <c r="AJ303" s="31" t="n">
        <v>42.6</v>
      </c>
      <c r="AK303" s="31" t="n">
        <v>11</v>
      </c>
      <c r="AL303" s="30" t="inlineStr">
        <is>
          <t>T-0447</t>
        </is>
      </c>
      <c r="AM303" s="30" t="inlineStr">
        <is>
          <t>H-03-02</t>
        </is>
      </c>
      <c r="AN303" s="30" t="inlineStr">
        <is>
          <t>T-0371</t>
        </is>
      </c>
      <c r="AO303" s="30" t="inlineStr">
        <is>
          <t>H-06-02</t>
        </is>
      </c>
    </row>
    <row r="304">
      <c r="A304" s="30" t="inlineStr">
        <is>
          <t>O0303</t>
        </is>
      </c>
      <c r="B304" s="30" t="inlineStr">
        <is>
          <t>D</t>
        </is>
      </c>
      <c r="C304" s="31" t="n">
        <v>4487.9</v>
      </c>
      <c r="D304" s="31" t="n">
        <v>11099.4</v>
      </c>
      <c r="E304" s="31" t="n">
        <v>11122.9</v>
      </c>
      <c r="F304" s="31" t="n">
        <v>11138.9</v>
      </c>
      <c r="G304" s="31" t="n">
        <v>11163.3</v>
      </c>
      <c r="H304" s="31" t="n">
        <v>11163.4</v>
      </c>
      <c r="I304" s="31" t="n">
        <v>11174.1</v>
      </c>
      <c r="J304" s="31" t="n">
        <v>11204</v>
      </c>
      <c r="K304" s="31" t="n">
        <v>6716.1</v>
      </c>
      <c r="L304" s="31" t="n">
        <v>6611.5</v>
      </c>
      <c r="M304" s="30" t="inlineStr">
        <is>
          <t>AMR3</t>
        </is>
      </c>
      <c r="N304" s="30" t="inlineStr">
        <is>
          <t>AMR3</t>
        </is>
      </c>
      <c r="O304" s="32" t="n">
        <v>1</v>
      </c>
      <c r="P304" s="32" t="n">
        <v>25</v>
      </c>
      <c r="Q304" s="32" t="n">
        <v>1</v>
      </c>
      <c r="R304" s="31" t="n">
        <v>62</v>
      </c>
      <c r="S304" s="31" t="n">
        <v>62</v>
      </c>
      <c r="T304" s="30" t="inlineStr">
        <is>
          <t>AMR3</t>
        </is>
      </c>
      <c r="U304" s="31" t="n">
        <v>42.3</v>
      </c>
      <c r="V304" s="31" t="n">
        <v>42.3</v>
      </c>
      <c r="W304" s="30" t="inlineStr">
        <is>
          <t>AMR3</t>
        </is>
      </c>
      <c r="X304" s="32" t="n">
        <v>0</v>
      </c>
      <c r="Y304" s="32" t="n">
        <v>0</v>
      </c>
      <c r="Z304" s="31" t="n">
        <v>0</v>
      </c>
      <c r="AA304" s="32" t="n">
        <v>0</v>
      </c>
      <c r="AB304" s="32" t="n">
        <v>0</v>
      </c>
      <c r="AC304" s="32" t="n">
        <v>0</v>
      </c>
      <c r="AD304" s="32" t="n">
        <v>0</v>
      </c>
      <c r="AE304" s="31" t="n">
        <v>0</v>
      </c>
      <c r="AF304" s="32" t="n">
        <v>0</v>
      </c>
      <c r="AG304" s="31" t="n">
        <v>0</v>
      </c>
      <c r="AH304" s="32" t="n">
        <v>52</v>
      </c>
      <c r="AI304" s="31" t="n">
        <v>53.8</v>
      </c>
      <c r="AJ304" s="31" t="n">
        <v>50.7</v>
      </c>
      <c r="AK304" s="31" t="n">
        <v>0</v>
      </c>
      <c r="AL304" s="30" t="inlineStr">
        <is>
          <t>T-0456</t>
        </is>
      </c>
      <c r="AM304" s="30" t="inlineStr">
        <is>
          <t>D-02-01</t>
        </is>
      </c>
      <c r="AN304" s="30" t="inlineStr">
        <is>
          <t>T-0359</t>
        </is>
      </c>
      <c r="AO304" s="30" t="inlineStr">
        <is>
          <t>D-02-02</t>
        </is>
      </c>
    </row>
    <row r="305">
      <c r="A305" s="30" t="inlineStr">
        <is>
          <t>O0304</t>
        </is>
      </c>
      <c r="B305" s="30" t="inlineStr">
        <is>
          <t>D</t>
        </is>
      </c>
      <c r="C305" s="31" t="n">
        <v>4493</v>
      </c>
      <c r="D305" s="31" t="n">
        <v>10854.6</v>
      </c>
      <c r="E305" s="31" t="n">
        <v>10878.1</v>
      </c>
      <c r="F305" s="31" t="n">
        <v>10890.7</v>
      </c>
      <c r="G305" s="31" t="n">
        <v>10915.8</v>
      </c>
      <c r="H305" s="31" t="n">
        <v>10915.9</v>
      </c>
      <c r="I305" s="31" t="n">
        <v>10925.3</v>
      </c>
      <c r="J305" s="31" t="n">
        <v>10952.8</v>
      </c>
      <c r="K305" s="31" t="n">
        <v>6459.8</v>
      </c>
      <c r="L305" s="31" t="n">
        <v>6361.6</v>
      </c>
      <c r="M305" s="30" t="inlineStr">
        <is>
          <t>AMR2</t>
        </is>
      </c>
      <c r="N305" s="30" t="inlineStr">
        <is>
          <t>AMR2</t>
        </is>
      </c>
      <c r="O305" s="32" t="n">
        <v>1</v>
      </c>
      <c r="P305" s="32" t="n">
        <v>25</v>
      </c>
      <c r="Q305" s="32" t="n">
        <v>0</v>
      </c>
      <c r="R305" s="31" t="n">
        <v>58.5</v>
      </c>
      <c r="S305" s="31" t="n">
        <v>58.5</v>
      </c>
      <c r="T305" s="30" t="inlineStr">
        <is>
          <t>AMR2</t>
        </is>
      </c>
      <c r="U305" s="31" t="n">
        <v>35.1</v>
      </c>
      <c r="V305" s="31" t="n">
        <v>35.1</v>
      </c>
      <c r="W305" s="30" t="inlineStr">
        <is>
          <t>AMR2</t>
        </is>
      </c>
      <c r="X305" s="32" t="n">
        <v>0</v>
      </c>
      <c r="Y305" s="32" t="n">
        <v>0</v>
      </c>
      <c r="Z305" s="31" t="n">
        <v>0</v>
      </c>
      <c r="AA305" s="32" t="n">
        <v>0</v>
      </c>
      <c r="AB305" s="32" t="n">
        <v>0</v>
      </c>
      <c r="AC305" s="32" t="n">
        <v>0</v>
      </c>
      <c r="AD305" s="32" t="n">
        <v>0</v>
      </c>
      <c r="AE305" s="31" t="n">
        <v>0</v>
      </c>
      <c r="AF305" s="32" t="n">
        <v>0</v>
      </c>
      <c r="AG305" s="31" t="n">
        <v>0</v>
      </c>
      <c r="AH305" s="32" t="n">
        <v>56</v>
      </c>
      <c r="AI305" s="31" t="n">
        <v>57.4</v>
      </c>
      <c r="AJ305" s="31" t="n">
        <v>40.7</v>
      </c>
      <c r="AK305" s="31" t="n">
        <v>0</v>
      </c>
      <c r="AL305" s="30" t="inlineStr">
        <is>
          <t>T-0449</t>
        </is>
      </c>
      <c r="AM305" s="30" t="inlineStr">
        <is>
          <t>D-03-03</t>
        </is>
      </c>
      <c r="AN305" s="30" t="inlineStr">
        <is>
          <t>T-0318</t>
        </is>
      </c>
      <c r="AO305" s="30" t="inlineStr">
        <is>
          <t>D-05-01</t>
        </is>
      </c>
    </row>
    <row r="306">
      <c r="A306" s="30" t="inlineStr">
        <is>
          <t>O0305</t>
        </is>
      </c>
      <c r="B306" s="30" t="inlineStr">
        <is>
          <t>F</t>
        </is>
      </c>
      <c r="C306" s="31" t="n">
        <v>4496.7</v>
      </c>
      <c r="D306" s="31" t="n">
        <v>10874.5</v>
      </c>
      <c r="E306" s="31" t="n">
        <v>10902</v>
      </c>
      <c r="F306" s="31" t="n">
        <v>10912.9</v>
      </c>
      <c r="G306" s="31" t="n">
        <v>10943.7</v>
      </c>
      <c r="H306" s="31" t="n">
        <v>10943.8</v>
      </c>
      <c r="I306" s="31" t="n">
        <v>10955.1</v>
      </c>
      <c r="J306" s="31" t="n">
        <v>10984.9</v>
      </c>
      <c r="K306" s="31" t="n">
        <v>6488.2</v>
      </c>
      <c r="L306" s="31" t="n">
        <v>6377.8</v>
      </c>
      <c r="M306" s="30" t="inlineStr">
        <is>
          <t>AMR3</t>
        </is>
      </c>
      <c r="N306" s="30" t="inlineStr">
        <is>
          <t>AMR3</t>
        </is>
      </c>
      <c r="O306" s="32" t="n">
        <v>1</v>
      </c>
      <c r="P306" s="32" t="n">
        <v>25</v>
      </c>
      <c r="Q306" s="32" t="n">
        <v>0</v>
      </c>
      <c r="R306" s="31" t="n">
        <v>62.6</v>
      </c>
      <c r="S306" s="31" t="n">
        <v>62.6</v>
      </c>
      <c r="T306" s="30" t="inlineStr">
        <is>
          <t>AMR3</t>
        </is>
      </c>
      <c r="U306" s="31" t="n">
        <v>41.9</v>
      </c>
      <c r="V306" s="31" t="n">
        <v>41.9</v>
      </c>
      <c r="W306" s="30" t="inlineStr">
        <is>
          <t>AMR3</t>
        </is>
      </c>
      <c r="X306" s="32" t="n">
        <v>0</v>
      </c>
      <c r="Y306" s="32" t="n">
        <v>0</v>
      </c>
      <c r="Z306" s="31" t="n">
        <v>0</v>
      </c>
      <c r="AA306" s="32" t="n">
        <v>0</v>
      </c>
      <c r="AB306" s="32" t="n">
        <v>0</v>
      </c>
      <c r="AC306" s="32" t="n">
        <v>0</v>
      </c>
      <c r="AD306" s="32" t="n">
        <v>0</v>
      </c>
      <c r="AE306" s="31" t="n">
        <v>0</v>
      </c>
      <c r="AF306" s="32" t="n">
        <v>0</v>
      </c>
      <c r="AG306" s="31" t="n">
        <v>0</v>
      </c>
      <c r="AH306" s="32" t="n">
        <v>70</v>
      </c>
      <c r="AI306" s="31" t="n">
        <v>69</v>
      </c>
      <c r="AJ306" s="31" t="n">
        <v>37.3</v>
      </c>
      <c r="AK306" s="31" t="n">
        <v>4</v>
      </c>
      <c r="AL306" s="30" t="inlineStr">
        <is>
          <t>T-0450</t>
        </is>
      </c>
      <c r="AM306" s="30" t="inlineStr">
        <is>
          <t>F-03-03</t>
        </is>
      </c>
      <c r="AN306" s="30" t="inlineStr">
        <is>
          <t>T-0266</t>
        </is>
      </c>
      <c r="AO306" s="30" t="inlineStr">
        <is>
          <t>F-06-02</t>
        </is>
      </c>
    </row>
    <row r="307">
      <c r="A307" s="30" t="inlineStr">
        <is>
          <t>O0306</t>
        </is>
      </c>
      <c r="B307" s="30" t="inlineStr">
        <is>
          <t>D</t>
        </is>
      </c>
      <c r="C307" s="31" t="n">
        <v>4502.4</v>
      </c>
      <c r="D307" s="31" t="n">
        <v>10952.9</v>
      </c>
      <c r="E307" s="31" t="n">
        <v>10976.4</v>
      </c>
      <c r="F307" s="31" t="n">
        <v>10991.1</v>
      </c>
      <c r="G307" s="31" t="n">
        <v>11012.7</v>
      </c>
      <c r="H307" s="31" t="n">
        <v>11012.8</v>
      </c>
      <c r="I307" s="31" t="n">
        <v>11023.7</v>
      </c>
      <c r="J307" s="31" t="n">
        <v>11049.4</v>
      </c>
      <c r="K307" s="31" t="n">
        <v>6547</v>
      </c>
      <c r="L307" s="31" t="n">
        <v>6450.5</v>
      </c>
      <c r="M307" s="30" t="inlineStr">
        <is>
          <t>AMR2</t>
        </is>
      </c>
      <c r="N307" s="30" t="inlineStr">
        <is>
          <t>AMR2</t>
        </is>
      </c>
      <c r="O307" s="32" t="n">
        <v>1</v>
      </c>
      <c r="P307" s="32" t="n">
        <v>25</v>
      </c>
      <c r="Q307" s="32" t="n">
        <v>1</v>
      </c>
      <c r="R307" s="31" t="n">
        <v>56.3</v>
      </c>
      <c r="S307" s="31" t="n">
        <v>56.3</v>
      </c>
      <c r="T307" s="30" t="inlineStr">
        <is>
          <t>AMR2</t>
        </is>
      </c>
      <c r="U307" s="31" t="n">
        <v>35.5</v>
      </c>
      <c r="V307" s="31" t="n">
        <v>35.5</v>
      </c>
      <c r="W307" s="30" t="inlineStr">
        <is>
          <t>AMR2</t>
        </is>
      </c>
      <c r="X307" s="32" t="n">
        <v>0</v>
      </c>
      <c r="Y307" s="32" t="n">
        <v>0</v>
      </c>
      <c r="Z307" s="31" t="n">
        <v>0</v>
      </c>
      <c r="AA307" s="32" t="n">
        <v>0</v>
      </c>
      <c r="AB307" s="32" t="n">
        <v>0</v>
      </c>
      <c r="AC307" s="32" t="n">
        <v>0</v>
      </c>
      <c r="AD307" s="32" t="n">
        <v>0</v>
      </c>
      <c r="AE307" s="31" t="n">
        <v>0</v>
      </c>
      <c r="AF307" s="32" t="n">
        <v>0</v>
      </c>
      <c r="AG307" s="31" t="n">
        <v>0</v>
      </c>
      <c r="AH307" s="32" t="n">
        <v>56</v>
      </c>
      <c r="AI307" s="31" t="n">
        <v>58.2</v>
      </c>
      <c r="AJ307" s="31" t="n">
        <v>38.2</v>
      </c>
      <c r="AK307" s="31" t="n">
        <v>0</v>
      </c>
      <c r="AL307" s="30" t="inlineStr">
        <is>
          <t>T-0452</t>
        </is>
      </c>
      <c r="AM307" s="30" t="inlineStr">
        <is>
          <t>D-05-01</t>
        </is>
      </c>
      <c r="AN307" s="30" t="inlineStr">
        <is>
          <t>T-0323</t>
        </is>
      </c>
      <c r="AO307" s="30" t="inlineStr">
        <is>
          <t>D-01-02</t>
        </is>
      </c>
    </row>
    <row r="308">
      <c r="A308" s="30" t="inlineStr">
        <is>
          <t>O0307</t>
        </is>
      </c>
      <c r="B308" s="30" t="inlineStr">
        <is>
          <t>H</t>
        </is>
      </c>
      <c r="C308" s="31" t="n">
        <v>4507.3</v>
      </c>
      <c r="D308" s="31" t="n">
        <v>11120.3</v>
      </c>
      <c r="E308" s="31" t="n">
        <v>11146.8</v>
      </c>
      <c r="F308" s="31" t="n">
        <v>11161.7</v>
      </c>
      <c r="G308" s="31" t="n">
        <v>11188.7</v>
      </c>
      <c r="H308" s="31" t="n">
        <v>11188.8</v>
      </c>
      <c r="I308" s="31" t="n">
        <v>11200.1</v>
      </c>
      <c r="J308" s="31" t="n">
        <v>11227.1</v>
      </c>
      <c r="K308" s="31" t="n">
        <v>6719.8</v>
      </c>
      <c r="L308" s="31" t="n">
        <v>6613</v>
      </c>
      <c r="M308" s="30" t="inlineStr">
        <is>
          <t>AMR1</t>
        </is>
      </c>
      <c r="N308" s="30" t="inlineStr">
        <is>
          <t>AMR1</t>
        </is>
      </c>
      <c r="O308" s="32" t="n">
        <v>1</v>
      </c>
      <c r="P308" s="32" t="n">
        <v>25</v>
      </c>
      <c r="Q308" s="32" t="n">
        <v>1</v>
      </c>
      <c r="R308" s="31" t="n">
        <v>63.6</v>
      </c>
      <c r="S308" s="31" t="n">
        <v>63.6</v>
      </c>
      <c r="T308" s="30" t="inlineStr">
        <is>
          <t>AMR1</t>
        </is>
      </c>
      <c r="U308" s="31" t="n">
        <v>37.5</v>
      </c>
      <c r="V308" s="31" t="n">
        <v>37.5</v>
      </c>
      <c r="W308" s="30" t="inlineStr">
        <is>
          <t>AMR1</t>
        </is>
      </c>
      <c r="X308" s="32" t="n">
        <v>0</v>
      </c>
      <c r="Y308" s="32" t="n">
        <v>0</v>
      </c>
      <c r="Z308" s="31" t="n">
        <v>0</v>
      </c>
      <c r="AA308" s="32" t="n">
        <v>0</v>
      </c>
      <c r="AB308" s="32" t="n">
        <v>0</v>
      </c>
      <c r="AC308" s="32" t="n">
        <v>0</v>
      </c>
      <c r="AD308" s="32" t="n">
        <v>0</v>
      </c>
      <c r="AE308" s="31" t="n">
        <v>0</v>
      </c>
      <c r="AF308" s="32" t="n">
        <v>0</v>
      </c>
      <c r="AG308" s="31" t="n">
        <v>0</v>
      </c>
      <c r="AH308" s="32" t="n">
        <v>54</v>
      </c>
      <c r="AI308" s="31" t="n">
        <v>56.2</v>
      </c>
      <c r="AJ308" s="31" t="n">
        <v>47.5</v>
      </c>
      <c r="AK308" s="31" t="n">
        <v>3</v>
      </c>
      <c r="AL308" s="30" t="inlineStr">
        <is>
          <t>T-0457</t>
        </is>
      </c>
      <c r="AM308" s="30" t="inlineStr">
        <is>
          <t>H-05-03</t>
        </is>
      </c>
      <c r="AN308" s="30" t="inlineStr">
        <is>
          <t>T-0379</t>
        </is>
      </c>
      <c r="AO308" s="30" t="inlineStr">
        <is>
          <t>H-01-03</t>
        </is>
      </c>
    </row>
    <row r="309">
      <c r="A309" s="30" t="inlineStr">
        <is>
          <t>O0308</t>
        </is>
      </c>
      <c r="B309" s="30" t="inlineStr">
        <is>
          <t>E</t>
        </is>
      </c>
      <c r="C309" s="31" t="n">
        <v>4510.3</v>
      </c>
      <c r="D309" s="31" t="n">
        <v>11009.5</v>
      </c>
      <c r="E309" s="31" t="n">
        <v>11033</v>
      </c>
      <c r="F309" s="31" t="n">
        <v>11047</v>
      </c>
      <c r="G309" s="31" t="n">
        <v>11072.5</v>
      </c>
      <c r="H309" s="31" t="n">
        <v>11952</v>
      </c>
      <c r="I309" s="31" t="n">
        <v>11967.2</v>
      </c>
      <c r="J309" s="31" t="n">
        <v>11998.3</v>
      </c>
      <c r="K309" s="31" t="n">
        <v>7488</v>
      </c>
      <c r="L309" s="31" t="n">
        <v>6499.2</v>
      </c>
      <c r="M309" s="30" t="inlineStr">
        <is>
          <t>AMR1</t>
        </is>
      </c>
      <c r="N309" s="30" t="inlineStr">
        <is>
          <t>AMR2</t>
        </is>
      </c>
      <c r="O309" s="32" t="n">
        <v>1</v>
      </c>
      <c r="P309" s="32" t="n">
        <v>25</v>
      </c>
      <c r="Q309" s="32" t="n">
        <v>1</v>
      </c>
      <c r="R309" s="31" t="n">
        <v>61.1</v>
      </c>
      <c r="S309" s="31" t="n">
        <v>55.5</v>
      </c>
      <c r="T309" s="30" t="inlineStr">
        <is>
          <t>AMR2</t>
        </is>
      </c>
      <c r="U309" s="31" t="n">
        <v>47</v>
      </c>
      <c r="V309" s="31" t="n">
        <v>47</v>
      </c>
      <c r="W309" s="30" t="inlineStr">
        <is>
          <t>AMR2</t>
        </is>
      </c>
      <c r="X309" s="32" t="n">
        <v>1</v>
      </c>
      <c r="Y309" s="32" t="n">
        <v>11</v>
      </c>
      <c r="Z309" s="31" t="n">
        <v>5.6</v>
      </c>
      <c r="AA309" s="32" t="n">
        <v>0</v>
      </c>
      <c r="AB309" s="32" t="n">
        <v>0</v>
      </c>
      <c r="AC309" s="32" t="n">
        <v>0</v>
      </c>
      <c r="AD309" s="32" t="n">
        <v>0</v>
      </c>
      <c r="AE309" s="31" t="n">
        <v>0</v>
      </c>
      <c r="AF309" s="32" t="n">
        <v>0</v>
      </c>
      <c r="AG309" s="31" t="n">
        <v>0</v>
      </c>
      <c r="AH309" s="32" t="n">
        <v>66</v>
      </c>
      <c r="AI309" s="31" t="n">
        <v>65.40000000000001</v>
      </c>
      <c r="AJ309" s="31" t="n">
        <v>43.9</v>
      </c>
      <c r="AK309" s="31" t="n">
        <v>0</v>
      </c>
      <c r="AL309" s="30" t="inlineStr">
        <is>
          <t>T-0454</t>
        </is>
      </c>
      <c r="AM309" s="30" t="inlineStr">
        <is>
          <t>E-01-02</t>
        </is>
      </c>
      <c r="AN309" s="30" t="inlineStr">
        <is>
          <t>T-0216</t>
        </is>
      </c>
      <c r="AO309" s="30" t="inlineStr">
        <is>
          <t>E-02-02</t>
        </is>
      </c>
    </row>
    <row r="310">
      <c r="A310" s="30" t="inlineStr">
        <is>
          <t>O0309</t>
        </is>
      </c>
      <c r="B310" s="30" t="inlineStr">
        <is>
          <t>H</t>
        </is>
      </c>
      <c r="C310" s="31" t="n">
        <v>4515.5</v>
      </c>
      <c r="D310" s="31" t="n">
        <v>11049.5</v>
      </c>
      <c r="E310" s="31" t="n">
        <v>11073</v>
      </c>
      <c r="F310" s="31" t="n">
        <v>11085.5</v>
      </c>
      <c r="G310" s="31" t="n">
        <v>11111.9</v>
      </c>
      <c r="H310" s="31" t="n">
        <v>11306.1</v>
      </c>
      <c r="I310" s="31" t="n">
        <v>11332.7</v>
      </c>
      <c r="J310" s="31" t="n">
        <v>11361</v>
      </c>
      <c r="K310" s="31" t="n">
        <v>6845.5</v>
      </c>
      <c r="L310" s="31" t="n">
        <v>6534</v>
      </c>
      <c r="M310" s="30" t="inlineStr">
        <is>
          <t>AMR2</t>
        </is>
      </c>
      <c r="N310" s="30" t="inlineStr">
        <is>
          <t>AMR3</t>
        </is>
      </c>
      <c r="O310" s="32" t="n">
        <v>1</v>
      </c>
      <c r="P310" s="32" t="n">
        <v>25</v>
      </c>
      <c r="Q310" s="32" t="n">
        <v>14</v>
      </c>
      <c r="R310" s="31" t="n">
        <v>60.6</v>
      </c>
      <c r="S310" s="31" t="n">
        <v>57.5</v>
      </c>
      <c r="T310" s="30" t="inlineStr">
        <is>
          <t>AMR3</t>
        </is>
      </c>
      <c r="U310" s="31" t="n">
        <v>55.1</v>
      </c>
      <c r="V310" s="31" t="n">
        <v>55.1</v>
      </c>
      <c r="W310" s="30" t="inlineStr">
        <is>
          <t>AMR3</t>
        </is>
      </c>
      <c r="X310" s="32" t="n">
        <v>1</v>
      </c>
      <c r="Y310" s="32" t="n">
        <v>9</v>
      </c>
      <c r="Z310" s="31" t="n">
        <v>3.1</v>
      </c>
      <c r="AA310" s="32" t="n">
        <v>0</v>
      </c>
      <c r="AB310" s="32" t="n">
        <v>0</v>
      </c>
      <c r="AC310" s="32" t="n">
        <v>0</v>
      </c>
      <c r="AD310" s="32" t="n">
        <v>0</v>
      </c>
      <c r="AE310" s="31" t="n">
        <v>0</v>
      </c>
      <c r="AF310" s="32" t="n">
        <v>0</v>
      </c>
      <c r="AG310" s="31" t="n">
        <v>0</v>
      </c>
      <c r="AH310" s="32" t="n">
        <v>65</v>
      </c>
      <c r="AI310" s="31" t="n">
        <v>67.5</v>
      </c>
      <c r="AJ310" s="31" t="n">
        <v>49.8</v>
      </c>
      <c r="AK310" s="31" t="n">
        <v>0</v>
      </c>
      <c r="AL310" s="30" t="inlineStr">
        <is>
          <t>T-0455</t>
        </is>
      </c>
      <c r="AM310" s="30" t="inlineStr">
        <is>
          <t>H-01-01</t>
        </is>
      </c>
      <c r="AN310" s="30" t="inlineStr">
        <is>
          <t>T-0382</t>
        </is>
      </c>
      <c r="AO310" s="30" t="inlineStr">
        <is>
          <t>H-02-03</t>
        </is>
      </c>
    </row>
    <row r="311">
      <c r="A311" s="30" t="inlineStr">
        <is>
          <t>O0310</t>
        </is>
      </c>
      <c r="B311" s="30" t="inlineStr">
        <is>
          <t>J</t>
        </is>
      </c>
      <c r="C311" s="31" t="n">
        <v>4519.7</v>
      </c>
      <c r="D311" s="31" t="n">
        <v>11935.3</v>
      </c>
      <c r="E311" s="31" t="n">
        <v>11958.8</v>
      </c>
      <c r="F311" s="31" t="n">
        <v>11972.7</v>
      </c>
      <c r="G311" s="31" t="n">
        <v>12006</v>
      </c>
      <c r="H311" s="31" t="n">
        <v>12006.1</v>
      </c>
      <c r="I311" s="31" t="n">
        <v>12018.6</v>
      </c>
      <c r="J311" s="31" t="n">
        <v>12049</v>
      </c>
      <c r="K311" s="31" t="n">
        <v>7529.3</v>
      </c>
      <c r="L311" s="31" t="n">
        <v>7415.6</v>
      </c>
      <c r="M311" s="30" t="inlineStr">
        <is>
          <t>AMR1</t>
        </is>
      </c>
      <c r="N311" s="30" t="inlineStr">
        <is>
          <t>AMR1</t>
        </is>
      </c>
      <c r="O311" s="32" t="n">
        <v>1</v>
      </c>
      <c r="P311" s="32" t="n">
        <v>25</v>
      </c>
      <c r="Q311" s="32" t="n">
        <v>1</v>
      </c>
      <c r="R311" s="31" t="n">
        <v>67.3</v>
      </c>
      <c r="S311" s="31" t="n">
        <v>67.3</v>
      </c>
      <c r="T311" s="30" t="inlineStr">
        <is>
          <t>AMR1</t>
        </is>
      </c>
      <c r="U311" s="31" t="n">
        <v>43.5</v>
      </c>
      <c r="V311" s="31" t="n">
        <v>43.5</v>
      </c>
      <c r="W311" s="30" t="inlineStr">
        <is>
          <t>AMR1</t>
        </is>
      </c>
      <c r="X311" s="32" t="n">
        <v>0</v>
      </c>
      <c r="Y311" s="32" t="n">
        <v>0</v>
      </c>
      <c r="Z311" s="31" t="n">
        <v>0</v>
      </c>
      <c r="AA311" s="32" t="n">
        <v>0</v>
      </c>
      <c r="AB311" s="32" t="n">
        <v>0</v>
      </c>
      <c r="AC311" s="32" t="n">
        <v>0</v>
      </c>
      <c r="AD311" s="32" t="n">
        <v>0</v>
      </c>
      <c r="AE311" s="31" t="n">
        <v>0</v>
      </c>
      <c r="AF311" s="32" t="n">
        <v>0</v>
      </c>
      <c r="AG311" s="31" t="n">
        <v>0</v>
      </c>
      <c r="AH311" s="32" t="n">
        <v>68</v>
      </c>
      <c r="AI311" s="31" t="n">
        <v>67.5</v>
      </c>
      <c r="AJ311" s="31" t="n">
        <v>46.1</v>
      </c>
      <c r="AK311" s="31" t="n">
        <v>0</v>
      </c>
      <c r="AL311" s="30" t="inlineStr">
        <is>
          <t>T-0479</t>
        </is>
      </c>
      <c r="AM311" s="30" t="inlineStr">
        <is>
          <t>J-05-01</t>
        </is>
      </c>
      <c r="AN311" s="30" t="inlineStr">
        <is>
          <t>T-0265</t>
        </is>
      </c>
      <c r="AO311" s="30" t="inlineStr">
        <is>
          <t>J-03-02</t>
        </is>
      </c>
    </row>
    <row r="312">
      <c r="A312" s="30" t="inlineStr">
        <is>
          <t>O0311</t>
        </is>
      </c>
      <c r="B312" s="30" t="inlineStr">
        <is>
          <t>I</t>
        </is>
      </c>
      <c r="C312" s="31" t="n">
        <v>4524.5</v>
      </c>
      <c r="D312" s="31" t="n">
        <v>11361.1</v>
      </c>
      <c r="E312" s="31" t="n">
        <v>11387.6</v>
      </c>
      <c r="F312" s="31" t="n">
        <v>11400.5</v>
      </c>
      <c r="G312" s="31" t="n">
        <v>11425.2</v>
      </c>
      <c r="H312" s="31" t="n">
        <v>11425.3</v>
      </c>
      <c r="I312" s="31" t="n">
        <v>11437</v>
      </c>
      <c r="J312" s="31" t="n">
        <v>11464.7</v>
      </c>
      <c r="K312" s="31" t="n">
        <v>6940.2</v>
      </c>
      <c r="L312" s="31" t="n">
        <v>6836.6</v>
      </c>
      <c r="M312" s="30" t="inlineStr">
        <is>
          <t>AMR3</t>
        </is>
      </c>
      <c r="N312" s="30" t="inlineStr">
        <is>
          <t>AMR3</t>
        </is>
      </c>
      <c r="O312" s="32" t="n">
        <v>1</v>
      </c>
      <c r="P312" s="32" t="n">
        <v>25</v>
      </c>
      <c r="Q312" s="32" t="n">
        <v>1</v>
      </c>
      <c r="R312" s="31" t="n">
        <v>57.7</v>
      </c>
      <c r="S312" s="31" t="n">
        <v>57.7</v>
      </c>
      <c r="T312" s="30" t="inlineStr">
        <is>
          <t>AMR3</t>
        </is>
      </c>
      <c r="U312" s="31" t="n">
        <v>36.5</v>
      </c>
      <c r="V312" s="31" t="n">
        <v>36.5</v>
      </c>
      <c r="W312" s="30" t="inlineStr">
        <is>
          <t>AMR3</t>
        </is>
      </c>
      <c r="X312" s="32" t="n">
        <v>0</v>
      </c>
      <c r="Y312" s="32" t="n">
        <v>0</v>
      </c>
      <c r="Z312" s="31" t="n">
        <v>0</v>
      </c>
      <c r="AA312" s="32" t="n">
        <v>0</v>
      </c>
      <c r="AB312" s="32" t="n">
        <v>0</v>
      </c>
      <c r="AC312" s="32" t="n">
        <v>0</v>
      </c>
      <c r="AD312" s="32" t="n">
        <v>0</v>
      </c>
      <c r="AE312" s="31" t="n">
        <v>0</v>
      </c>
      <c r="AF312" s="32" t="n">
        <v>0</v>
      </c>
      <c r="AG312" s="31" t="n">
        <v>0</v>
      </c>
      <c r="AH312" s="32" t="n">
        <v>58</v>
      </c>
      <c r="AI312" s="31" t="n">
        <v>60.4</v>
      </c>
      <c r="AJ312" s="31" t="n">
        <v>40.1</v>
      </c>
      <c r="AK312" s="31" t="n">
        <v>3</v>
      </c>
      <c r="AL312" s="30" t="inlineStr">
        <is>
          <t>T-0463</t>
        </is>
      </c>
      <c r="AM312" s="30" t="inlineStr">
        <is>
          <t>I-05-01</t>
        </is>
      </c>
      <c r="AN312" s="30" t="inlineStr">
        <is>
          <t>T-0388</t>
        </is>
      </c>
      <c r="AO312" s="30" t="inlineStr">
        <is>
          <t>I-06-01</t>
        </is>
      </c>
    </row>
    <row r="313">
      <c r="A313" s="30" t="inlineStr">
        <is>
          <t>O0312</t>
        </is>
      </c>
      <c r="B313" s="30" t="inlineStr">
        <is>
          <t>H</t>
        </is>
      </c>
      <c r="C313" s="31" t="n">
        <v>4528</v>
      </c>
      <c r="D313" s="31" t="n">
        <v>11340.2</v>
      </c>
      <c r="E313" s="31" t="n">
        <v>11363.7</v>
      </c>
      <c r="F313" s="31" t="n">
        <v>11379.6</v>
      </c>
      <c r="G313" s="31" t="n">
        <v>11406.7</v>
      </c>
      <c r="H313" s="31" t="n">
        <v>11461.4</v>
      </c>
      <c r="I313" s="31" t="n">
        <v>11475.1</v>
      </c>
      <c r="J313" s="31" t="n">
        <v>11515.6</v>
      </c>
      <c r="K313" s="31" t="n">
        <v>6987.6</v>
      </c>
      <c r="L313" s="31" t="n">
        <v>6812.2</v>
      </c>
      <c r="M313" s="30" t="inlineStr">
        <is>
          <t>AMR1</t>
        </is>
      </c>
      <c r="N313" s="30" t="inlineStr">
        <is>
          <t>AMR1</t>
        </is>
      </c>
      <c r="O313" s="32" t="n">
        <v>1</v>
      </c>
      <c r="P313" s="32" t="n">
        <v>25</v>
      </c>
      <c r="Q313" s="32" t="n">
        <v>1</v>
      </c>
      <c r="R313" s="31" t="n">
        <v>64.7</v>
      </c>
      <c r="S313" s="31" t="n">
        <v>64.7</v>
      </c>
      <c r="T313" s="30" t="inlineStr">
        <is>
          <t>AMR1</t>
        </is>
      </c>
      <c r="U313" s="31" t="n">
        <v>37.1</v>
      </c>
      <c r="V313" s="31" t="n">
        <v>37.1</v>
      </c>
      <c r="W313" s="30" t="inlineStr">
        <is>
          <t>AMR1</t>
        </is>
      </c>
      <c r="X313" s="32" t="n">
        <v>0</v>
      </c>
      <c r="Y313" s="32" t="n">
        <v>0</v>
      </c>
      <c r="Z313" s="31" t="n">
        <v>0</v>
      </c>
      <c r="AA313" s="32" t="n">
        <v>0</v>
      </c>
      <c r="AB313" s="32" t="n">
        <v>0</v>
      </c>
      <c r="AC313" s="32" t="n">
        <v>0</v>
      </c>
      <c r="AD313" s="32" t="n">
        <v>2</v>
      </c>
      <c r="AE313" s="31" t="n">
        <v>14.6</v>
      </c>
      <c r="AF313" s="32" t="n">
        <v>1</v>
      </c>
      <c r="AG313" s="31" t="n">
        <v>8</v>
      </c>
      <c r="AH313" s="32" t="n">
        <v>54</v>
      </c>
      <c r="AI313" s="31" t="n">
        <v>57.9</v>
      </c>
      <c r="AJ313" s="31" t="n">
        <v>48.2</v>
      </c>
      <c r="AK313" s="31" t="n">
        <v>14.6</v>
      </c>
      <c r="AL313" s="30" t="inlineStr">
        <is>
          <t>T-0462</t>
        </is>
      </c>
      <c r="AM313" s="30" t="inlineStr">
        <is>
          <t>H-01-03</t>
        </is>
      </c>
      <c r="AN313" s="30" t="inlineStr">
        <is>
          <t>T-0385</t>
        </is>
      </c>
      <c r="AO313" s="30" t="inlineStr">
        <is>
          <t>H-06-01</t>
        </is>
      </c>
    </row>
    <row r="314">
      <c r="A314" s="30" t="inlineStr">
        <is>
          <t>O0313</t>
        </is>
      </c>
      <c r="B314" s="30" t="inlineStr">
        <is>
          <t>A</t>
        </is>
      </c>
      <c r="C314" s="31" t="n">
        <v>4532.1</v>
      </c>
      <c r="D314" s="31" t="n">
        <v>11153.4</v>
      </c>
      <c r="E314" s="31" t="n">
        <v>11176.9</v>
      </c>
      <c r="F314" s="31" t="n">
        <v>11191.6</v>
      </c>
      <c r="G314" s="31" t="n">
        <v>11219.4</v>
      </c>
      <c r="H314" s="31" t="n">
        <v>11455.4</v>
      </c>
      <c r="I314" s="31" t="n">
        <v>11465.3</v>
      </c>
      <c r="J314" s="31" t="n">
        <v>11501.3</v>
      </c>
      <c r="K314" s="31" t="n">
        <v>6969.2</v>
      </c>
      <c r="L314" s="31" t="n">
        <v>6621.3</v>
      </c>
      <c r="M314" s="30" t="inlineStr">
        <is>
          <t>AMR2</t>
        </is>
      </c>
      <c r="N314" s="30" t="inlineStr">
        <is>
          <t>AMR2</t>
        </is>
      </c>
      <c r="O314" s="32" t="n">
        <v>1</v>
      </c>
      <c r="P314" s="32" t="n">
        <v>25</v>
      </c>
      <c r="Q314" s="32" t="n">
        <v>0</v>
      </c>
      <c r="R314" s="31" t="n">
        <v>62.5</v>
      </c>
      <c r="S314" s="31" t="n">
        <v>62.2</v>
      </c>
      <c r="T314" s="30" t="inlineStr">
        <is>
          <t>AMR3</t>
        </is>
      </c>
      <c r="U314" s="31" t="n">
        <v>46.6</v>
      </c>
      <c r="V314" s="31" t="n">
        <v>46.6</v>
      </c>
      <c r="W314" s="30" t="inlineStr">
        <is>
          <t>AMR2</t>
        </is>
      </c>
      <c r="X314" s="32" t="n">
        <v>1</v>
      </c>
      <c r="Y314" s="32" t="n">
        <v>13</v>
      </c>
      <c r="Z314" s="31" t="n">
        <v>0.3</v>
      </c>
      <c r="AA314" s="32" t="n">
        <v>0</v>
      </c>
      <c r="AB314" s="32" t="n">
        <v>0</v>
      </c>
      <c r="AC314" s="32" t="n">
        <v>0</v>
      </c>
      <c r="AD314" s="32" t="n">
        <v>0</v>
      </c>
      <c r="AE314" s="31" t="n">
        <v>0</v>
      </c>
      <c r="AF314" s="32" t="n">
        <v>0</v>
      </c>
      <c r="AG314" s="31" t="n">
        <v>0</v>
      </c>
      <c r="AH314" s="32" t="n">
        <v>71</v>
      </c>
      <c r="AI314" s="31" t="n">
        <v>69.5</v>
      </c>
      <c r="AJ314" s="31" t="n">
        <v>42.4</v>
      </c>
      <c r="AK314" s="31" t="n">
        <v>0</v>
      </c>
      <c r="AL314" s="30" t="inlineStr">
        <is>
          <t>T-0458</t>
        </is>
      </c>
      <c r="AM314" s="30" t="inlineStr">
        <is>
          <t>A-01-02</t>
        </is>
      </c>
      <c r="AN314" s="30" t="inlineStr">
        <is>
          <t>T-0214</t>
        </is>
      </c>
      <c r="AO314" s="30" t="inlineStr">
        <is>
          <t>A-04-01</t>
        </is>
      </c>
    </row>
    <row r="315">
      <c r="A315" s="30" t="inlineStr">
        <is>
          <t>O0314</t>
        </is>
      </c>
      <c r="B315" s="30" t="inlineStr">
        <is>
          <t>C</t>
        </is>
      </c>
      <c r="C315" s="31" t="n">
        <v>4536.3</v>
      </c>
      <c r="D315" s="31" t="n">
        <v>11204.1</v>
      </c>
      <c r="E315" s="31" t="n">
        <v>11227.6</v>
      </c>
      <c r="F315" s="31" t="n">
        <v>11244</v>
      </c>
      <c r="G315" s="31" t="n">
        <v>11264.5</v>
      </c>
      <c r="H315" s="31" t="n">
        <v>11264.6</v>
      </c>
      <c r="I315" s="31" t="n">
        <v>11276.2</v>
      </c>
      <c r="J315" s="31" t="n">
        <v>11306</v>
      </c>
      <c r="K315" s="31" t="n">
        <v>6769.7</v>
      </c>
      <c r="L315" s="31" t="n">
        <v>6667.8</v>
      </c>
      <c r="M315" s="30" t="inlineStr">
        <is>
          <t>AMR3</t>
        </is>
      </c>
      <c r="N315" s="30" t="inlineStr">
        <is>
          <t>AMR3</t>
        </is>
      </c>
      <c r="O315" s="32" t="n">
        <v>1</v>
      </c>
      <c r="P315" s="32" t="n">
        <v>25</v>
      </c>
      <c r="Q315" s="32" t="n">
        <v>2</v>
      </c>
      <c r="R315" s="31" t="n">
        <v>59.3</v>
      </c>
      <c r="S315" s="31" t="n">
        <v>59.3</v>
      </c>
      <c r="T315" s="30" t="inlineStr">
        <is>
          <t>AMR3</t>
        </is>
      </c>
      <c r="U315" s="31" t="n">
        <v>42.1</v>
      </c>
      <c r="V315" s="31" t="n">
        <v>42.1</v>
      </c>
      <c r="W315" s="30" t="inlineStr">
        <is>
          <t>AMR3</t>
        </is>
      </c>
      <c r="X315" s="32" t="n">
        <v>0</v>
      </c>
      <c r="Y315" s="32" t="n">
        <v>0</v>
      </c>
      <c r="Z315" s="31" t="n">
        <v>0</v>
      </c>
      <c r="AA315" s="32" t="n">
        <v>0</v>
      </c>
      <c r="AB315" s="32" t="n">
        <v>0</v>
      </c>
      <c r="AC315" s="32" t="n">
        <v>0</v>
      </c>
      <c r="AD315" s="32" t="n">
        <v>0</v>
      </c>
      <c r="AE315" s="31" t="n">
        <v>0</v>
      </c>
      <c r="AF315" s="32" t="n">
        <v>0</v>
      </c>
      <c r="AG315" s="31" t="n">
        <v>0</v>
      </c>
      <c r="AH315" s="32" t="n">
        <v>52</v>
      </c>
      <c r="AI315" s="31" t="n">
        <v>54.2</v>
      </c>
      <c r="AJ315" s="31" t="n">
        <v>47.6</v>
      </c>
      <c r="AK315" s="31" t="n">
        <v>0</v>
      </c>
      <c r="AL315" s="30" t="inlineStr">
        <is>
          <t>T-0459</t>
        </is>
      </c>
      <c r="AM315" s="30" t="inlineStr">
        <is>
          <t>C-06-02</t>
        </is>
      </c>
      <c r="AN315" s="30" t="inlineStr">
        <is>
          <t>T-0329</t>
        </is>
      </c>
      <c r="AO315" s="30" t="inlineStr">
        <is>
          <t>C-05-03</t>
        </is>
      </c>
    </row>
    <row r="316">
      <c r="A316" s="30" t="inlineStr">
        <is>
          <t>O0315</t>
        </is>
      </c>
      <c r="B316" s="30" t="inlineStr">
        <is>
          <t>E</t>
        </is>
      </c>
      <c r="C316" s="31" t="n">
        <v>4542.2</v>
      </c>
      <c r="D316" s="31" t="n">
        <v>11880.1</v>
      </c>
      <c r="E316" s="31" t="n">
        <v>11904.6</v>
      </c>
      <c r="F316" s="31" t="n">
        <v>11920.6</v>
      </c>
      <c r="G316" s="31" t="n">
        <v>11951.9</v>
      </c>
      <c r="H316" s="31" t="n">
        <v>12293.7</v>
      </c>
      <c r="I316" s="31" t="n">
        <v>12304</v>
      </c>
      <c r="J316" s="31" t="n">
        <v>12337.3</v>
      </c>
      <c r="K316" s="31" t="n">
        <v>7795.1</v>
      </c>
      <c r="L316" s="31" t="n">
        <v>7337.9</v>
      </c>
      <c r="M316" s="30" t="inlineStr">
        <is>
          <t>AMR2</t>
        </is>
      </c>
      <c r="N316" s="30" t="inlineStr">
        <is>
          <t>AMR2</t>
        </is>
      </c>
      <c r="O316" s="32" t="n">
        <v>1</v>
      </c>
      <c r="P316" s="32" t="n">
        <v>25</v>
      </c>
      <c r="Q316" s="32" t="n">
        <v>1</v>
      </c>
      <c r="R316" s="31" t="n">
        <v>67.3</v>
      </c>
      <c r="S316" s="31" t="n">
        <v>67.3</v>
      </c>
      <c r="T316" s="30" t="inlineStr">
        <is>
          <t>AMR2</t>
        </is>
      </c>
      <c r="U316" s="31" t="n">
        <v>42.8</v>
      </c>
      <c r="V316" s="31" t="n">
        <v>42.8</v>
      </c>
      <c r="W316" s="30" t="inlineStr">
        <is>
          <t>AMR2</t>
        </is>
      </c>
      <c r="X316" s="32" t="n">
        <v>0</v>
      </c>
      <c r="Y316" s="32" t="n">
        <v>0</v>
      </c>
      <c r="Z316" s="31" t="n">
        <v>0</v>
      </c>
      <c r="AA316" s="32" t="n">
        <v>0</v>
      </c>
      <c r="AB316" s="32" t="n">
        <v>0</v>
      </c>
      <c r="AC316" s="32" t="n">
        <v>0</v>
      </c>
      <c r="AD316" s="32" t="n">
        <v>0</v>
      </c>
      <c r="AE316" s="31" t="n">
        <v>0</v>
      </c>
      <c r="AF316" s="32" t="n">
        <v>0</v>
      </c>
      <c r="AG316" s="31" t="n">
        <v>0</v>
      </c>
      <c r="AH316" s="32" t="n">
        <v>70</v>
      </c>
      <c r="AI316" s="31" t="n">
        <v>68.5</v>
      </c>
      <c r="AJ316" s="31" t="n">
        <v>45.9</v>
      </c>
      <c r="AK316" s="31" t="n">
        <v>1</v>
      </c>
      <c r="AL316" s="30" t="inlineStr">
        <is>
          <t>T-0478</t>
        </is>
      </c>
      <c r="AM316" s="30" t="inlineStr">
        <is>
          <t>E-05-01</t>
        </is>
      </c>
      <c r="AN316" s="30" t="inlineStr">
        <is>
          <t>T-0241</t>
        </is>
      </c>
      <c r="AO316" s="30" t="inlineStr">
        <is>
          <t>E-05-02</t>
        </is>
      </c>
    </row>
    <row r="317">
      <c r="A317" s="30" t="inlineStr">
        <is>
          <t>O0316</t>
        </is>
      </c>
      <c r="B317" s="30" t="inlineStr">
        <is>
          <t>D</t>
        </is>
      </c>
      <c r="C317" s="31" t="n">
        <v>4547.7</v>
      </c>
      <c r="D317" s="31" t="n">
        <v>11267.9</v>
      </c>
      <c r="E317" s="31" t="n">
        <v>11291.4</v>
      </c>
      <c r="F317" s="31" t="n">
        <v>11305.1</v>
      </c>
      <c r="G317" s="31" t="n">
        <v>11326.7</v>
      </c>
      <c r="H317" s="31" t="n">
        <v>11326.8</v>
      </c>
      <c r="I317" s="31" t="n">
        <v>11338.8</v>
      </c>
      <c r="J317" s="31" t="n">
        <v>11376.8</v>
      </c>
      <c r="K317" s="31" t="n">
        <v>6829.1</v>
      </c>
      <c r="L317" s="31" t="n">
        <v>6720.2</v>
      </c>
      <c r="M317" s="30" t="inlineStr">
        <is>
          <t>AMR2</t>
        </is>
      </c>
      <c r="N317" s="30" t="inlineStr">
        <is>
          <t>AMR2</t>
        </is>
      </c>
      <c r="O317" s="32" t="n">
        <v>1</v>
      </c>
      <c r="P317" s="32" t="n">
        <v>25</v>
      </c>
      <c r="Q317" s="32" t="n">
        <v>1</v>
      </c>
      <c r="R317" s="31" t="n">
        <v>56.9</v>
      </c>
      <c r="S317" s="31" t="n">
        <v>56.9</v>
      </c>
      <c r="T317" s="30" t="inlineStr">
        <is>
          <t>AMR2</t>
        </is>
      </c>
      <c r="U317" s="31" t="n">
        <v>39.5</v>
      </c>
      <c r="V317" s="31" t="n">
        <v>39.5</v>
      </c>
      <c r="W317" s="30" t="inlineStr">
        <is>
          <t>AMR2</t>
        </is>
      </c>
      <c r="X317" s="32" t="n">
        <v>0</v>
      </c>
      <c r="Y317" s="32" t="n">
        <v>0</v>
      </c>
      <c r="Z317" s="31" t="n">
        <v>0</v>
      </c>
      <c r="AA317" s="32" t="n">
        <v>0</v>
      </c>
      <c r="AB317" s="32" t="n">
        <v>0</v>
      </c>
      <c r="AC317" s="32" t="n">
        <v>0</v>
      </c>
      <c r="AD317" s="32" t="n">
        <v>1</v>
      </c>
      <c r="AE317" s="31" t="n">
        <v>10.2</v>
      </c>
      <c r="AF317" s="32" t="n">
        <v>1</v>
      </c>
      <c r="AG317" s="31" t="n">
        <v>5.2</v>
      </c>
      <c r="AH317" s="32" t="n">
        <v>54</v>
      </c>
      <c r="AI317" s="31" t="n">
        <v>55.8</v>
      </c>
      <c r="AJ317" s="31" t="n">
        <v>42.8</v>
      </c>
      <c r="AK317" s="31" t="n">
        <v>10.2</v>
      </c>
      <c r="AL317" s="30" t="inlineStr">
        <is>
          <t>T-0461</t>
        </is>
      </c>
      <c r="AM317" s="30" t="inlineStr">
        <is>
          <t>D-01-02</t>
        </is>
      </c>
      <c r="AN317" s="30" t="inlineStr">
        <is>
          <t>T-0372</t>
        </is>
      </c>
      <c r="AO317" s="30" t="inlineStr">
        <is>
          <t>D-03-02</t>
        </is>
      </c>
    </row>
    <row r="318">
      <c r="A318" s="30" t="inlineStr">
        <is>
          <t>O0317</t>
        </is>
      </c>
      <c r="B318" s="30" t="inlineStr">
        <is>
          <t>J</t>
        </is>
      </c>
      <c r="C318" s="31" t="n">
        <v>4551.7</v>
      </c>
      <c r="D318" s="31" t="n">
        <v>11464.8</v>
      </c>
      <c r="E318" s="31" t="n">
        <v>11488.3</v>
      </c>
      <c r="F318" s="31" t="n">
        <v>11499.8</v>
      </c>
      <c r="G318" s="31" t="n">
        <v>11534</v>
      </c>
      <c r="H318" s="31" t="n">
        <v>11534.1</v>
      </c>
      <c r="I318" s="31" t="n">
        <v>11545.4</v>
      </c>
      <c r="J318" s="31" t="n">
        <v>11578.2</v>
      </c>
      <c r="K318" s="31" t="n">
        <v>7026.5</v>
      </c>
      <c r="L318" s="31" t="n">
        <v>6913.1</v>
      </c>
      <c r="M318" s="30" t="inlineStr">
        <is>
          <t>AMR3</t>
        </is>
      </c>
      <c r="N318" s="30" t="inlineStr">
        <is>
          <t>AMR3</t>
        </is>
      </c>
      <c r="O318" s="32" t="n">
        <v>1</v>
      </c>
      <c r="P318" s="32" t="n">
        <v>25</v>
      </c>
      <c r="Q318" s="32" t="n">
        <v>2</v>
      </c>
      <c r="R318" s="31" t="n">
        <v>65</v>
      </c>
      <c r="S318" s="31" t="n">
        <v>65</v>
      </c>
      <c r="T318" s="30" t="inlineStr">
        <is>
          <t>AMR3</t>
        </is>
      </c>
      <c r="U318" s="31" t="n">
        <v>44.8</v>
      </c>
      <c r="V318" s="31" t="n">
        <v>44.8</v>
      </c>
      <c r="W318" s="30" t="inlineStr">
        <is>
          <t>AMR3</t>
        </is>
      </c>
      <c r="X318" s="32" t="n">
        <v>0</v>
      </c>
      <c r="Y318" s="32" t="n">
        <v>0</v>
      </c>
      <c r="Z318" s="31" t="n">
        <v>0</v>
      </c>
      <c r="AA318" s="32" t="n">
        <v>0</v>
      </c>
      <c r="AB318" s="32" t="n">
        <v>0</v>
      </c>
      <c r="AC318" s="32" t="n">
        <v>0</v>
      </c>
      <c r="AD318" s="32" t="n">
        <v>0</v>
      </c>
      <c r="AE318" s="31" t="n">
        <v>0</v>
      </c>
      <c r="AF318" s="32" t="n">
        <v>0</v>
      </c>
      <c r="AG318" s="31" t="n">
        <v>0</v>
      </c>
      <c r="AH318" s="32" t="n">
        <v>70</v>
      </c>
      <c r="AI318" s="31" t="n">
        <v>68.90000000000001</v>
      </c>
      <c r="AJ318" s="31" t="n">
        <v>44.4</v>
      </c>
      <c r="AK318" s="31" t="n">
        <v>0</v>
      </c>
      <c r="AL318" s="30" t="inlineStr">
        <is>
          <t>T-0466</t>
        </is>
      </c>
      <c r="AM318" s="30" t="inlineStr">
        <is>
          <t>J-06-01</t>
        </is>
      </c>
      <c r="AN318" s="30" t="inlineStr">
        <is>
          <t>T-0244</t>
        </is>
      </c>
      <c r="AO318" s="30" t="inlineStr">
        <is>
          <t>J-02-02</t>
        </is>
      </c>
    </row>
    <row r="319">
      <c r="A319" s="30" t="inlineStr">
        <is>
          <t>O0318</t>
        </is>
      </c>
      <c r="B319" s="30" t="inlineStr">
        <is>
          <t>J</t>
        </is>
      </c>
      <c r="C319" s="31" t="n">
        <v>4558</v>
      </c>
      <c r="D319" s="31" t="n">
        <v>11682.2</v>
      </c>
      <c r="E319" s="31" t="n">
        <v>11705.7</v>
      </c>
      <c r="F319" s="31" t="n">
        <v>11719.6</v>
      </c>
      <c r="G319" s="31" t="n">
        <v>11749.9</v>
      </c>
      <c r="H319" s="31" t="n">
        <v>11750</v>
      </c>
      <c r="I319" s="31" t="n">
        <v>11761.6</v>
      </c>
      <c r="J319" s="31" t="n">
        <v>11796.1</v>
      </c>
      <c r="K319" s="31" t="n">
        <v>7238.1</v>
      </c>
      <c r="L319" s="31" t="n">
        <v>7124.2</v>
      </c>
      <c r="M319" s="30" t="inlineStr">
        <is>
          <t>AMR3</t>
        </is>
      </c>
      <c r="N319" s="30" t="inlineStr">
        <is>
          <t>AMR3</t>
        </is>
      </c>
      <c r="O319" s="32" t="n">
        <v>1</v>
      </c>
      <c r="P319" s="32" t="n">
        <v>25</v>
      </c>
      <c r="Q319" s="32" t="n">
        <v>1</v>
      </c>
      <c r="R319" s="31" t="n">
        <v>65.90000000000001</v>
      </c>
      <c r="S319" s="31" t="n">
        <v>65.90000000000001</v>
      </c>
      <c r="T319" s="30" t="inlineStr">
        <is>
          <t>AMR3</t>
        </is>
      </c>
      <c r="U319" s="31" t="n">
        <v>44.3</v>
      </c>
      <c r="V319" s="31" t="n">
        <v>44.3</v>
      </c>
      <c r="W319" s="30" t="inlineStr">
        <is>
          <t>AMR3</t>
        </is>
      </c>
      <c r="X319" s="32" t="n">
        <v>0</v>
      </c>
      <c r="Y319" s="32" t="n">
        <v>0</v>
      </c>
      <c r="Z319" s="31" t="n">
        <v>0</v>
      </c>
      <c r="AA319" s="32" t="n">
        <v>0</v>
      </c>
      <c r="AB319" s="32" t="n">
        <v>0</v>
      </c>
      <c r="AC319" s="32" t="n">
        <v>0</v>
      </c>
      <c r="AD319" s="32" t="n">
        <v>0</v>
      </c>
      <c r="AE319" s="31" t="n">
        <v>0</v>
      </c>
      <c r="AF319" s="32" t="n">
        <v>0</v>
      </c>
      <c r="AG319" s="31" t="n">
        <v>0</v>
      </c>
      <c r="AH319" s="32" t="n">
        <v>68</v>
      </c>
      <c r="AI319" s="31" t="n">
        <v>68.3</v>
      </c>
      <c r="AJ319" s="31" t="n">
        <v>45.5</v>
      </c>
      <c r="AK319" s="31" t="n">
        <v>0</v>
      </c>
      <c r="AL319" s="30" t="inlineStr">
        <is>
          <t>T-0473</t>
        </is>
      </c>
      <c r="AM319" s="30" t="inlineStr">
        <is>
          <t>J-01-02</t>
        </is>
      </c>
      <c r="AN319" s="30" t="inlineStr">
        <is>
          <t>T-0247</t>
        </is>
      </c>
      <c r="AO319" s="30" t="inlineStr">
        <is>
          <t>J-05-01</t>
        </is>
      </c>
    </row>
    <row r="320">
      <c r="A320" s="30" t="inlineStr">
        <is>
          <t>O0319</t>
        </is>
      </c>
      <c r="B320" s="30" t="inlineStr">
        <is>
          <t>A</t>
        </is>
      </c>
      <c r="C320" s="31" t="n">
        <v>4561.2</v>
      </c>
      <c r="D320" s="31" t="n">
        <v>11376.9</v>
      </c>
      <c r="E320" s="31" t="n">
        <v>11411.4</v>
      </c>
      <c r="F320" s="31" t="n">
        <v>11426.8</v>
      </c>
      <c r="G320" s="31" t="n">
        <v>11455.3</v>
      </c>
      <c r="H320" s="31" t="n">
        <v>12739.4</v>
      </c>
      <c r="I320" s="31" t="n">
        <v>12753.1</v>
      </c>
      <c r="J320" s="31" t="n">
        <v>12784.7</v>
      </c>
      <c r="K320" s="31" t="n">
        <v>8223.5</v>
      </c>
      <c r="L320" s="31" t="n">
        <v>6815.7</v>
      </c>
      <c r="M320" s="30" t="inlineStr">
        <is>
          <t>AMR2</t>
        </is>
      </c>
      <c r="N320" s="30" t="inlineStr">
        <is>
          <t>AMR3</t>
        </is>
      </c>
      <c r="O320" s="32" t="n">
        <v>1</v>
      </c>
      <c r="P320" s="32" t="n">
        <v>25</v>
      </c>
      <c r="Q320" s="32" t="n">
        <v>1</v>
      </c>
      <c r="R320" s="31" t="n">
        <v>64.7</v>
      </c>
      <c r="S320" s="31" t="n">
        <v>64.7</v>
      </c>
      <c r="T320" s="30" t="inlineStr">
        <is>
          <t>AMR2</t>
        </is>
      </c>
      <c r="U320" s="31" t="n">
        <v>47.5</v>
      </c>
      <c r="V320" s="31" t="n">
        <v>47.5</v>
      </c>
      <c r="W320" s="30" t="inlineStr">
        <is>
          <t>AMR3</t>
        </is>
      </c>
      <c r="X320" s="32" t="n">
        <v>0</v>
      </c>
      <c r="Y320" s="32" t="n">
        <v>0</v>
      </c>
      <c r="Z320" s="31" t="n">
        <v>0</v>
      </c>
      <c r="AA320" s="32" t="n">
        <v>0</v>
      </c>
      <c r="AB320" s="32" t="n">
        <v>0</v>
      </c>
      <c r="AC320" s="32" t="n">
        <v>0</v>
      </c>
      <c r="AD320" s="32" t="n">
        <v>0</v>
      </c>
      <c r="AE320" s="31" t="n">
        <v>0</v>
      </c>
      <c r="AF320" s="32" t="n">
        <v>1</v>
      </c>
      <c r="AG320" s="31" t="n">
        <v>6</v>
      </c>
      <c r="AH320" s="32" t="n">
        <v>69</v>
      </c>
      <c r="AI320" s="31" t="n">
        <v>67.90000000000001</v>
      </c>
      <c r="AJ320" s="31" t="n">
        <v>44.8</v>
      </c>
      <c r="AK320" s="31" t="n">
        <v>11</v>
      </c>
      <c r="AL320" s="30" t="inlineStr">
        <is>
          <t>T-0464</t>
        </is>
      </c>
      <c r="AM320" s="30" t="inlineStr">
        <is>
          <t>A-03-02</t>
        </is>
      </c>
      <c r="AN320" s="30" t="inlineStr">
        <is>
          <t>T-0221</t>
        </is>
      </c>
      <c r="AO320" s="30" t="inlineStr">
        <is>
          <t>A-06-01</t>
        </is>
      </c>
    </row>
    <row r="321">
      <c r="A321" s="30" t="inlineStr">
        <is>
          <t>O0320</t>
        </is>
      </c>
      <c r="B321" s="30" t="inlineStr">
        <is>
          <t>H</t>
        </is>
      </c>
      <c r="C321" s="31" t="n">
        <v>4567.1</v>
      </c>
      <c r="D321" s="31" t="n">
        <v>11406.8</v>
      </c>
      <c r="E321" s="31" t="n">
        <v>11425.8</v>
      </c>
      <c r="F321" s="31" t="n">
        <v>11439</v>
      </c>
      <c r="G321" s="31" t="n">
        <v>11461.3</v>
      </c>
      <c r="H321" s="31" t="n">
        <v>11501.4</v>
      </c>
      <c r="I321" s="31" t="n">
        <v>11527.4</v>
      </c>
      <c r="J321" s="31" t="n">
        <v>11552.5</v>
      </c>
      <c r="K321" s="31" t="n">
        <v>6985.4</v>
      </c>
      <c r="L321" s="31" t="n">
        <v>6839.7</v>
      </c>
      <c r="M321" s="30" t="inlineStr">
        <is>
          <t>AMR1</t>
        </is>
      </c>
      <c r="N321" s="30" t="inlineStr">
        <is>
          <t>AMR2</t>
        </is>
      </c>
      <c r="O321" s="32" t="n">
        <v>1</v>
      </c>
      <c r="P321" s="32" t="n">
        <v>14</v>
      </c>
      <c r="Q321" s="32" t="n">
        <v>14</v>
      </c>
      <c r="R321" s="31" t="n">
        <v>48.3</v>
      </c>
      <c r="S321" s="31" t="n">
        <v>48.3</v>
      </c>
      <c r="T321" s="30" t="inlineStr">
        <is>
          <t>AMR1</t>
        </is>
      </c>
      <c r="U321" s="31" t="n">
        <v>50.2</v>
      </c>
      <c r="V321" s="31" t="n">
        <v>50.2</v>
      </c>
      <c r="W321" s="30" t="inlineStr">
        <is>
          <t>AMR2</t>
        </is>
      </c>
      <c r="X321" s="32" t="n">
        <v>0</v>
      </c>
      <c r="Y321" s="32" t="n">
        <v>0</v>
      </c>
      <c r="Z321" s="31" t="n">
        <v>0</v>
      </c>
      <c r="AA321" s="32" t="n">
        <v>0</v>
      </c>
      <c r="AB321" s="32" t="n">
        <v>0</v>
      </c>
      <c r="AC321" s="32" t="n">
        <v>0</v>
      </c>
      <c r="AD321" s="32" t="n">
        <v>0</v>
      </c>
      <c r="AE321" s="31" t="n">
        <v>0</v>
      </c>
      <c r="AF321" s="32" t="n">
        <v>0</v>
      </c>
      <c r="AG321" s="31" t="n">
        <v>0</v>
      </c>
      <c r="AH321" s="32" t="n">
        <v>56</v>
      </c>
      <c r="AI321" s="31" t="n">
        <v>59.1</v>
      </c>
      <c r="AJ321" s="31" t="n">
        <v>41.5</v>
      </c>
      <c r="AK321" s="31" t="n">
        <v>5</v>
      </c>
      <c r="AL321" s="30" t="inlineStr">
        <is>
          <t>T-0465</t>
        </is>
      </c>
      <c r="AM321" s="30" t="inlineStr">
        <is>
          <t>H-02-03</t>
        </is>
      </c>
      <c r="AN321" s="30" t="inlineStr">
        <is>
          <t>T-0390</t>
        </is>
      </c>
      <c r="AO321" s="30" t="inlineStr">
        <is>
          <t>H-03-03</t>
        </is>
      </c>
    </row>
    <row r="322">
      <c r="A322" s="30" t="inlineStr">
        <is>
          <t>O0321</t>
        </is>
      </c>
      <c r="B322" s="30" t="inlineStr">
        <is>
          <t>D</t>
        </is>
      </c>
      <c r="C322" s="31" t="n">
        <v>4573.1</v>
      </c>
      <c r="D322" s="31" t="n">
        <v>11552.6</v>
      </c>
      <c r="E322" s="31" t="n">
        <v>11576.1</v>
      </c>
      <c r="F322" s="31" t="n">
        <v>11588.3</v>
      </c>
      <c r="G322" s="31" t="n">
        <v>11609</v>
      </c>
      <c r="H322" s="31" t="n">
        <v>11921</v>
      </c>
      <c r="I322" s="31" t="n">
        <v>11933.7</v>
      </c>
      <c r="J322" s="31" t="n">
        <v>11961.7</v>
      </c>
      <c r="K322" s="31" t="n">
        <v>7388.6</v>
      </c>
      <c r="L322" s="31" t="n">
        <v>6979.5</v>
      </c>
      <c r="M322" s="30" t="inlineStr">
        <is>
          <t>AMR2</t>
        </is>
      </c>
      <c r="N322" s="30" t="inlineStr">
        <is>
          <t>AMR3</t>
        </is>
      </c>
      <c r="O322" s="32" t="n">
        <v>1</v>
      </c>
      <c r="P322" s="32" t="n">
        <v>25</v>
      </c>
      <c r="Q322" s="32" t="n">
        <v>1</v>
      </c>
      <c r="R322" s="31" t="n">
        <v>54.5</v>
      </c>
      <c r="S322" s="31" t="n">
        <v>54.5</v>
      </c>
      <c r="T322" s="30" t="inlineStr">
        <is>
          <t>AMR2</t>
        </is>
      </c>
      <c r="U322" s="31" t="n">
        <v>40.4</v>
      </c>
      <c r="V322" s="31" t="n">
        <v>40.4</v>
      </c>
      <c r="W322" s="30" t="inlineStr">
        <is>
          <t>AMR3</t>
        </is>
      </c>
      <c r="X322" s="32" t="n">
        <v>0</v>
      </c>
      <c r="Y322" s="32" t="n">
        <v>0</v>
      </c>
      <c r="Z322" s="31" t="n">
        <v>0</v>
      </c>
      <c r="AA322" s="32" t="n">
        <v>0</v>
      </c>
      <c r="AB322" s="32" t="n">
        <v>0</v>
      </c>
      <c r="AC322" s="32" t="n">
        <v>0</v>
      </c>
      <c r="AD322" s="32" t="n">
        <v>0</v>
      </c>
      <c r="AE322" s="31" t="n">
        <v>0</v>
      </c>
      <c r="AF322" s="32" t="n">
        <v>0</v>
      </c>
      <c r="AG322" s="31" t="n">
        <v>0</v>
      </c>
      <c r="AH322" s="32" t="n">
        <v>54</v>
      </c>
      <c r="AI322" s="31" t="n">
        <v>55.8</v>
      </c>
      <c r="AJ322" s="31" t="n">
        <v>41.3</v>
      </c>
      <c r="AK322" s="31" t="n">
        <v>0</v>
      </c>
      <c r="AL322" s="30" t="inlineStr">
        <is>
          <t>T-0468</t>
        </is>
      </c>
      <c r="AM322" s="30" t="inlineStr">
        <is>
          <t>D-02-02</t>
        </is>
      </c>
      <c r="AN322" s="30" t="inlineStr">
        <is>
          <t>T-0378</t>
        </is>
      </c>
      <c r="AO322" s="30" t="inlineStr">
        <is>
          <t>D-01-03</t>
        </is>
      </c>
    </row>
    <row r="323">
      <c r="A323" s="30" t="inlineStr">
        <is>
          <t>O0322</t>
        </is>
      </c>
      <c r="B323" s="30" t="inlineStr">
        <is>
          <t>H</t>
        </is>
      </c>
      <c r="C323" s="31" t="n">
        <v>4579.6</v>
      </c>
      <c r="D323" s="31" t="n">
        <v>11578.3</v>
      </c>
      <c r="E323" s="31" t="n">
        <v>11601.8</v>
      </c>
      <c r="F323" s="31" t="n">
        <v>11614.8</v>
      </c>
      <c r="G323" s="31" t="n">
        <v>11640.3</v>
      </c>
      <c r="H323" s="31" t="n">
        <v>11640.4</v>
      </c>
      <c r="I323" s="31" t="n">
        <v>11656.5</v>
      </c>
      <c r="J323" s="31" t="n">
        <v>11682.1</v>
      </c>
      <c r="K323" s="31" t="n">
        <v>7102.5</v>
      </c>
      <c r="L323" s="31" t="n">
        <v>6998.7</v>
      </c>
      <c r="M323" s="30" t="inlineStr">
        <is>
          <t>AMR3</t>
        </is>
      </c>
      <c r="N323" s="30" t="inlineStr">
        <is>
          <t>AMR3</t>
        </is>
      </c>
      <c r="O323" s="32" t="n">
        <v>1</v>
      </c>
      <c r="P323" s="32" t="n">
        <v>25</v>
      </c>
      <c r="Q323" s="32" t="n">
        <v>2</v>
      </c>
      <c r="R323" s="31" t="n">
        <v>61</v>
      </c>
      <c r="S323" s="31" t="n">
        <v>61</v>
      </c>
      <c r="T323" s="30" t="inlineStr">
        <is>
          <t>AMR3</t>
        </is>
      </c>
      <c r="U323" s="31" t="n">
        <v>40.9</v>
      </c>
      <c r="V323" s="31" t="n">
        <v>40.9</v>
      </c>
      <c r="W323" s="30" t="inlineStr">
        <is>
          <t>AMR3</t>
        </is>
      </c>
      <c r="X323" s="32" t="n">
        <v>0</v>
      </c>
      <c r="Y323" s="32" t="n">
        <v>0</v>
      </c>
      <c r="Z323" s="31" t="n">
        <v>0</v>
      </c>
      <c r="AA323" s="32" t="n">
        <v>0</v>
      </c>
      <c r="AB323" s="32" t="n">
        <v>0</v>
      </c>
      <c r="AC323" s="32" t="n">
        <v>0</v>
      </c>
      <c r="AD323" s="32" t="n">
        <v>0</v>
      </c>
      <c r="AE323" s="31" t="n">
        <v>0</v>
      </c>
      <c r="AF323" s="32" t="n">
        <v>0</v>
      </c>
      <c r="AG323" s="31" t="n">
        <v>0</v>
      </c>
      <c r="AH323" s="32" t="n">
        <v>54</v>
      </c>
      <c r="AI323" s="31" t="n">
        <v>56.1</v>
      </c>
      <c r="AJ323" s="31" t="n">
        <v>47.6</v>
      </c>
      <c r="AK323" s="31" t="n">
        <v>0</v>
      </c>
      <c r="AL323" s="30" t="inlineStr">
        <is>
          <t>T-0469</t>
        </is>
      </c>
      <c r="AM323" s="30" t="inlineStr">
        <is>
          <t>H-06-01</t>
        </is>
      </c>
      <c r="AN323" s="30" t="inlineStr">
        <is>
          <t>T-0394</t>
        </is>
      </c>
      <c r="AO323" s="30" t="inlineStr">
        <is>
          <t>H-01-02</t>
        </is>
      </c>
    </row>
    <row r="324">
      <c r="A324" s="30" t="inlineStr">
        <is>
          <t>O0323</t>
        </is>
      </c>
      <c r="B324" s="30" t="inlineStr">
        <is>
          <t>F</t>
        </is>
      </c>
      <c r="C324" s="31" t="n">
        <v>4583.6</v>
      </c>
      <c r="D324" s="31" t="n">
        <v>11515.7</v>
      </c>
      <c r="E324" s="31" t="n">
        <v>11539.2</v>
      </c>
      <c r="F324" s="31" t="n">
        <v>11551.7</v>
      </c>
      <c r="G324" s="31" t="n">
        <v>11582.6</v>
      </c>
      <c r="H324" s="31" t="n">
        <v>11582.7</v>
      </c>
      <c r="I324" s="31" t="n">
        <v>11594.2</v>
      </c>
      <c r="J324" s="31" t="n">
        <v>11624.4</v>
      </c>
      <c r="K324" s="31" t="n">
        <v>7040.8</v>
      </c>
      <c r="L324" s="31" t="n">
        <v>6932.1</v>
      </c>
      <c r="M324" s="30" t="inlineStr">
        <is>
          <t>AMR1</t>
        </is>
      </c>
      <c r="N324" s="30" t="inlineStr">
        <is>
          <t>AMR1</t>
        </is>
      </c>
      <c r="O324" s="32" t="n">
        <v>1</v>
      </c>
      <c r="P324" s="32" t="n">
        <v>25</v>
      </c>
      <c r="Q324" s="32" t="n">
        <v>2</v>
      </c>
      <c r="R324" s="31" t="n">
        <v>65.90000000000001</v>
      </c>
      <c r="S324" s="31" t="n">
        <v>65.90000000000001</v>
      </c>
      <c r="T324" s="30" t="inlineStr">
        <is>
          <t>AMR1</t>
        </is>
      </c>
      <c r="U324" s="31" t="n">
        <v>42.9</v>
      </c>
      <c r="V324" s="31" t="n">
        <v>42.9</v>
      </c>
      <c r="W324" s="30" t="inlineStr">
        <is>
          <t>AMR1</t>
        </is>
      </c>
      <c r="X324" s="32" t="n">
        <v>0</v>
      </c>
      <c r="Y324" s="32" t="n">
        <v>0</v>
      </c>
      <c r="Z324" s="31" t="n">
        <v>0</v>
      </c>
      <c r="AA324" s="32" t="n">
        <v>0</v>
      </c>
      <c r="AB324" s="32" t="n">
        <v>0</v>
      </c>
      <c r="AC324" s="32" t="n">
        <v>0</v>
      </c>
      <c r="AD324" s="32" t="n">
        <v>0</v>
      </c>
      <c r="AE324" s="31" t="n">
        <v>0</v>
      </c>
      <c r="AF324" s="32" t="n">
        <v>0</v>
      </c>
      <c r="AG324" s="31" t="n">
        <v>0</v>
      </c>
      <c r="AH324" s="32" t="n">
        <v>68</v>
      </c>
      <c r="AI324" s="31" t="n">
        <v>68.40000000000001</v>
      </c>
      <c r="AJ324" s="31" t="n">
        <v>40.2</v>
      </c>
      <c r="AK324" s="31" t="n">
        <v>0</v>
      </c>
      <c r="AL324" s="30" t="inlineStr">
        <is>
          <t>T-0467</t>
        </is>
      </c>
      <c r="AM324" s="30" t="inlineStr">
        <is>
          <t>F-06-02</t>
        </is>
      </c>
      <c r="AN324" s="30" t="inlineStr">
        <is>
          <t>T-0278</t>
        </is>
      </c>
      <c r="AO324" s="30" t="inlineStr">
        <is>
          <t>F-04-03</t>
        </is>
      </c>
    </row>
    <row r="325">
      <c r="A325" s="30" t="inlineStr">
        <is>
          <t>O0324</t>
        </is>
      </c>
      <c r="B325" s="30" t="inlineStr">
        <is>
          <t>C</t>
        </is>
      </c>
      <c r="C325" s="31" t="n">
        <v>4589.6</v>
      </c>
      <c r="D325" s="31" t="n">
        <v>11609.1</v>
      </c>
      <c r="E325" s="31" t="n">
        <v>11621.1</v>
      </c>
      <c r="F325" s="31" t="n">
        <v>11634.6</v>
      </c>
      <c r="G325" s="31" t="n">
        <v>11655.3</v>
      </c>
      <c r="H325" s="31" t="n">
        <v>12935.8</v>
      </c>
      <c r="I325" s="31" t="n">
        <v>12949.9</v>
      </c>
      <c r="J325" s="31" t="n">
        <v>12978.6</v>
      </c>
      <c r="K325" s="31" t="n">
        <v>8389</v>
      </c>
      <c r="L325" s="31" t="n">
        <v>7019.5</v>
      </c>
      <c r="M325" s="30" t="inlineStr">
        <is>
          <t>AMR2</t>
        </is>
      </c>
      <c r="N325" s="30" t="inlineStr">
        <is>
          <t>AMR1</t>
        </is>
      </c>
      <c r="O325" s="32" t="n">
        <v>1</v>
      </c>
      <c r="P325" s="32" t="n">
        <v>12</v>
      </c>
      <c r="Q325" s="32" t="n">
        <v>1</v>
      </c>
      <c r="R325" s="31" t="n">
        <v>45.5</v>
      </c>
      <c r="S325" s="31" t="n">
        <v>45.5</v>
      </c>
      <c r="T325" s="30" t="inlineStr">
        <is>
          <t>AMR2</t>
        </is>
      </c>
      <c r="U325" s="31" t="n">
        <v>42.9</v>
      </c>
      <c r="V325" s="31" t="n">
        <v>42.9</v>
      </c>
      <c r="W325" s="30" t="inlineStr">
        <is>
          <t>AMR1</t>
        </is>
      </c>
      <c r="X325" s="32" t="n">
        <v>0</v>
      </c>
      <c r="Y325" s="32" t="n">
        <v>0</v>
      </c>
      <c r="Z325" s="31" t="n">
        <v>0</v>
      </c>
      <c r="AA325" s="32" t="n">
        <v>0</v>
      </c>
      <c r="AB325" s="32" t="n">
        <v>0</v>
      </c>
      <c r="AC325" s="32" t="n">
        <v>0</v>
      </c>
      <c r="AD325" s="32" t="n">
        <v>0</v>
      </c>
      <c r="AE325" s="31" t="n">
        <v>0</v>
      </c>
      <c r="AF325" s="32" t="n">
        <v>0</v>
      </c>
      <c r="AG325" s="31" t="n">
        <v>0</v>
      </c>
      <c r="AH325" s="32" t="n">
        <v>41</v>
      </c>
      <c r="AI325" s="31" t="n">
        <v>43.4</v>
      </c>
      <c r="AJ325" s="31" t="n">
        <v>45.6</v>
      </c>
      <c r="AK325" s="31" t="n">
        <v>0</v>
      </c>
      <c r="AL325" s="30" t="inlineStr">
        <is>
          <t>T-0470</t>
        </is>
      </c>
      <c r="AM325" s="30" t="inlineStr">
        <is>
          <t>C-01-03</t>
        </is>
      </c>
      <c r="AN325" s="30" t="inlineStr">
        <is>
          <t>T-0369</t>
        </is>
      </c>
      <c r="AO325" s="30" t="inlineStr">
        <is>
          <t>C-03-01</t>
        </is>
      </c>
    </row>
    <row r="326">
      <c r="A326" s="30" t="inlineStr">
        <is>
          <t>O0325</t>
        </is>
      </c>
      <c r="B326" s="30" t="inlineStr">
        <is>
          <t>D</t>
        </is>
      </c>
      <c r="C326" s="31" t="n">
        <v>4596.5</v>
      </c>
      <c r="D326" s="31" t="n">
        <v>11655.4</v>
      </c>
      <c r="E326" s="31" t="n">
        <v>11667.4</v>
      </c>
      <c r="F326" s="31" t="n">
        <v>11679</v>
      </c>
      <c r="G326" s="31" t="n">
        <v>11702.8</v>
      </c>
      <c r="H326" s="31" t="n">
        <v>11702.9</v>
      </c>
      <c r="I326" s="31" t="n">
        <v>11714.9</v>
      </c>
      <c r="J326" s="31" t="n">
        <v>11748.5</v>
      </c>
      <c r="K326" s="31" t="n">
        <v>7152</v>
      </c>
      <c r="L326" s="31" t="n">
        <v>7058.9</v>
      </c>
      <c r="M326" s="30" t="inlineStr">
        <is>
          <t>AMR2</t>
        </is>
      </c>
      <c r="N326" s="30" t="inlineStr">
        <is>
          <t>AMR2</t>
        </is>
      </c>
      <c r="O326" s="32" t="n">
        <v>1</v>
      </c>
      <c r="P326" s="32" t="n">
        <v>12</v>
      </c>
      <c r="Q326" s="32" t="n">
        <v>0</v>
      </c>
      <c r="R326" s="31" t="n">
        <v>45.3</v>
      </c>
      <c r="S326" s="31" t="n">
        <v>45.3</v>
      </c>
      <c r="T326" s="30" t="inlineStr">
        <is>
          <t>AMR2</t>
        </is>
      </c>
      <c r="U326" s="31" t="n">
        <v>38.8</v>
      </c>
      <c r="V326" s="31" t="n">
        <v>38.8</v>
      </c>
      <c r="W326" s="30" t="inlineStr">
        <is>
          <t>AMR2</t>
        </is>
      </c>
      <c r="X326" s="32" t="n">
        <v>0</v>
      </c>
      <c r="Y326" s="32" t="n">
        <v>0</v>
      </c>
      <c r="Z326" s="31" t="n">
        <v>0</v>
      </c>
      <c r="AA326" s="32" t="n">
        <v>0</v>
      </c>
      <c r="AB326" s="32" t="n">
        <v>0</v>
      </c>
      <c r="AC326" s="32" t="n">
        <v>0</v>
      </c>
      <c r="AD326" s="32" t="n">
        <v>1</v>
      </c>
      <c r="AE326" s="31" t="n">
        <v>5</v>
      </c>
      <c r="AF326" s="32" t="n">
        <v>0</v>
      </c>
      <c r="AG326" s="31" t="n">
        <v>0</v>
      </c>
      <c r="AH326" s="32" t="n">
        <v>43</v>
      </c>
      <c r="AI326" s="31" t="n">
        <v>45.9</v>
      </c>
      <c r="AJ326" s="31" t="n">
        <v>42.1</v>
      </c>
      <c r="AK326" s="31" t="n">
        <v>5</v>
      </c>
      <c r="AL326" s="30" t="inlineStr">
        <is>
          <t>T-0472</t>
        </is>
      </c>
      <c r="AM326" s="30" t="inlineStr">
        <is>
          <t>D-03-02</t>
        </is>
      </c>
      <c r="AN326" s="30" t="inlineStr">
        <is>
          <t>T-0375</t>
        </is>
      </c>
      <c r="AO326" s="30" t="inlineStr">
        <is>
          <t>D-04-02</t>
        </is>
      </c>
    </row>
    <row r="327">
      <c r="A327" s="30" t="inlineStr">
        <is>
          <t>O0326</t>
        </is>
      </c>
      <c r="B327" s="30" t="inlineStr">
        <is>
          <t>G</t>
        </is>
      </c>
      <c r="C327" s="31" t="n">
        <v>4602.4</v>
      </c>
      <c r="D327" s="31" t="n">
        <v>11624.5</v>
      </c>
      <c r="E327" s="31" t="n">
        <v>11648</v>
      </c>
      <c r="F327" s="31" t="n">
        <v>11659.7</v>
      </c>
      <c r="G327" s="31" t="n">
        <v>11689.1</v>
      </c>
      <c r="H327" s="31" t="n">
        <v>11689.2</v>
      </c>
      <c r="I327" s="31" t="n">
        <v>11704</v>
      </c>
      <c r="J327" s="31" t="n">
        <v>11729.6</v>
      </c>
      <c r="K327" s="31" t="n">
        <v>7127.2</v>
      </c>
      <c r="L327" s="31" t="n">
        <v>7022.1</v>
      </c>
      <c r="M327" s="30" t="inlineStr">
        <is>
          <t>AMR1</t>
        </is>
      </c>
      <c r="N327" s="30" t="inlineStr">
        <is>
          <t>AMR1</t>
        </is>
      </c>
      <c r="O327" s="32" t="n">
        <v>1</v>
      </c>
      <c r="P327" s="32" t="n">
        <v>25</v>
      </c>
      <c r="Q327" s="32" t="n">
        <v>1</v>
      </c>
      <c r="R327" s="31" t="n">
        <v>60.7</v>
      </c>
      <c r="S327" s="31" t="n">
        <v>60.7</v>
      </c>
      <c r="T327" s="30" t="inlineStr">
        <is>
          <t>AMR1</t>
        </is>
      </c>
      <c r="U327" s="31" t="n">
        <v>40.1</v>
      </c>
      <c r="V327" s="31" t="n">
        <v>40.1</v>
      </c>
      <c r="W327" s="30" t="inlineStr">
        <is>
          <t>AMR1</t>
        </is>
      </c>
      <c r="X327" s="32" t="n">
        <v>0</v>
      </c>
      <c r="Y327" s="32" t="n">
        <v>0</v>
      </c>
      <c r="Z327" s="31" t="n">
        <v>0</v>
      </c>
      <c r="AA327" s="32" t="n">
        <v>0</v>
      </c>
      <c r="AB327" s="32" t="n">
        <v>0</v>
      </c>
      <c r="AC327" s="32" t="n">
        <v>0</v>
      </c>
      <c r="AD327" s="32" t="n">
        <v>0</v>
      </c>
      <c r="AE327" s="31" t="n">
        <v>0</v>
      </c>
      <c r="AF327" s="32" t="n">
        <v>0</v>
      </c>
      <c r="AG327" s="31" t="n">
        <v>0</v>
      </c>
      <c r="AH327" s="32" t="n">
        <v>60</v>
      </c>
      <c r="AI327" s="31" t="n">
        <v>61.5</v>
      </c>
      <c r="AJ327" s="31" t="n">
        <v>43.5</v>
      </c>
      <c r="AK327" s="31" t="n">
        <v>0</v>
      </c>
      <c r="AL327" s="30" t="inlineStr">
        <is>
          <t>T-0471</t>
        </is>
      </c>
      <c r="AM327" s="30" t="inlineStr">
        <is>
          <t>G-02-02</t>
        </is>
      </c>
      <c r="AN327" s="30" t="inlineStr">
        <is>
          <t>T-0268</t>
        </is>
      </c>
      <c r="AO327" s="30" t="inlineStr">
        <is>
          <t>G-05-02</t>
        </is>
      </c>
    </row>
    <row r="328">
      <c r="A328" s="30" t="inlineStr">
        <is>
          <t>O0327</t>
        </is>
      </c>
      <c r="B328" s="30" t="inlineStr">
        <is>
          <t>H</t>
        </is>
      </c>
      <c r="C328" s="31" t="n">
        <v>4605.7</v>
      </c>
      <c r="D328" s="31" t="n">
        <v>11729.7</v>
      </c>
      <c r="E328" s="31" t="n">
        <v>11753.2</v>
      </c>
      <c r="F328" s="31" t="n">
        <v>11767.9</v>
      </c>
      <c r="G328" s="31" t="n">
        <v>11793.4</v>
      </c>
      <c r="H328" s="31" t="n">
        <v>11793.5</v>
      </c>
      <c r="I328" s="31" t="n">
        <v>11803.1</v>
      </c>
      <c r="J328" s="31" t="n">
        <v>11829.4</v>
      </c>
      <c r="K328" s="31" t="n">
        <v>7223.7</v>
      </c>
      <c r="L328" s="31" t="n">
        <v>7124</v>
      </c>
      <c r="M328" s="30" t="inlineStr">
        <is>
          <t>AMR1</t>
        </is>
      </c>
      <c r="N328" s="30" t="inlineStr">
        <is>
          <t>AMR1</t>
        </is>
      </c>
      <c r="O328" s="32" t="n">
        <v>1</v>
      </c>
      <c r="P328" s="32" t="n">
        <v>25</v>
      </c>
      <c r="Q328" s="32" t="n">
        <v>1</v>
      </c>
      <c r="R328" s="31" t="n">
        <v>61.9</v>
      </c>
      <c r="S328" s="31" t="n">
        <v>61.9</v>
      </c>
      <c r="T328" s="30" t="inlineStr">
        <is>
          <t>AMR1</t>
        </is>
      </c>
      <c r="U328" s="31" t="n">
        <v>35</v>
      </c>
      <c r="V328" s="31" t="n">
        <v>35</v>
      </c>
      <c r="W328" s="30" t="inlineStr">
        <is>
          <t>AMR1</t>
        </is>
      </c>
      <c r="X328" s="32" t="n">
        <v>0</v>
      </c>
      <c r="Y328" s="32" t="n">
        <v>0</v>
      </c>
      <c r="Z328" s="31" t="n">
        <v>0</v>
      </c>
      <c r="AA328" s="32" t="n">
        <v>0</v>
      </c>
      <c r="AB328" s="32" t="n">
        <v>0</v>
      </c>
      <c r="AC328" s="32" t="n">
        <v>0</v>
      </c>
      <c r="AD328" s="32" t="n">
        <v>0</v>
      </c>
      <c r="AE328" s="31" t="n">
        <v>0</v>
      </c>
      <c r="AF328" s="32" t="n">
        <v>0</v>
      </c>
      <c r="AG328" s="31" t="n">
        <v>0</v>
      </c>
      <c r="AH328" s="32" t="n">
        <v>54</v>
      </c>
      <c r="AI328" s="31" t="n">
        <v>56.3</v>
      </c>
      <c r="AJ328" s="31" t="n">
        <v>43.3</v>
      </c>
      <c r="AK328" s="31" t="n">
        <v>0</v>
      </c>
      <c r="AL328" s="30" t="inlineStr">
        <is>
          <t>T-0474</t>
        </is>
      </c>
      <c r="AM328" s="30" t="inlineStr">
        <is>
          <t>H-01-02</t>
        </is>
      </c>
      <c r="AN328" s="30" t="inlineStr">
        <is>
          <t>T-0400</t>
        </is>
      </c>
      <c r="AO328" s="30" t="inlineStr">
        <is>
          <t>H-02-01</t>
        </is>
      </c>
    </row>
    <row r="329">
      <c r="A329" s="30" t="inlineStr">
        <is>
          <t>O0328</t>
        </is>
      </c>
      <c r="B329" s="30" t="inlineStr">
        <is>
          <t>H</t>
        </is>
      </c>
      <c r="C329" s="31" t="n">
        <v>4609.2</v>
      </c>
      <c r="D329" s="31" t="n">
        <v>12063.4</v>
      </c>
      <c r="E329" s="31" t="n">
        <v>12096.9</v>
      </c>
      <c r="F329" s="31" t="n">
        <v>12111.6</v>
      </c>
      <c r="G329" s="31" t="n">
        <v>12138.2</v>
      </c>
      <c r="H329" s="31" t="n">
        <v>12138.3</v>
      </c>
      <c r="I329" s="31" t="n">
        <v>12151.8</v>
      </c>
      <c r="J329" s="31" t="n">
        <v>12193.7</v>
      </c>
      <c r="K329" s="31" t="n">
        <v>7584.5</v>
      </c>
      <c r="L329" s="31" t="n">
        <v>7454.2</v>
      </c>
      <c r="M329" s="30" t="inlineStr">
        <is>
          <t>AMR3</t>
        </is>
      </c>
      <c r="N329" s="30" t="inlineStr">
        <is>
          <t>AMR3</t>
        </is>
      </c>
      <c r="O329" s="32" t="n">
        <v>1</v>
      </c>
      <c r="P329" s="32" t="n">
        <v>25</v>
      </c>
      <c r="Q329" s="32" t="n">
        <v>1</v>
      </c>
      <c r="R329" s="31" t="n">
        <v>63</v>
      </c>
      <c r="S329" s="31" t="n">
        <v>63</v>
      </c>
      <c r="T329" s="30" t="inlineStr">
        <is>
          <t>AMR3</t>
        </is>
      </c>
      <c r="U329" s="31" t="n">
        <v>35.9</v>
      </c>
      <c r="V329" s="31" t="n">
        <v>35.9</v>
      </c>
      <c r="W329" s="30" t="inlineStr">
        <is>
          <t>AMR3</t>
        </is>
      </c>
      <c r="X329" s="32" t="n">
        <v>0</v>
      </c>
      <c r="Y329" s="32" t="n">
        <v>0</v>
      </c>
      <c r="Z329" s="31" t="n">
        <v>0</v>
      </c>
      <c r="AA329" s="32" t="n">
        <v>0</v>
      </c>
      <c r="AB329" s="32" t="n">
        <v>0</v>
      </c>
      <c r="AC329" s="32" t="n">
        <v>0</v>
      </c>
      <c r="AD329" s="32" t="n">
        <v>1</v>
      </c>
      <c r="AE329" s="31" t="n">
        <v>17.2</v>
      </c>
      <c r="AF329" s="32" t="n">
        <v>2</v>
      </c>
      <c r="AG329" s="31" t="n">
        <v>17.2</v>
      </c>
      <c r="AH329" s="32" t="n">
        <v>54</v>
      </c>
      <c r="AI329" s="31" t="n">
        <v>56.2</v>
      </c>
      <c r="AJ329" s="31" t="n">
        <v>45.3</v>
      </c>
      <c r="AK329" s="31" t="n">
        <v>28.7</v>
      </c>
      <c r="AL329" s="30" t="inlineStr">
        <is>
          <t>T-0483</t>
        </is>
      </c>
      <c r="AM329" s="30" t="inlineStr">
        <is>
          <t>H-02-01</t>
        </is>
      </c>
      <c r="AN329" s="30" t="inlineStr">
        <is>
          <t>T-0411</t>
        </is>
      </c>
      <c r="AO329" s="30" t="inlineStr">
        <is>
          <t>H-04-03</t>
        </is>
      </c>
    </row>
    <row r="330">
      <c r="A330" s="30" t="inlineStr">
        <is>
          <t>O0329</t>
        </is>
      </c>
      <c r="B330" s="30" t="inlineStr">
        <is>
          <t>E</t>
        </is>
      </c>
      <c r="C330" s="31" t="n">
        <v>4613.7</v>
      </c>
      <c r="D330" s="31" t="n">
        <v>11748.6</v>
      </c>
      <c r="E330" s="31" t="n">
        <v>11777.1</v>
      </c>
      <c r="F330" s="31" t="n">
        <v>11791.5</v>
      </c>
      <c r="G330" s="31" t="n">
        <v>11821.1</v>
      </c>
      <c r="H330" s="31" t="n">
        <v>11821.2</v>
      </c>
      <c r="I330" s="31" t="n">
        <v>11829.4</v>
      </c>
      <c r="J330" s="31" t="n">
        <v>11880</v>
      </c>
      <c r="K330" s="31" t="n">
        <v>7266.3</v>
      </c>
      <c r="L330" s="31" t="n">
        <v>7134.9</v>
      </c>
      <c r="M330" s="30" t="inlineStr">
        <is>
          <t>AMR2</t>
        </is>
      </c>
      <c r="N330" s="30" t="inlineStr">
        <is>
          <t>AMR2</t>
        </is>
      </c>
      <c r="O330" s="32" t="n">
        <v>1</v>
      </c>
      <c r="P330" s="32" t="n">
        <v>25</v>
      </c>
      <c r="Q330" s="32" t="n">
        <v>1</v>
      </c>
      <c r="R330" s="31" t="n">
        <v>64</v>
      </c>
      <c r="S330" s="31" t="n">
        <v>62.5</v>
      </c>
      <c r="T330" s="30" t="inlineStr">
        <is>
          <t>AMR3</t>
        </is>
      </c>
      <c r="U330" s="31" t="n">
        <v>44.4</v>
      </c>
      <c r="V330" s="31" t="n">
        <v>44.4</v>
      </c>
      <c r="W330" s="30" t="inlineStr">
        <is>
          <t>AMR2</t>
        </is>
      </c>
      <c r="X330" s="32" t="n">
        <v>1</v>
      </c>
      <c r="Y330" s="32" t="n">
        <v>5</v>
      </c>
      <c r="Z330" s="31" t="n">
        <v>1.5</v>
      </c>
      <c r="AA330" s="32" t="n">
        <v>0</v>
      </c>
      <c r="AB330" s="32" t="n">
        <v>0</v>
      </c>
      <c r="AC330" s="32" t="n">
        <v>0</v>
      </c>
      <c r="AD330" s="32" t="n">
        <v>1</v>
      </c>
      <c r="AE330" s="31" t="n">
        <v>15</v>
      </c>
      <c r="AF330" s="32" t="n">
        <v>1</v>
      </c>
      <c r="AG330" s="31" t="n">
        <v>10</v>
      </c>
      <c r="AH330" s="32" t="n">
        <v>68</v>
      </c>
      <c r="AI330" s="31" t="n">
        <v>67.09999999999999</v>
      </c>
      <c r="AJ330" s="31" t="n">
        <v>44.2</v>
      </c>
      <c r="AK330" s="31" t="n">
        <v>20</v>
      </c>
      <c r="AL330" s="30" t="inlineStr">
        <is>
          <t>T-0475</t>
        </is>
      </c>
      <c r="AM330" s="30" t="inlineStr">
        <is>
          <t>E-04-02</t>
        </is>
      </c>
      <c r="AN330" s="30" t="inlineStr">
        <is>
          <t>T-0204</t>
        </is>
      </c>
      <c r="AO330" s="30" t="inlineStr">
        <is>
          <t>E-05-01</t>
        </is>
      </c>
    </row>
    <row r="331">
      <c r="A331" s="30" t="inlineStr">
        <is>
          <t>O0330</t>
        </is>
      </c>
      <c r="B331" s="30" t="inlineStr">
        <is>
          <t>H</t>
        </is>
      </c>
      <c r="C331" s="31" t="n">
        <v>4619.4</v>
      </c>
      <c r="D331" s="31" t="n">
        <v>12442.4</v>
      </c>
      <c r="E331" s="31" t="n">
        <v>12465.9</v>
      </c>
      <c r="F331" s="31" t="n">
        <v>12482.3</v>
      </c>
      <c r="G331" s="31" t="n">
        <v>12509.7</v>
      </c>
      <c r="H331" s="31" t="n">
        <v>12509.8</v>
      </c>
      <c r="I331" s="31" t="n">
        <v>12521</v>
      </c>
      <c r="J331" s="31" t="n">
        <v>12543.9</v>
      </c>
      <c r="K331" s="31" t="n">
        <v>7924.5</v>
      </c>
      <c r="L331" s="31" t="n">
        <v>7823</v>
      </c>
      <c r="M331" s="30" t="inlineStr">
        <is>
          <t>AMR2</t>
        </is>
      </c>
      <c r="N331" s="30" t="inlineStr">
        <is>
          <t>AMR2</t>
        </is>
      </c>
      <c r="O331" s="32" t="n">
        <v>1</v>
      </c>
      <c r="P331" s="32" t="n">
        <v>25</v>
      </c>
      <c r="Q331" s="32" t="n">
        <v>1</v>
      </c>
      <c r="R331" s="31" t="n">
        <v>65.5</v>
      </c>
      <c r="S331" s="31" t="n">
        <v>65.5</v>
      </c>
      <c r="T331" s="30" t="inlineStr">
        <is>
          <t>AMR2</t>
        </is>
      </c>
      <c r="U331" s="31" t="n">
        <v>33.3</v>
      </c>
      <c r="V331" s="31" t="n">
        <v>33.3</v>
      </c>
      <c r="W331" s="30" t="inlineStr">
        <is>
          <t>AMR2</t>
        </is>
      </c>
      <c r="X331" s="32" t="n">
        <v>0</v>
      </c>
      <c r="Y331" s="32" t="n">
        <v>0</v>
      </c>
      <c r="Z331" s="31" t="n">
        <v>0</v>
      </c>
      <c r="AA331" s="32" t="n">
        <v>0</v>
      </c>
      <c r="AB331" s="32" t="n">
        <v>0</v>
      </c>
      <c r="AC331" s="32" t="n">
        <v>0</v>
      </c>
      <c r="AD331" s="32" t="n">
        <v>0</v>
      </c>
      <c r="AE331" s="31" t="n">
        <v>0</v>
      </c>
      <c r="AF331" s="32" t="n">
        <v>0</v>
      </c>
      <c r="AG331" s="31" t="n">
        <v>0</v>
      </c>
      <c r="AH331" s="32" t="n">
        <v>54</v>
      </c>
      <c r="AI331" s="31" t="n">
        <v>56.2</v>
      </c>
      <c r="AJ331" s="31" t="n">
        <v>45.2</v>
      </c>
      <c r="AK331" s="31" t="n">
        <v>0</v>
      </c>
      <c r="AL331" s="30" t="inlineStr">
        <is>
          <t>T-0493</t>
        </is>
      </c>
      <c r="AM331" s="30" t="inlineStr">
        <is>
          <t>H-05-01</t>
        </is>
      </c>
      <c r="AN331" s="30" t="inlineStr">
        <is>
          <t>T-0422</t>
        </is>
      </c>
      <c r="AO331" s="30" t="inlineStr">
        <is>
          <t>H-02-02</t>
        </is>
      </c>
    </row>
    <row r="332">
      <c r="A332" s="30" t="inlineStr">
        <is>
          <t>O0331</t>
        </is>
      </c>
      <c r="B332" s="30" t="inlineStr">
        <is>
          <t>I</t>
        </is>
      </c>
      <c r="C332" s="31" t="n">
        <v>4623.3</v>
      </c>
      <c r="D332" s="31" t="n">
        <v>11829.5</v>
      </c>
      <c r="E332" s="31" t="n">
        <v>11853</v>
      </c>
      <c r="F332" s="31" t="n">
        <v>11866.3</v>
      </c>
      <c r="G332" s="31" t="n">
        <v>11895</v>
      </c>
      <c r="H332" s="31" t="n">
        <v>11895.1</v>
      </c>
      <c r="I332" s="31" t="n">
        <v>11908.5</v>
      </c>
      <c r="J332" s="31" t="n">
        <v>11935.2</v>
      </c>
      <c r="K332" s="31" t="n">
        <v>7311.9</v>
      </c>
      <c r="L332" s="31" t="n">
        <v>7206.2</v>
      </c>
      <c r="M332" s="30" t="inlineStr">
        <is>
          <t>AMR1</t>
        </is>
      </c>
      <c r="N332" s="30" t="inlineStr">
        <is>
          <t>AMR1</t>
        </is>
      </c>
      <c r="O332" s="32" t="n">
        <v>1</v>
      </c>
      <c r="P332" s="32" t="n">
        <v>25</v>
      </c>
      <c r="Q332" s="32" t="n">
        <v>2</v>
      </c>
      <c r="R332" s="31" t="n">
        <v>61.3</v>
      </c>
      <c r="S332" s="31" t="n">
        <v>61.3</v>
      </c>
      <c r="T332" s="30" t="inlineStr">
        <is>
          <t>AMR1</t>
        </is>
      </c>
      <c r="U332" s="31" t="n">
        <v>39.8</v>
      </c>
      <c r="V332" s="31" t="n">
        <v>39.8</v>
      </c>
      <c r="W332" s="30" t="inlineStr">
        <is>
          <t>AMR1</t>
        </is>
      </c>
      <c r="X332" s="32" t="n">
        <v>0</v>
      </c>
      <c r="Y332" s="32" t="n">
        <v>0</v>
      </c>
      <c r="Z332" s="31" t="n">
        <v>0</v>
      </c>
      <c r="AA332" s="32" t="n">
        <v>0</v>
      </c>
      <c r="AB332" s="32" t="n">
        <v>0</v>
      </c>
      <c r="AC332" s="32" t="n">
        <v>0</v>
      </c>
      <c r="AD332" s="32" t="n">
        <v>0</v>
      </c>
      <c r="AE332" s="31" t="n">
        <v>0</v>
      </c>
      <c r="AF332" s="32" t="n">
        <v>0</v>
      </c>
      <c r="AG332" s="31" t="n">
        <v>0</v>
      </c>
      <c r="AH332" s="32" t="n">
        <v>58</v>
      </c>
      <c r="AI332" s="31" t="n">
        <v>59.3</v>
      </c>
      <c r="AJ332" s="31" t="n">
        <v>46.3</v>
      </c>
      <c r="AK332" s="31" t="n">
        <v>0</v>
      </c>
      <c r="AL332" s="30" t="inlineStr">
        <is>
          <t>T-0476</t>
        </is>
      </c>
      <c r="AM332" s="30" t="inlineStr">
        <is>
          <t>I-06-01</t>
        </is>
      </c>
      <c r="AN332" s="30" t="inlineStr">
        <is>
          <t>T-0392</t>
        </is>
      </c>
      <c r="AO332" s="30" t="inlineStr">
        <is>
          <t>I-01-02</t>
        </is>
      </c>
    </row>
    <row r="333">
      <c r="A333" s="30" t="inlineStr">
        <is>
          <t>O0332</t>
        </is>
      </c>
      <c r="B333" s="30" t="inlineStr">
        <is>
          <t>D</t>
        </is>
      </c>
      <c r="C333" s="31" t="n">
        <v>4627.5</v>
      </c>
      <c r="D333" s="31" t="n">
        <v>11857.3</v>
      </c>
      <c r="E333" s="31" t="n">
        <v>11880.8</v>
      </c>
      <c r="F333" s="31" t="n">
        <v>11894.4</v>
      </c>
      <c r="G333" s="31" t="n">
        <v>11920.9</v>
      </c>
      <c r="H333" s="31" t="n">
        <v>12056.6</v>
      </c>
      <c r="I333" s="31" t="n">
        <v>12066</v>
      </c>
      <c r="J333" s="31" t="n">
        <v>12099.1</v>
      </c>
      <c r="K333" s="31" t="n">
        <v>7471.6</v>
      </c>
      <c r="L333" s="31" t="n">
        <v>7229.8</v>
      </c>
      <c r="M333" s="30" t="inlineStr">
        <is>
          <t>AMR3</t>
        </is>
      </c>
      <c r="N333" s="30" t="inlineStr">
        <is>
          <t>AMR2</t>
        </is>
      </c>
      <c r="O333" s="32" t="n">
        <v>1</v>
      </c>
      <c r="P333" s="32" t="n">
        <v>25</v>
      </c>
      <c r="Q333" s="32" t="n">
        <v>1</v>
      </c>
      <c r="R333" s="31" t="n">
        <v>60.1</v>
      </c>
      <c r="S333" s="31" t="n">
        <v>60.1</v>
      </c>
      <c r="T333" s="30" t="inlineStr">
        <is>
          <t>AMR3</t>
        </is>
      </c>
      <c r="U333" s="31" t="n">
        <v>35.7</v>
      </c>
      <c r="V333" s="31" t="n">
        <v>35.7</v>
      </c>
      <c r="W333" s="30" t="inlineStr">
        <is>
          <t>AMR2</t>
        </is>
      </c>
      <c r="X333" s="32" t="n">
        <v>0</v>
      </c>
      <c r="Y333" s="32" t="n">
        <v>0</v>
      </c>
      <c r="Z333" s="31" t="n">
        <v>0</v>
      </c>
      <c r="AA333" s="32" t="n">
        <v>0</v>
      </c>
      <c r="AB333" s="32" t="n">
        <v>0</v>
      </c>
      <c r="AC333" s="32" t="n">
        <v>0</v>
      </c>
      <c r="AD333" s="32" t="n">
        <v>1</v>
      </c>
      <c r="AE333" s="31" t="n">
        <v>8</v>
      </c>
      <c r="AF333" s="32" t="n">
        <v>1</v>
      </c>
      <c r="AG333" s="31" t="n">
        <v>3</v>
      </c>
      <c r="AH333" s="32" t="n">
        <v>54</v>
      </c>
      <c r="AI333" s="31" t="n">
        <v>55.9</v>
      </c>
      <c r="AJ333" s="31" t="n">
        <v>42.2</v>
      </c>
      <c r="AK333" s="31" t="n">
        <v>8</v>
      </c>
      <c r="AL333" s="30" t="inlineStr">
        <is>
          <t>T-0477</t>
        </is>
      </c>
      <c r="AM333" s="30" t="inlineStr">
        <is>
          <t>D-04-02</t>
        </is>
      </c>
      <c r="AN333" s="30" t="inlineStr">
        <is>
          <t>T-0381</t>
        </is>
      </c>
      <c r="AO333" s="30" t="inlineStr">
        <is>
          <t>D-02-03</t>
        </is>
      </c>
    </row>
    <row r="334">
      <c r="A334" s="30" t="inlineStr">
        <is>
          <t>O0333</t>
        </is>
      </c>
      <c r="B334" s="30" t="inlineStr">
        <is>
          <t>I</t>
        </is>
      </c>
      <c r="C334" s="31" t="n">
        <v>4634.3</v>
      </c>
      <c r="D334" s="31" t="n">
        <v>11961.8</v>
      </c>
      <c r="E334" s="31" t="n">
        <v>11985.3</v>
      </c>
      <c r="F334" s="31" t="n">
        <v>11998.2</v>
      </c>
      <c r="G334" s="31" t="n">
        <v>12024.3</v>
      </c>
      <c r="H334" s="31" t="n">
        <v>12024.4</v>
      </c>
      <c r="I334" s="31" t="n">
        <v>12033.3</v>
      </c>
      <c r="J334" s="31" t="n">
        <v>12063.3</v>
      </c>
      <c r="K334" s="31" t="n">
        <v>7429</v>
      </c>
      <c r="L334" s="31" t="n">
        <v>7327.5</v>
      </c>
      <c r="M334" s="30" t="inlineStr">
        <is>
          <t>AMR3</t>
        </is>
      </c>
      <c r="N334" s="30" t="inlineStr">
        <is>
          <t>AMR3</t>
        </is>
      </c>
      <c r="O334" s="32" t="n">
        <v>1</v>
      </c>
      <c r="P334" s="32" t="n">
        <v>25</v>
      </c>
      <c r="Q334" s="32" t="n">
        <v>1</v>
      </c>
      <c r="R334" s="31" t="n">
        <v>60.7</v>
      </c>
      <c r="S334" s="31" t="n">
        <v>60.7</v>
      </c>
      <c r="T334" s="30" t="inlineStr">
        <is>
          <t>AMR3</t>
        </is>
      </c>
      <c r="U334" s="31" t="n">
        <v>35.6</v>
      </c>
      <c r="V334" s="31" t="n">
        <v>35.6</v>
      </c>
      <c r="W334" s="30" t="inlineStr">
        <is>
          <t>AMR3</t>
        </is>
      </c>
      <c r="X334" s="32" t="n">
        <v>0</v>
      </c>
      <c r="Y334" s="32" t="n">
        <v>0</v>
      </c>
      <c r="Z334" s="31" t="n">
        <v>0</v>
      </c>
      <c r="AA334" s="32" t="n">
        <v>0</v>
      </c>
      <c r="AB334" s="32" t="n">
        <v>0</v>
      </c>
      <c r="AC334" s="32" t="n">
        <v>0</v>
      </c>
      <c r="AD334" s="32" t="n">
        <v>1</v>
      </c>
      <c r="AE334" s="31" t="n">
        <v>5</v>
      </c>
      <c r="AF334" s="32" t="n">
        <v>0</v>
      </c>
      <c r="AG334" s="31" t="n">
        <v>0</v>
      </c>
      <c r="AH334" s="32" t="n">
        <v>52</v>
      </c>
      <c r="AI334" s="31" t="n">
        <v>54.2</v>
      </c>
      <c r="AJ334" s="31" t="n">
        <v>42.2</v>
      </c>
      <c r="AK334" s="31" t="n">
        <v>5</v>
      </c>
      <c r="AL334" s="30" t="inlineStr">
        <is>
          <t>T-0480</t>
        </is>
      </c>
      <c r="AM334" s="30" t="inlineStr">
        <is>
          <t>I-01-02</t>
        </is>
      </c>
      <c r="AN334" s="30" t="inlineStr">
        <is>
          <t>T-0396</t>
        </is>
      </c>
      <c r="AO334" s="30" t="inlineStr">
        <is>
          <t>I-02-02</t>
        </is>
      </c>
    </row>
    <row r="335">
      <c r="A335" s="30" t="inlineStr">
        <is>
          <t>O0334</t>
        </is>
      </c>
      <c r="B335" s="30" t="inlineStr">
        <is>
          <t>B</t>
        </is>
      </c>
      <c r="C335" s="31" t="n">
        <v>4637.7</v>
      </c>
      <c r="D335" s="31" t="n">
        <v>12049.1</v>
      </c>
      <c r="E335" s="31" t="n">
        <v>12072.6</v>
      </c>
      <c r="F335" s="31" t="n">
        <v>12087.5</v>
      </c>
      <c r="G335" s="31" t="n">
        <v>12113.9</v>
      </c>
      <c r="H335" s="31" t="n">
        <v>12114</v>
      </c>
      <c r="I335" s="31" t="n">
        <v>12126.3</v>
      </c>
      <c r="J335" s="31" t="n">
        <v>12157.8</v>
      </c>
      <c r="K335" s="31" t="n">
        <v>7520.1</v>
      </c>
      <c r="L335" s="31" t="n">
        <v>7411.4</v>
      </c>
      <c r="M335" s="30" t="inlineStr">
        <is>
          <t>AMR1</t>
        </is>
      </c>
      <c r="N335" s="30" t="inlineStr">
        <is>
          <t>AMR1</t>
        </is>
      </c>
      <c r="O335" s="32" t="n">
        <v>1</v>
      </c>
      <c r="P335" s="32" t="n">
        <v>25</v>
      </c>
      <c r="Q335" s="32" t="n">
        <v>1</v>
      </c>
      <c r="R335" s="31" t="n">
        <v>61.3</v>
      </c>
      <c r="S335" s="31" t="n">
        <v>58.5</v>
      </c>
      <c r="T335" s="30" t="inlineStr">
        <is>
          <t>AMR2</t>
        </is>
      </c>
      <c r="U335" s="31" t="n">
        <v>43.5</v>
      </c>
      <c r="V335" s="31" t="n">
        <v>43.5</v>
      </c>
      <c r="W335" s="30" t="inlineStr">
        <is>
          <t>AMR1</t>
        </is>
      </c>
      <c r="X335" s="32" t="n">
        <v>1</v>
      </c>
      <c r="Y335" s="32" t="n">
        <v>13</v>
      </c>
      <c r="Z335" s="31" t="n">
        <v>2.8</v>
      </c>
      <c r="AA335" s="32" t="n">
        <v>0</v>
      </c>
      <c r="AB335" s="32" t="n">
        <v>0</v>
      </c>
      <c r="AC335" s="32" t="n">
        <v>0</v>
      </c>
      <c r="AD335" s="32" t="n">
        <v>0</v>
      </c>
      <c r="AE335" s="31" t="n">
        <v>0</v>
      </c>
      <c r="AF335" s="32" t="n">
        <v>0</v>
      </c>
      <c r="AG335" s="31" t="n">
        <v>0</v>
      </c>
      <c r="AH335" s="32" t="n">
        <v>60</v>
      </c>
      <c r="AI335" s="31" t="n">
        <v>60.6</v>
      </c>
      <c r="AJ335" s="31" t="n">
        <v>48</v>
      </c>
      <c r="AK335" s="31" t="n">
        <v>0</v>
      </c>
      <c r="AL335" s="30" t="inlineStr">
        <is>
          <t>T-0482</t>
        </is>
      </c>
      <c r="AM335" s="30" t="inlineStr">
        <is>
          <t>B-02-03</t>
        </is>
      </c>
      <c r="AN335" s="30" t="inlineStr">
        <is>
          <t>T-0257</t>
        </is>
      </c>
      <c r="AO335" s="30" t="inlineStr">
        <is>
          <t>B-05-03</t>
        </is>
      </c>
    </row>
    <row r="336">
      <c r="A336" s="30" t="inlineStr">
        <is>
          <t>O0335</t>
        </is>
      </c>
      <c r="B336" s="30" t="inlineStr">
        <is>
          <t>J</t>
        </is>
      </c>
      <c r="C336" s="31" t="n">
        <v>4642.5</v>
      </c>
      <c r="D336" s="31" t="n">
        <v>12410.4</v>
      </c>
      <c r="E336" s="31" t="n">
        <v>12433.9</v>
      </c>
      <c r="F336" s="31" t="n">
        <v>12449.7</v>
      </c>
      <c r="G336" s="31" t="n">
        <v>12478.3</v>
      </c>
      <c r="H336" s="31" t="n">
        <v>12478.4</v>
      </c>
      <c r="I336" s="31" t="n">
        <v>12494.6</v>
      </c>
      <c r="J336" s="31" t="n">
        <v>12527.1</v>
      </c>
      <c r="K336" s="31" t="n">
        <v>7884.6</v>
      </c>
      <c r="L336" s="31" t="n">
        <v>7767.9</v>
      </c>
      <c r="M336" s="30" t="inlineStr">
        <is>
          <t>AMR3</t>
        </is>
      </c>
      <c r="N336" s="30" t="inlineStr">
        <is>
          <t>AMR3</t>
        </is>
      </c>
      <c r="O336" s="32" t="n">
        <v>1</v>
      </c>
      <c r="P336" s="32" t="n">
        <v>25</v>
      </c>
      <c r="Q336" s="32" t="n">
        <v>1</v>
      </c>
      <c r="R336" s="31" t="n">
        <v>66.09999999999999</v>
      </c>
      <c r="S336" s="31" t="n">
        <v>66.09999999999999</v>
      </c>
      <c r="T336" s="30" t="inlineStr">
        <is>
          <t>AMR3</t>
        </is>
      </c>
      <c r="U336" s="31" t="n">
        <v>46.9</v>
      </c>
      <c r="V336" s="31" t="n">
        <v>46.9</v>
      </c>
      <c r="W336" s="30" t="inlineStr">
        <is>
          <t>AMR3</t>
        </is>
      </c>
      <c r="X336" s="32" t="n">
        <v>0</v>
      </c>
      <c r="Y336" s="32" t="n">
        <v>0</v>
      </c>
      <c r="Z336" s="31" t="n">
        <v>0</v>
      </c>
      <c r="AA336" s="32" t="n">
        <v>0</v>
      </c>
      <c r="AB336" s="32" t="n">
        <v>0</v>
      </c>
      <c r="AC336" s="32" t="n">
        <v>0</v>
      </c>
      <c r="AD336" s="32" t="n">
        <v>0</v>
      </c>
      <c r="AE336" s="31" t="n">
        <v>0</v>
      </c>
      <c r="AF336" s="32" t="n">
        <v>0</v>
      </c>
      <c r="AG336" s="31" t="n">
        <v>0</v>
      </c>
      <c r="AH336" s="32" t="n">
        <v>68</v>
      </c>
      <c r="AI336" s="31" t="n">
        <v>68.3</v>
      </c>
      <c r="AJ336" s="31" t="n">
        <v>48.3</v>
      </c>
      <c r="AK336" s="31" t="n">
        <v>0</v>
      </c>
      <c r="AL336" s="30" t="inlineStr">
        <is>
          <t>T-0492</t>
        </is>
      </c>
      <c r="AM336" s="30" t="inlineStr">
        <is>
          <t>J-02-02</t>
        </is>
      </c>
      <c r="AN336" s="30" t="inlineStr">
        <is>
          <t>T-0271</t>
        </is>
      </c>
      <c r="AO336" s="30" t="inlineStr">
        <is>
          <t>J-04-02</t>
        </is>
      </c>
    </row>
    <row r="337">
      <c r="A337" s="30" t="inlineStr">
        <is>
          <t>O0336</t>
        </is>
      </c>
      <c r="B337" s="30" t="inlineStr">
        <is>
          <t>D</t>
        </is>
      </c>
      <c r="C337" s="31" t="n">
        <v>4649.3</v>
      </c>
      <c r="D337" s="31" t="n">
        <v>11998.4</v>
      </c>
      <c r="E337" s="31" t="n">
        <v>12021.9</v>
      </c>
      <c r="F337" s="31" t="n">
        <v>12035.1</v>
      </c>
      <c r="G337" s="31" t="n">
        <v>12056.5</v>
      </c>
      <c r="H337" s="31" t="n">
        <v>12099.2</v>
      </c>
      <c r="I337" s="31" t="n">
        <v>12128.3</v>
      </c>
      <c r="J337" s="31" t="n">
        <v>12172.9</v>
      </c>
      <c r="K337" s="31" t="n">
        <v>7523.6</v>
      </c>
      <c r="L337" s="31" t="n">
        <v>7349.1</v>
      </c>
      <c r="M337" s="30" t="inlineStr">
        <is>
          <t>AMR2</t>
        </is>
      </c>
      <c r="N337" s="30" t="inlineStr">
        <is>
          <t>AMR2</t>
        </is>
      </c>
      <c r="O337" s="32" t="n">
        <v>1</v>
      </c>
      <c r="P337" s="32" t="n">
        <v>25</v>
      </c>
      <c r="Q337" s="32" t="n">
        <v>16</v>
      </c>
      <c r="R337" s="31" t="n">
        <v>56.2</v>
      </c>
      <c r="S337" s="31" t="n">
        <v>56.2</v>
      </c>
      <c r="T337" s="30" t="inlineStr">
        <is>
          <t>AMR2</t>
        </is>
      </c>
      <c r="U337" s="31" t="n">
        <v>55.1</v>
      </c>
      <c r="V337" s="31" t="n">
        <v>55.1</v>
      </c>
      <c r="W337" s="30" t="inlineStr">
        <is>
          <t>AMR2</t>
        </is>
      </c>
      <c r="X337" s="32" t="n">
        <v>0</v>
      </c>
      <c r="Y337" s="32" t="n">
        <v>0</v>
      </c>
      <c r="Z337" s="31" t="n">
        <v>0</v>
      </c>
      <c r="AA337" s="32" t="n">
        <v>0</v>
      </c>
      <c r="AB337" s="32" t="n">
        <v>0</v>
      </c>
      <c r="AC337" s="32" t="n">
        <v>0</v>
      </c>
      <c r="AD337" s="32" t="n">
        <v>1</v>
      </c>
      <c r="AE337" s="31" t="n">
        <v>16</v>
      </c>
      <c r="AF337" s="32" t="n">
        <v>1</v>
      </c>
      <c r="AG337" s="31" t="n">
        <v>11</v>
      </c>
      <c r="AH337" s="32" t="n">
        <v>71</v>
      </c>
      <c r="AI337" s="31" t="n">
        <v>73</v>
      </c>
      <c r="AJ337" s="31" t="n">
        <v>42.8</v>
      </c>
      <c r="AK337" s="31" t="n">
        <v>16</v>
      </c>
      <c r="AL337" s="30" t="inlineStr">
        <is>
          <t>T-0481</t>
        </is>
      </c>
      <c r="AM337" s="30" t="inlineStr">
        <is>
          <t>D-01-03</t>
        </is>
      </c>
      <c r="AN337" s="30" t="inlineStr">
        <is>
          <t>T-0383</t>
        </is>
      </c>
      <c r="AO337" s="30" t="inlineStr">
        <is>
          <t>D-05-02</t>
        </is>
      </c>
    </row>
    <row r="338">
      <c r="A338" s="30" t="inlineStr">
        <is>
          <t>O0337</t>
        </is>
      </c>
      <c r="B338" s="30" t="inlineStr">
        <is>
          <t>G</t>
        </is>
      </c>
      <c r="C338" s="31" t="n">
        <v>4654.9</v>
      </c>
      <c r="D338" s="31" t="n">
        <v>12193.8</v>
      </c>
      <c r="E338" s="31" t="n">
        <v>12229.3</v>
      </c>
      <c r="F338" s="31" t="n">
        <v>12244.5</v>
      </c>
      <c r="G338" s="31" t="n">
        <v>12271.6</v>
      </c>
      <c r="H338" s="31" t="n">
        <v>12271.7</v>
      </c>
      <c r="I338" s="31" t="n">
        <v>12284.9</v>
      </c>
      <c r="J338" s="31" t="n">
        <v>12313</v>
      </c>
      <c r="K338" s="31" t="n">
        <v>7658.1</v>
      </c>
      <c r="L338" s="31" t="n">
        <v>7538.9</v>
      </c>
      <c r="M338" s="30" t="inlineStr">
        <is>
          <t>AMR3</t>
        </is>
      </c>
      <c r="N338" s="30" t="inlineStr">
        <is>
          <t>AMR3</t>
        </is>
      </c>
      <c r="O338" s="32" t="n">
        <v>1</v>
      </c>
      <c r="P338" s="32" t="n">
        <v>25</v>
      </c>
      <c r="Q338" s="32" t="n">
        <v>1</v>
      </c>
      <c r="R338" s="31" t="n">
        <v>62.4</v>
      </c>
      <c r="S338" s="31" t="n">
        <v>62.4</v>
      </c>
      <c r="T338" s="30" t="inlineStr">
        <is>
          <t>AMR3</t>
        </is>
      </c>
      <c r="U338" s="31" t="n">
        <v>41.1</v>
      </c>
      <c r="V338" s="31" t="n">
        <v>41.1</v>
      </c>
      <c r="W338" s="30" t="inlineStr">
        <is>
          <t>AMR3</t>
        </is>
      </c>
      <c r="X338" s="32" t="n">
        <v>0</v>
      </c>
      <c r="Y338" s="32" t="n">
        <v>0</v>
      </c>
      <c r="Z338" s="31" t="n">
        <v>0</v>
      </c>
      <c r="AA338" s="32" t="n">
        <v>0</v>
      </c>
      <c r="AB338" s="32" t="n">
        <v>0</v>
      </c>
      <c r="AC338" s="32" t="n">
        <v>0</v>
      </c>
      <c r="AD338" s="32" t="n">
        <v>0</v>
      </c>
      <c r="AE338" s="31" t="n">
        <v>0</v>
      </c>
      <c r="AF338" s="32" t="n">
        <v>1</v>
      </c>
      <c r="AG338" s="31" t="n">
        <v>7</v>
      </c>
      <c r="AH338" s="32" t="n">
        <v>60</v>
      </c>
      <c r="AI338" s="31" t="n">
        <v>60.9</v>
      </c>
      <c r="AJ338" s="31" t="n">
        <v>46.2</v>
      </c>
      <c r="AK338" s="31" t="n">
        <v>12</v>
      </c>
      <c r="AL338" s="30" t="inlineStr">
        <is>
          <t>T-0486</t>
        </is>
      </c>
      <c r="AM338" s="30" t="inlineStr">
        <is>
          <t>G-02-01</t>
        </is>
      </c>
      <c r="AN338" s="30" t="inlineStr">
        <is>
          <t>T-0296</t>
        </is>
      </c>
      <c r="AO338" s="30" t="inlineStr">
        <is>
          <t>G-06-02</t>
        </is>
      </c>
    </row>
    <row r="339">
      <c r="A339" s="30" t="inlineStr">
        <is>
          <t>O0338</t>
        </is>
      </c>
      <c r="B339" s="30" t="inlineStr">
        <is>
          <t>H</t>
        </is>
      </c>
      <c r="C339" s="31" t="n">
        <v>4661.7</v>
      </c>
      <c r="D339" s="31" t="n">
        <v>12157.9</v>
      </c>
      <c r="E339" s="31" t="n">
        <v>12181.4</v>
      </c>
      <c r="F339" s="31" t="n">
        <v>12194.6</v>
      </c>
      <c r="G339" s="31" t="n">
        <v>12219</v>
      </c>
      <c r="H339" s="31" t="n">
        <v>12219.1</v>
      </c>
      <c r="I339" s="31" t="n">
        <v>12233.3</v>
      </c>
      <c r="J339" s="31" t="n">
        <v>12257.1</v>
      </c>
      <c r="K339" s="31" t="n">
        <v>7595.4</v>
      </c>
      <c r="L339" s="31" t="n">
        <v>7496.2</v>
      </c>
      <c r="M339" s="30" t="inlineStr">
        <is>
          <t>AMR1</t>
        </is>
      </c>
      <c r="N339" s="30" t="inlineStr">
        <is>
          <t>AMR1</t>
        </is>
      </c>
      <c r="O339" s="32" t="n">
        <v>1</v>
      </c>
      <c r="P339" s="32" t="n">
        <v>25</v>
      </c>
      <c r="Q339" s="32" t="n">
        <v>0</v>
      </c>
      <c r="R339" s="31" t="n">
        <v>58.5</v>
      </c>
      <c r="S339" s="31" t="n">
        <v>58.5</v>
      </c>
      <c r="T339" s="30" t="inlineStr">
        <is>
          <t>AMR1</t>
        </is>
      </c>
      <c r="U339" s="31" t="n">
        <v>37.2</v>
      </c>
      <c r="V339" s="31" t="n">
        <v>37.2</v>
      </c>
      <c r="W339" s="30" t="inlineStr">
        <is>
          <t>AMR1</t>
        </is>
      </c>
      <c r="X339" s="32" t="n">
        <v>0</v>
      </c>
      <c r="Y339" s="32" t="n">
        <v>0</v>
      </c>
      <c r="Z339" s="31" t="n">
        <v>0</v>
      </c>
      <c r="AA339" s="32" t="n">
        <v>0</v>
      </c>
      <c r="AB339" s="32" t="n">
        <v>0</v>
      </c>
      <c r="AC339" s="32" t="n">
        <v>0</v>
      </c>
      <c r="AD339" s="32" t="n">
        <v>0</v>
      </c>
      <c r="AE339" s="31" t="n">
        <v>0</v>
      </c>
      <c r="AF339" s="32" t="n">
        <v>0</v>
      </c>
      <c r="AG339" s="31" t="n">
        <v>0</v>
      </c>
      <c r="AH339" s="32" t="n">
        <v>54</v>
      </c>
      <c r="AI339" s="31" t="n">
        <v>56.3</v>
      </c>
      <c r="AJ339" s="31" t="n">
        <v>42.8</v>
      </c>
      <c r="AK339" s="31" t="n">
        <v>0</v>
      </c>
      <c r="AL339" s="30" t="inlineStr">
        <is>
          <t>T-0484</t>
        </is>
      </c>
      <c r="AM339" s="30" t="inlineStr">
        <is>
          <t>H-03-03</t>
        </is>
      </c>
      <c r="AN339" s="30" t="inlineStr">
        <is>
          <t>T-0414</t>
        </is>
      </c>
      <c r="AO339" s="30" t="inlineStr">
        <is>
          <t>H-04-01</t>
        </is>
      </c>
    </row>
    <row r="340">
      <c r="A340" s="30" t="inlineStr">
        <is>
          <t>O0339</t>
        </is>
      </c>
      <c r="B340" s="30" t="inlineStr">
        <is>
          <t>E</t>
        </is>
      </c>
      <c r="C340" s="31" t="n">
        <v>4666.5</v>
      </c>
      <c r="D340" s="31" t="n">
        <v>12242.4</v>
      </c>
      <c r="E340" s="31" t="n">
        <v>12254.4</v>
      </c>
      <c r="F340" s="31" t="n">
        <v>12267.1</v>
      </c>
      <c r="G340" s="31" t="n">
        <v>12293.6</v>
      </c>
      <c r="H340" s="31" t="n">
        <v>13349.6</v>
      </c>
      <c r="I340" s="31" t="n">
        <v>13360.9</v>
      </c>
      <c r="J340" s="31" t="n">
        <v>13395.6</v>
      </c>
      <c r="K340" s="31" t="n">
        <v>8729.1</v>
      </c>
      <c r="L340" s="31" t="n">
        <v>7575.9</v>
      </c>
      <c r="M340" s="30" t="inlineStr">
        <is>
          <t>AMR2</t>
        </is>
      </c>
      <c r="N340" s="30" t="inlineStr">
        <is>
          <t>AMR1</t>
        </is>
      </c>
      <c r="O340" s="32" t="n">
        <v>1</v>
      </c>
      <c r="P340" s="32" t="n">
        <v>12</v>
      </c>
      <c r="Q340" s="32" t="n">
        <v>1</v>
      </c>
      <c r="R340" s="31" t="n">
        <v>49.9</v>
      </c>
      <c r="S340" s="31" t="n">
        <v>49.9</v>
      </c>
      <c r="T340" s="30" t="inlineStr">
        <is>
          <t>AMR2</t>
        </is>
      </c>
      <c r="U340" s="31" t="n">
        <v>48.7</v>
      </c>
      <c r="V340" s="31" t="n">
        <v>48.7</v>
      </c>
      <c r="W340" s="30" t="inlineStr">
        <is>
          <t>AMR1</t>
        </is>
      </c>
      <c r="X340" s="32" t="n">
        <v>0</v>
      </c>
      <c r="Y340" s="32" t="n">
        <v>0</v>
      </c>
      <c r="Z340" s="31" t="n">
        <v>0</v>
      </c>
      <c r="AA340" s="32" t="n">
        <v>0</v>
      </c>
      <c r="AB340" s="32" t="n">
        <v>0</v>
      </c>
      <c r="AC340" s="32" t="n">
        <v>0</v>
      </c>
      <c r="AD340" s="32" t="n">
        <v>0</v>
      </c>
      <c r="AE340" s="31" t="n">
        <v>0</v>
      </c>
      <c r="AF340" s="32" t="n">
        <v>0</v>
      </c>
      <c r="AG340" s="31" t="n">
        <v>0</v>
      </c>
      <c r="AH340" s="32" t="n">
        <v>51</v>
      </c>
      <c r="AI340" s="31" t="n">
        <v>51.9</v>
      </c>
      <c r="AJ340" s="31" t="n">
        <v>45.3</v>
      </c>
      <c r="AK340" s="31" t="n">
        <v>0</v>
      </c>
      <c r="AL340" s="30" t="inlineStr">
        <is>
          <t>T-0487</t>
        </is>
      </c>
      <c r="AM340" s="30" t="inlineStr">
        <is>
          <t>E-02-02</t>
        </is>
      </c>
      <c r="AN340" s="30" t="inlineStr">
        <is>
          <t>T-0262</t>
        </is>
      </c>
      <c r="AO340" s="30" t="inlineStr">
        <is>
          <t>E-02-03</t>
        </is>
      </c>
    </row>
    <row r="341">
      <c r="A341" s="30" t="inlineStr">
        <is>
          <t>O0340</t>
        </is>
      </c>
      <c r="B341" s="30" t="inlineStr">
        <is>
          <t>H</t>
        </is>
      </c>
      <c r="C341" s="31" t="n">
        <v>4673.4</v>
      </c>
      <c r="D341" s="31" t="n">
        <v>12357.7</v>
      </c>
      <c r="E341" s="31" t="n">
        <v>12385.2</v>
      </c>
      <c r="F341" s="31" t="n">
        <v>12399.5</v>
      </c>
      <c r="G341" s="31" t="n">
        <v>12424.5</v>
      </c>
      <c r="H341" s="31" t="n">
        <v>12424.6</v>
      </c>
      <c r="I341" s="31" t="n">
        <v>12434.8</v>
      </c>
      <c r="J341" s="31" t="n">
        <v>12460.9</v>
      </c>
      <c r="K341" s="31" t="n">
        <v>7787.5</v>
      </c>
      <c r="L341" s="31" t="n">
        <v>7684.3</v>
      </c>
      <c r="M341" s="30" t="inlineStr">
        <is>
          <t>AMR1</t>
        </is>
      </c>
      <c r="N341" s="30" t="inlineStr">
        <is>
          <t>AMR1</t>
        </is>
      </c>
      <c r="O341" s="32" t="n">
        <v>1</v>
      </c>
      <c r="P341" s="32" t="n">
        <v>25</v>
      </c>
      <c r="Q341" s="32" t="n">
        <v>1</v>
      </c>
      <c r="R341" s="31" t="n">
        <v>61</v>
      </c>
      <c r="S341" s="31" t="n">
        <v>61</v>
      </c>
      <c r="T341" s="30" t="inlineStr">
        <is>
          <t>AMR1</t>
        </is>
      </c>
      <c r="U341" s="31" t="n">
        <v>37</v>
      </c>
      <c r="V341" s="31" t="n">
        <v>37</v>
      </c>
      <c r="W341" s="30" t="inlineStr">
        <is>
          <t>AMR1</t>
        </is>
      </c>
      <c r="X341" s="32" t="n">
        <v>0</v>
      </c>
      <c r="Y341" s="32" t="n">
        <v>0</v>
      </c>
      <c r="Z341" s="31" t="n">
        <v>0</v>
      </c>
      <c r="AA341" s="32" t="n">
        <v>0</v>
      </c>
      <c r="AB341" s="32" t="n">
        <v>0</v>
      </c>
      <c r="AC341" s="32" t="n">
        <v>0</v>
      </c>
      <c r="AD341" s="32" t="n">
        <v>0</v>
      </c>
      <c r="AE341" s="31" t="n">
        <v>0</v>
      </c>
      <c r="AF341" s="32" t="n">
        <v>0</v>
      </c>
      <c r="AG341" s="31" t="n">
        <v>0</v>
      </c>
      <c r="AH341" s="32" t="n">
        <v>52</v>
      </c>
      <c r="AI341" s="31" t="n">
        <v>54.7</v>
      </c>
      <c r="AJ341" s="31" t="n">
        <v>44.4</v>
      </c>
      <c r="AK341" s="31" t="n">
        <v>4</v>
      </c>
      <c r="AL341" s="30" t="inlineStr">
        <is>
          <t>T-0491</t>
        </is>
      </c>
      <c r="AM341" s="30" t="inlineStr">
        <is>
          <t>H-04-01</t>
        </is>
      </c>
      <c r="AN341" s="30" t="inlineStr">
        <is>
          <t>T-0419</t>
        </is>
      </c>
      <c r="AO341" s="30" t="inlineStr">
        <is>
          <t>H-05-01</t>
        </is>
      </c>
    </row>
    <row r="342">
      <c r="A342" s="30" t="inlineStr">
        <is>
          <t>O0341</t>
        </is>
      </c>
      <c r="B342" s="30" t="inlineStr">
        <is>
          <t>C</t>
        </is>
      </c>
      <c r="C342" s="31" t="n">
        <v>4678</v>
      </c>
      <c r="D342" s="31" t="n">
        <v>12173</v>
      </c>
      <c r="E342" s="31" t="n">
        <v>12205.5</v>
      </c>
      <c r="F342" s="31" t="n">
        <v>12219.3</v>
      </c>
      <c r="G342" s="31" t="n">
        <v>12242.3</v>
      </c>
      <c r="H342" s="31" t="n">
        <v>12372.9</v>
      </c>
      <c r="I342" s="31" t="n">
        <v>12382.8</v>
      </c>
      <c r="J342" s="31" t="n">
        <v>12410.3</v>
      </c>
      <c r="K342" s="31" t="n">
        <v>7732.3</v>
      </c>
      <c r="L342" s="31" t="n">
        <v>7495</v>
      </c>
      <c r="M342" s="30" t="inlineStr">
        <is>
          <t>AMR2</t>
        </is>
      </c>
      <c r="N342" s="30" t="inlineStr">
        <is>
          <t>AMR3</t>
        </is>
      </c>
      <c r="O342" s="32" t="n">
        <v>1</v>
      </c>
      <c r="P342" s="32" t="n">
        <v>25</v>
      </c>
      <c r="Q342" s="32" t="n">
        <v>0</v>
      </c>
      <c r="R342" s="31" t="n">
        <v>58.4</v>
      </c>
      <c r="S342" s="31" t="n">
        <v>58.4</v>
      </c>
      <c r="T342" s="30" t="inlineStr">
        <is>
          <t>AMR2</t>
        </is>
      </c>
      <c r="U342" s="31" t="n">
        <v>36.6</v>
      </c>
      <c r="V342" s="31" t="n">
        <v>36.6</v>
      </c>
      <c r="W342" s="30" t="inlineStr">
        <is>
          <t>AMR3</t>
        </is>
      </c>
      <c r="X342" s="32" t="n">
        <v>0</v>
      </c>
      <c r="Y342" s="32" t="n">
        <v>0</v>
      </c>
      <c r="Z342" s="31" t="n">
        <v>0</v>
      </c>
      <c r="AA342" s="32" t="n">
        <v>0</v>
      </c>
      <c r="AB342" s="32" t="n">
        <v>0</v>
      </c>
      <c r="AC342" s="32" t="n">
        <v>0</v>
      </c>
      <c r="AD342" s="32" t="n">
        <v>0</v>
      </c>
      <c r="AE342" s="31" t="n">
        <v>0</v>
      </c>
      <c r="AF342" s="32" t="n">
        <v>1</v>
      </c>
      <c r="AG342" s="31" t="n">
        <v>4</v>
      </c>
      <c r="AH342" s="32" t="n">
        <v>53</v>
      </c>
      <c r="AI342" s="31" t="n">
        <v>55.1</v>
      </c>
      <c r="AJ342" s="31" t="n">
        <v>42.6</v>
      </c>
      <c r="AK342" s="31" t="n">
        <v>9</v>
      </c>
      <c r="AL342" s="30" t="inlineStr">
        <is>
          <t>T-0485</t>
        </is>
      </c>
      <c r="AM342" s="30" t="inlineStr">
        <is>
          <t>C-02-03</t>
        </is>
      </c>
      <c r="AN342" s="30" t="inlineStr">
        <is>
          <t>T-0338</t>
        </is>
      </c>
      <c r="AO342" s="30" t="inlineStr">
        <is>
          <t>C-04-03</t>
        </is>
      </c>
    </row>
    <row r="343">
      <c r="A343" s="30" t="inlineStr">
        <is>
          <t>O0342</t>
        </is>
      </c>
      <c r="B343" s="30" t="inlineStr">
        <is>
          <t>C</t>
        </is>
      </c>
      <c r="C343" s="31" t="n">
        <v>4681.3</v>
      </c>
      <c r="D343" s="31" t="n">
        <v>12313.1</v>
      </c>
      <c r="E343" s="31" t="n">
        <v>12336.6</v>
      </c>
      <c r="F343" s="31" t="n">
        <v>12348.8</v>
      </c>
      <c r="G343" s="31" t="n">
        <v>12372.8</v>
      </c>
      <c r="H343" s="31" t="n">
        <v>12611.4</v>
      </c>
      <c r="I343" s="31" t="n">
        <v>12623.1</v>
      </c>
      <c r="J343" s="31" t="n">
        <v>12650</v>
      </c>
      <c r="K343" s="31" t="n">
        <v>7968.7</v>
      </c>
      <c r="L343" s="31" t="n">
        <v>7631.8</v>
      </c>
      <c r="M343" s="30" t="inlineStr">
        <is>
          <t>AMR3</t>
        </is>
      </c>
      <c r="N343" s="30" t="inlineStr">
        <is>
          <t>AMR2</t>
        </is>
      </c>
      <c r="O343" s="32" t="n">
        <v>1</v>
      </c>
      <c r="P343" s="32" t="n">
        <v>25</v>
      </c>
      <c r="Q343" s="32" t="n">
        <v>1</v>
      </c>
      <c r="R343" s="31" t="n">
        <v>57</v>
      </c>
      <c r="S343" s="31" t="n">
        <v>50.3</v>
      </c>
      <c r="T343" s="30" t="inlineStr">
        <is>
          <t>AMR1</t>
        </is>
      </c>
      <c r="U343" s="31" t="n">
        <v>38.8</v>
      </c>
      <c r="V343" s="31" t="n">
        <v>38.8</v>
      </c>
      <c r="W343" s="30" t="inlineStr">
        <is>
          <t>AMR2</t>
        </is>
      </c>
      <c r="X343" s="32" t="n">
        <v>1</v>
      </c>
      <c r="Y343" s="32" t="n">
        <v>11</v>
      </c>
      <c r="Z343" s="31" t="n">
        <v>6.7</v>
      </c>
      <c r="AA343" s="32" t="n">
        <v>0</v>
      </c>
      <c r="AB343" s="32" t="n">
        <v>0</v>
      </c>
      <c r="AC343" s="32" t="n">
        <v>0</v>
      </c>
      <c r="AD343" s="32" t="n">
        <v>0</v>
      </c>
      <c r="AE343" s="31" t="n">
        <v>0</v>
      </c>
      <c r="AF343" s="32" t="n">
        <v>0</v>
      </c>
      <c r="AG343" s="31" t="n">
        <v>0</v>
      </c>
      <c r="AH343" s="32" t="n">
        <v>55</v>
      </c>
      <c r="AI343" s="31" t="n">
        <v>55.6</v>
      </c>
      <c r="AJ343" s="31" t="n">
        <v>42.7</v>
      </c>
      <c r="AK343" s="31" t="n">
        <v>0</v>
      </c>
      <c r="AL343" s="30" t="inlineStr">
        <is>
          <t>T-0489</t>
        </is>
      </c>
      <c r="AM343" s="30" t="inlineStr">
        <is>
          <t>C-03-03</t>
        </is>
      </c>
      <c r="AN343" s="30" t="inlineStr">
        <is>
          <t>T-0353</t>
        </is>
      </c>
      <c r="AO343" s="30" t="inlineStr">
        <is>
          <t>C-05-01</t>
        </is>
      </c>
    </row>
    <row r="344">
      <c r="A344" s="30" t="inlineStr">
        <is>
          <t>O0343</t>
        </is>
      </c>
      <c r="B344" s="30" t="inlineStr">
        <is>
          <t>D</t>
        </is>
      </c>
      <c r="C344" s="31" t="n">
        <v>4687.5</v>
      </c>
      <c r="D344" s="31" t="n">
        <v>12257.2</v>
      </c>
      <c r="E344" s="31" t="n">
        <v>12280.7</v>
      </c>
      <c r="F344" s="31" t="n">
        <v>12292.2</v>
      </c>
      <c r="G344" s="31" t="n">
        <v>12315.2</v>
      </c>
      <c r="H344" s="31" t="n">
        <v>12315.3</v>
      </c>
      <c r="I344" s="31" t="n">
        <v>12326.5</v>
      </c>
      <c r="J344" s="31" t="n">
        <v>12357.6</v>
      </c>
      <c r="K344" s="31" t="n">
        <v>7670.1</v>
      </c>
      <c r="L344" s="31" t="n">
        <v>7569.7</v>
      </c>
      <c r="M344" s="30" t="inlineStr">
        <is>
          <t>AMR1</t>
        </is>
      </c>
      <c r="N344" s="30" t="inlineStr">
        <is>
          <t>AMR1</t>
        </is>
      </c>
      <c r="O344" s="32" t="n">
        <v>1</v>
      </c>
      <c r="P344" s="32" t="n">
        <v>25</v>
      </c>
      <c r="Q344" s="32" t="n">
        <v>1</v>
      </c>
      <c r="R344" s="31" t="n">
        <v>54.5</v>
      </c>
      <c r="S344" s="31" t="n">
        <v>54.5</v>
      </c>
      <c r="T344" s="30" t="inlineStr">
        <is>
          <t>AMR1</t>
        </is>
      </c>
      <c r="U344" s="31" t="n">
        <v>38.4</v>
      </c>
      <c r="V344" s="31" t="n">
        <v>38.4</v>
      </c>
      <c r="W344" s="30" t="inlineStr">
        <is>
          <t>AMR1</t>
        </is>
      </c>
      <c r="X344" s="32" t="n">
        <v>0</v>
      </c>
      <c r="Y344" s="32" t="n">
        <v>0</v>
      </c>
      <c r="Z344" s="31" t="n">
        <v>0</v>
      </c>
      <c r="AA344" s="32" t="n">
        <v>0</v>
      </c>
      <c r="AB344" s="32" t="n">
        <v>0</v>
      </c>
      <c r="AC344" s="32" t="n">
        <v>0</v>
      </c>
      <c r="AD344" s="32" t="n">
        <v>1</v>
      </c>
      <c r="AE344" s="31" t="n">
        <v>2</v>
      </c>
      <c r="AF344" s="32" t="n">
        <v>0</v>
      </c>
      <c r="AG344" s="31" t="n">
        <v>0</v>
      </c>
      <c r="AH344" s="32" t="n">
        <v>58</v>
      </c>
      <c r="AI344" s="31" t="n">
        <v>59</v>
      </c>
      <c r="AJ344" s="31" t="n">
        <v>39.3</v>
      </c>
      <c r="AK344" s="31" t="n">
        <v>2</v>
      </c>
      <c r="AL344" s="30" t="inlineStr">
        <is>
          <t>T-0488</t>
        </is>
      </c>
      <c r="AM344" s="30" t="inlineStr">
        <is>
          <t>D-05-02</t>
        </is>
      </c>
      <c r="AN344" s="30" t="inlineStr">
        <is>
          <t>T-0398</t>
        </is>
      </c>
      <c r="AO344" s="30" t="inlineStr">
        <is>
          <t>D-06-02</t>
        </is>
      </c>
    </row>
    <row r="345">
      <c r="A345" s="30" t="inlineStr">
        <is>
          <t>O0344</t>
        </is>
      </c>
      <c r="B345" s="30" t="inlineStr">
        <is>
          <t>G</t>
        </is>
      </c>
      <c r="C345" s="31" t="n">
        <v>4691.3</v>
      </c>
      <c r="D345" s="31" t="n">
        <v>12565.1</v>
      </c>
      <c r="E345" s="31" t="n">
        <v>12611.1</v>
      </c>
      <c r="F345" s="31" t="n">
        <v>12625</v>
      </c>
      <c r="G345" s="31" t="n">
        <v>12653.6</v>
      </c>
      <c r="H345" s="31" t="n">
        <v>12653.7</v>
      </c>
      <c r="I345" s="31" t="n">
        <v>12667.7</v>
      </c>
      <c r="J345" s="31" t="n">
        <v>12699.8</v>
      </c>
      <c r="K345" s="31" t="n">
        <v>8008.5</v>
      </c>
      <c r="L345" s="31" t="n">
        <v>7873.8</v>
      </c>
      <c r="M345" s="30" t="inlineStr">
        <is>
          <t>AMR1</t>
        </is>
      </c>
      <c r="N345" s="30" t="inlineStr">
        <is>
          <t>AMR1</t>
        </is>
      </c>
      <c r="O345" s="32" t="n">
        <v>1</v>
      </c>
      <c r="P345" s="32" t="n">
        <v>25</v>
      </c>
      <c r="Q345" s="32" t="n">
        <v>1</v>
      </c>
      <c r="R345" s="31" t="n">
        <v>64.09999999999999</v>
      </c>
      <c r="S345" s="31" t="n">
        <v>64.09999999999999</v>
      </c>
      <c r="T345" s="30" t="inlineStr">
        <is>
          <t>AMR1</t>
        </is>
      </c>
      <c r="U345" s="31" t="n">
        <v>44.3</v>
      </c>
      <c r="V345" s="31" t="n">
        <v>44.3</v>
      </c>
      <c r="W345" s="30" t="inlineStr">
        <is>
          <t>AMR1</t>
        </is>
      </c>
      <c r="X345" s="32" t="n">
        <v>0</v>
      </c>
      <c r="Y345" s="32" t="n">
        <v>0</v>
      </c>
      <c r="Z345" s="31" t="n">
        <v>0</v>
      </c>
      <c r="AA345" s="32" t="n">
        <v>0</v>
      </c>
      <c r="AB345" s="32" t="n">
        <v>1</v>
      </c>
      <c r="AC345" s="32" t="n">
        <v>0</v>
      </c>
      <c r="AD345" s="32" t="n">
        <v>0</v>
      </c>
      <c r="AE345" s="31" t="n">
        <v>0</v>
      </c>
      <c r="AF345" s="32" t="n">
        <v>1</v>
      </c>
      <c r="AG345" s="31" t="n">
        <v>5</v>
      </c>
      <c r="AH345" s="32" t="n">
        <v>64</v>
      </c>
      <c r="AI345" s="31" t="n">
        <v>67.8</v>
      </c>
      <c r="AJ345" s="31" t="n">
        <v>51.1</v>
      </c>
      <c r="AK345" s="31" t="n">
        <v>15.7</v>
      </c>
      <c r="AL345" s="30" t="inlineStr">
        <is>
          <t>T-0498</t>
        </is>
      </c>
      <c r="AM345" s="30" t="inlineStr">
        <is>
          <t>G-05-02</t>
        </is>
      </c>
      <c r="AN345" s="30" t="inlineStr">
        <is>
          <t>T-0301</t>
        </is>
      </c>
      <c r="AO345" s="30" t="inlineStr">
        <is>
          <t>G-01-03</t>
        </is>
      </c>
    </row>
    <row r="346">
      <c r="A346" s="30" t="inlineStr">
        <is>
          <t>O0345</t>
        </is>
      </c>
      <c r="B346" s="30" t="inlineStr">
        <is>
          <t>B</t>
        </is>
      </c>
      <c r="C346" s="31" t="n">
        <v>4696.6</v>
      </c>
      <c r="D346" s="31" t="n">
        <v>12337.4</v>
      </c>
      <c r="E346" s="31" t="n">
        <v>12360.9</v>
      </c>
      <c r="F346" s="31" t="n">
        <v>12371.4</v>
      </c>
      <c r="G346" s="31" t="n">
        <v>12398.9</v>
      </c>
      <c r="H346" s="31" t="n">
        <v>12399</v>
      </c>
      <c r="I346" s="31" t="n">
        <v>12414.2</v>
      </c>
      <c r="J346" s="31" t="n">
        <v>12442.3</v>
      </c>
      <c r="K346" s="31" t="n">
        <v>7745.7</v>
      </c>
      <c r="L346" s="31" t="n">
        <v>7640.8</v>
      </c>
      <c r="M346" s="30" t="inlineStr">
        <is>
          <t>AMR2</t>
        </is>
      </c>
      <c r="N346" s="30" t="inlineStr">
        <is>
          <t>AMR2</t>
        </is>
      </c>
      <c r="O346" s="32" t="n">
        <v>1</v>
      </c>
      <c r="P346" s="32" t="n">
        <v>25</v>
      </c>
      <c r="Q346" s="32" t="n">
        <v>0</v>
      </c>
      <c r="R346" s="31" t="n">
        <v>58.8</v>
      </c>
      <c r="S346" s="31" t="n">
        <v>58.8</v>
      </c>
      <c r="T346" s="30" t="inlineStr">
        <is>
          <t>AMR2</t>
        </is>
      </c>
      <c r="U346" s="31" t="n">
        <v>43.1</v>
      </c>
      <c r="V346" s="31" t="n">
        <v>43.1</v>
      </c>
      <c r="W346" s="30" t="inlineStr">
        <is>
          <t>AMR2</t>
        </is>
      </c>
      <c r="X346" s="32" t="n">
        <v>0</v>
      </c>
      <c r="Y346" s="32" t="n">
        <v>0</v>
      </c>
      <c r="Z346" s="31" t="n">
        <v>0</v>
      </c>
      <c r="AA346" s="32" t="n">
        <v>0</v>
      </c>
      <c r="AB346" s="32" t="n">
        <v>0</v>
      </c>
      <c r="AC346" s="32" t="n">
        <v>0</v>
      </c>
      <c r="AD346" s="32" t="n">
        <v>0</v>
      </c>
      <c r="AE346" s="31" t="n">
        <v>0</v>
      </c>
      <c r="AF346" s="32" t="n">
        <v>0</v>
      </c>
      <c r="AG346" s="31" t="n">
        <v>0</v>
      </c>
      <c r="AH346" s="32" t="n">
        <v>58</v>
      </c>
      <c r="AI346" s="31" t="n">
        <v>59</v>
      </c>
      <c r="AJ346" s="31" t="n">
        <v>45.8</v>
      </c>
      <c r="AK346" s="31" t="n">
        <v>0</v>
      </c>
      <c r="AL346" s="30" t="inlineStr">
        <is>
          <t>T-0490</t>
        </is>
      </c>
      <c r="AM346" s="30" t="inlineStr">
        <is>
          <t>B-03-03</t>
        </is>
      </c>
      <c r="AN346" s="30" t="inlineStr">
        <is>
          <t>T-0267</t>
        </is>
      </c>
      <c r="AO346" s="30" t="inlineStr">
        <is>
          <t>B-06-01</t>
        </is>
      </c>
    </row>
    <row r="347">
      <c r="A347" s="30" t="inlineStr">
        <is>
          <t>O0346</t>
        </is>
      </c>
      <c r="B347" s="30" t="inlineStr">
        <is>
          <t>G</t>
        </is>
      </c>
      <c r="C347" s="31" t="n">
        <v>4702.8</v>
      </c>
      <c r="D347" s="31" t="n">
        <v>12699.9</v>
      </c>
      <c r="E347" s="31" t="n">
        <v>12723.4</v>
      </c>
      <c r="F347" s="31" t="n">
        <v>12738.1</v>
      </c>
      <c r="G347" s="31" t="n">
        <v>12766</v>
      </c>
      <c r="H347" s="31" t="n">
        <v>12766.1</v>
      </c>
      <c r="I347" s="31" t="n">
        <v>12778.2</v>
      </c>
      <c r="J347" s="31" t="n">
        <v>12810.1</v>
      </c>
      <c r="K347" s="31" t="n">
        <v>8107.3</v>
      </c>
      <c r="L347" s="31" t="n">
        <v>7997.1</v>
      </c>
      <c r="M347" s="30" t="inlineStr">
        <is>
          <t>AMR1</t>
        </is>
      </c>
      <c r="N347" s="30" t="inlineStr">
        <is>
          <t>AMR1</t>
        </is>
      </c>
      <c r="O347" s="32" t="n">
        <v>1</v>
      </c>
      <c r="P347" s="32" t="n">
        <v>25</v>
      </c>
      <c r="Q347" s="32" t="n">
        <v>2</v>
      </c>
      <c r="R347" s="31" t="n">
        <v>65.09999999999999</v>
      </c>
      <c r="S347" s="31" t="n">
        <v>65</v>
      </c>
      <c r="T347" s="30" t="inlineStr">
        <is>
          <t>AMR2</t>
        </is>
      </c>
      <c r="U347" s="31" t="n">
        <v>41.2</v>
      </c>
      <c r="V347" s="31" t="n">
        <v>41.2</v>
      </c>
      <c r="W347" s="30" t="inlineStr">
        <is>
          <t>AMR1</t>
        </is>
      </c>
      <c r="X347" s="32" t="n">
        <v>1</v>
      </c>
      <c r="Y347" s="32" t="n">
        <v>13</v>
      </c>
      <c r="Z347" s="31" t="n">
        <v>0.1</v>
      </c>
      <c r="AA347" s="32" t="n">
        <v>0</v>
      </c>
      <c r="AB347" s="32" t="n">
        <v>0</v>
      </c>
      <c r="AC347" s="32" t="n">
        <v>0</v>
      </c>
      <c r="AD347" s="32" t="n">
        <v>0</v>
      </c>
      <c r="AE347" s="31" t="n">
        <v>0</v>
      </c>
      <c r="AF347" s="32" t="n">
        <v>0</v>
      </c>
      <c r="AG347" s="31" t="n">
        <v>0</v>
      </c>
      <c r="AH347" s="32" t="n">
        <v>60</v>
      </c>
      <c r="AI347" s="31" t="n">
        <v>61.8</v>
      </c>
      <c r="AJ347" s="31" t="n">
        <v>48.3</v>
      </c>
      <c r="AK347" s="31" t="n">
        <v>0</v>
      </c>
      <c r="AL347" s="30" t="inlineStr">
        <is>
          <t>T-0501</t>
        </is>
      </c>
      <c r="AM347" s="30" t="inlineStr">
        <is>
          <t>G-06-02</t>
        </is>
      </c>
      <c r="AN347" s="30" t="inlineStr">
        <is>
          <t>T-0303</t>
        </is>
      </c>
      <c r="AO347" s="30" t="inlineStr">
        <is>
          <t>G-02-03</t>
        </is>
      </c>
    </row>
    <row r="348">
      <c r="A348" s="30" t="inlineStr">
        <is>
          <t>O0347</t>
        </is>
      </c>
      <c r="B348" s="30" t="inlineStr">
        <is>
          <t>B</t>
        </is>
      </c>
      <c r="C348" s="31" t="n">
        <v>4706.9</v>
      </c>
      <c r="D348" s="31" t="n">
        <v>12585.8</v>
      </c>
      <c r="E348" s="31" t="n">
        <v>12598.5</v>
      </c>
      <c r="F348" s="31" t="n">
        <v>12611.1</v>
      </c>
      <c r="G348" s="31" t="n">
        <v>12634.4</v>
      </c>
      <c r="H348" s="31" t="n">
        <v>12634.5</v>
      </c>
      <c r="I348" s="31" t="n">
        <v>12645.5</v>
      </c>
      <c r="J348" s="31" t="n">
        <v>12676.2</v>
      </c>
      <c r="K348" s="31" t="n">
        <v>7969.3</v>
      </c>
      <c r="L348" s="31" t="n">
        <v>7878.9</v>
      </c>
      <c r="M348" s="30" t="inlineStr">
        <is>
          <t>AMR3</t>
        </is>
      </c>
      <c r="N348" s="30" t="inlineStr">
        <is>
          <t>AMR3</t>
        </is>
      </c>
      <c r="O348" s="32" t="n">
        <v>1</v>
      </c>
      <c r="P348" s="32" t="n">
        <v>13</v>
      </c>
      <c r="Q348" s="32" t="n">
        <v>1</v>
      </c>
      <c r="R348" s="31" t="n">
        <v>47.9</v>
      </c>
      <c r="S348" s="31" t="n">
        <v>47.9</v>
      </c>
      <c r="T348" s="30" t="inlineStr">
        <is>
          <t>AMR3</t>
        </is>
      </c>
      <c r="U348" s="31" t="n">
        <v>39.9</v>
      </c>
      <c r="V348" s="31" t="n">
        <v>39.9</v>
      </c>
      <c r="W348" s="30" t="inlineStr">
        <is>
          <t>AMR3</t>
        </is>
      </c>
      <c r="X348" s="32" t="n">
        <v>0</v>
      </c>
      <c r="Y348" s="32" t="n">
        <v>0</v>
      </c>
      <c r="Z348" s="31" t="n">
        <v>0</v>
      </c>
      <c r="AA348" s="32" t="n">
        <v>0</v>
      </c>
      <c r="AB348" s="32" t="n">
        <v>1</v>
      </c>
      <c r="AC348" s="32" t="n">
        <v>0</v>
      </c>
      <c r="AD348" s="32" t="n">
        <v>0</v>
      </c>
      <c r="AE348" s="31" t="n">
        <v>0</v>
      </c>
      <c r="AF348" s="32" t="n">
        <v>0</v>
      </c>
      <c r="AG348" s="31" t="n">
        <v>0</v>
      </c>
      <c r="AH348" s="32" t="n">
        <v>48</v>
      </c>
      <c r="AI348" s="31" t="n">
        <v>49.7</v>
      </c>
      <c r="AJ348" s="31" t="n">
        <v>40.6</v>
      </c>
      <c r="AK348" s="31" t="n">
        <v>0</v>
      </c>
      <c r="AL348" s="30" t="inlineStr">
        <is>
          <t>T-0497</t>
        </is>
      </c>
      <c r="AM348" s="30" t="inlineStr">
        <is>
          <t>B-04-03</t>
        </is>
      </c>
      <c r="AN348" s="30" t="inlineStr">
        <is>
          <t>T-0276</t>
        </is>
      </c>
      <c r="AO348" s="30" t="inlineStr">
        <is>
          <t>B-01-01</t>
        </is>
      </c>
    </row>
    <row r="349">
      <c r="A349" s="30" t="inlineStr">
        <is>
          <t>O0348</t>
        </is>
      </c>
      <c r="B349" s="30" t="inlineStr">
        <is>
          <t>C</t>
        </is>
      </c>
      <c r="C349" s="31" t="n">
        <v>4710.9</v>
      </c>
      <c r="D349" s="31" t="n">
        <v>12461</v>
      </c>
      <c r="E349" s="31" t="n">
        <v>12489.5</v>
      </c>
      <c r="F349" s="31" t="n">
        <v>12504.8</v>
      </c>
      <c r="G349" s="31" t="n">
        <v>12527.2</v>
      </c>
      <c r="H349" s="31" t="n">
        <v>12527.3</v>
      </c>
      <c r="I349" s="31" t="n">
        <v>12537.9</v>
      </c>
      <c r="J349" s="31" t="n">
        <v>12565</v>
      </c>
      <c r="K349" s="31" t="n">
        <v>7854.1</v>
      </c>
      <c r="L349" s="31" t="n">
        <v>7750.1</v>
      </c>
      <c r="M349" s="30" t="inlineStr">
        <is>
          <t>AMR1</t>
        </is>
      </c>
      <c r="N349" s="30" t="inlineStr">
        <is>
          <t>AMR1</t>
        </is>
      </c>
      <c r="O349" s="32" t="n">
        <v>1</v>
      </c>
      <c r="P349" s="32" t="n">
        <v>25</v>
      </c>
      <c r="Q349" s="32" t="n">
        <v>1</v>
      </c>
      <c r="R349" s="31" t="n">
        <v>59.3</v>
      </c>
      <c r="S349" s="31" t="n">
        <v>59.3</v>
      </c>
      <c r="T349" s="30" t="inlineStr">
        <is>
          <t>AMR1</t>
        </is>
      </c>
      <c r="U349" s="31" t="n">
        <v>37.9</v>
      </c>
      <c r="V349" s="31" t="n">
        <v>37.9</v>
      </c>
      <c r="W349" s="30" t="inlineStr">
        <is>
          <t>AMR1</t>
        </is>
      </c>
      <c r="X349" s="32" t="n">
        <v>0</v>
      </c>
      <c r="Y349" s="32" t="n">
        <v>0</v>
      </c>
      <c r="Z349" s="31" t="n">
        <v>0</v>
      </c>
      <c r="AA349" s="32" t="n">
        <v>0</v>
      </c>
      <c r="AB349" s="32" t="n">
        <v>0</v>
      </c>
      <c r="AC349" s="32" t="n">
        <v>0</v>
      </c>
      <c r="AD349" s="32" t="n">
        <v>0</v>
      </c>
      <c r="AE349" s="31" t="n">
        <v>0</v>
      </c>
      <c r="AF349" s="32" t="n">
        <v>0</v>
      </c>
      <c r="AG349" s="31" t="n">
        <v>0</v>
      </c>
      <c r="AH349" s="32" t="n">
        <v>54</v>
      </c>
      <c r="AI349" s="31" t="n">
        <v>54.8</v>
      </c>
      <c r="AJ349" s="31" t="n">
        <v>44.1</v>
      </c>
      <c r="AK349" s="31" t="n">
        <v>5</v>
      </c>
      <c r="AL349" s="30" t="inlineStr">
        <is>
          <t>T-0494</t>
        </is>
      </c>
      <c r="AM349" s="30" t="inlineStr">
        <is>
          <t>C-04-03</t>
        </is>
      </c>
      <c r="AN349" s="30" t="inlineStr">
        <is>
          <t>T-0351</t>
        </is>
      </c>
      <c r="AO349" s="30" t="inlineStr">
        <is>
          <t>C-01-01</t>
        </is>
      </c>
    </row>
    <row r="350">
      <c r="A350" s="30" t="inlineStr">
        <is>
          <t>O0349</t>
        </is>
      </c>
      <c r="B350" s="30" t="inlineStr">
        <is>
          <t>B</t>
        </is>
      </c>
      <c r="C350" s="31" t="n">
        <v>4713.9</v>
      </c>
      <c r="D350" s="31" t="n">
        <v>12527.2</v>
      </c>
      <c r="E350" s="31" t="n">
        <v>12550.7</v>
      </c>
      <c r="F350" s="31" t="n">
        <v>12563.1</v>
      </c>
      <c r="G350" s="31" t="n">
        <v>12585.7</v>
      </c>
      <c r="H350" s="31" t="n">
        <v>12810.2</v>
      </c>
      <c r="I350" s="31" t="n">
        <v>12842.5</v>
      </c>
      <c r="J350" s="31" t="n">
        <v>12871.7</v>
      </c>
      <c r="K350" s="31" t="n">
        <v>8157.8</v>
      </c>
      <c r="L350" s="31" t="n">
        <v>7813.3</v>
      </c>
      <c r="M350" s="30" t="inlineStr">
        <is>
          <t>AMR3</t>
        </is>
      </c>
      <c r="N350" s="30" t="inlineStr">
        <is>
          <t>AMR1</t>
        </is>
      </c>
      <c r="O350" s="32" t="n">
        <v>1</v>
      </c>
      <c r="P350" s="32" t="n">
        <v>25</v>
      </c>
      <c r="Q350" s="32" t="n">
        <v>18</v>
      </c>
      <c r="R350" s="31" t="n">
        <v>57.4</v>
      </c>
      <c r="S350" s="31" t="n">
        <v>46.6</v>
      </c>
      <c r="T350" s="30" t="inlineStr">
        <is>
          <t>AMR1</t>
        </is>
      </c>
      <c r="U350" s="31" t="n">
        <v>58.9</v>
      </c>
      <c r="V350" s="31" t="n">
        <v>58.9</v>
      </c>
      <c r="W350" s="30" t="inlineStr">
        <is>
          <t>AMR1</t>
        </is>
      </c>
      <c r="X350" s="32" t="n">
        <v>1</v>
      </c>
      <c r="Y350" s="32" t="n">
        <v>13</v>
      </c>
      <c r="Z350" s="31" t="n">
        <v>10.8</v>
      </c>
      <c r="AA350" s="32" t="n">
        <v>1</v>
      </c>
      <c r="AB350" s="32" t="n">
        <v>0</v>
      </c>
      <c r="AC350" s="32" t="n">
        <v>0</v>
      </c>
      <c r="AD350" s="32" t="n">
        <v>0</v>
      </c>
      <c r="AE350" s="31" t="n">
        <v>0</v>
      </c>
      <c r="AF350" s="32" t="n">
        <v>0</v>
      </c>
      <c r="AG350" s="31" t="n">
        <v>0</v>
      </c>
      <c r="AH350" s="32" t="n">
        <v>76</v>
      </c>
      <c r="AI350" s="31" t="n">
        <v>76.8</v>
      </c>
      <c r="AJ350" s="31" t="n">
        <v>43.2</v>
      </c>
      <c r="AK350" s="31" t="n">
        <v>0</v>
      </c>
      <c r="AL350" s="30" t="inlineStr">
        <is>
          <t>T-0495</t>
        </is>
      </c>
      <c r="AM350" s="30" t="inlineStr">
        <is>
          <t>B-06-01</t>
        </is>
      </c>
      <c r="AN350" s="30" t="inlineStr">
        <is>
          <t>T-0283</t>
        </is>
      </c>
      <c r="AO350" s="30" t="inlineStr">
        <is>
          <t>B-02-01</t>
        </is>
      </c>
    </row>
    <row r="351">
      <c r="A351" s="30" t="inlineStr">
        <is>
          <t>O0350</t>
        </is>
      </c>
      <c r="B351" s="30" t="inlineStr">
        <is>
          <t>C</t>
        </is>
      </c>
      <c r="C351" s="31" t="n">
        <v>4718.2</v>
      </c>
      <c r="D351" s="31" t="n">
        <v>12544</v>
      </c>
      <c r="E351" s="31" t="n">
        <v>12574.5</v>
      </c>
      <c r="F351" s="31" t="n">
        <v>12590.8</v>
      </c>
      <c r="G351" s="31" t="n">
        <v>12611.3</v>
      </c>
      <c r="H351" s="31" t="n">
        <v>13035.7</v>
      </c>
      <c r="I351" s="31" t="n">
        <v>13049.3</v>
      </c>
      <c r="J351" s="31" t="n">
        <v>13075.4</v>
      </c>
      <c r="K351" s="31" t="n">
        <v>8357.200000000001</v>
      </c>
      <c r="L351" s="31" t="n">
        <v>7825.8</v>
      </c>
      <c r="M351" s="30" t="inlineStr">
        <is>
          <t>AMR2</t>
        </is>
      </c>
      <c r="N351" s="30" t="inlineStr">
        <is>
          <t>AMR1</t>
        </is>
      </c>
      <c r="O351" s="32" t="n">
        <v>1</v>
      </c>
      <c r="P351" s="32" t="n">
        <v>25</v>
      </c>
      <c r="Q351" s="32" t="n">
        <v>0</v>
      </c>
      <c r="R351" s="31" t="n">
        <v>58.4</v>
      </c>
      <c r="S351" s="31" t="n">
        <v>58.4</v>
      </c>
      <c r="T351" s="30" t="inlineStr">
        <is>
          <t>AMR2</t>
        </is>
      </c>
      <c r="U351" s="31" t="n">
        <v>39</v>
      </c>
      <c r="V351" s="31" t="n">
        <v>39</v>
      </c>
      <c r="W351" s="30" t="inlineStr">
        <is>
          <t>AMR1</t>
        </is>
      </c>
      <c r="X351" s="32" t="n">
        <v>0</v>
      </c>
      <c r="Y351" s="32" t="n">
        <v>0</v>
      </c>
      <c r="Z351" s="31" t="n">
        <v>0</v>
      </c>
      <c r="AA351" s="32" t="n">
        <v>0</v>
      </c>
      <c r="AB351" s="32" t="n">
        <v>0</v>
      </c>
      <c r="AC351" s="32" t="n">
        <v>0</v>
      </c>
      <c r="AD351" s="32" t="n">
        <v>0</v>
      </c>
      <c r="AE351" s="31" t="n">
        <v>0</v>
      </c>
      <c r="AF351" s="32" t="n">
        <v>1</v>
      </c>
      <c r="AG351" s="31" t="n">
        <v>2</v>
      </c>
      <c r="AH351" s="32" t="n">
        <v>53</v>
      </c>
      <c r="AI351" s="31" t="n">
        <v>55</v>
      </c>
      <c r="AJ351" s="31" t="n">
        <v>45</v>
      </c>
      <c r="AK351" s="31" t="n">
        <v>7</v>
      </c>
      <c r="AL351" s="30" t="inlineStr">
        <is>
          <t>T-0496</t>
        </is>
      </c>
      <c r="AM351" s="30" t="inlineStr">
        <is>
          <t>C-01-01</t>
        </is>
      </c>
      <c r="AN351" s="30" t="inlineStr">
        <is>
          <t>T-0387</t>
        </is>
      </c>
      <c r="AO351" s="30" t="inlineStr">
        <is>
          <t>C-06-01</t>
        </is>
      </c>
    </row>
    <row r="352">
      <c r="A352" s="30" t="inlineStr">
        <is>
          <t>O0351</t>
        </is>
      </c>
      <c r="B352" s="30" t="inlineStr">
        <is>
          <t>C</t>
        </is>
      </c>
      <c r="C352" s="31" t="n">
        <v>4724.2</v>
      </c>
      <c r="D352" s="31" t="n">
        <v>12650.1</v>
      </c>
      <c r="E352" s="31" t="n">
        <v>12673.6</v>
      </c>
      <c r="F352" s="31" t="n">
        <v>12689</v>
      </c>
      <c r="G352" s="31" t="n">
        <v>12711</v>
      </c>
      <c r="H352" s="31" t="n">
        <v>12711.1</v>
      </c>
      <c r="I352" s="31" t="n">
        <v>12721.1</v>
      </c>
      <c r="J352" s="31" t="n">
        <v>12749.2</v>
      </c>
      <c r="K352" s="31" t="n">
        <v>8025</v>
      </c>
      <c r="L352" s="31" t="n">
        <v>7925.9</v>
      </c>
      <c r="M352" s="30" t="inlineStr">
        <is>
          <t>AMR2</t>
        </is>
      </c>
      <c r="N352" s="30" t="inlineStr">
        <is>
          <t>AMR2</t>
        </is>
      </c>
      <c r="O352" s="32" t="n">
        <v>1</v>
      </c>
      <c r="P352" s="32" t="n">
        <v>25</v>
      </c>
      <c r="Q352" s="32" t="n">
        <v>1</v>
      </c>
      <c r="R352" s="31" t="n">
        <v>59</v>
      </c>
      <c r="S352" s="31" t="n">
        <v>55.7</v>
      </c>
      <c r="T352" s="30" t="inlineStr">
        <is>
          <t>AMR1</t>
        </is>
      </c>
      <c r="U352" s="31" t="n">
        <v>38.8</v>
      </c>
      <c r="V352" s="31" t="n">
        <v>38.8</v>
      </c>
      <c r="W352" s="30" t="inlineStr">
        <is>
          <t>AMR2</t>
        </is>
      </c>
      <c r="X352" s="32" t="n">
        <v>1</v>
      </c>
      <c r="Y352" s="32" t="n">
        <v>9</v>
      </c>
      <c r="Z352" s="31" t="n">
        <v>3.3</v>
      </c>
      <c r="AA352" s="32" t="n">
        <v>0</v>
      </c>
      <c r="AB352" s="32" t="n">
        <v>0</v>
      </c>
      <c r="AC352" s="32" t="n">
        <v>0</v>
      </c>
      <c r="AD352" s="32" t="n">
        <v>0</v>
      </c>
      <c r="AE352" s="31" t="n">
        <v>0</v>
      </c>
      <c r="AF352" s="32" t="n">
        <v>0</v>
      </c>
      <c r="AG352" s="31" t="n">
        <v>0</v>
      </c>
      <c r="AH352" s="32" t="n">
        <v>52</v>
      </c>
      <c r="AI352" s="31" t="n">
        <v>54.3</v>
      </c>
      <c r="AJ352" s="31" t="n">
        <v>44.7</v>
      </c>
      <c r="AK352" s="31" t="n">
        <v>0</v>
      </c>
      <c r="AL352" s="30" t="inlineStr">
        <is>
          <t>T-0499</t>
        </is>
      </c>
      <c r="AM352" s="30" t="inlineStr">
        <is>
          <t>C-05-01</t>
        </is>
      </c>
      <c r="AN352" s="30" t="inlineStr">
        <is>
          <t>T-0356</t>
        </is>
      </c>
      <c r="AO352" s="30" t="inlineStr">
        <is>
          <t>C-06-03</t>
        </is>
      </c>
    </row>
    <row r="353">
      <c r="A353" s="30" t="inlineStr">
        <is>
          <t>O0352</t>
        </is>
      </c>
      <c r="B353" s="30" t="inlineStr">
        <is>
          <t>C</t>
        </is>
      </c>
      <c r="C353" s="31" t="n">
        <v>4729</v>
      </c>
      <c r="D353" s="31" t="n">
        <v>12749.3</v>
      </c>
      <c r="E353" s="31" t="n">
        <v>12772.8</v>
      </c>
      <c r="F353" s="31" t="n">
        <v>12784</v>
      </c>
      <c r="G353" s="31" t="n">
        <v>12803.6</v>
      </c>
      <c r="H353" s="31" t="n">
        <v>12856.1</v>
      </c>
      <c r="I353" s="31" t="n">
        <v>12866.6</v>
      </c>
      <c r="J353" s="31" t="n">
        <v>12909.5</v>
      </c>
      <c r="K353" s="31" t="n">
        <v>8180.5</v>
      </c>
      <c r="L353" s="31" t="n">
        <v>8020.3</v>
      </c>
      <c r="M353" s="30" t="inlineStr">
        <is>
          <t>AMR2</t>
        </is>
      </c>
      <c r="N353" s="30" t="inlineStr">
        <is>
          <t>AMR2</t>
        </is>
      </c>
      <c r="O353" s="32" t="n">
        <v>1</v>
      </c>
      <c r="P353" s="32" t="n">
        <v>25</v>
      </c>
      <c r="Q353" s="32" t="n">
        <v>2</v>
      </c>
      <c r="R353" s="31" t="n">
        <v>52.4</v>
      </c>
      <c r="S353" s="31" t="n">
        <v>52.4</v>
      </c>
      <c r="T353" s="30" t="inlineStr">
        <is>
          <t>AMR2</t>
        </is>
      </c>
      <c r="U353" s="31" t="n">
        <v>39.4</v>
      </c>
      <c r="V353" s="31" t="n">
        <v>39.4</v>
      </c>
      <c r="W353" s="30" t="inlineStr">
        <is>
          <t>AMR2</t>
        </is>
      </c>
      <c r="X353" s="32" t="n">
        <v>0</v>
      </c>
      <c r="Y353" s="32" t="n">
        <v>0</v>
      </c>
      <c r="Z353" s="31" t="n">
        <v>0</v>
      </c>
      <c r="AA353" s="32" t="n">
        <v>0</v>
      </c>
      <c r="AB353" s="32" t="n">
        <v>0</v>
      </c>
      <c r="AC353" s="32" t="n">
        <v>0</v>
      </c>
      <c r="AD353" s="32" t="n">
        <v>1</v>
      </c>
      <c r="AE353" s="31" t="n">
        <v>14.7</v>
      </c>
      <c r="AF353" s="32" t="n">
        <v>1</v>
      </c>
      <c r="AG353" s="31" t="n">
        <v>9.699999999999999</v>
      </c>
      <c r="AH353" s="32" t="n">
        <v>53</v>
      </c>
      <c r="AI353" s="31" t="n">
        <v>55</v>
      </c>
      <c r="AJ353" s="31" t="n">
        <v>38</v>
      </c>
      <c r="AK353" s="31" t="n">
        <v>14.7</v>
      </c>
      <c r="AL353" s="30" t="inlineStr">
        <is>
          <t>T-0502</t>
        </is>
      </c>
      <c r="AM353" s="30" t="inlineStr">
        <is>
          <t>C-05-03</t>
        </is>
      </c>
      <c r="AN353" s="30" t="inlineStr">
        <is>
          <t>T-0361</t>
        </is>
      </c>
      <c r="AO353" s="30" t="inlineStr">
        <is>
          <t>C-04-01</t>
        </is>
      </c>
    </row>
    <row r="354">
      <c r="A354" s="30" t="inlineStr">
        <is>
          <t>O0353</t>
        </is>
      </c>
      <c r="B354" s="30" t="inlineStr">
        <is>
          <t>A</t>
        </is>
      </c>
      <c r="C354" s="31" t="n">
        <v>4734</v>
      </c>
      <c r="D354" s="31" t="n">
        <v>12997.8</v>
      </c>
      <c r="E354" s="31" t="n">
        <v>13026.3</v>
      </c>
      <c r="F354" s="31" t="n">
        <v>13041.1</v>
      </c>
      <c r="G354" s="31" t="n">
        <v>13070.3</v>
      </c>
      <c r="H354" s="31" t="n">
        <v>13070.4</v>
      </c>
      <c r="I354" s="31" t="n">
        <v>13081.1</v>
      </c>
      <c r="J354" s="31" t="n">
        <v>13116</v>
      </c>
      <c r="K354" s="31" t="n">
        <v>8382</v>
      </c>
      <c r="L354" s="31" t="n">
        <v>8263.799999999999</v>
      </c>
      <c r="M354" s="30" t="inlineStr">
        <is>
          <t>AMR3</t>
        </is>
      </c>
      <c r="N354" s="30" t="inlineStr">
        <is>
          <t>AMR3</t>
        </is>
      </c>
      <c r="O354" s="32" t="n">
        <v>1</v>
      </c>
      <c r="P354" s="32" t="n">
        <v>25</v>
      </c>
      <c r="Q354" s="32" t="n">
        <v>2</v>
      </c>
      <c r="R354" s="31" t="n">
        <v>66.40000000000001</v>
      </c>
      <c r="S354" s="31" t="n">
        <v>66.40000000000001</v>
      </c>
      <c r="T354" s="30" t="inlineStr">
        <is>
          <t>AMR3</t>
        </is>
      </c>
      <c r="U354" s="31" t="n">
        <v>47</v>
      </c>
      <c r="V354" s="31" t="n">
        <v>47</v>
      </c>
      <c r="W354" s="30" t="inlineStr">
        <is>
          <t>AMR3</t>
        </is>
      </c>
      <c r="X354" s="32" t="n">
        <v>0</v>
      </c>
      <c r="Y354" s="32" t="n">
        <v>0</v>
      </c>
      <c r="Z354" s="31" t="n">
        <v>0</v>
      </c>
      <c r="AA354" s="32" t="n">
        <v>0</v>
      </c>
      <c r="AB354" s="32" t="n">
        <v>0</v>
      </c>
      <c r="AC354" s="32" t="n">
        <v>0</v>
      </c>
      <c r="AD354" s="32" t="n">
        <v>0</v>
      </c>
      <c r="AE354" s="31" t="n">
        <v>0</v>
      </c>
      <c r="AF354" s="32" t="n">
        <v>0</v>
      </c>
      <c r="AG354" s="31" t="n">
        <v>0</v>
      </c>
      <c r="AH354" s="32" t="n">
        <v>68</v>
      </c>
      <c r="AI354" s="31" t="n">
        <v>67.8</v>
      </c>
      <c r="AJ354" s="31" t="n">
        <v>45.3</v>
      </c>
      <c r="AK354" s="31" t="n">
        <v>5</v>
      </c>
      <c r="AL354" s="30" t="inlineStr">
        <is>
          <t>T-0509</t>
        </is>
      </c>
      <c r="AM354" s="30" t="inlineStr">
        <is>
          <t>A-06-01</t>
        </is>
      </c>
      <c r="AN354" s="30" t="inlineStr">
        <is>
          <t>T-0231</t>
        </is>
      </c>
      <c r="AO354" s="30" t="inlineStr">
        <is>
          <t>A-05-02</t>
        </is>
      </c>
    </row>
    <row r="355">
      <c r="A355" s="30" t="inlineStr">
        <is>
          <t>O0354</t>
        </is>
      </c>
      <c r="B355" s="30" t="inlineStr">
        <is>
          <t>A</t>
        </is>
      </c>
      <c r="C355" s="31" t="n">
        <v>4738.8</v>
      </c>
      <c r="D355" s="31" t="n">
        <v>12676.3</v>
      </c>
      <c r="E355" s="31" t="n">
        <v>12699.8</v>
      </c>
      <c r="F355" s="31" t="n">
        <v>12710.4</v>
      </c>
      <c r="G355" s="31" t="n">
        <v>12739.3</v>
      </c>
      <c r="H355" s="31" t="n">
        <v>14896.1</v>
      </c>
      <c r="I355" s="31" t="n">
        <v>14911.8</v>
      </c>
      <c r="J355" s="31" t="n">
        <v>14942.7</v>
      </c>
      <c r="K355" s="31" t="n">
        <v>10203.9</v>
      </c>
      <c r="L355" s="31" t="n">
        <v>7937.5</v>
      </c>
      <c r="M355" s="30" t="inlineStr">
        <is>
          <t>AMR3</t>
        </is>
      </c>
      <c r="N355" s="30" t="inlineStr">
        <is>
          <t>AMR1</t>
        </is>
      </c>
      <c r="O355" s="32" t="n">
        <v>1</v>
      </c>
      <c r="P355" s="32" t="n">
        <v>25</v>
      </c>
      <c r="Q355" s="32" t="n">
        <v>1</v>
      </c>
      <c r="R355" s="31" t="n">
        <v>61.1</v>
      </c>
      <c r="S355" s="31" t="n">
        <v>61.1</v>
      </c>
      <c r="T355" s="30" t="inlineStr">
        <is>
          <t>AMR3</t>
        </is>
      </c>
      <c r="U355" s="31" t="n">
        <v>47.3</v>
      </c>
      <c r="V355" s="31" t="n">
        <v>47.3</v>
      </c>
      <c r="W355" s="30" t="inlineStr">
        <is>
          <t>AMR1</t>
        </is>
      </c>
      <c r="X355" s="32" t="n">
        <v>0</v>
      </c>
      <c r="Y355" s="32" t="n">
        <v>0</v>
      </c>
      <c r="Z355" s="31" t="n">
        <v>0</v>
      </c>
      <c r="AA355" s="32" t="n">
        <v>0</v>
      </c>
      <c r="AB355" s="32" t="n">
        <v>0</v>
      </c>
      <c r="AC355" s="32" t="n">
        <v>0</v>
      </c>
      <c r="AD355" s="32" t="n">
        <v>0</v>
      </c>
      <c r="AE355" s="31" t="n">
        <v>0</v>
      </c>
      <c r="AF355" s="32" t="n">
        <v>0</v>
      </c>
      <c r="AG355" s="31" t="n">
        <v>0</v>
      </c>
      <c r="AH355" s="32" t="n">
        <v>70</v>
      </c>
      <c r="AI355" s="31" t="n">
        <v>68.59999999999999</v>
      </c>
      <c r="AJ355" s="31" t="n">
        <v>41</v>
      </c>
      <c r="AK355" s="31" t="n">
        <v>0</v>
      </c>
      <c r="AL355" s="30" t="inlineStr">
        <is>
          <t>T-0500</t>
        </is>
      </c>
      <c r="AM355" s="30" t="inlineStr">
        <is>
          <t>A-04-01</t>
        </is>
      </c>
      <c r="AN355" s="30" t="inlineStr">
        <is>
          <t>T-0237</t>
        </is>
      </c>
      <c r="AO355" s="30" t="inlineStr">
        <is>
          <t>A-04-02</t>
        </is>
      </c>
    </row>
    <row r="356">
      <c r="A356" s="30" t="inlineStr">
        <is>
          <t>O0355</t>
        </is>
      </c>
      <c r="B356" s="30" t="inlineStr">
        <is>
          <t>C</t>
        </is>
      </c>
      <c r="C356" s="31" t="n">
        <v>4745.2</v>
      </c>
      <c r="D356" s="31" t="n">
        <v>12803.7</v>
      </c>
      <c r="E356" s="31" t="n">
        <v>12821.3</v>
      </c>
      <c r="F356" s="31" t="n">
        <v>12831.9</v>
      </c>
      <c r="G356" s="31" t="n">
        <v>12856</v>
      </c>
      <c r="H356" s="31" t="n">
        <v>13456.4</v>
      </c>
      <c r="I356" s="31" t="n">
        <v>13475.1</v>
      </c>
      <c r="J356" s="31" t="n">
        <v>13503</v>
      </c>
      <c r="K356" s="31" t="n">
        <v>8757.799999999999</v>
      </c>
      <c r="L356" s="31" t="n">
        <v>8058.5</v>
      </c>
      <c r="M356" s="30" t="inlineStr">
        <is>
          <t>AMR2</t>
        </is>
      </c>
      <c r="N356" s="30" t="inlineStr">
        <is>
          <t>AMR1</t>
        </is>
      </c>
      <c r="O356" s="32" t="n">
        <v>1</v>
      </c>
      <c r="P356" s="32" t="n">
        <v>12</v>
      </c>
      <c r="Q356" s="32" t="n">
        <v>4</v>
      </c>
      <c r="R356" s="31" t="n">
        <v>46.2</v>
      </c>
      <c r="S356" s="31" t="n">
        <v>46.2</v>
      </c>
      <c r="T356" s="30" t="inlineStr">
        <is>
          <t>AMR2</t>
        </is>
      </c>
      <c r="U356" s="31" t="n">
        <v>44.8</v>
      </c>
      <c r="V356" s="31" t="n">
        <v>44.8</v>
      </c>
      <c r="W356" s="30" t="inlineStr">
        <is>
          <t>AMR1</t>
        </is>
      </c>
      <c r="X356" s="32" t="n">
        <v>0</v>
      </c>
      <c r="Y356" s="32" t="n">
        <v>0</v>
      </c>
      <c r="Z356" s="31" t="n">
        <v>0</v>
      </c>
      <c r="AA356" s="32" t="n">
        <v>0</v>
      </c>
      <c r="AB356" s="32" t="n">
        <v>0</v>
      </c>
      <c r="AC356" s="32" t="n">
        <v>0</v>
      </c>
      <c r="AD356" s="32" t="n">
        <v>0</v>
      </c>
      <c r="AE356" s="31" t="n">
        <v>0</v>
      </c>
      <c r="AF356" s="32" t="n">
        <v>0</v>
      </c>
      <c r="AG356" s="31" t="n">
        <v>0</v>
      </c>
      <c r="AH356" s="32" t="n">
        <v>43</v>
      </c>
      <c r="AI356" s="31" t="n">
        <v>48.2</v>
      </c>
      <c r="AJ356" s="31" t="n">
        <v>45.7</v>
      </c>
      <c r="AK356" s="31" t="n">
        <v>5</v>
      </c>
      <c r="AL356" s="30" t="inlineStr">
        <is>
          <t>T-0504</t>
        </is>
      </c>
      <c r="AM356" s="30" t="inlineStr">
        <is>
          <t>C-06-03</t>
        </is>
      </c>
      <c r="AN356" s="30" t="inlineStr">
        <is>
          <t>T-0399</t>
        </is>
      </c>
      <c r="AO356" s="30" t="inlineStr">
        <is>
          <t>C-03-02</t>
        </is>
      </c>
    </row>
    <row r="357">
      <c r="A357" s="30" t="inlineStr">
        <is>
          <t>O0356</t>
        </is>
      </c>
      <c r="B357" s="30" t="inlineStr">
        <is>
          <t>C</t>
        </is>
      </c>
      <c r="C357" s="31" t="n">
        <v>4751.1</v>
      </c>
      <c r="D357" s="31" t="n">
        <v>12871.8</v>
      </c>
      <c r="E357" s="31" t="n">
        <v>12895.3</v>
      </c>
      <c r="F357" s="31" t="n">
        <v>12911.2</v>
      </c>
      <c r="G357" s="31" t="n">
        <v>12935.7</v>
      </c>
      <c r="H357" s="31" t="n">
        <v>13367.6</v>
      </c>
      <c r="I357" s="31" t="n">
        <v>13394.2</v>
      </c>
      <c r="J357" s="31" t="n">
        <v>13436</v>
      </c>
      <c r="K357" s="31" t="n">
        <v>8684.9</v>
      </c>
      <c r="L357" s="31" t="n">
        <v>8120.7</v>
      </c>
      <c r="M357" s="30" t="inlineStr">
        <is>
          <t>AMR1</t>
        </is>
      </c>
      <c r="N357" s="30" t="inlineStr">
        <is>
          <t>AMR2</t>
        </is>
      </c>
      <c r="O357" s="32" t="n">
        <v>1</v>
      </c>
      <c r="P357" s="32" t="n">
        <v>25</v>
      </c>
      <c r="Q357" s="32" t="n">
        <v>16</v>
      </c>
      <c r="R357" s="31" t="n">
        <v>62</v>
      </c>
      <c r="S357" s="31" t="n">
        <v>62</v>
      </c>
      <c r="T357" s="30" t="inlineStr">
        <is>
          <t>AMR1</t>
        </is>
      </c>
      <c r="U357" s="31" t="n">
        <v>57.1</v>
      </c>
      <c r="V357" s="31" t="n">
        <v>51.5</v>
      </c>
      <c r="W357" s="30" t="inlineStr">
        <is>
          <t>AMR3</t>
        </is>
      </c>
      <c r="X357" s="32" t="n">
        <v>1</v>
      </c>
      <c r="Y357" s="32" t="n">
        <v>14</v>
      </c>
      <c r="Z357" s="31" t="n">
        <v>5.6</v>
      </c>
      <c r="AA357" s="32" t="n">
        <v>0</v>
      </c>
      <c r="AB357" s="32" t="n">
        <v>0</v>
      </c>
      <c r="AC357" s="32" t="n">
        <v>0</v>
      </c>
      <c r="AD357" s="32" t="n">
        <v>1</v>
      </c>
      <c r="AE357" s="31" t="n">
        <v>11.7</v>
      </c>
      <c r="AF357" s="32" t="n">
        <v>1</v>
      </c>
      <c r="AG357" s="31" t="n">
        <v>6.7</v>
      </c>
      <c r="AH357" s="32" t="n">
        <v>67</v>
      </c>
      <c r="AI357" s="31" t="n">
        <v>69.5</v>
      </c>
      <c r="AJ357" s="31" t="n">
        <v>51.1</v>
      </c>
      <c r="AK357" s="31" t="n">
        <v>11.7</v>
      </c>
      <c r="AL357" s="30" t="inlineStr">
        <is>
          <t>T-0505</t>
        </is>
      </c>
      <c r="AM357" s="30" t="inlineStr">
        <is>
          <t>C-04-01</t>
        </is>
      </c>
      <c r="AN357" s="30" t="inlineStr">
        <is>
          <t>T-0395</t>
        </is>
      </c>
      <c r="AO357" s="30" t="inlineStr">
        <is>
          <t>C-02-02</t>
        </is>
      </c>
    </row>
    <row r="358">
      <c r="A358" s="30" t="inlineStr">
        <is>
          <t>O0357</t>
        </is>
      </c>
      <c r="B358" s="30" t="inlineStr">
        <is>
          <t>H</t>
        </is>
      </c>
      <c r="C358" s="31" t="n">
        <v>4756.5</v>
      </c>
      <c r="D358" s="31" t="n">
        <v>12784.8</v>
      </c>
      <c r="E358" s="31" t="n">
        <v>12808.3</v>
      </c>
      <c r="F358" s="31" t="n">
        <v>12822.2</v>
      </c>
      <c r="G358" s="31" t="n">
        <v>12847.6</v>
      </c>
      <c r="H358" s="31" t="n">
        <v>12847.7</v>
      </c>
      <c r="I358" s="31" t="n">
        <v>12858.7</v>
      </c>
      <c r="J358" s="31" t="n">
        <v>12890.7</v>
      </c>
      <c r="K358" s="31" t="n">
        <v>8134.2</v>
      </c>
      <c r="L358" s="31" t="n">
        <v>8028.3</v>
      </c>
      <c r="M358" s="30" t="inlineStr">
        <is>
          <t>AMR3</t>
        </is>
      </c>
      <c r="N358" s="30" t="inlineStr">
        <is>
          <t>AMR3</t>
        </is>
      </c>
      <c r="O358" s="32" t="n">
        <v>1</v>
      </c>
      <c r="P358" s="32" t="n">
        <v>25</v>
      </c>
      <c r="Q358" s="32" t="n">
        <v>1</v>
      </c>
      <c r="R358" s="31" t="n">
        <v>61</v>
      </c>
      <c r="S358" s="31" t="n">
        <v>61</v>
      </c>
      <c r="T358" s="30" t="inlineStr">
        <is>
          <t>AMR3</t>
        </is>
      </c>
      <c r="U358" s="31" t="n">
        <v>37.2</v>
      </c>
      <c r="V358" s="31" t="n">
        <v>37.2</v>
      </c>
      <c r="W358" s="30" t="inlineStr">
        <is>
          <t>AMR3</t>
        </is>
      </c>
      <c r="X358" s="32" t="n">
        <v>0</v>
      </c>
      <c r="Y358" s="32" t="n">
        <v>0</v>
      </c>
      <c r="Z358" s="31" t="n">
        <v>0</v>
      </c>
      <c r="AA358" s="32" t="n">
        <v>0</v>
      </c>
      <c r="AB358" s="32" t="n">
        <v>0</v>
      </c>
      <c r="AC358" s="32" t="n">
        <v>0</v>
      </c>
      <c r="AD358" s="32" t="n">
        <v>1</v>
      </c>
      <c r="AE358" s="31" t="n">
        <v>5</v>
      </c>
      <c r="AF358" s="32" t="n">
        <v>0</v>
      </c>
      <c r="AG358" s="31" t="n">
        <v>0</v>
      </c>
      <c r="AH358" s="32" t="n">
        <v>54</v>
      </c>
      <c r="AI358" s="31" t="n">
        <v>56.2</v>
      </c>
      <c r="AJ358" s="31" t="n">
        <v>44.6</v>
      </c>
      <c r="AK358" s="31" t="n">
        <v>5</v>
      </c>
      <c r="AL358" s="30" t="inlineStr">
        <is>
          <t>T-0503</t>
        </is>
      </c>
      <c r="AM358" s="30" t="inlineStr">
        <is>
          <t>H-02-02</t>
        </is>
      </c>
      <c r="AN358" s="30" t="inlineStr">
        <is>
          <t>T-0425</t>
        </is>
      </c>
      <c r="AO358" s="30" t="inlineStr">
        <is>
          <t>H-04-02</t>
        </is>
      </c>
    </row>
    <row r="359">
      <c r="A359" s="30" t="inlineStr">
        <is>
          <t>O0358</t>
        </is>
      </c>
      <c r="B359" s="30" t="inlineStr">
        <is>
          <t>H</t>
        </is>
      </c>
      <c r="C359" s="31" t="n">
        <v>4762</v>
      </c>
      <c r="D359" s="31" t="n">
        <v>12890.8</v>
      </c>
      <c r="E359" s="31" t="n">
        <v>12919.3</v>
      </c>
      <c r="F359" s="31" t="n">
        <v>12934.1</v>
      </c>
      <c r="G359" s="31" t="n">
        <v>12959.5</v>
      </c>
      <c r="H359" s="31" t="n">
        <v>12959.6</v>
      </c>
      <c r="I359" s="31" t="n">
        <v>12971</v>
      </c>
      <c r="J359" s="31" t="n">
        <v>12997.7</v>
      </c>
      <c r="K359" s="31" t="n">
        <v>8235.700000000001</v>
      </c>
      <c r="L359" s="31" t="n">
        <v>8128.8</v>
      </c>
      <c r="M359" s="30" t="inlineStr">
        <is>
          <t>AMR3</t>
        </is>
      </c>
      <c r="N359" s="30" t="inlineStr">
        <is>
          <t>AMR3</t>
        </is>
      </c>
      <c r="O359" s="32" t="n">
        <v>1</v>
      </c>
      <c r="P359" s="32" t="n">
        <v>25</v>
      </c>
      <c r="Q359" s="32" t="n">
        <v>1</v>
      </c>
      <c r="R359" s="31" t="n">
        <v>61.8</v>
      </c>
      <c r="S359" s="31" t="n">
        <v>61.8</v>
      </c>
      <c r="T359" s="30" t="inlineStr">
        <is>
          <t>AMR3</t>
        </is>
      </c>
      <c r="U359" s="31" t="n">
        <v>38.8</v>
      </c>
      <c r="V359" s="31" t="n">
        <v>38.8</v>
      </c>
      <c r="W359" s="30" t="inlineStr">
        <is>
          <t>AMR3</t>
        </is>
      </c>
      <c r="X359" s="32" t="n">
        <v>0</v>
      </c>
      <c r="Y359" s="32" t="n">
        <v>0</v>
      </c>
      <c r="Z359" s="31" t="n">
        <v>0</v>
      </c>
      <c r="AA359" s="32" t="n">
        <v>0</v>
      </c>
      <c r="AB359" s="32" t="n">
        <v>0</v>
      </c>
      <c r="AC359" s="32" t="n">
        <v>0</v>
      </c>
      <c r="AD359" s="32" t="n">
        <v>0</v>
      </c>
      <c r="AE359" s="31" t="n">
        <v>0</v>
      </c>
      <c r="AF359" s="32" t="n">
        <v>0</v>
      </c>
      <c r="AG359" s="31" t="n">
        <v>0</v>
      </c>
      <c r="AH359" s="32" t="n">
        <v>52</v>
      </c>
      <c r="AI359" s="31" t="n">
        <v>54.8</v>
      </c>
      <c r="AJ359" s="31" t="n">
        <v>47</v>
      </c>
      <c r="AK359" s="31" t="n">
        <v>5</v>
      </c>
      <c r="AL359" s="30" t="inlineStr">
        <is>
          <t>T-0506</t>
        </is>
      </c>
      <c r="AM359" s="30" t="inlineStr">
        <is>
          <t>H-04-02</t>
        </is>
      </c>
      <c r="AN359" s="30" t="inlineStr">
        <is>
          <t>T-0436</t>
        </is>
      </c>
      <c r="AO359" s="30" t="inlineStr">
        <is>
          <t>H-05-02</t>
        </is>
      </c>
    </row>
    <row r="360">
      <c r="A360" s="30" t="inlineStr">
        <is>
          <t>O0359</t>
        </is>
      </c>
      <c r="B360" s="30" t="inlineStr">
        <is>
          <t>I</t>
        </is>
      </c>
      <c r="C360" s="31" t="n">
        <v>4769</v>
      </c>
      <c r="D360" s="31" t="n">
        <v>12909.6</v>
      </c>
      <c r="E360" s="31" t="n">
        <v>12943.1</v>
      </c>
      <c r="F360" s="31" t="n">
        <v>12955.7</v>
      </c>
      <c r="G360" s="31" t="n">
        <v>12978.6</v>
      </c>
      <c r="H360" s="31" t="n">
        <v>12978.7</v>
      </c>
      <c r="I360" s="31" t="n">
        <v>12988.7</v>
      </c>
      <c r="J360" s="31" t="n">
        <v>13015.7</v>
      </c>
      <c r="K360" s="31" t="n">
        <v>8246.700000000001</v>
      </c>
      <c r="L360" s="31" t="n">
        <v>8140.6</v>
      </c>
      <c r="M360" s="30" t="inlineStr">
        <is>
          <t>AMR2</t>
        </is>
      </c>
      <c r="N360" s="30" t="inlineStr">
        <is>
          <t>AMR2</t>
        </is>
      </c>
      <c r="O360" s="32" t="n">
        <v>1</v>
      </c>
      <c r="P360" s="32" t="n">
        <v>25</v>
      </c>
      <c r="Q360" s="32" t="n">
        <v>1</v>
      </c>
      <c r="R360" s="31" t="n">
        <v>57.2</v>
      </c>
      <c r="S360" s="31" t="n">
        <v>57.2</v>
      </c>
      <c r="T360" s="30" t="inlineStr">
        <is>
          <t>AMR2</t>
        </is>
      </c>
      <c r="U360" s="31" t="n">
        <v>34.2</v>
      </c>
      <c r="V360" s="31" t="n">
        <v>34.2</v>
      </c>
      <c r="W360" s="30" t="inlineStr">
        <is>
          <t>AMR2</t>
        </is>
      </c>
      <c r="X360" s="32" t="n">
        <v>0</v>
      </c>
      <c r="Y360" s="32" t="n">
        <v>0</v>
      </c>
      <c r="Z360" s="31" t="n">
        <v>0</v>
      </c>
      <c r="AA360" s="32" t="n">
        <v>0</v>
      </c>
      <c r="AB360" s="32" t="n">
        <v>0</v>
      </c>
      <c r="AC360" s="32" t="n">
        <v>0</v>
      </c>
      <c r="AD360" s="32" t="n">
        <v>1</v>
      </c>
      <c r="AE360" s="31" t="n">
        <v>1.5</v>
      </c>
      <c r="AF360" s="32" t="n">
        <v>1</v>
      </c>
      <c r="AG360" s="31" t="n">
        <v>5</v>
      </c>
      <c r="AH360" s="32" t="n">
        <v>54</v>
      </c>
      <c r="AI360" s="31" t="n">
        <v>57.2</v>
      </c>
      <c r="AJ360" s="31" t="n">
        <v>37.3</v>
      </c>
      <c r="AK360" s="31" t="n">
        <v>11.5</v>
      </c>
      <c r="AL360" s="30" t="inlineStr">
        <is>
          <t>T-0507</t>
        </is>
      </c>
      <c r="AM360" s="30" t="inlineStr">
        <is>
          <t>I-02-02</t>
        </is>
      </c>
      <c r="AN360" s="30" t="inlineStr">
        <is>
          <t>T-0405</t>
        </is>
      </c>
      <c r="AO360" s="30" t="inlineStr">
        <is>
          <t>I-03-02</t>
        </is>
      </c>
    </row>
    <row r="361">
      <c r="A361" s="30" t="inlineStr">
        <is>
          <t>O0360</t>
        </is>
      </c>
      <c r="B361" s="30" t="inlineStr">
        <is>
          <t>C</t>
        </is>
      </c>
      <c r="C361" s="31" t="n">
        <v>4774.4</v>
      </c>
      <c r="D361" s="31" t="n">
        <v>12978.7</v>
      </c>
      <c r="E361" s="31" t="n">
        <v>13002.2</v>
      </c>
      <c r="F361" s="31" t="n">
        <v>13013.2</v>
      </c>
      <c r="G361" s="31" t="n">
        <v>13035.6</v>
      </c>
      <c r="H361" s="31" t="n">
        <v>14962.1</v>
      </c>
      <c r="I361" s="31" t="n">
        <v>14992.2</v>
      </c>
      <c r="J361" s="31" t="n">
        <v>15037.8</v>
      </c>
      <c r="K361" s="31" t="n">
        <v>10263.4</v>
      </c>
      <c r="L361" s="31" t="n">
        <v>8204.299999999999</v>
      </c>
      <c r="M361" s="30" t="inlineStr">
        <is>
          <t>AMR1</t>
        </is>
      </c>
      <c r="N361" s="30" t="inlineStr">
        <is>
          <t>AMR2</t>
        </is>
      </c>
      <c r="O361" s="32" t="n">
        <v>1</v>
      </c>
      <c r="P361" s="32" t="n">
        <v>25</v>
      </c>
      <c r="Q361" s="32" t="n">
        <v>16</v>
      </c>
      <c r="R361" s="31" t="n">
        <v>54.2</v>
      </c>
      <c r="S361" s="31" t="n">
        <v>45.9</v>
      </c>
      <c r="T361" s="30" t="inlineStr">
        <is>
          <t>AMR2</t>
        </is>
      </c>
      <c r="U361" s="31" t="n">
        <v>59.2</v>
      </c>
      <c r="V361" s="31" t="n">
        <v>59.2</v>
      </c>
      <c r="W361" s="30" t="inlineStr">
        <is>
          <t>AMR2</t>
        </is>
      </c>
      <c r="X361" s="32" t="n">
        <v>1</v>
      </c>
      <c r="Y361" s="32" t="n">
        <v>11</v>
      </c>
      <c r="Z361" s="31" t="n">
        <v>8.300000000000001</v>
      </c>
      <c r="AA361" s="32" t="n">
        <v>0</v>
      </c>
      <c r="AB361" s="32" t="n">
        <v>0</v>
      </c>
      <c r="AC361" s="32" t="n">
        <v>0</v>
      </c>
      <c r="AD361" s="32" t="n">
        <v>1</v>
      </c>
      <c r="AE361" s="31" t="n">
        <v>17</v>
      </c>
      <c r="AF361" s="32" t="n">
        <v>1</v>
      </c>
      <c r="AG361" s="31" t="n">
        <v>12</v>
      </c>
      <c r="AH361" s="32" t="n">
        <v>68</v>
      </c>
      <c r="AI361" s="31" t="n">
        <v>70.2</v>
      </c>
      <c r="AJ361" s="31" t="n">
        <v>45.4</v>
      </c>
      <c r="AK361" s="31" t="n">
        <v>17</v>
      </c>
      <c r="AL361" s="30" t="inlineStr">
        <is>
          <t>T-0508</t>
        </is>
      </c>
      <c r="AM361" s="30" t="inlineStr">
        <is>
          <t>C-03-01</t>
        </is>
      </c>
      <c r="AN361" s="30" t="inlineStr">
        <is>
          <t>T-0459</t>
        </is>
      </c>
      <c r="AO361" s="30" t="inlineStr">
        <is>
          <t>C-06-02</t>
        </is>
      </c>
    </row>
    <row r="362">
      <c r="A362" s="30" t="inlineStr">
        <is>
          <t>O0361</t>
        </is>
      </c>
      <c r="B362" s="30" t="inlineStr">
        <is>
          <t>J</t>
        </is>
      </c>
      <c r="C362" s="31" t="n">
        <v>4780</v>
      </c>
      <c r="D362" s="31" t="n">
        <v>13518.3</v>
      </c>
      <c r="E362" s="31" t="n">
        <v>13555</v>
      </c>
      <c r="F362" s="31" t="n">
        <v>13565.9</v>
      </c>
      <c r="G362" s="31" t="n">
        <v>13597.5</v>
      </c>
      <c r="H362" s="31" t="n">
        <v>13597.6</v>
      </c>
      <c r="I362" s="31" t="n">
        <v>13611.3</v>
      </c>
      <c r="J362" s="31" t="n">
        <v>13651.1</v>
      </c>
      <c r="K362" s="31" t="n">
        <v>8871.1</v>
      </c>
      <c r="L362" s="31" t="n">
        <v>8738.299999999999</v>
      </c>
      <c r="M362" s="30" t="inlineStr">
        <is>
          <t>AMR3</t>
        </is>
      </c>
      <c r="N362" s="30" t="inlineStr">
        <is>
          <t>AMR3</t>
        </is>
      </c>
      <c r="O362" s="32" t="n">
        <v>1</v>
      </c>
      <c r="P362" s="32" t="n">
        <v>25</v>
      </c>
      <c r="Q362" s="32" t="n">
        <v>0</v>
      </c>
      <c r="R362" s="31" t="n">
        <v>63.3</v>
      </c>
      <c r="S362" s="31" t="n">
        <v>63.3</v>
      </c>
      <c r="T362" s="30" t="inlineStr">
        <is>
          <t>AMR3</t>
        </is>
      </c>
      <c r="U362" s="31" t="n">
        <v>44.1</v>
      </c>
      <c r="V362" s="31" t="n">
        <v>44.1</v>
      </c>
      <c r="W362" s="30" t="inlineStr">
        <is>
          <t>AMR3</t>
        </is>
      </c>
      <c r="X362" s="32" t="n">
        <v>0</v>
      </c>
      <c r="Y362" s="32" t="n">
        <v>0</v>
      </c>
      <c r="Z362" s="31" t="n">
        <v>0</v>
      </c>
      <c r="AA362" s="32" t="n">
        <v>0</v>
      </c>
      <c r="AB362" s="32" t="n">
        <v>0</v>
      </c>
      <c r="AC362" s="32" t="n">
        <v>0</v>
      </c>
      <c r="AD362" s="32" t="n">
        <v>1</v>
      </c>
      <c r="AE362" s="31" t="n">
        <v>8.6</v>
      </c>
      <c r="AF362" s="32" t="n">
        <v>2</v>
      </c>
      <c r="AG362" s="31" t="n">
        <v>7.6</v>
      </c>
      <c r="AH362" s="32" t="n">
        <v>68</v>
      </c>
      <c r="AI362" s="31" t="n">
        <v>67.5</v>
      </c>
      <c r="AJ362" s="31" t="n">
        <v>43.4</v>
      </c>
      <c r="AK362" s="31" t="n">
        <v>21.8</v>
      </c>
      <c r="AL362" s="30" t="inlineStr">
        <is>
          <t>T-0524</t>
        </is>
      </c>
      <c r="AM362" s="30" t="inlineStr">
        <is>
          <t>J-03-02</t>
        </is>
      </c>
      <c r="AN362" s="30" t="inlineStr">
        <is>
          <t>T-0309</t>
        </is>
      </c>
      <c r="AO362" s="30" t="inlineStr">
        <is>
          <t>J-05-02</t>
        </is>
      </c>
    </row>
    <row r="363">
      <c r="A363" s="30" t="inlineStr">
        <is>
          <t>O0362</t>
        </is>
      </c>
      <c r="B363" s="30" t="inlineStr">
        <is>
          <t>F</t>
        </is>
      </c>
      <c r="C363" s="31" t="n">
        <v>4784.8</v>
      </c>
      <c r="D363" s="31" t="n">
        <v>13015.8</v>
      </c>
      <c r="E363" s="31" t="n">
        <v>13050.3</v>
      </c>
      <c r="F363" s="31" t="n">
        <v>13066.6</v>
      </c>
      <c r="G363" s="31" t="n">
        <v>13100.2</v>
      </c>
      <c r="H363" s="31" t="n">
        <v>14649.2</v>
      </c>
      <c r="I363" s="31" t="n">
        <v>14660</v>
      </c>
      <c r="J363" s="31" t="n">
        <v>14694.2</v>
      </c>
      <c r="K363" s="31" t="n">
        <v>9909.4</v>
      </c>
      <c r="L363" s="31" t="n">
        <v>8231</v>
      </c>
      <c r="M363" s="30" t="inlineStr">
        <is>
          <t>AMR2</t>
        </is>
      </c>
      <c r="N363" s="30" t="inlineStr">
        <is>
          <t>AMR3</t>
        </is>
      </c>
      <c r="O363" s="32" t="n">
        <v>1</v>
      </c>
      <c r="P363" s="32" t="n">
        <v>25</v>
      </c>
      <c r="Q363" s="32" t="n">
        <v>1</v>
      </c>
      <c r="R363" s="31" t="n">
        <v>71.5</v>
      </c>
      <c r="S363" s="31" t="n">
        <v>71.5</v>
      </c>
      <c r="T363" s="30" t="inlineStr">
        <is>
          <t>AMR2</t>
        </is>
      </c>
      <c r="U363" s="31" t="n">
        <v>45.7</v>
      </c>
      <c r="V363" s="31" t="n">
        <v>45.7</v>
      </c>
      <c r="W363" s="30" t="inlineStr">
        <is>
          <t>AMR3</t>
        </is>
      </c>
      <c r="X363" s="32" t="n">
        <v>0</v>
      </c>
      <c r="Y363" s="32" t="n">
        <v>0</v>
      </c>
      <c r="Z363" s="31" t="n">
        <v>0</v>
      </c>
      <c r="AA363" s="32" t="n">
        <v>0</v>
      </c>
      <c r="AB363" s="32" t="n">
        <v>0</v>
      </c>
      <c r="AC363" s="32" t="n">
        <v>0</v>
      </c>
      <c r="AD363" s="32" t="n">
        <v>0</v>
      </c>
      <c r="AE363" s="31" t="n">
        <v>0</v>
      </c>
      <c r="AF363" s="32" t="n">
        <v>1</v>
      </c>
      <c r="AG363" s="31" t="n">
        <v>6</v>
      </c>
      <c r="AH363" s="32" t="n">
        <v>70</v>
      </c>
      <c r="AI363" s="31" t="n">
        <v>69.09999999999999</v>
      </c>
      <c r="AJ363" s="31" t="n">
        <v>49.3</v>
      </c>
      <c r="AK363" s="31" t="n">
        <v>11</v>
      </c>
      <c r="AL363" s="30" t="inlineStr">
        <is>
          <t>T-0510</t>
        </is>
      </c>
      <c r="AM363" s="30" t="inlineStr">
        <is>
          <t>F-04-03</t>
        </is>
      </c>
      <c r="AN363" s="30" t="inlineStr">
        <is>
          <t>T-0300</t>
        </is>
      </c>
      <c r="AO363" s="30" t="inlineStr">
        <is>
          <t>F-04-01</t>
        </is>
      </c>
    </row>
    <row r="364">
      <c r="A364" s="30" t="inlineStr">
        <is>
          <t>O0363</t>
        </is>
      </c>
      <c r="B364" s="30" t="inlineStr">
        <is>
          <t>C</t>
        </is>
      </c>
      <c r="C364" s="31" t="n">
        <v>4791.1</v>
      </c>
      <c r="D364" s="31" t="n">
        <v>13171.6</v>
      </c>
      <c r="E364" s="31" t="n">
        <v>13197.1</v>
      </c>
      <c r="F364" s="31" t="n">
        <v>13213.1</v>
      </c>
      <c r="G364" s="31" t="n">
        <v>13232.6</v>
      </c>
      <c r="H364" s="31" t="n">
        <v>13232.7</v>
      </c>
      <c r="I364" s="31" t="n">
        <v>13245.6</v>
      </c>
      <c r="J364" s="31" t="n">
        <v>13280.2</v>
      </c>
      <c r="K364" s="31" t="n">
        <v>8489.1</v>
      </c>
      <c r="L364" s="31" t="n">
        <v>8380.5</v>
      </c>
      <c r="M364" s="30" t="inlineStr">
        <is>
          <t>AMR1</t>
        </is>
      </c>
      <c r="N364" s="30" t="inlineStr">
        <is>
          <t>AMR1</t>
        </is>
      </c>
      <c r="O364" s="32" t="n">
        <v>1</v>
      </c>
      <c r="P364" s="32" t="n">
        <v>25</v>
      </c>
      <c r="Q364" s="32" t="n">
        <v>1</v>
      </c>
      <c r="R364" s="31" t="n">
        <v>57.1</v>
      </c>
      <c r="S364" s="31" t="n">
        <v>49.9</v>
      </c>
      <c r="T364" s="30" t="inlineStr">
        <is>
          <t>AMR3</t>
        </is>
      </c>
      <c r="U364" s="31" t="n">
        <v>39.7</v>
      </c>
      <c r="V364" s="31" t="n">
        <v>39.7</v>
      </c>
      <c r="W364" s="30" t="inlineStr">
        <is>
          <t>AMR1</t>
        </is>
      </c>
      <c r="X364" s="32" t="n">
        <v>1</v>
      </c>
      <c r="Y364" s="32" t="n">
        <v>11</v>
      </c>
      <c r="Z364" s="31" t="n">
        <v>7.2</v>
      </c>
      <c r="AA364" s="32" t="n">
        <v>0</v>
      </c>
      <c r="AB364" s="32" t="n">
        <v>0</v>
      </c>
      <c r="AC364" s="32" t="n">
        <v>0</v>
      </c>
      <c r="AD364" s="32" t="n">
        <v>1</v>
      </c>
      <c r="AE364" s="31" t="n">
        <v>9</v>
      </c>
      <c r="AF364" s="32" t="n">
        <v>1</v>
      </c>
      <c r="AG364" s="31" t="n">
        <v>4</v>
      </c>
      <c r="AH364" s="32" t="n">
        <v>52</v>
      </c>
      <c r="AI364" s="31" t="n">
        <v>53.8</v>
      </c>
      <c r="AJ364" s="31" t="n">
        <v>43.7</v>
      </c>
      <c r="AK364" s="31" t="n">
        <v>11</v>
      </c>
      <c r="AL364" s="30" t="inlineStr">
        <is>
          <t>T-0514</t>
        </is>
      </c>
      <c r="AM364" s="30" t="inlineStr">
        <is>
          <t>C-01-02</t>
        </is>
      </c>
      <c r="AN364" s="30" t="inlineStr">
        <is>
          <t>T-0391</t>
        </is>
      </c>
      <c r="AO364" s="30" t="inlineStr">
        <is>
          <t>C-01-04</t>
        </is>
      </c>
    </row>
    <row r="365">
      <c r="A365" s="30" t="inlineStr">
        <is>
          <t>O0364</t>
        </is>
      </c>
      <c r="B365" s="30" t="inlineStr">
        <is>
          <t>E</t>
        </is>
      </c>
      <c r="C365" s="31" t="n">
        <v>4795.8</v>
      </c>
      <c r="D365" s="31" t="n">
        <v>13149.5</v>
      </c>
      <c r="E365" s="31" t="n">
        <v>13173</v>
      </c>
      <c r="F365" s="31" t="n">
        <v>13186.5</v>
      </c>
      <c r="G365" s="31" t="n">
        <v>13216.7</v>
      </c>
      <c r="H365" s="31" t="n">
        <v>13563.3</v>
      </c>
      <c r="I365" s="31" t="n">
        <v>13577.3</v>
      </c>
      <c r="J365" s="31" t="n">
        <v>13614.4</v>
      </c>
      <c r="K365" s="31" t="n">
        <v>8818.6</v>
      </c>
      <c r="L365" s="31" t="n">
        <v>8353.700000000001</v>
      </c>
      <c r="M365" s="30" t="inlineStr">
        <is>
          <t>AMR2</t>
        </is>
      </c>
      <c r="N365" s="30" t="inlineStr">
        <is>
          <t>AMR1</t>
        </is>
      </c>
      <c r="O365" s="32" t="n">
        <v>1</v>
      </c>
      <c r="P365" s="32" t="n">
        <v>25</v>
      </c>
      <c r="Q365" s="32" t="n">
        <v>1</v>
      </c>
      <c r="R365" s="31" t="n">
        <v>63.7</v>
      </c>
      <c r="S365" s="31" t="n">
        <v>63.7</v>
      </c>
      <c r="T365" s="30" t="inlineStr">
        <is>
          <t>AMR2</t>
        </is>
      </c>
      <c r="U365" s="31" t="n">
        <v>49.3</v>
      </c>
      <c r="V365" s="31" t="n">
        <v>49.3</v>
      </c>
      <c r="W365" s="30" t="inlineStr">
        <is>
          <t>AMR1</t>
        </is>
      </c>
      <c r="X365" s="32" t="n">
        <v>0</v>
      </c>
      <c r="Y365" s="32" t="n">
        <v>0</v>
      </c>
      <c r="Z365" s="31" t="n">
        <v>0</v>
      </c>
      <c r="AA365" s="32" t="n">
        <v>0</v>
      </c>
      <c r="AB365" s="32" t="n">
        <v>0</v>
      </c>
      <c r="AC365" s="32" t="n">
        <v>0</v>
      </c>
      <c r="AD365" s="32" t="n">
        <v>0</v>
      </c>
      <c r="AE365" s="31" t="n">
        <v>0</v>
      </c>
      <c r="AF365" s="32" t="n">
        <v>0</v>
      </c>
      <c r="AG365" s="31" t="n">
        <v>0</v>
      </c>
      <c r="AH365" s="32" t="n">
        <v>68</v>
      </c>
      <c r="AI365" s="31" t="n">
        <v>67</v>
      </c>
      <c r="AJ365" s="31" t="n">
        <v>48.8</v>
      </c>
      <c r="AK365" s="31" t="n">
        <v>2.5</v>
      </c>
      <c r="AL365" s="30" t="inlineStr">
        <is>
          <t>T-0513</t>
        </is>
      </c>
      <c r="AM365" s="30" t="inlineStr">
        <is>
          <t>E-05-02</t>
        </is>
      </c>
      <c r="AN365" s="30" t="inlineStr">
        <is>
          <t>T-0264</t>
        </is>
      </c>
      <c r="AO365" s="30" t="inlineStr">
        <is>
          <t>E-03-03</t>
        </is>
      </c>
    </row>
    <row r="366">
      <c r="A366" s="30" t="inlineStr">
        <is>
          <t>O0365</t>
        </is>
      </c>
      <c r="B366" s="30" t="inlineStr">
        <is>
          <t>C</t>
        </is>
      </c>
      <c r="C366" s="31" t="n">
        <v>4801.5</v>
      </c>
      <c r="D366" s="31" t="n">
        <v>13075.5</v>
      </c>
      <c r="E366" s="31" t="n">
        <v>13099</v>
      </c>
      <c r="F366" s="31" t="n">
        <v>13112.5</v>
      </c>
      <c r="G366" s="31" t="n">
        <v>13132.9</v>
      </c>
      <c r="H366" s="31" t="n">
        <v>13133</v>
      </c>
      <c r="I366" s="31" t="n">
        <v>13145.2</v>
      </c>
      <c r="J366" s="31" t="n">
        <v>13171.5</v>
      </c>
      <c r="K366" s="31" t="n">
        <v>8370</v>
      </c>
      <c r="L366" s="31" t="n">
        <v>8274</v>
      </c>
      <c r="M366" s="30" t="inlineStr">
        <is>
          <t>AMR1</t>
        </is>
      </c>
      <c r="N366" s="30" t="inlineStr">
        <is>
          <t>AMR1</t>
        </is>
      </c>
      <c r="O366" s="32" t="n">
        <v>1</v>
      </c>
      <c r="P366" s="32" t="n">
        <v>25</v>
      </c>
      <c r="Q366" s="32" t="n">
        <v>2</v>
      </c>
      <c r="R366" s="31" t="n">
        <v>56.3</v>
      </c>
      <c r="S366" s="31" t="n">
        <v>56.3</v>
      </c>
      <c r="T366" s="30" t="inlineStr">
        <is>
          <t>AMR1</t>
        </is>
      </c>
      <c r="U366" s="31" t="n">
        <v>38.7</v>
      </c>
      <c r="V366" s="31" t="n">
        <v>38.7</v>
      </c>
      <c r="W366" s="30" t="inlineStr">
        <is>
          <t>AMR1</t>
        </is>
      </c>
      <c r="X366" s="32" t="n">
        <v>0</v>
      </c>
      <c r="Y366" s="32" t="n">
        <v>0</v>
      </c>
      <c r="Z366" s="31" t="n">
        <v>0</v>
      </c>
      <c r="AA366" s="32" t="n">
        <v>0</v>
      </c>
      <c r="AB366" s="32" t="n">
        <v>0</v>
      </c>
      <c r="AC366" s="32" t="n">
        <v>0</v>
      </c>
      <c r="AD366" s="32" t="n">
        <v>0</v>
      </c>
      <c r="AE366" s="31" t="n">
        <v>0</v>
      </c>
      <c r="AF366" s="32" t="n">
        <v>0</v>
      </c>
      <c r="AG366" s="31" t="n">
        <v>0</v>
      </c>
      <c r="AH366" s="32" t="n">
        <v>54</v>
      </c>
      <c r="AI366" s="31" t="n">
        <v>54.7</v>
      </c>
      <c r="AJ366" s="31" t="n">
        <v>41.2</v>
      </c>
      <c r="AK366" s="31" t="n">
        <v>0</v>
      </c>
      <c r="AL366" s="30" t="inlineStr">
        <is>
          <t>T-0511</t>
        </is>
      </c>
      <c r="AM366" s="30" t="inlineStr">
        <is>
          <t>C-06-01</t>
        </is>
      </c>
      <c r="AN366" s="30" t="inlineStr">
        <is>
          <t>T-0389</t>
        </is>
      </c>
      <c r="AO366" s="30" t="inlineStr">
        <is>
          <t>C-01-02</t>
        </is>
      </c>
    </row>
    <row r="367">
      <c r="A367" s="30" t="inlineStr">
        <is>
          <t>O0366</t>
        </is>
      </c>
      <c r="B367" s="30" t="inlineStr">
        <is>
          <t>H</t>
        </is>
      </c>
      <c r="C367" s="31" t="n">
        <v>4804.9</v>
      </c>
      <c r="D367" s="31" t="n">
        <v>13116.1</v>
      </c>
      <c r="E367" s="31" t="n">
        <v>13139.6</v>
      </c>
      <c r="F367" s="31" t="n">
        <v>13150.5</v>
      </c>
      <c r="G367" s="31" t="n">
        <v>13173.2</v>
      </c>
      <c r="H367" s="31" t="n">
        <v>13173.3</v>
      </c>
      <c r="I367" s="31" t="n">
        <v>13185.4</v>
      </c>
      <c r="J367" s="31" t="n">
        <v>13211.1</v>
      </c>
      <c r="K367" s="31" t="n">
        <v>8406.200000000001</v>
      </c>
      <c r="L367" s="31" t="n">
        <v>8311.200000000001</v>
      </c>
      <c r="M367" s="30" t="inlineStr">
        <is>
          <t>AMR3</t>
        </is>
      </c>
      <c r="N367" s="30" t="inlineStr">
        <is>
          <t>AMR3</t>
        </is>
      </c>
      <c r="O367" s="32" t="n">
        <v>1</v>
      </c>
      <c r="P367" s="32" t="n">
        <v>25</v>
      </c>
      <c r="Q367" s="32" t="n">
        <v>1</v>
      </c>
      <c r="R367" s="31" t="n">
        <v>55.3</v>
      </c>
      <c r="S367" s="31" t="n">
        <v>55.3</v>
      </c>
      <c r="T367" s="30" t="inlineStr">
        <is>
          <t>AMR3</t>
        </is>
      </c>
      <c r="U367" s="31" t="n">
        <v>36.9</v>
      </c>
      <c r="V367" s="31" t="n">
        <v>36.9</v>
      </c>
      <c r="W367" s="30" t="inlineStr">
        <is>
          <t>AMR3</t>
        </is>
      </c>
      <c r="X367" s="32" t="n">
        <v>0</v>
      </c>
      <c r="Y367" s="32" t="n">
        <v>0</v>
      </c>
      <c r="Z367" s="31" t="n">
        <v>0</v>
      </c>
      <c r="AA367" s="32" t="n">
        <v>0</v>
      </c>
      <c r="AB367" s="32" t="n">
        <v>0</v>
      </c>
      <c r="AC367" s="32" t="n">
        <v>0</v>
      </c>
      <c r="AD367" s="32" t="n">
        <v>0</v>
      </c>
      <c r="AE367" s="31" t="n">
        <v>0</v>
      </c>
      <c r="AF367" s="32" t="n">
        <v>0</v>
      </c>
      <c r="AG367" s="31" t="n">
        <v>0</v>
      </c>
      <c r="AH367" s="32" t="n">
        <v>54</v>
      </c>
      <c r="AI367" s="31" t="n">
        <v>56.3</v>
      </c>
      <c r="AJ367" s="31" t="n">
        <v>38.6</v>
      </c>
      <c r="AK367" s="31" t="n">
        <v>0</v>
      </c>
      <c r="AL367" s="30" t="inlineStr">
        <is>
          <t>T-0512</t>
        </is>
      </c>
      <c r="AM367" s="30" t="inlineStr">
        <is>
          <t>H-05-02</t>
        </is>
      </c>
      <c r="AN367" s="30" t="inlineStr">
        <is>
          <t>T-0442</t>
        </is>
      </c>
      <c r="AO367" s="30" t="inlineStr">
        <is>
          <t>H-03-01</t>
        </is>
      </c>
    </row>
    <row r="368">
      <c r="A368" s="30" t="inlineStr">
        <is>
          <t>O0367</t>
        </is>
      </c>
      <c r="B368" s="30" t="inlineStr">
        <is>
          <t>H</t>
        </is>
      </c>
      <c r="C368" s="31" t="n">
        <v>4810.1</v>
      </c>
      <c r="D368" s="31" t="n">
        <v>13211.2</v>
      </c>
      <c r="E368" s="31" t="n">
        <v>13234.7</v>
      </c>
      <c r="F368" s="31" t="n">
        <v>13245.6</v>
      </c>
      <c r="G368" s="31" t="n">
        <v>13269</v>
      </c>
      <c r="H368" s="31" t="n">
        <v>13269.1</v>
      </c>
      <c r="I368" s="31" t="n">
        <v>13282.7</v>
      </c>
      <c r="J368" s="31" t="n">
        <v>13314</v>
      </c>
      <c r="K368" s="31" t="n">
        <v>8503.9</v>
      </c>
      <c r="L368" s="31" t="n">
        <v>8401.1</v>
      </c>
      <c r="M368" s="30" t="inlineStr">
        <is>
          <t>AMR3</t>
        </is>
      </c>
      <c r="N368" s="30" t="inlineStr">
        <is>
          <t>AMR3</t>
        </is>
      </c>
      <c r="O368" s="32" t="n">
        <v>1</v>
      </c>
      <c r="P368" s="32" t="n">
        <v>25</v>
      </c>
      <c r="Q368" s="32" t="n">
        <v>0</v>
      </c>
      <c r="R368" s="31" t="n">
        <v>55.2</v>
      </c>
      <c r="S368" s="31" t="n">
        <v>55.2</v>
      </c>
      <c r="T368" s="30" t="inlineStr">
        <is>
          <t>AMR3</t>
        </is>
      </c>
      <c r="U368" s="31" t="n">
        <v>37.1</v>
      </c>
      <c r="V368" s="31" t="n">
        <v>37.1</v>
      </c>
      <c r="W368" s="30" t="inlineStr">
        <is>
          <t>AMR3</t>
        </is>
      </c>
      <c r="X368" s="32" t="n">
        <v>0</v>
      </c>
      <c r="Y368" s="32" t="n">
        <v>0</v>
      </c>
      <c r="Z368" s="31" t="n">
        <v>0</v>
      </c>
      <c r="AA368" s="32" t="n">
        <v>0</v>
      </c>
      <c r="AB368" s="32" t="n">
        <v>0</v>
      </c>
      <c r="AC368" s="32" t="n">
        <v>0</v>
      </c>
      <c r="AD368" s="32" t="n">
        <v>1</v>
      </c>
      <c r="AE368" s="31" t="n">
        <v>7</v>
      </c>
      <c r="AF368" s="32" t="n">
        <v>1</v>
      </c>
      <c r="AG368" s="31" t="n">
        <v>2</v>
      </c>
      <c r="AH368" s="32" t="n">
        <v>54</v>
      </c>
      <c r="AI368" s="31" t="n">
        <v>56.3</v>
      </c>
      <c r="AJ368" s="31" t="n">
        <v>39.4</v>
      </c>
      <c r="AK368" s="31" t="n">
        <v>7</v>
      </c>
      <c r="AL368" s="30" t="inlineStr">
        <is>
          <t>T-0515</t>
        </is>
      </c>
      <c r="AM368" s="30" t="inlineStr">
        <is>
          <t>H-03-01</t>
        </is>
      </c>
      <c r="AN368" s="30" t="inlineStr">
        <is>
          <t>T-0447</t>
        </is>
      </c>
      <c r="AO368" s="30" t="inlineStr">
        <is>
          <t>H-03-02</t>
        </is>
      </c>
    </row>
    <row r="369">
      <c r="A369" s="30" t="inlineStr">
        <is>
          <t>O0368</t>
        </is>
      </c>
      <c r="B369" s="30" t="inlineStr">
        <is>
          <t>I</t>
        </is>
      </c>
      <c r="C369" s="31" t="n">
        <v>4813.6</v>
      </c>
      <c r="D369" s="31" t="n">
        <v>13414.1</v>
      </c>
      <c r="E369" s="31" t="n">
        <v>13443.6</v>
      </c>
      <c r="F369" s="31" t="n">
        <v>13456.2</v>
      </c>
      <c r="G369" s="31" t="n">
        <v>13480.9</v>
      </c>
      <c r="H369" s="31" t="n">
        <v>13481</v>
      </c>
      <c r="I369" s="31" t="n">
        <v>13493.5</v>
      </c>
      <c r="J369" s="31" t="n">
        <v>13518.2</v>
      </c>
      <c r="K369" s="31" t="n">
        <v>8704.6</v>
      </c>
      <c r="L369" s="31" t="n">
        <v>8600.5</v>
      </c>
      <c r="M369" s="30" t="inlineStr">
        <is>
          <t>AMR3</t>
        </is>
      </c>
      <c r="N369" s="30" t="inlineStr">
        <is>
          <t>AMR3</t>
        </is>
      </c>
      <c r="O369" s="32" t="n">
        <v>1</v>
      </c>
      <c r="P369" s="32" t="n">
        <v>25</v>
      </c>
      <c r="Q369" s="32" t="n">
        <v>0</v>
      </c>
      <c r="R369" s="31" t="n">
        <v>58.2</v>
      </c>
      <c r="S369" s="31" t="n">
        <v>58.2</v>
      </c>
      <c r="T369" s="30" t="inlineStr">
        <is>
          <t>AMR3</t>
        </is>
      </c>
      <c r="U369" s="31" t="n">
        <v>34.4</v>
      </c>
      <c r="V369" s="31" t="n">
        <v>34.4</v>
      </c>
      <c r="W369" s="30" t="inlineStr">
        <is>
          <t>AMR3</t>
        </is>
      </c>
      <c r="X369" s="32" t="n">
        <v>0</v>
      </c>
      <c r="Y369" s="32" t="n">
        <v>0</v>
      </c>
      <c r="Z369" s="31" t="n">
        <v>0</v>
      </c>
      <c r="AA369" s="32" t="n">
        <v>0</v>
      </c>
      <c r="AB369" s="32" t="n">
        <v>0</v>
      </c>
      <c r="AC369" s="32" t="n">
        <v>0</v>
      </c>
      <c r="AD369" s="32" t="n">
        <v>0</v>
      </c>
      <c r="AE369" s="31" t="n">
        <v>0</v>
      </c>
      <c r="AF369" s="32" t="n">
        <v>1</v>
      </c>
      <c r="AG369" s="31" t="n">
        <v>1</v>
      </c>
      <c r="AH369" s="32" t="n">
        <v>56</v>
      </c>
      <c r="AI369" s="31" t="n">
        <v>58.8</v>
      </c>
      <c r="AJ369" s="31" t="n">
        <v>39.2</v>
      </c>
      <c r="AK369" s="31" t="n">
        <v>6</v>
      </c>
      <c r="AL369" s="30" t="inlineStr">
        <is>
          <t>T-0520</t>
        </is>
      </c>
      <c r="AM369" s="30" t="inlineStr">
        <is>
          <t>I-03-02</t>
        </is>
      </c>
      <c r="AN369" s="30" t="inlineStr">
        <is>
          <t>T-0407</t>
        </is>
      </c>
      <c r="AO369" s="30" t="inlineStr">
        <is>
          <t>I-05-02</t>
        </is>
      </c>
    </row>
    <row r="370">
      <c r="A370" s="30" t="inlineStr">
        <is>
          <t>O0369</t>
        </is>
      </c>
      <c r="B370" s="30" t="inlineStr">
        <is>
          <t>H</t>
        </is>
      </c>
      <c r="C370" s="31" t="n">
        <v>4816.8</v>
      </c>
      <c r="D370" s="31" t="n">
        <v>13314.1</v>
      </c>
      <c r="E370" s="31" t="n">
        <v>13337.6</v>
      </c>
      <c r="F370" s="31" t="n">
        <v>13349.1</v>
      </c>
      <c r="G370" s="31" t="n">
        <v>13376.1</v>
      </c>
      <c r="H370" s="31" t="n">
        <v>13376.2</v>
      </c>
      <c r="I370" s="31" t="n">
        <v>13389.8</v>
      </c>
      <c r="J370" s="31" t="n">
        <v>13414</v>
      </c>
      <c r="K370" s="31" t="n">
        <v>8597.200000000001</v>
      </c>
      <c r="L370" s="31" t="n">
        <v>8497.299999999999</v>
      </c>
      <c r="M370" s="30" t="inlineStr">
        <is>
          <t>AMR3</t>
        </is>
      </c>
      <c r="N370" s="30" t="inlineStr">
        <is>
          <t>AMR3</t>
        </is>
      </c>
      <c r="O370" s="32" t="n">
        <v>1</v>
      </c>
      <c r="P370" s="32" t="n">
        <v>25</v>
      </c>
      <c r="Q370" s="32" t="n">
        <v>0</v>
      </c>
      <c r="R370" s="31" t="n">
        <v>59.4</v>
      </c>
      <c r="S370" s="31" t="n">
        <v>59.4</v>
      </c>
      <c r="T370" s="30" t="inlineStr">
        <is>
          <t>AMR3</t>
        </is>
      </c>
      <c r="U370" s="31" t="n">
        <v>37.1</v>
      </c>
      <c r="V370" s="31" t="n">
        <v>37.1</v>
      </c>
      <c r="W370" s="30" t="inlineStr">
        <is>
          <t>AMR3</t>
        </is>
      </c>
      <c r="X370" s="32" t="n">
        <v>0</v>
      </c>
      <c r="Y370" s="32" t="n">
        <v>0</v>
      </c>
      <c r="Z370" s="31" t="n">
        <v>0</v>
      </c>
      <c r="AA370" s="32" t="n">
        <v>0</v>
      </c>
      <c r="AB370" s="32" t="n">
        <v>0</v>
      </c>
      <c r="AC370" s="32" t="n">
        <v>0</v>
      </c>
      <c r="AD370" s="32" t="n">
        <v>0</v>
      </c>
      <c r="AE370" s="31" t="n">
        <v>0</v>
      </c>
      <c r="AF370" s="32" t="n">
        <v>0</v>
      </c>
      <c r="AG370" s="31" t="n">
        <v>0</v>
      </c>
      <c r="AH370" s="32" t="n">
        <v>54</v>
      </c>
      <c r="AI370" s="31" t="n">
        <v>56.2</v>
      </c>
      <c r="AJ370" s="31" t="n">
        <v>43.6</v>
      </c>
      <c r="AK370" s="31" t="n">
        <v>0</v>
      </c>
      <c r="AL370" s="30" t="inlineStr">
        <is>
          <t>T-0518</t>
        </is>
      </c>
      <c r="AM370" s="30" t="inlineStr">
        <is>
          <t>H-03-02</t>
        </is>
      </c>
      <c r="AN370" s="30" t="inlineStr">
        <is>
          <t>T-0451</t>
        </is>
      </c>
      <c r="AO370" s="30" t="inlineStr">
        <is>
          <t>H-06-02</t>
        </is>
      </c>
    </row>
    <row r="371">
      <c r="A371" s="30" t="inlineStr">
        <is>
          <t>O0370</t>
        </is>
      </c>
      <c r="B371" s="30" t="inlineStr">
        <is>
          <t>D</t>
        </is>
      </c>
      <c r="C371" s="31" t="n">
        <v>4820.2</v>
      </c>
      <c r="D371" s="31" t="n">
        <v>13265.6</v>
      </c>
      <c r="E371" s="31" t="n">
        <v>13289.1</v>
      </c>
      <c r="F371" s="31" t="n">
        <v>13302.9</v>
      </c>
      <c r="G371" s="31" t="n">
        <v>13327</v>
      </c>
      <c r="H371" s="31" t="n">
        <v>13327.1</v>
      </c>
      <c r="I371" s="31" t="n">
        <v>13340.9</v>
      </c>
      <c r="J371" s="31" t="n">
        <v>13367.5</v>
      </c>
      <c r="K371" s="31" t="n">
        <v>8547.299999999999</v>
      </c>
      <c r="L371" s="31" t="n">
        <v>8445.4</v>
      </c>
      <c r="M371" s="30" t="inlineStr">
        <is>
          <t>AMR2</t>
        </is>
      </c>
      <c r="N371" s="30" t="inlineStr">
        <is>
          <t>AMR2</t>
        </is>
      </c>
      <c r="O371" s="32" t="n">
        <v>1</v>
      </c>
      <c r="P371" s="32" t="n">
        <v>25</v>
      </c>
      <c r="Q371" s="32" t="n">
        <v>2</v>
      </c>
      <c r="R371" s="31" t="n">
        <v>57.1</v>
      </c>
      <c r="S371" s="31" t="n">
        <v>52.4</v>
      </c>
      <c r="T371" s="30" t="inlineStr">
        <is>
          <t>AMR3</t>
        </is>
      </c>
      <c r="U371" s="31" t="n">
        <v>39.9</v>
      </c>
      <c r="V371" s="31" t="n">
        <v>39.9</v>
      </c>
      <c r="W371" s="30" t="inlineStr">
        <is>
          <t>AMR2</t>
        </is>
      </c>
      <c r="X371" s="32" t="n">
        <v>1</v>
      </c>
      <c r="Y371" s="32" t="n">
        <v>10</v>
      </c>
      <c r="Z371" s="31" t="n">
        <v>4.7</v>
      </c>
      <c r="AA371" s="32" t="n">
        <v>0</v>
      </c>
      <c r="AB371" s="32" t="n">
        <v>0</v>
      </c>
      <c r="AC371" s="32" t="n">
        <v>0</v>
      </c>
      <c r="AD371" s="32" t="n">
        <v>0</v>
      </c>
      <c r="AE371" s="31" t="n">
        <v>0</v>
      </c>
      <c r="AF371" s="32" t="n">
        <v>0</v>
      </c>
      <c r="AG371" s="31" t="n">
        <v>0</v>
      </c>
      <c r="AH371" s="32" t="n">
        <v>58</v>
      </c>
      <c r="AI371" s="31" t="n">
        <v>59.1</v>
      </c>
      <c r="AJ371" s="31" t="n">
        <v>42.7</v>
      </c>
      <c r="AK371" s="31" t="n">
        <v>0</v>
      </c>
      <c r="AL371" s="30" t="inlineStr">
        <is>
          <t>T-0516</t>
        </is>
      </c>
      <c r="AM371" s="30" t="inlineStr">
        <is>
          <t>D-06-02</t>
        </is>
      </c>
      <c r="AN371" s="30" t="inlineStr">
        <is>
          <t>T-0402</t>
        </is>
      </c>
      <c r="AO371" s="30" t="inlineStr">
        <is>
          <t>D-04-03</t>
        </is>
      </c>
    </row>
    <row r="372">
      <c r="A372" s="30" t="inlineStr">
        <is>
          <t>O0371</t>
        </is>
      </c>
      <c r="B372" s="30" t="inlineStr">
        <is>
          <t>E</t>
        </is>
      </c>
      <c r="C372" s="31" t="n">
        <v>4825.1</v>
      </c>
      <c r="D372" s="31" t="n">
        <v>13280.3</v>
      </c>
      <c r="E372" s="31" t="n">
        <v>13312.8</v>
      </c>
      <c r="F372" s="31" t="n">
        <v>13324.5</v>
      </c>
      <c r="G372" s="31" t="n">
        <v>13349.5</v>
      </c>
      <c r="H372" s="31" t="n">
        <v>15345.1</v>
      </c>
      <c r="I372" s="31" t="n">
        <v>15360.9</v>
      </c>
      <c r="J372" s="31" t="n">
        <v>15396.5</v>
      </c>
      <c r="K372" s="31" t="n">
        <v>10571.4</v>
      </c>
      <c r="L372" s="31" t="n">
        <v>8455.200000000001</v>
      </c>
      <c r="M372" s="30" t="inlineStr">
        <is>
          <t>AMR1</t>
        </is>
      </c>
      <c r="N372" s="30" t="inlineStr">
        <is>
          <t>AMR1</t>
        </is>
      </c>
      <c r="O372" s="32" t="n">
        <v>1</v>
      </c>
      <c r="P372" s="32" t="n">
        <v>25</v>
      </c>
      <c r="Q372" s="32" t="n">
        <v>1</v>
      </c>
      <c r="R372" s="31" t="n">
        <v>58.3</v>
      </c>
      <c r="S372" s="31" t="n">
        <v>58.3</v>
      </c>
      <c r="T372" s="30" t="inlineStr">
        <is>
          <t>AMR1</t>
        </is>
      </c>
      <c r="U372" s="31" t="n">
        <v>49.1</v>
      </c>
      <c r="V372" s="31" t="n">
        <v>49.1</v>
      </c>
      <c r="W372" s="30" t="inlineStr">
        <is>
          <t>AMR1</t>
        </is>
      </c>
      <c r="X372" s="32" t="n">
        <v>0</v>
      </c>
      <c r="Y372" s="32" t="n">
        <v>0</v>
      </c>
      <c r="Z372" s="31" t="n">
        <v>0</v>
      </c>
      <c r="AA372" s="32" t="n">
        <v>0</v>
      </c>
      <c r="AB372" s="32" t="n">
        <v>0</v>
      </c>
      <c r="AC372" s="32" t="n">
        <v>0</v>
      </c>
      <c r="AD372" s="32" t="n">
        <v>0</v>
      </c>
      <c r="AE372" s="31" t="n">
        <v>0</v>
      </c>
      <c r="AF372" s="32" t="n">
        <v>1</v>
      </c>
      <c r="AG372" s="31" t="n">
        <v>4</v>
      </c>
      <c r="AH372" s="32" t="n">
        <v>70</v>
      </c>
      <c r="AI372" s="31" t="n">
        <v>68.40000000000001</v>
      </c>
      <c r="AJ372" s="31" t="n">
        <v>43.2</v>
      </c>
      <c r="AK372" s="31" t="n">
        <v>9</v>
      </c>
      <c r="AL372" s="30" t="inlineStr">
        <is>
          <t>T-0517</t>
        </is>
      </c>
      <c r="AM372" s="30" t="inlineStr">
        <is>
          <t>E-01-03</t>
        </is>
      </c>
      <c r="AN372" s="30" t="inlineStr">
        <is>
          <t>T-0334</t>
        </is>
      </c>
      <c r="AO372" s="30" t="inlineStr">
        <is>
          <t>E-06-01</t>
        </is>
      </c>
    </row>
    <row r="373">
      <c r="A373" s="30" t="inlineStr">
        <is>
          <t>O0372</t>
        </is>
      </c>
      <c r="B373" s="30" t="inlineStr">
        <is>
          <t>G</t>
        </is>
      </c>
      <c r="C373" s="31" t="n">
        <v>4829.6</v>
      </c>
      <c r="D373" s="31" t="n">
        <v>13651.2</v>
      </c>
      <c r="E373" s="31" t="n">
        <v>13686.7</v>
      </c>
      <c r="F373" s="31" t="n">
        <v>13700.9</v>
      </c>
      <c r="G373" s="31" t="n">
        <v>13730.5</v>
      </c>
      <c r="H373" s="31" t="n">
        <v>13730.6</v>
      </c>
      <c r="I373" s="31" t="n">
        <v>13744.3</v>
      </c>
      <c r="J373" s="31" t="n">
        <v>13773.8</v>
      </c>
      <c r="K373" s="31" t="n">
        <v>8944.200000000001</v>
      </c>
      <c r="L373" s="31" t="n">
        <v>8821.6</v>
      </c>
      <c r="M373" s="30" t="inlineStr">
        <is>
          <t>AMR3</t>
        </is>
      </c>
      <c r="N373" s="30" t="inlineStr">
        <is>
          <t>AMR3</t>
        </is>
      </c>
      <c r="O373" s="32" t="n">
        <v>1</v>
      </c>
      <c r="P373" s="32" t="n">
        <v>25</v>
      </c>
      <c r="Q373" s="32" t="n">
        <v>1</v>
      </c>
      <c r="R373" s="31" t="n">
        <v>63.9</v>
      </c>
      <c r="S373" s="31" t="n">
        <v>63.9</v>
      </c>
      <c r="T373" s="30" t="inlineStr">
        <is>
          <t>AMR3</t>
        </is>
      </c>
      <c r="U373" s="31" t="n">
        <v>42.8</v>
      </c>
      <c r="V373" s="31" t="n">
        <v>42.8</v>
      </c>
      <c r="W373" s="30" t="inlineStr">
        <is>
          <t>AMR3</t>
        </is>
      </c>
      <c r="X373" s="32" t="n">
        <v>0</v>
      </c>
      <c r="Y373" s="32" t="n">
        <v>0</v>
      </c>
      <c r="Z373" s="31" t="n">
        <v>0</v>
      </c>
      <c r="AA373" s="32" t="n">
        <v>0</v>
      </c>
      <c r="AB373" s="32" t="n">
        <v>0</v>
      </c>
      <c r="AC373" s="32" t="n">
        <v>0</v>
      </c>
      <c r="AD373" s="32" t="n">
        <v>0</v>
      </c>
      <c r="AE373" s="31" t="n">
        <v>0</v>
      </c>
      <c r="AF373" s="32" t="n">
        <v>1</v>
      </c>
      <c r="AG373" s="31" t="n">
        <v>7</v>
      </c>
      <c r="AH373" s="32" t="n">
        <v>60</v>
      </c>
      <c r="AI373" s="31" t="n">
        <v>61.1</v>
      </c>
      <c r="AJ373" s="31" t="n">
        <v>49.4</v>
      </c>
      <c r="AK373" s="31" t="n">
        <v>12</v>
      </c>
      <c r="AL373" s="30" t="inlineStr">
        <is>
          <t>T-0527</t>
        </is>
      </c>
      <c r="AM373" s="30" t="inlineStr">
        <is>
          <t>G-01-03</t>
        </is>
      </c>
      <c r="AN373" s="30" t="inlineStr">
        <is>
          <t>T-0313</t>
        </is>
      </c>
      <c r="AO373" s="30" t="inlineStr">
        <is>
          <t>G-03-03</t>
        </is>
      </c>
    </row>
    <row r="374">
      <c r="A374" s="30" t="inlineStr">
        <is>
          <t>O0373</t>
        </is>
      </c>
      <c r="B374" s="30" t="inlineStr">
        <is>
          <t>G</t>
        </is>
      </c>
      <c r="C374" s="31" t="n">
        <v>4835.9</v>
      </c>
      <c r="D374" s="31" t="n">
        <v>14156.7</v>
      </c>
      <c r="E374" s="31" t="n">
        <v>14180.2</v>
      </c>
      <c r="F374" s="31" t="n">
        <v>14195.5</v>
      </c>
      <c r="G374" s="31" t="n">
        <v>14226.1</v>
      </c>
      <c r="H374" s="31" t="n">
        <v>14226.2</v>
      </c>
      <c r="I374" s="31" t="n">
        <v>14240.6</v>
      </c>
      <c r="J374" s="31" t="n">
        <v>14267.9</v>
      </c>
      <c r="K374" s="31" t="n">
        <v>9432</v>
      </c>
      <c r="L374" s="31" t="n">
        <v>9320.799999999999</v>
      </c>
      <c r="M374" s="30" t="inlineStr">
        <is>
          <t>AMR3</t>
        </is>
      </c>
      <c r="N374" s="30" t="inlineStr">
        <is>
          <t>AMR3</t>
        </is>
      </c>
      <c r="O374" s="32" t="n">
        <v>1</v>
      </c>
      <c r="P374" s="32" t="n">
        <v>25</v>
      </c>
      <c r="Q374" s="32" t="n">
        <v>1</v>
      </c>
      <c r="R374" s="31" t="n">
        <v>66</v>
      </c>
      <c r="S374" s="31" t="n">
        <v>65</v>
      </c>
      <c r="T374" s="30" t="inlineStr">
        <is>
          <t>AMR2</t>
        </is>
      </c>
      <c r="U374" s="31" t="n">
        <v>41.4</v>
      </c>
      <c r="V374" s="31" t="n">
        <v>41.4</v>
      </c>
      <c r="W374" s="30" t="inlineStr">
        <is>
          <t>AMR3</t>
        </is>
      </c>
      <c r="X374" s="32" t="n">
        <v>1</v>
      </c>
      <c r="Y374" s="32" t="n">
        <v>11</v>
      </c>
      <c r="Z374" s="31" t="n">
        <v>1</v>
      </c>
      <c r="AA374" s="32" t="n">
        <v>0</v>
      </c>
      <c r="AB374" s="32" t="n">
        <v>0</v>
      </c>
      <c r="AC374" s="32" t="n">
        <v>0</v>
      </c>
      <c r="AD374" s="32" t="n">
        <v>0</v>
      </c>
      <c r="AE374" s="31" t="n">
        <v>0</v>
      </c>
      <c r="AF374" s="32" t="n">
        <v>0</v>
      </c>
      <c r="AG374" s="31" t="n">
        <v>0</v>
      </c>
      <c r="AH374" s="32" t="n">
        <v>60</v>
      </c>
      <c r="AI374" s="31" t="n">
        <v>61</v>
      </c>
      <c r="AJ374" s="31" t="n">
        <v>50.1</v>
      </c>
      <c r="AK374" s="31" t="n">
        <v>0</v>
      </c>
      <c r="AL374" s="30" t="inlineStr">
        <is>
          <t>T-0540</t>
        </is>
      </c>
      <c r="AM374" s="30" t="inlineStr">
        <is>
          <t>G-02-03</t>
        </is>
      </c>
      <c r="AN374" s="30" t="inlineStr">
        <is>
          <t>T-0333</t>
        </is>
      </c>
      <c r="AO374" s="30" t="inlineStr">
        <is>
          <t>G-04-03</t>
        </is>
      </c>
    </row>
    <row r="375">
      <c r="A375" s="30" t="inlineStr">
        <is>
          <t>O0374</t>
        </is>
      </c>
      <c r="B375" s="30" t="inlineStr">
        <is>
          <t>H</t>
        </is>
      </c>
      <c r="C375" s="31" t="n">
        <v>4841.6</v>
      </c>
      <c r="D375" s="31" t="n">
        <v>13395.7</v>
      </c>
      <c r="E375" s="31" t="n">
        <v>13419.2</v>
      </c>
      <c r="F375" s="31" t="n">
        <v>13433.8</v>
      </c>
      <c r="G375" s="31" t="n">
        <v>13456.3</v>
      </c>
      <c r="H375" s="31" t="n">
        <v>14009.2</v>
      </c>
      <c r="I375" s="31" t="n">
        <v>14024.1</v>
      </c>
      <c r="J375" s="31" t="n">
        <v>14049.8</v>
      </c>
      <c r="K375" s="31" t="n">
        <v>9208.200000000001</v>
      </c>
      <c r="L375" s="31" t="n">
        <v>8554.1</v>
      </c>
      <c r="M375" s="30" t="inlineStr">
        <is>
          <t>AMR1</t>
        </is>
      </c>
      <c r="N375" s="30" t="inlineStr">
        <is>
          <t>AMR2</t>
        </is>
      </c>
      <c r="O375" s="32" t="n">
        <v>1</v>
      </c>
      <c r="P375" s="32" t="n">
        <v>25</v>
      </c>
      <c r="Q375" s="32" t="n">
        <v>1</v>
      </c>
      <c r="R375" s="31" t="n">
        <v>59.6</v>
      </c>
      <c r="S375" s="31" t="n">
        <v>59.6</v>
      </c>
      <c r="T375" s="30" t="inlineStr">
        <is>
          <t>AMR1</t>
        </is>
      </c>
      <c r="U375" s="31" t="n">
        <v>39.8</v>
      </c>
      <c r="V375" s="31" t="n">
        <v>39.8</v>
      </c>
      <c r="W375" s="30" t="inlineStr">
        <is>
          <t>AMR2</t>
        </is>
      </c>
      <c r="X375" s="32" t="n">
        <v>0</v>
      </c>
      <c r="Y375" s="32" t="n">
        <v>0</v>
      </c>
      <c r="Z375" s="31" t="n">
        <v>0</v>
      </c>
      <c r="AA375" s="32" t="n">
        <v>0</v>
      </c>
      <c r="AB375" s="32" t="n">
        <v>0</v>
      </c>
      <c r="AC375" s="32" t="n">
        <v>0</v>
      </c>
      <c r="AD375" s="32" t="n">
        <v>0</v>
      </c>
      <c r="AE375" s="31" t="n">
        <v>0</v>
      </c>
      <c r="AF375" s="32" t="n">
        <v>0</v>
      </c>
      <c r="AG375" s="31" t="n">
        <v>0</v>
      </c>
      <c r="AH375" s="32" t="n">
        <v>53</v>
      </c>
      <c r="AI375" s="31" t="n">
        <v>55.4</v>
      </c>
      <c r="AJ375" s="31" t="n">
        <v>45.8</v>
      </c>
      <c r="AK375" s="31" t="n">
        <v>0</v>
      </c>
      <c r="AL375" s="30" t="inlineStr">
        <is>
          <t>T-0519</t>
        </is>
      </c>
      <c r="AM375" s="30" t="inlineStr">
        <is>
          <t>H-06-02</t>
        </is>
      </c>
      <c r="AN375" s="30" t="inlineStr">
        <is>
          <t>T-0457</t>
        </is>
      </c>
      <c r="AO375" s="30" t="inlineStr">
        <is>
          <t>H-05-03</t>
        </is>
      </c>
    </row>
    <row r="376">
      <c r="A376" s="30" t="inlineStr">
        <is>
          <t>O0375</t>
        </is>
      </c>
      <c r="B376" s="30" t="inlineStr">
        <is>
          <t>E</t>
        </is>
      </c>
      <c r="C376" s="31" t="n">
        <v>4845.3</v>
      </c>
      <c r="D376" s="31" t="n">
        <v>13503.1</v>
      </c>
      <c r="E376" s="31" t="n">
        <v>13526.6</v>
      </c>
      <c r="F376" s="31" t="n">
        <v>13538.3</v>
      </c>
      <c r="G376" s="31" t="n">
        <v>13563.2</v>
      </c>
      <c r="H376" s="31" t="n">
        <v>15204.8</v>
      </c>
      <c r="I376" s="31" t="n">
        <v>15218.2</v>
      </c>
      <c r="J376" s="31" t="n">
        <v>15252.9</v>
      </c>
      <c r="K376" s="31" t="n">
        <v>10407.6</v>
      </c>
      <c r="L376" s="31" t="n">
        <v>8657.799999999999</v>
      </c>
      <c r="M376" s="30" t="inlineStr">
        <is>
          <t>AMR1</t>
        </is>
      </c>
      <c r="N376" s="30" t="inlineStr">
        <is>
          <t>AMR3</t>
        </is>
      </c>
      <c r="O376" s="32" t="n">
        <v>1</v>
      </c>
      <c r="P376" s="32" t="n">
        <v>25</v>
      </c>
      <c r="Q376" s="32" t="n">
        <v>1</v>
      </c>
      <c r="R376" s="31" t="n">
        <v>58.2</v>
      </c>
      <c r="S376" s="31" t="n">
        <v>50.2</v>
      </c>
      <c r="T376" s="30" t="inlineStr">
        <is>
          <t>AMR2</t>
        </is>
      </c>
      <c r="U376" s="31" t="n">
        <v>48.8</v>
      </c>
      <c r="V376" s="31" t="n">
        <v>48.8</v>
      </c>
      <c r="W376" s="30" t="inlineStr">
        <is>
          <t>AMR3</t>
        </is>
      </c>
      <c r="X376" s="32" t="n">
        <v>1</v>
      </c>
      <c r="Y376" s="32" t="n">
        <v>13</v>
      </c>
      <c r="Z376" s="31" t="n">
        <v>8</v>
      </c>
      <c r="AA376" s="32" t="n">
        <v>0</v>
      </c>
      <c r="AB376" s="32" t="n">
        <v>0</v>
      </c>
      <c r="AC376" s="32" t="n">
        <v>0</v>
      </c>
      <c r="AD376" s="32" t="n">
        <v>0</v>
      </c>
      <c r="AE376" s="31" t="n">
        <v>0</v>
      </c>
      <c r="AF376" s="32" t="n">
        <v>0</v>
      </c>
      <c r="AG376" s="31" t="n">
        <v>0</v>
      </c>
      <c r="AH376" s="32" t="n">
        <v>66</v>
      </c>
      <c r="AI376" s="31" t="n">
        <v>65.40000000000001</v>
      </c>
      <c r="AJ376" s="31" t="n">
        <v>42.8</v>
      </c>
      <c r="AK376" s="31" t="n">
        <v>0</v>
      </c>
      <c r="AL376" s="30" t="inlineStr">
        <is>
          <t>T-0522</t>
        </is>
      </c>
      <c r="AM376" s="30" t="inlineStr">
        <is>
          <t>E-02-03</t>
        </is>
      </c>
      <c r="AN376" s="30" t="inlineStr">
        <is>
          <t>T-0327</t>
        </is>
      </c>
      <c r="AO376" s="30" t="inlineStr">
        <is>
          <t>E-02-01</t>
        </is>
      </c>
    </row>
    <row r="377">
      <c r="A377" s="30" t="inlineStr">
        <is>
          <t>O0376</t>
        </is>
      </c>
      <c r="B377" s="30" t="inlineStr">
        <is>
          <t>D</t>
        </is>
      </c>
      <c r="C377" s="31" t="n">
        <v>4849.7</v>
      </c>
      <c r="D377" s="31" t="n">
        <v>13436.1</v>
      </c>
      <c r="E377" s="31" t="n">
        <v>13467.6</v>
      </c>
      <c r="F377" s="31" t="n">
        <v>13480.5</v>
      </c>
      <c r="G377" s="31" t="n">
        <v>13505.3</v>
      </c>
      <c r="H377" s="31" t="n">
        <v>13905.3</v>
      </c>
      <c r="I377" s="31" t="n">
        <v>13920.2</v>
      </c>
      <c r="J377" s="31" t="n">
        <v>13945.3</v>
      </c>
      <c r="K377" s="31" t="n">
        <v>9095.6</v>
      </c>
      <c r="L377" s="31" t="n">
        <v>8586.4</v>
      </c>
      <c r="M377" s="30" t="inlineStr">
        <is>
          <t>AMR2</t>
        </is>
      </c>
      <c r="N377" s="30" t="inlineStr">
        <is>
          <t>AMR2</t>
        </is>
      </c>
      <c r="O377" s="32" t="n">
        <v>1</v>
      </c>
      <c r="P377" s="32" t="n">
        <v>25</v>
      </c>
      <c r="Q377" s="32" t="n">
        <v>1</v>
      </c>
      <c r="R377" s="31" t="n">
        <v>59.3</v>
      </c>
      <c r="S377" s="31" t="n">
        <v>59.3</v>
      </c>
      <c r="T377" s="30" t="inlineStr">
        <is>
          <t>AMR2</t>
        </is>
      </c>
      <c r="U377" s="31" t="n">
        <v>39.2</v>
      </c>
      <c r="V377" s="31" t="n">
        <v>39.2</v>
      </c>
      <c r="W377" s="30" t="inlineStr">
        <is>
          <t>AMR2</t>
        </is>
      </c>
      <c r="X377" s="32" t="n">
        <v>0</v>
      </c>
      <c r="Y377" s="32" t="n">
        <v>0</v>
      </c>
      <c r="Z377" s="31" t="n">
        <v>0</v>
      </c>
      <c r="AA377" s="32" t="n">
        <v>0</v>
      </c>
      <c r="AB377" s="32" t="n">
        <v>0</v>
      </c>
      <c r="AC377" s="32" t="n">
        <v>0</v>
      </c>
      <c r="AD377" s="32" t="n">
        <v>0</v>
      </c>
      <c r="AE377" s="31" t="n">
        <v>0</v>
      </c>
      <c r="AF377" s="32" t="n">
        <v>1</v>
      </c>
      <c r="AG377" s="31" t="n">
        <v>3</v>
      </c>
      <c r="AH377" s="32" t="n">
        <v>54</v>
      </c>
      <c r="AI377" s="31" t="n">
        <v>56.3</v>
      </c>
      <c r="AJ377" s="31" t="n">
        <v>44.9</v>
      </c>
      <c r="AK377" s="31" t="n">
        <v>8</v>
      </c>
      <c r="AL377" s="30" t="inlineStr">
        <is>
          <t>T-0521</t>
        </is>
      </c>
      <c r="AM377" s="30" t="inlineStr">
        <is>
          <t>D-02-03</t>
        </is>
      </c>
      <c r="AN377" s="30" t="inlineStr">
        <is>
          <t>T-0403</t>
        </is>
      </c>
      <c r="AO377" s="30" t="inlineStr">
        <is>
          <t>D-01-01</t>
        </is>
      </c>
    </row>
    <row r="378">
      <c r="A378" s="30" t="inlineStr">
        <is>
          <t>O0377</t>
        </is>
      </c>
      <c r="B378" s="30" t="inlineStr">
        <is>
          <t>C</t>
        </is>
      </c>
      <c r="C378" s="31" t="n">
        <v>4855.3</v>
      </c>
      <c r="D378" s="31" t="n">
        <v>13505.4</v>
      </c>
      <c r="E378" s="31" t="n">
        <v>13539.4</v>
      </c>
      <c r="F378" s="31" t="n">
        <v>13554.8</v>
      </c>
      <c r="G378" s="31" t="n">
        <v>13574.2</v>
      </c>
      <c r="H378" s="31" t="n">
        <v>13574.3</v>
      </c>
      <c r="I378" s="31" t="n">
        <v>13587.6</v>
      </c>
      <c r="J378" s="31" t="n">
        <v>13627.7</v>
      </c>
      <c r="K378" s="31" t="n">
        <v>8772.4</v>
      </c>
      <c r="L378" s="31" t="n">
        <v>8650.1</v>
      </c>
      <c r="M378" s="30" t="inlineStr">
        <is>
          <t>AMR2</t>
        </is>
      </c>
      <c r="N378" s="30" t="inlineStr">
        <is>
          <t>AMR2</t>
        </is>
      </c>
      <c r="O378" s="32" t="n">
        <v>1</v>
      </c>
      <c r="P378" s="32" t="n">
        <v>12</v>
      </c>
      <c r="Q378" s="32" t="n">
        <v>1</v>
      </c>
      <c r="R378" s="31" t="n">
        <v>46.1</v>
      </c>
      <c r="S378" s="31" t="n">
        <v>46.1</v>
      </c>
      <c r="T378" s="30" t="inlineStr">
        <is>
          <t>AMR2</t>
        </is>
      </c>
      <c r="U378" s="31" t="n">
        <v>38.6</v>
      </c>
      <c r="V378" s="31" t="n">
        <v>38.6</v>
      </c>
      <c r="W378" s="30" t="inlineStr">
        <is>
          <t>AMR2</t>
        </is>
      </c>
      <c r="X378" s="32" t="n">
        <v>0</v>
      </c>
      <c r="Y378" s="32" t="n">
        <v>0</v>
      </c>
      <c r="Z378" s="31" t="n">
        <v>0</v>
      </c>
      <c r="AA378" s="32" t="n">
        <v>0</v>
      </c>
      <c r="AB378" s="32" t="n">
        <v>0</v>
      </c>
      <c r="AC378" s="32" t="n">
        <v>0</v>
      </c>
      <c r="AD378" s="32" t="n">
        <v>1</v>
      </c>
      <c r="AE378" s="31" t="n">
        <v>15</v>
      </c>
      <c r="AF378" s="32" t="n">
        <v>2</v>
      </c>
      <c r="AG378" s="31" t="n">
        <v>27</v>
      </c>
      <c r="AH378" s="32" t="n">
        <v>41</v>
      </c>
      <c r="AI378" s="31" t="n">
        <v>43.3</v>
      </c>
      <c r="AJ378" s="31" t="n">
        <v>41.9</v>
      </c>
      <c r="AK378" s="31" t="n">
        <v>37</v>
      </c>
      <c r="AL378" s="30" t="inlineStr">
        <is>
          <t>T-0523</t>
        </is>
      </c>
      <c r="AM378" s="30" t="inlineStr">
        <is>
          <t>C-02-02</t>
        </is>
      </c>
      <c r="AN378" s="30" t="inlineStr">
        <is>
          <t>T-0409</t>
        </is>
      </c>
      <c r="AO378" s="30" t="inlineStr">
        <is>
          <t>C-04-02</t>
        </is>
      </c>
    </row>
    <row r="379">
      <c r="A379" s="30" t="inlineStr">
        <is>
          <t>O0378</t>
        </is>
      </c>
      <c r="B379" s="30" t="inlineStr">
        <is>
          <t>I</t>
        </is>
      </c>
      <c r="C379" s="31" t="n">
        <v>4861.3</v>
      </c>
      <c r="D379" s="31" t="n">
        <v>13627.8</v>
      </c>
      <c r="E379" s="31" t="n">
        <v>13662.3</v>
      </c>
      <c r="F379" s="31" t="n">
        <v>13674.5</v>
      </c>
      <c r="G379" s="31" t="n">
        <v>13703</v>
      </c>
      <c r="H379" s="31" t="n">
        <v>13703.1</v>
      </c>
      <c r="I379" s="31" t="n">
        <v>13713.4</v>
      </c>
      <c r="J379" s="31" t="n">
        <v>13741.5</v>
      </c>
      <c r="K379" s="31" t="n">
        <v>8880.200000000001</v>
      </c>
      <c r="L379" s="31" t="n">
        <v>8766.5</v>
      </c>
      <c r="M379" s="30" t="inlineStr">
        <is>
          <t>AMR2</t>
        </is>
      </c>
      <c r="N379" s="30" t="inlineStr">
        <is>
          <t>AMR2</t>
        </is>
      </c>
      <c r="O379" s="32" t="n">
        <v>1</v>
      </c>
      <c r="P379" s="32" t="n">
        <v>25</v>
      </c>
      <c r="Q379" s="32" t="n">
        <v>1</v>
      </c>
      <c r="R379" s="31" t="n">
        <v>60.8</v>
      </c>
      <c r="S379" s="31" t="n">
        <v>60.8</v>
      </c>
      <c r="T379" s="30" t="inlineStr">
        <is>
          <t>AMR2</t>
        </is>
      </c>
      <c r="U379" s="31" t="n">
        <v>38</v>
      </c>
      <c r="V379" s="31" t="n">
        <v>38</v>
      </c>
      <c r="W379" s="30" t="inlineStr">
        <is>
          <t>AMR2</t>
        </is>
      </c>
      <c r="X379" s="32" t="n">
        <v>0</v>
      </c>
      <c r="Y379" s="32" t="n">
        <v>0</v>
      </c>
      <c r="Z379" s="31" t="n">
        <v>0</v>
      </c>
      <c r="AA379" s="32" t="n">
        <v>0</v>
      </c>
      <c r="AB379" s="32" t="n">
        <v>0</v>
      </c>
      <c r="AC379" s="32" t="n">
        <v>0</v>
      </c>
      <c r="AD379" s="32" t="n">
        <v>0</v>
      </c>
      <c r="AE379" s="31" t="n">
        <v>0</v>
      </c>
      <c r="AF379" s="32" t="n">
        <v>1</v>
      </c>
      <c r="AG379" s="31" t="n">
        <v>6</v>
      </c>
      <c r="AH379" s="32" t="n">
        <v>56</v>
      </c>
      <c r="AI379" s="31" t="n">
        <v>57.9</v>
      </c>
      <c r="AJ379" s="31" t="n">
        <v>44.7</v>
      </c>
      <c r="AK379" s="31" t="n">
        <v>11</v>
      </c>
      <c r="AL379" s="30" t="inlineStr">
        <is>
          <t>T-0526</t>
        </is>
      </c>
      <c r="AM379" s="30" t="inlineStr">
        <is>
          <t>I-05-02</t>
        </is>
      </c>
      <c r="AN379" s="30" t="inlineStr">
        <is>
          <t>T-0413</t>
        </is>
      </c>
      <c r="AO379" s="30" t="inlineStr">
        <is>
          <t>I-04-02</t>
        </is>
      </c>
    </row>
    <row r="380">
      <c r="A380" s="30" t="inlineStr">
        <is>
          <t>O0379</t>
        </is>
      </c>
      <c r="B380" s="30" t="inlineStr">
        <is>
          <t>H</t>
        </is>
      </c>
      <c r="C380" s="31" t="n">
        <v>4865.7</v>
      </c>
      <c r="D380" s="31" t="n">
        <v>13614.5</v>
      </c>
      <c r="E380" s="31" t="n">
        <v>13638</v>
      </c>
      <c r="F380" s="31" t="n">
        <v>13651.9</v>
      </c>
      <c r="G380" s="31" t="n">
        <v>13678.2</v>
      </c>
      <c r="H380" s="31" t="n">
        <v>13678.3</v>
      </c>
      <c r="I380" s="31" t="n">
        <v>13689</v>
      </c>
      <c r="J380" s="31" t="n">
        <v>13714.6</v>
      </c>
      <c r="K380" s="31" t="n">
        <v>8848.9</v>
      </c>
      <c r="L380" s="31" t="n">
        <v>8748.799999999999</v>
      </c>
      <c r="M380" s="30" t="inlineStr">
        <is>
          <t>AMR1</t>
        </is>
      </c>
      <c r="N380" s="30" t="inlineStr">
        <is>
          <t>AMR1</t>
        </is>
      </c>
      <c r="O380" s="32" t="n">
        <v>1</v>
      </c>
      <c r="P380" s="32" t="n">
        <v>25</v>
      </c>
      <c r="Q380" s="32" t="n">
        <v>1</v>
      </c>
      <c r="R380" s="31" t="n">
        <v>61.9</v>
      </c>
      <c r="S380" s="31" t="n">
        <v>61.9</v>
      </c>
      <c r="T380" s="30" t="inlineStr">
        <is>
          <t>AMR1</t>
        </is>
      </c>
      <c r="U380" s="31" t="n">
        <v>35.5</v>
      </c>
      <c r="V380" s="31" t="n">
        <v>35.5</v>
      </c>
      <c r="W380" s="30" t="inlineStr">
        <is>
          <t>AMR1</t>
        </is>
      </c>
      <c r="X380" s="32" t="n">
        <v>0</v>
      </c>
      <c r="Y380" s="32" t="n">
        <v>0</v>
      </c>
      <c r="Z380" s="31" t="n">
        <v>0</v>
      </c>
      <c r="AA380" s="32" t="n">
        <v>0</v>
      </c>
      <c r="AB380" s="32" t="n">
        <v>0</v>
      </c>
      <c r="AC380" s="32" t="n">
        <v>0</v>
      </c>
      <c r="AD380" s="32" t="n">
        <v>0</v>
      </c>
      <c r="AE380" s="31" t="n">
        <v>0</v>
      </c>
      <c r="AF380" s="32" t="n">
        <v>0</v>
      </c>
      <c r="AG380" s="31" t="n">
        <v>0</v>
      </c>
      <c r="AH380" s="32" t="n">
        <v>54</v>
      </c>
      <c r="AI380" s="31" t="n">
        <v>56.2</v>
      </c>
      <c r="AJ380" s="31" t="n">
        <v>43.8</v>
      </c>
      <c r="AK380" s="31" t="n">
        <v>0</v>
      </c>
      <c r="AL380" s="30" t="inlineStr">
        <is>
          <t>T-0525</t>
        </is>
      </c>
      <c r="AM380" s="30" t="inlineStr">
        <is>
          <t>H-04-03</t>
        </is>
      </c>
      <c r="AN380" s="30" t="inlineStr">
        <is>
          <t>T-0455</t>
        </is>
      </c>
      <c r="AO380" s="30" t="inlineStr">
        <is>
          <t>H-01-01</t>
        </is>
      </c>
    </row>
    <row r="381">
      <c r="A381" s="30" t="inlineStr">
        <is>
          <t>O0380</t>
        </is>
      </c>
      <c r="B381" s="30" t="inlineStr">
        <is>
          <t>B</t>
        </is>
      </c>
      <c r="C381" s="31" t="n">
        <v>4871</v>
      </c>
      <c r="D381" s="31" t="n">
        <v>13773.9</v>
      </c>
      <c r="E381" s="31" t="n">
        <v>13797.4</v>
      </c>
      <c r="F381" s="31" t="n">
        <v>13808.3</v>
      </c>
      <c r="G381" s="31" t="n">
        <v>13834.1</v>
      </c>
      <c r="H381" s="31" t="n">
        <v>13834.2</v>
      </c>
      <c r="I381" s="31" t="n">
        <v>13844.9</v>
      </c>
      <c r="J381" s="31" t="n">
        <v>13874.6</v>
      </c>
      <c r="K381" s="31" t="n">
        <v>9003.6</v>
      </c>
      <c r="L381" s="31" t="n">
        <v>8902.9</v>
      </c>
      <c r="M381" s="30" t="inlineStr">
        <is>
          <t>AMR3</t>
        </is>
      </c>
      <c r="N381" s="30" t="inlineStr">
        <is>
          <t>AMR3</t>
        </is>
      </c>
      <c r="O381" s="32" t="n">
        <v>1</v>
      </c>
      <c r="P381" s="32" t="n">
        <v>25</v>
      </c>
      <c r="Q381" s="32" t="n">
        <v>1</v>
      </c>
      <c r="R381" s="31" t="n">
        <v>56.7</v>
      </c>
      <c r="S381" s="31" t="n">
        <v>50</v>
      </c>
      <c r="T381" s="30" t="inlineStr">
        <is>
          <t>AMR1</t>
        </is>
      </c>
      <c r="U381" s="31" t="n">
        <v>40.1</v>
      </c>
      <c r="V381" s="31" t="n">
        <v>40.1</v>
      </c>
      <c r="W381" s="30" t="inlineStr">
        <is>
          <t>AMR3</t>
        </is>
      </c>
      <c r="X381" s="32" t="n">
        <v>1</v>
      </c>
      <c r="Y381" s="32" t="n">
        <v>12</v>
      </c>
      <c r="Z381" s="31" t="n">
        <v>6.7</v>
      </c>
      <c r="AA381" s="32" t="n">
        <v>0</v>
      </c>
      <c r="AB381" s="32" t="n">
        <v>0</v>
      </c>
      <c r="AC381" s="32" t="n">
        <v>0</v>
      </c>
      <c r="AD381" s="32" t="n">
        <v>0</v>
      </c>
      <c r="AE381" s="31" t="n">
        <v>0</v>
      </c>
      <c r="AF381" s="32" t="n">
        <v>0</v>
      </c>
      <c r="AG381" s="31" t="n">
        <v>0</v>
      </c>
      <c r="AH381" s="32" t="n">
        <v>60</v>
      </c>
      <c r="AI381" s="31" t="n">
        <v>60.6</v>
      </c>
      <c r="AJ381" s="31" t="n">
        <v>40</v>
      </c>
      <c r="AK381" s="31" t="n">
        <v>0</v>
      </c>
      <c r="AL381" s="30" t="inlineStr">
        <is>
          <t>T-0530</t>
        </is>
      </c>
      <c r="AM381" s="30" t="inlineStr">
        <is>
          <t>B-01-01</t>
        </is>
      </c>
      <c r="AN381" s="30" t="inlineStr">
        <is>
          <t>T-0291</t>
        </is>
      </c>
      <c r="AO381" s="30" t="inlineStr">
        <is>
          <t>B-04-01</t>
        </is>
      </c>
    </row>
    <row r="382">
      <c r="A382" s="30" t="inlineStr">
        <is>
          <t>O0381</t>
        </is>
      </c>
      <c r="B382" s="30" t="inlineStr">
        <is>
          <t>C</t>
        </is>
      </c>
      <c r="C382" s="31" t="n">
        <v>4877.1</v>
      </c>
      <c r="D382" s="31" t="n">
        <v>13714.7</v>
      </c>
      <c r="E382" s="31" t="n">
        <v>13738.2</v>
      </c>
      <c r="F382" s="31" t="n">
        <v>13753.8</v>
      </c>
      <c r="G382" s="31" t="n">
        <v>13777.3</v>
      </c>
      <c r="H382" s="31" t="n">
        <v>13777.4</v>
      </c>
      <c r="I382" s="31" t="n">
        <v>13790.6</v>
      </c>
      <c r="J382" s="31" t="n">
        <v>13818.7</v>
      </c>
      <c r="K382" s="31" t="n">
        <v>8941.6</v>
      </c>
      <c r="L382" s="31" t="n">
        <v>8837.6</v>
      </c>
      <c r="M382" s="30" t="inlineStr">
        <is>
          <t>AMR1</t>
        </is>
      </c>
      <c r="N382" s="30" t="inlineStr">
        <is>
          <t>AMR1</t>
        </is>
      </c>
      <c r="O382" s="32" t="n">
        <v>1</v>
      </c>
      <c r="P382" s="32" t="n">
        <v>25</v>
      </c>
      <c r="Q382" s="32" t="n">
        <v>0</v>
      </c>
      <c r="R382" s="31" t="n">
        <v>59.9</v>
      </c>
      <c r="S382" s="31" t="n">
        <v>59.9</v>
      </c>
      <c r="T382" s="30" t="inlineStr">
        <is>
          <t>AMR1</t>
        </is>
      </c>
      <c r="U382" s="31" t="n">
        <v>41.5</v>
      </c>
      <c r="V382" s="31" t="n">
        <v>41.5</v>
      </c>
      <c r="W382" s="30" t="inlineStr">
        <is>
          <t>AMR1</t>
        </is>
      </c>
      <c r="X382" s="32" t="n">
        <v>0</v>
      </c>
      <c r="Y382" s="32" t="n">
        <v>0</v>
      </c>
      <c r="Z382" s="31" t="n">
        <v>0</v>
      </c>
      <c r="AA382" s="32" t="n">
        <v>0</v>
      </c>
      <c r="AB382" s="32" t="n">
        <v>0</v>
      </c>
      <c r="AC382" s="32" t="n">
        <v>0</v>
      </c>
      <c r="AD382" s="32" t="n">
        <v>0</v>
      </c>
      <c r="AE382" s="31" t="n">
        <v>0</v>
      </c>
      <c r="AF382" s="32" t="n">
        <v>0</v>
      </c>
      <c r="AG382" s="31" t="n">
        <v>0</v>
      </c>
      <c r="AH382" s="32" t="n">
        <v>54</v>
      </c>
      <c r="AI382" s="31" t="n">
        <v>54.9</v>
      </c>
      <c r="AJ382" s="31" t="n">
        <v>49</v>
      </c>
      <c r="AK382" s="31" t="n">
        <v>0</v>
      </c>
      <c r="AL382" s="30" t="inlineStr">
        <is>
          <t>T-0528</t>
        </is>
      </c>
      <c r="AM382" s="30" t="inlineStr">
        <is>
          <t>C-03-02</t>
        </is>
      </c>
      <c r="AN382" s="30" t="inlineStr">
        <is>
          <t>T-0429</t>
        </is>
      </c>
      <c r="AO382" s="30" t="inlineStr">
        <is>
          <t>C-02-01</t>
        </is>
      </c>
    </row>
    <row r="383">
      <c r="A383" s="30" t="inlineStr">
        <is>
          <t>O0382</t>
        </is>
      </c>
      <c r="B383" s="30" t="inlineStr">
        <is>
          <t>I</t>
        </is>
      </c>
      <c r="C383" s="31" t="n">
        <v>4881.8</v>
      </c>
      <c r="D383" s="31" t="n">
        <v>13741.6</v>
      </c>
      <c r="E383" s="31" t="n">
        <v>13765.1</v>
      </c>
      <c r="F383" s="31" t="n">
        <v>13777.3</v>
      </c>
      <c r="G383" s="31" t="n">
        <v>13804.2</v>
      </c>
      <c r="H383" s="31" t="n">
        <v>13804.3</v>
      </c>
      <c r="I383" s="31" t="n">
        <v>13814.8</v>
      </c>
      <c r="J383" s="31" t="n">
        <v>13841.4</v>
      </c>
      <c r="K383" s="31" t="n">
        <v>8959.6</v>
      </c>
      <c r="L383" s="31" t="n">
        <v>8859.799999999999</v>
      </c>
      <c r="M383" s="30" t="inlineStr">
        <is>
          <t>AMR2</t>
        </is>
      </c>
      <c r="N383" s="30" t="inlineStr">
        <is>
          <t>AMR2</t>
        </is>
      </c>
      <c r="O383" s="32" t="n">
        <v>1</v>
      </c>
      <c r="P383" s="32" t="n">
        <v>25</v>
      </c>
      <c r="Q383" s="32" t="n">
        <v>1</v>
      </c>
      <c r="R383" s="31" t="n">
        <v>59.1</v>
      </c>
      <c r="S383" s="31" t="n">
        <v>59.1</v>
      </c>
      <c r="T383" s="30" t="inlineStr">
        <is>
          <t>AMR2</t>
        </is>
      </c>
      <c r="U383" s="31" t="n">
        <v>36.7</v>
      </c>
      <c r="V383" s="31" t="n">
        <v>36.7</v>
      </c>
      <c r="W383" s="30" t="inlineStr">
        <is>
          <t>AMR2</t>
        </is>
      </c>
      <c r="X383" s="32" t="n">
        <v>0</v>
      </c>
      <c r="Y383" s="32" t="n">
        <v>0</v>
      </c>
      <c r="Z383" s="31" t="n">
        <v>0</v>
      </c>
      <c r="AA383" s="32" t="n">
        <v>0</v>
      </c>
      <c r="AB383" s="32" t="n">
        <v>0</v>
      </c>
      <c r="AC383" s="32" t="n">
        <v>0</v>
      </c>
      <c r="AD383" s="32" t="n">
        <v>0</v>
      </c>
      <c r="AE383" s="31" t="n">
        <v>0</v>
      </c>
      <c r="AF383" s="32" t="n">
        <v>0</v>
      </c>
      <c r="AG383" s="31" t="n">
        <v>0</v>
      </c>
      <c r="AH383" s="32" t="n">
        <v>56</v>
      </c>
      <c r="AI383" s="31" t="n">
        <v>58</v>
      </c>
      <c r="AJ383" s="31" t="n">
        <v>41.7</v>
      </c>
      <c r="AK383" s="31" t="n">
        <v>0</v>
      </c>
      <c r="AL383" s="30" t="inlineStr">
        <is>
          <t>T-0529</t>
        </is>
      </c>
      <c r="AM383" s="30" t="inlineStr">
        <is>
          <t>I-04-02</t>
        </is>
      </c>
      <c r="AN383" s="30" t="inlineStr">
        <is>
          <t>T-0415</t>
        </is>
      </c>
      <c r="AO383" s="30" t="inlineStr">
        <is>
          <t>I-05-03</t>
        </is>
      </c>
    </row>
    <row r="384">
      <c r="A384" s="30" t="inlineStr">
        <is>
          <t>O0383</t>
        </is>
      </c>
      <c r="B384" s="30" t="inlineStr">
        <is>
          <t>A</t>
        </is>
      </c>
      <c r="C384" s="31" t="n">
        <v>4885.9</v>
      </c>
      <c r="D384" s="31" t="n">
        <v>13874.7</v>
      </c>
      <c r="E384" s="31" t="n">
        <v>13898.2</v>
      </c>
      <c r="F384" s="31" t="n">
        <v>13910.1</v>
      </c>
      <c r="G384" s="31" t="n">
        <v>13941</v>
      </c>
      <c r="H384" s="31" t="n">
        <v>13941.1</v>
      </c>
      <c r="I384" s="31" t="n">
        <v>13950.7</v>
      </c>
      <c r="J384" s="31" t="n">
        <v>13984.5</v>
      </c>
      <c r="K384" s="31" t="n">
        <v>9098.6</v>
      </c>
      <c r="L384" s="31" t="n">
        <v>8988.799999999999</v>
      </c>
      <c r="M384" s="30" t="inlineStr">
        <is>
          <t>AMR3</t>
        </is>
      </c>
      <c r="N384" s="30" t="inlineStr">
        <is>
          <t>AMR3</t>
        </is>
      </c>
      <c r="O384" s="32" t="n">
        <v>1</v>
      </c>
      <c r="P384" s="32" t="n">
        <v>25</v>
      </c>
      <c r="Q384" s="32" t="n">
        <v>1</v>
      </c>
      <c r="R384" s="31" t="n">
        <v>64.40000000000001</v>
      </c>
      <c r="S384" s="31" t="n">
        <v>60.4</v>
      </c>
      <c r="T384" s="30" t="inlineStr">
        <is>
          <t>AMR1</t>
        </is>
      </c>
      <c r="U384" s="31" t="n">
        <v>42.6</v>
      </c>
      <c r="V384" s="31" t="n">
        <v>42.6</v>
      </c>
      <c r="W384" s="30" t="inlineStr">
        <is>
          <t>AMR3</t>
        </is>
      </c>
      <c r="X384" s="32" t="n">
        <v>1</v>
      </c>
      <c r="Y384" s="32" t="n">
        <v>9</v>
      </c>
      <c r="Z384" s="31" t="n">
        <v>4</v>
      </c>
      <c r="AA384" s="32" t="n">
        <v>0</v>
      </c>
      <c r="AB384" s="32" t="n">
        <v>0</v>
      </c>
      <c r="AC384" s="32" t="n">
        <v>0</v>
      </c>
      <c r="AD384" s="32" t="n">
        <v>0</v>
      </c>
      <c r="AE384" s="31" t="n">
        <v>0</v>
      </c>
      <c r="AF384" s="32" t="n">
        <v>0</v>
      </c>
      <c r="AG384" s="31" t="n">
        <v>0</v>
      </c>
      <c r="AH384" s="32" t="n">
        <v>72</v>
      </c>
      <c r="AI384" s="31" t="n">
        <v>70.09999999999999</v>
      </c>
      <c r="AJ384" s="31" t="n">
        <v>39.6</v>
      </c>
      <c r="AK384" s="31" t="n">
        <v>0</v>
      </c>
      <c r="AL384" s="30" t="inlineStr">
        <is>
          <t>T-0533</t>
        </is>
      </c>
      <c r="AM384" s="30" t="inlineStr">
        <is>
          <t>A-05-02</t>
        </is>
      </c>
      <c r="AN384" s="30" t="inlineStr">
        <is>
          <t>T-0235</t>
        </is>
      </c>
      <c r="AO384" s="30" t="inlineStr">
        <is>
          <t>A-02-02</t>
        </is>
      </c>
    </row>
    <row r="385">
      <c r="A385" s="30" t="inlineStr">
        <is>
          <t>O0384</t>
        </is>
      </c>
      <c r="B385" s="30" t="inlineStr">
        <is>
          <t>I</t>
        </is>
      </c>
      <c r="C385" s="31" t="n">
        <v>4890.6</v>
      </c>
      <c r="D385" s="31" t="n">
        <v>13818.8</v>
      </c>
      <c r="E385" s="31" t="n">
        <v>13842.3</v>
      </c>
      <c r="F385" s="31" t="n">
        <v>13853.1</v>
      </c>
      <c r="G385" s="31" t="n">
        <v>13877.5</v>
      </c>
      <c r="H385" s="31" t="n">
        <v>13877.6</v>
      </c>
      <c r="I385" s="31" t="n">
        <v>13890.6</v>
      </c>
      <c r="J385" s="31" t="n">
        <v>13918</v>
      </c>
      <c r="K385" s="31" t="n">
        <v>9027.4</v>
      </c>
      <c r="L385" s="31" t="n">
        <v>8928.200000000001</v>
      </c>
      <c r="M385" s="30" t="inlineStr">
        <is>
          <t>AMR1</t>
        </is>
      </c>
      <c r="N385" s="30" t="inlineStr">
        <is>
          <t>AMR1</t>
        </is>
      </c>
      <c r="O385" s="32" t="n">
        <v>1</v>
      </c>
      <c r="P385" s="32" t="n">
        <v>25</v>
      </c>
      <c r="Q385" s="32" t="n">
        <v>1</v>
      </c>
      <c r="R385" s="31" t="n">
        <v>55.3</v>
      </c>
      <c r="S385" s="31" t="n">
        <v>55.3</v>
      </c>
      <c r="T385" s="30" t="inlineStr">
        <is>
          <t>AMR1</t>
        </is>
      </c>
      <c r="U385" s="31" t="n">
        <v>37.5</v>
      </c>
      <c r="V385" s="31" t="n">
        <v>37.5</v>
      </c>
      <c r="W385" s="30" t="inlineStr">
        <is>
          <t>AMR1</t>
        </is>
      </c>
      <c r="X385" s="32" t="n">
        <v>0</v>
      </c>
      <c r="Y385" s="32" t="n">
        <v>0</v>
      </c>
      <c r="Z385" s="31" t="n">
        <v>0</v>
      </c>
      <c r="AA385" s="32" t="n">
        <v>0</v>
      </c>
      <c r="AB385" s="32" t="n">
        <v>0</v>
      </c>
      <c r="AC385" s="32" t="n">
        <v>0</v>
      </c>
      <c r="AD385" s="32" t="n">
        <v>0</v>
      </c>
      <c r="AE385" s="31" t="n">
        <v>0</v>
      </c>
      <c r="AF385" s="32" t="n">
        <v>0</v>
      </c>
      <c r="AG385" s="31" t="n">
        <v>0</v>
      </c>
      <c r="AH385" s="32" t="n">
        <v>58</v>
      </c>
      <c r="AI385" s="31" t="n">
        <v>60.4</v>
      </c>
      <c r="AJ385" s="31" t="n">
        <v>38.7</v>
      </c>
      <c r="AK385" s="31" t="n">
        <v>0</v>
      </c>
      <c r="AL385" s="30" t="inlineStr">
        <is>
          <t>T-0531</t>
        </is>
      </c>
      <c r="AM385" s="30" t="inlineStr">
        <is>
          <t>I-04-03</t>
        </is>
      </c>
      <c r="AN385" s="30" t="inlineStr">
        <is>
          <t>T-0418</t>
        </is>
      </c>
      <c r="AO385" s="30" t="inlineStr">
        <is>
          <t>I-06-02</t>
        </is>
      </c>
    </row>
    <row r="386">
      <c r="A386" s="30" t="inlineStr">
        <is>
          <t>O0385</t>
        </is>
      </c>
      <c r="B386" s="30" t="inlineStr">
        <is>
          <t>I</t>
        </is>
      </c>
      <c r="C386" s="31" t="n">
        <v>4896.3</v>
      </c>
      <c r="D386" s="31" t="n">
        <v>14022.2</v>
      </c>
      <c r="E386" s="31" t="n">
        <v>14045.7</v>
      </c>
      <c r="F386" s="31" t="n">
        <v>14065.6</v>
      </c>
      <c r="G386" s="31" t="n">
        <v>14091.8</v>
      </c>
      <c r="H386" s="31" t="n">
        <v>14091.9</v>
      </c>
      <c r="I386" s="31" t="n">
        <v>14107.9</v>
      </c>
      <c r="J386" s="31" t="n">
        <v>14132.2</v>
      </c>
      <c r="K386" s="31" t="n">
        <v>9235.9</v>
      </c>
      <c r="L386" s="31" t="n">
        <v>9125.9</v>
      </c>
      <c r="M386" s="30" t="inlineStr">
        <is>
          <t>AMR1</t>
        </is>
      </c>
      <c r="N386" s="30" t="inlineStr">
        <is>
          <t>AMR1</t>
        </is>
      </c>
      <c r="O386" s="32" t="n">
        <v>1</v>
      </c>
      <c r="P386" s="32" t="n">
        <v>25</v>
      </c>
      <c r="Q386" s="32" t="n">
        <v>2</v>
      </c>
      <c r="R386" s="31" t="n">
        <v>61.7</v>
      </c>
      <c r="S386" s="31" t="n">
        <v>61.7</v>
      </c>
      <c r="T386" s="30" t="inlineStr">
        <is>
          <t>AMR1</t>
        </is>
      </c>
      <c r="U386" s="31" t="n">
        <v>39.5</v>
      </c>
      <c r="V386" s="31" t="n">
        <v>39.5</v>
      </c>
      <c r="W386" s="30" t="inlineStr">
        <is>
          <t>AMR1</t>
        </is>
      </c>
      <c r="X386" s="32" t="n">
        <v>0</v>
      </c>
      <c r="Y386" s="32" t="n">
        <v>0</v>
      </c>
      <c r="Z386" s="31" t="n">
        <v>0</v>
      </c>
      <c r="AA386" s="32" t="n">
        <v>0</v>
      </c>
      <c r="AB386" s="32" t="n">
        <v>0</v>
      </c>
      <c r="AC386" s="32" t="n">
        <v>0</v>
      </c>
      <c r="AD386" s="32" t="n">
        <v>1</v>
      </c>
      <c r="AE386" s="31" t="n">
        <v>2</v>
      </c>
      <c r="AF386" s="32" t="n">
        <v>0</v>
      </c>
      <c r="AG386" s="31" t="n">
        <v>0</v>
      </c>
      <c r="AH386" s="32" t="n">
        <v>60</v>
      </c>
      <c r="AI386" s="31" t="n">
        <v>61.4</v>
      </c>
      <c r="AJ386" s="31" t="n">
        <v>46.4</v>
      </c>
      <c r="AK386" s="31" t="n">
        <v>2.1</v>
      </c>
      <c r="AL386" s="30" t="inlineStr">
        <is>
          <t>T-0537</t>
        </is>
      </c>
      <c r="AM386" s="30" t="inlineStr">
        <is>
          <t>I-06-02</t>
        </is>
      </c>
      <c r="AN386" s="30" t="inlineStr">
        <is>
          <t>T-0421</t>
        </is>
      </c>
      <c r="AO386" s="30" t="inlineStr">
        <is>
          <t>I-02-03</t>
        </is>
      </c>
    </row>
    <row r="387">
      <c r="A387" s="30" t="inlineStr">
        <is>
          <t>O0386</t>
        </is>
      </c>
      <c r="B387" s="30" t="inlineStr">
        <is>
          <t>D</t>
        </is>
      </c>
      <c r="C387" s="31" t="n">
        <v>4899.5</v>
      </c>
      <c r="D387" s="31" t="n">
        <v>13841.5</v>
      </c>
      <c r="E387" s="31" t="n">
        <v>13866</v>
      </c>
      <c r="F387" s="31" t="n">
        <v>13877.5</v>
      </c>
      <c r="G387" s="31" t="n">
        <v>13905.2</v>
      </c>
      <c r="H387" s="31" t="n">
        <v>15396.6</v>
      </c>
      <c r="I387" s="31" t="n">
        <v>15426.5</v>
      </c>
      <c r="J387" s="31" t="n">
        <v>15461.3</v>
      </c>
      <c r="K387" s="31" t="n">
        <v>10561.8</v>
      </c>
      <c r="L387" s="31" t="n">
        <v>8942</v>
      </c>
      <c r="M387" s="30" t="inlineStr">
        <is>
          <t>AMR2</t>
        </is>
      </c>
      <c r="N387" s="30" t="inlineStr">
        <is>
          <t>AMR1</t>
        </is>
      </c>
      <c r="O387" s="32" t="n">
        <v>1</v>
      </c>
      <c r="P387" s="32" t="n">
        <v>25</v>
      </c>
      <c r="Q387" s="32" t="n">
        <v>16</v>
      </c>
      <c r="R387" s="31" t="n">
        <v>56.2</v>
      </c>
      <c r="S387" s="31" t="n">
        <v>56.2</v>
      </c>
      <c r="T387" s="30" t="inlineStr">
        <is>
          <t>AMR2</t>
        </is>
      </c>
      <c r="U387" s="31" t="n">
        <v>60.6</v>
      </c>
      <c r="V387" s="31" t="n">
        <v>52.7</v>
      </c>
      <c r="W387" s="30" t="inlineStr">
        <is>
          <t>AMR2</t>
        </is>
      </c>
      <c r="X387" s="32" t="n">
        <v>1</v>
      </c>
      <c r="Y387" s="32" t="n">
        <v>9</v>
      </c>
      <c r="Z387" s="31" t="n">
        <v>7.9</v>
      </c>
      <c r="AA387" s="32" t="n">
        <v>0</v>
      </c>
      <c r="AB387" s="32" t="n">
        <v>0</v>
      </c>
      <c r="AC387" s="32" t="n">
        <v>0</v>
      </c>
      <c r="AD387" s="32" t="n">
        <v>1</v>
      </c>
      <c r="AE387" s="31" t="n">
        <v>3</v>
      </c>
      <c r="AF387" s="32" t="n">
        <v>0</v>
      </c>
      <c r="AG387" s="31" t="n">
        <v>0</v>
      </c>
      <c r="AH387" s="32" t="n">
        <v>73</v>
      </c>
      <c r="AI387" s="31" t="n">
        <v>76.09999999999999</v>
      </c>
      <c r="AJ387" s="31" t="n">
        <v>48.3</v>
      </c>
      <c r="AK387" s="31" t="n">
        <v>4</v>
      </c>
      <c r="AL387" s="30" t="inlineStr">
        <is>
          <t>T-0532</t>
        </is>
      </c>
      <c r="AM387" s="30" t="inlineStr">
        <is>
          <t>D-04-03</t>
        </is>
      </c>
      <c r="AN387" s="30" t="inlineStr">
        <is>
          <t>T-0449</t>
        </is>
      </c>
      <c r="AO387" s="30" t="inlineStr">
        <is>
          <t>D-03-03</t>
        </is>
      </c>
    </row>
    <row r="388">
      <c r="A388" s="30" t="inlineStr">
        <is>
          <t>O0387</t>
        </is>
      </c>
      <c r="B388" s="30" t="inlineStr">
        <is>
          <t>C</t>
        </is>
      </c>
      <c r="C388" s="31" t="n">
        <v>4905.6</v>
      </c>
      <c r="D388" s="31" t="n">
        <v>13918.1</v>
      </c>
      <c r="E388" s="31" t="n">
        <v>13941.6</v>
      </c>
      <c r="F388" s="31" t="n">
        <v>13957.8</v>
      </c>
      <c r="G388" s="31" t="n">
        <v>13979.2</v>
      </c>
      <c r="H388" s="31" t="n">
        <v>13979.3</v>
      </c>
      <c r="I388" s="31" t="n">
        <v>13993.7</v>
      </c>
      <c r="J388" s="31" t="n">
        <v>14022.1</v>
      </c>
      <c r="K388" s="31" t="n">
        <v>9116.5</v>
      </c>
      <c r="L388" s="31" t="n">
        <v>9012.5</v>
      </c>
      <c r="M388" s="30" t="inlineStr">
        <is>
          <t>AMR1</t>
        </is>
      </c>
      <c r="N388" s="30" t="inlineStr">
        <is>
          <t>AMR1</t>
        </is>
      </c>
      <c r="O388" s="32" t="n">
        <v>1</v>
      </c>
      <c r="P388" s="32" t="n">
        <v>25</v>
      </c>
      <c r="Q388" s="32" t="n">
        <v>1</v>
      </c>
      <c r="R388" s="31" t="n">
        <v>59.2</v>
      </c>
      <c r="S388" s="31" t="n">
        <v>59.2</v>
      </c>
      <c r="T388" s="30" t="inlineStr">
        <is>
          <t>AMR1</t>
        </is>
      </c>
      <c r="U388" s="31" t="n">
        <v>43</v>
      </c>
      <c r="V388" s="31" t="n">
        <v>43</v>
      </c>
      <c r="W388" s="30" t="inlineStr">
        <is>
          <t>AMR1</t>
        </is>
      </c>
      <c r="X388" s="32" t="n">
        <v>0</v>
      </c>
      <c r="Y388" s="32" t="n">
        <v>0</v>
      </c>
      <c r="Z388" s="31" t="n">
        <v>0</v>
      </c>
      <c r="AA388" s="32" t="n">
        <v>0</v>
      </c>
      <c r="AB388" s="32" t="n">
        <v>0</v>
      </c>
      <c r="AC388" s="32" t="n">
        <v>0</v>
      </c>
      <c r="AD388" s="32" t="n">
        <v>0</v>
      </c>
      <c r="AE388" s="31" t="n">
        <v>0</v>
      </c>
      <c r="AF388" s="32" t="n">
        <v>0</v>
      </c>
      <c r="AG388" s="31" t="n">
        <v>0</v>
      </c>
      <c r="AH388" s="32" t="n">
        <v>54</v>
      </c>
      <c r="AI388" s="31" t="n">
        <v>54.8</v>
      </c>
      <c r="AJ388" s="31" t="n">
        <v>49.1</v>
      </c>
      <c r="AK388" s="31" t="n">
        <v>0</v>
      </c>
      <c r="AL388" s="30" t="inlineStr">
        <is>
          <t>T-0534</t>
        </is>
      </c>
      <c r="AM388" s="30" t="inlineStr">
        <is>
          <t>C-02-01</t>
        </is>
      </c>
      <c r="AN388" s="30" t="inlineStr">
        <is>
          <t>T-0445</t>
        </is>
      </c>
      <c r="AO388" s="30" t="inlineStr">
        <is>
          <t>C-05-02</t>
        </is>
      </c>
    </row>
    <row r="389">
      <c r="A389" s="30" t="inlineStr">
        <is>
          <t>O0388</t>
        </is>
      </c>
      <c r="B389" s="30" t="inlineStr">
        <is>
          <t>D</t>
        </is>
      </c>
      <c r="C389" s="31" t="n">
        <v>4910.6</v>
      </c>
      <c r="D389" s="31" t="n">
        <v>13984.6</v>
      </c>
      <c r="E389" s="31" t="n">
        <v>14008.1</v>
      </c>
      <c r="F389" s="31" t="n">
        <v>14022.3</v>
      </c>
      <c r="G389" s="31" t="n">
        <v>14042.6</v>
      </c>
      <c r="H389" s="31" t="n">
        <v>14132.3</v>
      </c>
      <c r="I389" s="31" t="n">
        <v>14159</v>
      </c>
      <c r="J389" s="31" t="n">
        <v>14189.8</v>
      </c>
      <c r="K389" s="31" t="n">
        <v>9279.200000000001</v>
      </c>
      <c r="L389" s="31" t="n">
        <v>9074</v>
      </c>
      <c r="M389" s="30" t="inlineStr">
        <is>
          <t>AMR3</t>
        </is>
      </c>
      <c r="N389" s="30" t="inlineStr">
        <is>
          <t>AMR1</t>
        </is>
      </c>
      <c r="O389" s="32" t="n">
        <v>1</v>
      </c>
      <c r="P389" s="32" t="n">
        <v>25</v>
      </c>
      <c r="Q389" s="32" t="n">
        <v>16</v>
      </c>
      <c r="R389" s="31" t="n">
        <v>56.1</v>
      </c>
      <c r="S389" s="31" t="n">
        <v>56.1</v>
      </c>
      <c r="T389" s="30" t="inlineStr">
        <is>
          <t>AMR3</t>
        </is>
      </c>
      <c r="U389" s="31" t="n">
        <v>54.4</v>
      </c>
      <c r="V389" s="31" t="n">
        <v>54.4</v>
      </c>
      <c r="W389" s="30" t="inlineStr">
        <is>
          <t>AMR1</t>
        </is>
      </c>
      <c r="X389" s="32" t="n">
        <v>0</v>
      </c>
      <c r="Y389" s="32" t="n">
        <v>0</v>
      </c>
      <c r="Z389" s="31" t="n">
        <v>0</v>
      </c>
      <c r="AA389" s="32" t="n">
        <v>0</v>
      </c>
      <c r="AB389" s="32" t="n">
        <v>0</v>
      </c>
      <c r="AC389" s="32" t="n">
        <v>0</v>
      </c>
      <c r="AD389" s="32" t="n">
        <v>0</v>
      </c>
      <c r="AE389" s="31" t="n">
        <v>0</v>
      </c>
      <c r="AF389" s="32" t="n">
        <v>0</v>
      </c>
      <c r="AG389" s="31" t="n">
        <v>0</v>
      </c>
      <c r="AH389" s="32" t="n">
        <v>71</v>
      </c>
      <c r="AI389" s="31" t="n">
        <v>73.5</v>
      </c>
      <c r="AJ389" s="31" t="n">
        <v>42</v>
      </c>
      <c r="AK389" s="31" t="n">
        <v>0</v>
      </c>
      <c r="AL389" s="30" t="inlineStr">
        <is>
          <t>T-0536</t>
        </is>
      </c>
      <c r="AM389" s="30" t="inlineStr">
        <is>
          <t>D-01-01</t>
        </is>
      </c>
      <c r="AN389" s="30" t="inlineStr">
        <is>
          <t>T-0406</t>
        </is>
      </c>
      <c r="AO389" s="30" t="inlineStr">
        <is>
          <t>D-05-03</t>
        </is>
      </c>
    </row>
    <row r="390">
      <c r="A390" s="30" t="inlineStr">
        <is>
          <t>O0389</t>
        </is>
      </c>
      <c r="B390" s="30" t="inlineStr">
        <is>
          <t>H</t>
        </is>
      </c>
      <c r="C390" s="31" t="n">
        <v>4915.7</v>
      </c>
      <c r="D390" s="31" t="n">
        <v>13945.4</v>
      </c>
      <c r="E390" s="31" t="n">
        <v>13968.9</v>
      </c>
      <c r="F390" s="31" t="n">
        <v>13984.8</v>
      </c>
      <c r="G390" s="31" t="n">
        <v>14009.1</v>
      </c>
      <c r="H390" s="31" t="n">
        <v>14049.9</v>
      </c>
      <c r="I390" s="31" t="n">
        <v>14074.2</v>
      </c>
      <c r="J390" s="31" t="n">
        <v>14101.1</v>
      </c>
      <c r="K390" s="31" t="n">
        <v>9185.4</v>
      </c>
      <c r="L390" s="31" t="n">
        <v>9029.700000000001</v>
      </c>
      <c r="M390" s="30" t="inlineStr">
        <is>
          <t>AMR2</t>
        </is>
      </c>
      <c r="N390" s="30" t="inlineStr">
        <is>
          <t>AMR2</t>
        </is>
      </c>
      <c r="O390" s="32" t="n">
        <v>1</v>
      </c>
      <c r="P390" s="32" t="n">
        <v>25</v>
      </c>
      <c r="Q390" s="32" t="n">
        <v>14</v>
      </c>
      <c r="R390" s="31" t="n">
        <v>61.9</v>
      </c>
      <c r="S390" s="31" t="n">
        <v>61.9</v>
      </c>
      <c r="T390" s="30" t="inlineStr">
        <is>
          <t>AMR2</t>
        </is>
      </c>
      <c r="U390" s="31" t="n">
        <v>51.4</v>
      </c>
      <c r="V390" s="31" t="n">
        <v>51.4</v>
      </c>
      <c r="W390" s="30" t="inlineStr">
        <is>
          <t>AMR2</t>
        </is>
      </c>
      <c r="X390" s="32" t="n">
        <v>0</v>
      </c>
      <c r="Y390" s="32" t="n">
        <v>0</v>
      </c>
      <c r="Z390" s="31" t="n">
        <v>0</v>
      </c>
      <c r="AA390" s="32" t="n">
        <v>0</v>
      </c>
      <c r="AB390" s="32" t="n">
        <v>0</v>
      </c>
      <c r="AC390" s="32" t="n">
        <v>0</v>
      </c>
      <c r="AD390" s="32" t="n">
        <v>0</v>
      </c>
      <c r="AE390" s="31" t="n">
        <v>0</v>
      </c>
      <c r="AF390" s="32" t="n">
        <v>0</v>
      </c>
      <c r="AG390" s="31" t="n">
        <v>0</v>
      </c>
      <c r="AH390" s="32" t="n">
        <v>65</v>
      </c>
      <c r="AI390" s="31" t="n">
        <v>67.5</v>
      </c>
      <c r="AJ390" s="31" t="n">
        <v>47.4</v>
      </c>
      <c r="AK390" s="31" t="n">
        <v>0</v>
      </c>
      <c r="AL390" s="30" t="inlineStr">
        <is>
          <t>T-0535</t>
        </is>
      </c>
      <c r="AM390" s="30" t="inlineStr">
        <is>
          <t>H-01-01</t>
        </is>
      </c>
      <c r="AN390" s="30" t="inlineStr">
        <is>
          <t>T-0462</t>
        </is>
      </c>
      <c r="AO390" s="30" t="inlineStr">
        <is>
          <t>H-01-03</t>
        </is>
      </c>
    </row>
    <row r="391">
      <c r="A391" s="30" t="inlineStr">
        <is>
          <t>O0390</t>
        </is>
      </c>
      <c r="B391" s="30" t="inlineStr">
        <is>
          <t>F</t>
        </is>
      </c>
      <c r="C391" s="31" t="n">
        <v>4920.3</v>
      </c>
      <c r="D391" s="31" t="n">
        <v>14042.7</v>
      </c>
      <c r="E391" s="31" t="n">
        <v>14062.4</v>
      </c>
      <c r="F391" s="31" t="n">
        <v>14076.1</v>
      </c>
      <c r="G391" s="31" t="n">
        <v>14107.7</v>
      </c>
      <c r="H391" s="31" t="n">
        <v>14107.8</v>
      </c>
      <c r="I391" s="31" t="n">
        <v>14116.5</v>
      </c>
      <c r="J391" s="31" t="n">
        <v>14156.6</v>
      </c>
      <c r="K391" s="31" t="n">
        <v>9236.299999999999</v>
      </c>
      <c r="L391" s="31" t="n">
        <v>9122.4</v>
      </c>
      <c r="M391" s="30" t="inlineStr">
        <is>
          <t>AMR3</t>
        </is>
      </c>
      <c r="N391" s="30" t="inlineStr">
        <is>
          <t>AMR3</t>
        </is>
      </c>
      <c r="O391" s="32" t="n">
        <v>1</v>
      </c>
      <c r="P391" s="32" t="n">
        <v>12</v>
      </c>
      <c r="Q391" s="32" t="n">
        <v>1</v>
      </c>
      <c r="R391" s="31" t="n">
        <v>55.1</v>
      </c>
      <c r="S391" s="31" t="n">
        <v>55.1</v>
      </c>
      <c r="T391" s="30" t="inlineStr">
        <is>
          <t>AMR3</t>
        </is>
      </c>
      <c r="U391" s="31" t="n">
        <v>43.4</v>
      </c>
      <c r="V391" s="31" t="n">
        <v>43.4</v>
      </c>
      <c r="W391" s="30" t="inlineStr">
        <is>
          <t>AMR3</t>
        </is>
      </c>
      <c r="X391" s="32" t="n">
        <v>0</v>
      </c>
      <c r="Y391" s="32" t="n">
        <v>0</v>
      </c>
      <c r="Z391" s="31" t="n">
        <v>0</v>
      </c>
      <c r="AA391" s="32" t="n">
        <v>0</v>
      </c>
      <c r="AB391" s="32" t="n">
        <v>0</v>
      </c>
      <c r="AC391" s="32" t="n">
        <v>0</v>
      </c>
      <c r="AD391" s="32" t="n">
        <v>1</v>
      </c>
      <c r="AE391" s="31" t="n">
        <v>6</v>
      </c>
      <c r="AF391" s="32" t="n">
        <v>1</v>
      </c>
      <c r="AG391" s="31" t="n">
        <v>1</v>
      </c>
      <c r="AH391" s="32" t="n">
        <v>59</v>
      </c>
      <c r="AI391" s="31" t="n">
        <v>60.8</v>
      </c>
      <c r="AJ391" s="31" t="n">
        <v>40.9</v>
      </c>
      <c r="AK391" s="31" t="n">
        <v>12.1</v>
      </c>
      <c r="AL391" s="30" t="inlineStr">
        <is>
          <t>T-0538</t>
        </is>
      </c>
      <c r="AM391" s="30" t="inlineStr">
        <is>
          <t>F-01-02</t>
        </is>
      </c>
      <c r="AN391" s="30" t="inlineStr">
        <is>
          <t>T-0297</t>
        </is>
      </c>
      <c r="AO391" s="30" t="inlineStr">
        <is>
          <t>F-01-03</t>
        </is>
      </c>
    </row>
    <row r="392">
      <c r="A392" s="30" t="inlineStr">
        <is>
          <t>O0391</t>
        </is>
      </c>
      <c r="B392" s="30" t="inlineStr">
        <is>
          <t>H</t>
        </is>
      </c>
      <c r="C392" s="31" t="n">
        <v>4925.1</v>
      </c>
      <c r="D392" s="31" t="n">
        <v>14101.2</v>
      </c>
      <c r="E392" s="31" t="n">
        <v>14124.7</v>
      </c>
      <c r="F392" s="31" t="n">
        <v>14139</v>
      </c>
      <c r="G392" s="31" t="n">
        <v>14164.5</v>
      </c>
      <c r="H392" s="31" t="n">
        <v>14164.6</v>
      </c>
      <c r="I392" s="31" t="n">
        <v>14174</v>
      </c>
      <c r="J392" s="31" t="n">
        <v>14204.1</v>
      </c>
      <c r="K392" s="31" t="n">
        <v>9279</v>
      </c>
      <c r="L392" s="31" t="n">
        <v>9176.1</v>
      </c>
      <c r="M392" s="30" t="inlineStr">
        <is>
          <t>AMR2</t>
        </is>
      </c>
      <c r="N392" s="30" t="inlineStr">
        <is>
          <t>AMR2</t>
        </is>
      </c>
      <c r="O392" s="32" t="n">
        <v>1</v>
      </c>
      <c r="P392" s="32" t="n">
        <v>25</v>
      </c>
      <c r="Q392" s="32" t="n">
        <v>1</v>
      </c>
      <c r="R392" s="31" t="n">
        <v>61.5</v>
      </c>
      <c r="S392" s="31" t="n">
        <v>61.5</v>
      </c>
      <c r="T392" s="30" t="inlineStr">
        <is>
          <t>AMR2</t>
        </is>
      </c>
      <c r="U392" s="31" t="n">
        <v>35.7</v>
      </c>
      <c r="V392" s="31" t="n">
        <v>35.7</v>
      </c>
      <c r="W392" s="30" t="inlineStr">
        <is>
          <t>AMR2</t>
        </is>
      </c>
      <c r="X392" s="32" t="n">
        <v>0</v>
      </c>
      <c r="Y392" s="32" t="n">
        <v>0</v>
      </c>
      <c r="Z392" s="31" t="n">
        <v>0</v>
      </c>
      <c r="AA392" s="32" t="n">
        <v>0</v>
      </c>
      <c r="AB392" s="32" t="n">
        <v>0</v>
      </c>
      <c r="AC392" s="32" t="n">
        <v>0</v>
      </c>
      <c r="AD392" s="32" t="n">
        <v>1</v>
      </c>
      <c r="AE392" s="31" t="n">
        <v>5</v>
      </c>
      <c r="AF392" s="32" t="n">
        <v>0</v>
      </c>
      <c r="AG392" s="31" t="n">
        <v>0</v>
      </c>
      <c r="AH392" s="32" t="n">
        <v>52</v>
      </c>
      <c r="AI392" s="31" t="n">
        <v>54.2</v>
      </c>
      <c r="AJ392" s="31" t="n">
        <v>43.6</v>
      </c>
      <c r="AK392" s="31" t="n">
        <v>5</v>
      </c>
      <c r="AL392" s="30" t="inlineStr">
        <is>
          <t>T-0539</t>
        </is>
      </c>
      <c r="AM392" s="30" t="inlineStr">
        <is>
          <t>H-01-03</t>
        </is>
      </c>
      <c r="AN392" s="30" t="inlineStr">
        <is>
          <t>T-0465</t>
        </is>
      </c>
      <c r="AO392" s="30" t="inlineStr">
        <is>
          <t>H-02-03</t>
        </is>
      </c>
    </row>
    <row r="393">
      <c r="A393" s="30" t="inlineStr">
        <is>
          <t>O0392</t>
        </is>
      </c>
      <c r="B393" s="30" t="inlineStr">
        <is>
          <t>I</t>
        </is>
      </c>
      <c r="C393" s="31" t="n">
        <v>4929.9</v>
      </c>
      <c r="D393" s="31" t="n">
        <v>14290.9</v>
      </c>
      <c r="E393" s="31" t="n">
        <v>14315.4</v>
      </c>
      <c r="F393" s="31" t="n">
        <v>14329.3</v>
      </c>
      <c r="G393" s="31" t="n">
        <v>14352.4</v>
      </c>
      <c r="H393" s="31" t="n">
        <v>14352.5</v>
      </c>
      <c r="I393" s="31" t="n">
        <v>14362.7</v>
      </c>
      <c r="J393" s="31" t="n">
        <v>14392.2</v>
      </c>
      <c r="K393" s="31" t="n">
        <v>9462.299999999999</v>
      </c>
      <c r="L393" s="31" t="n">
        <v>9361</v>
      </c>
      <c r="M393" s="30" t="inlineStr">
        <is>
          <t>AMR1</t>
        </is>
      </c>
      <c r="N393" s="30" t="inlineStr">
        <is>
          <t>AMR1</t>
        </is>
      </c>
      <c r="O393" s="32" t="n">
        <v>1</v>
      </c>
      <c r="P393" s="32" t="n">
        <v>25</v>
      </c>
      <c r="Q393" s="32" t="n">
        <v>1</v>
      </c>
      <c r="R393" s="31" t="n">
        <v>58.7</v>
      </c>
      <c r="S393" s="31" t="n">
        <v>58.7</v>
      </c>
      <c r="T393" s="30" t="inlineStr">
        <is>
          <t>AMR1</t>
        </is>
      </c>
      <c r="U393" s="31" t="n">
        <v>38.4</v>
      </c>
      <c r="V393" s="31" t="n">
        <v>38.4</v>
      </c>
      <c r="W393" s="30" t="inlineStr">
        <is>
          <t>AMR1</t>
        </is>
      </c>
      <c r="X393" s="32" t="n">
        <v>0</v>
      </c>
      <c r="Y393" s="32" t="n">
        <v>0</v>
      </c>
      <c r="Z393" s="31" t="n">
        <v>0</v>
      </c>
      <c r="AA393" s="32" t="n">
        <v>0</v>
      </c>
      <c r="AB393" s="32" t="n">
        <v>0</v>
      </c>
      <c r="AC393" s="32" t="n">
        <v>0</v>
      </c>
      <c r="AD393" s="32" t="n">
        <v>0</v>
      </c>
      <c r="AE393" s="31" t="n">
        <v>0</v>
      </c>
      <c r="AF393" s="32" t="n">
        <v>0</v>
      </c>
      <c r="AG393" s="31" t="n">
        <v>0</v>
      </c>
      <c r="AH393" s="32" t="n">
        <v>54</v>
      </c>
      <c r="AI393" s="31" t="n">
        <v>57.2</v>
      </c>
      <c r="AJ393" s="31" t="n">
        <v>43</v>
      </c>
      <c r="AK393" s="31" t="n">
        <v>1</v>
      </c>
      <c r="AL393" s="30" t="inlineStr">
        <is>
          <t>T-0544</t>
        </is>
      </c>
      <c r="AM393" s="30" t="inlineStr">
        <is>
          <t>I-02-03</t>
        </is>
      </c>
      <c r="AN393" s="30" t="inlineStr">
        <is>
          <t>T-0424</t>
        </is>
      </c>
      <c r="AO393" s="30" t="inlineStr">
        <is>
          <t>I-03-03</t>
        </is>
      </c>
    </row>
    <row r="394">
      <c r="A394" s="30" t="inlineStr">
        <is>
          <t>O0393</t>
        </is>
      </c>
      <c r="B394" s="30" t="inlineStr">
        <is>
          <t>H</t>
        </is>
      </c>
      <c r="C394" s="31" t="n">
        <v>4933.3</v>
      </c>
      <c r="D394" s="31" t="n">
        <v>14189.9</v>
      </c>
      <c r="E394" s="31" t="n">
        <v>14213.4</v>
      </c>
      <c r="F394" s="31" t="n">
        <v>14226.8</v>
      </c>
      <c r="G394" s="31" t="n">
        <v>14254.4</v>
      </c>
      <c r="H394" s="31" t="n">
        <v>14254.5</v>
      </c>
      <c r="I394" s="31" t="n">
        <v>14267.2</v>
      </c>
      <c r="J394" s="31" t="n">
        <v>14290.8</v>
      </c>
      <c r="K394" s="31" t="n">
        <v>9357.5</v>
      </c>
      <c r="L394" s="31" t="n">
        <v>9256.6</v>
      </c>
      <c r="M394" s="30" t="inlineStr">
        <is>
          <t>AMR1</t>
        </is>
      </c>
      <c r="N394" s="30" t="inlineStr">
        <is>
          <t>AMR1</t>
        </is>
      </c>
      <c r="O394" s="32" t="n">
        <v>1</v>
      </c>
      <c r="P394" s="32" t="n">
        <v>25</v>
      </c>
      <c r="Q394" s="32" t="n">
        <v>1</v>
      </c>
      <c r="R394" s="31" t="n">
        <v>62.7</v>
      </c>
      <c r="S394" s="31" t="n">
        <v>62.7</v>
      </c>
      <c r="T394" s="30" t="inlineStr">
        <is>
          <t>AMR1</t>
        </is>
      </c>
      <c r="U394" s="31" t="n">
        <v>35.6</v>
      </c>
      <c r="V394" s="31" t="n">
        <v>35.6</v>
      </c>
      <c r="W394" s="30" t="inlineStr">
        <is>
          <t>AMR1</t>
        </is>
      </c>
      <c r="X394" s="32" t="n">
        <v>0</v>
      </c>
      <c r="Y394" s="32" t="n">
        <v>0</v>
      </c>
      <c r="Z394" s="31" t="n">
        <v>0</v>
      </c>
      <c r="AA394" s="32" t="n">
        <v>0</v>
      </c>
      <c r="AB394" s="32" t="n">
        <v>0</v>
      </c>
      <c r="AC394" s="32" t="n">
        <v>0</v>
      </c>
      <c r="AD394" s="32" t="n">
        <v>0</v>
      </c>
      <c r="AE394" s="31" t="n">
        <v>0</v>
      </c>
      <c r="AF394" s="32" t="n">
        <v>0</v>
      </c>
      <c r="AG394" s="31" t="n">
        <v>0</v>
      </c>
      <c r="AH394" s="32" t="n">
        <v>54</v>
      </c>
      <c r="AI394" s="31" t="n">
        <v>56.1</v>
      </c>
      <c r="AJ394" s="31" t="n">
        <v>44.7</v>
      </c>
      <c r="AK394" s="31" t="n">
        <v>0</v>
      </c>
      <c r="AL394" s="30" t="inlineStr">
        <is>
          <t>T-0541</t>
        </is>
      </c>
      <c r="AM394" s="30" t="inlineStr">
        <is>
          <t>H-02-03</t>
        </is>
      </c>
      <c r="AN394" s="30" t="inlineStr">
        <is>
          <t>T-0469</t>
        </is>
      </c>
      <c r="AO394" s="30" t="inlineStr">
        <is>
          <t>H-06-01</t>
        </is>
      </c>
    </row>
    <row r="395">
      <c r="A395" s="30" t="inlineStr">
        <is>
          <t>O0394</t>
        </is>
      </c>
      <c r="B395" s="30" t="inlineStr">
        <is>
          <t>J</t>
        </is>
      </c>
      <c r="C395" s="31" t="n">
        <v>4939.5</v>
      </c>
      <c r="D395" s="31" t="n">
        <v>14370.6</v>
      </c>
      <c r="E395" s="31" t="n">
        <v>14394.1</v>
      </c>
      <c r="F395" s="31" t="n">
        <v>14405.8</v>
      </c>
      <c r="G395" s="31" t="n">
        <v>14438</v>
      </c>
      <c r="H395" s="31" t="n">
        <v>14438.1</v>
      </c>
      <c r="I395" s="31" t="n">
        <v>14449.9</v>
      </c>
      <c r="J395" s="31" t="n">
        <v>14477.4</v>
      </c>
      <c r="K395" s="31" t="n">
        <v>9537.9</v>
      </c>
      <c r="L395" s="31" t="n">
        <v>9431.1</v>
      </c>
      <c r="M395" s="30" t="inlineStr">
        <is>
          <t>AMR3</t>
        </is>
      </c>
      <c r="N395" s="30" t="inlineStr">
        <is>
          <t>AMR3</t>
        </is>
      </c>
      <c r="O395" s="32" t="n">
        <v>1</v>
      </c>
      <c r="P395" s="32" t="n">
        <v>25</v>
      </c>
      <c r="Q395" s="32" t="n">
        <v>1</v>
      </c>
      <c r="R395" s="31" t="n">
        <v>64</v>
      </c>
      <c r="S395" s="31" t="n">
        <v>60.9</v>
      </c>
      <c r="T395" s="30" t="inlineStr">
        <is>
          <t>AMR2</t>
        </is>
      </c>
      <c r="U395" s="31" t="n">
        <v>40</v>
      </c>
      <c r="V395" s="31" t="n">
        <v>40</v>
      </c>
      <c r="W395" s="30" t="inlineStr">
        <is>
          <t>AMR3</t>
        </is>
      </c>
      <c r="X395" s="32" t="n">
        <v>1</v>
      </c>
      <c r="Y395" s="32" t="n">
        <v>12</v>
      </c>
      <c r="Z395" s="31" t="n">
        <v>3.1</v>
      </c>
      <c r="AA395" s="32" t="n">
        <v>0</v>
      </c>
      <c r="AB395" s="32" t="n">
        <v>0</v>
      </c>
      <c r="AC395" s="32" t="n">
        <v>0</v>
      </c>
      <c r="AD395" s="32" t="n">
        <v>0</v>
      </c>
      <c r="AE395" s="31" t="n">
        <v>0</v>
      </c>
      <c r="AF395" s="32" t="n">
        <v>0</v>
      </c>
      <c r="AG395" s="31" t="n">
        <v>0</v>
      </c>
      <c r="AH395" s="32" t="n">
        <v>68</v>
      </c>
      <c r="AI395" s="31" t="n">
        <v>67.40000000000001</v>
      </c>
      <c r="AJ395" s="31" t="n">
        <v>39.3</v>
      </c>
      <c r="AK395" s="31" t="n">
        <v>0</v>
      </c>
      <c r="AL395" s="30" t="inlineStr">
        <is>
          <t>T-0546</t>
        </is>
      </c>
      <c r="AM395" s="30" t="inlineStr">
        <is>
          <t>J-04-02</t>
        </is>
      </c>
      <c r="AN395" s="30" t="inlineStr">
        <is>
          <t>T-0311</t>
        </is>
      </c>
      <c r="AO395" s="30" t="inlineStr">
        <is>
          <t>J-02-03</t>
        </is>
      </c>
    </row>
    <row r="396">
      <c r="A396" s="30" t="inlineStr">
        <is>
          <t>O0395</t>
        </is>
      </c>
      <c r="B396" s="30" t="inlineStr">
        <is>
          <t>B</t>
        </is>
      </c>
      <c r="C396" s="31" t="n">
        <v>4942.9</v>
      </c>
      <c r="D396" s="31" t="n">
        <v>14268</v>
      </c>
      <c r="E396" s="31" t="n">
        <v>14291.5</v>
      </c>
      <c r="F396" s="31" t="n">
        <v>14306.8</v>
      </c>
      <c r="G396" s="31" t="n">
        <v>14331.1</v>
      </c>
      <c r="H396" s="31" t="n">
        <v>14331.2</v>
      </c>
      <c r="I396" s="31" t="n">
        <v>14342.4</v>
      </c>
      <c r="J396" s="31" t="n">
        <v>14370.5</v>
      </c>
      <c r="K396" s="31" t="n">
        <v>9427.6</v>
      </c>
      <c r="L396" s="31" t="n">
        <v>9325.1</v>
      </c>
      <c r="M396" s="30" t="inlineStr">
        <is>
          <t>AMR3</t>
        </is>
      </c>
      <c r="N396" s="30" t="inlineStr">
        <is>
          <t>AMR3</t>
        </is>
      </c>
      <c r="O396" s="32" t="n">
        <v>1</v>
      </c>
      <c r="P396" s="32" t="n">
        <v>25</v>
      </c>
      <c r="Q396" s="32" t="n">
        <v>1</v>
      </c>
      <c r="R396" s="31" t="n">
        <v>59.6</v>
      </c>
      <c r="S396" s="31" t="n">
        <v>55.5</v>
      </c>
      <c r="T396" s="30" t="inlineStr">
        <is>
          <t>AMR2</t>
        </is>
      </c>
      <c r="U396" s="31" t="n">
        <v>39.1</v>
      </c>
      <c r="V396" s="31" t="n">
        <v>39.1</v>
      </c>
      <c r="W396" s="30" t="inlineStr">
        <is>
          <t>AMR3</t>
        </is>
      </c>
      <c r="X396" s="32" t="n">
        <v>1</v>
      </c>
      <c r="Y396" s="32" t="n">
        <v>11</v>
      </c>
      <c r="Z396" s="31" t="n">
        <v>4.1</v>
      </c>
      <c r="AA396" s="32" t="n">
        <v>0</v>
      </c>
      <c r="AB396" s="32" t="n">
        <v>0</v>
      </c>
      <c r="AC396" s="32" t="n">
        <v>0</v>
      </c>
      <c r="AD396" s="32" t="n">
        <v>0</v>
      </c>
      <c r="AE396" s="31" t="n">
        <v>0</v>
      </c>
      <c r="AF396" s="32" t="n">
        <v>0</v>
      </c>
      <c r="AG396" s="31" t="n">
        <v>0</v>
      </c>
      <c r="AH396" s="32" t="n">
        <v>60</v>
      </c>
      <c r="AI396" s="31" t="n">
        <v>60.5</v>
      </c>
      <c r="AJ396" s="31" t="n">
        <v>41.9</v>
      </c>
      <c r="AK396" s="31" t="n">
        <v>0</v>
      </c>
      <c r="AL396" s="30" t="inlineStr">
        <is>
          <t>T-0543</t>
        </is>
      </c>
      <c r="AM396" s="30" t="inlineStr">
        <is>
          <t>B-02-01</t>
        </is>
      </c>
      <c r="AN396" s="30" t="inlineStr">
        <is>
          <t>T-0294</t>
        </is>
      </c>
      <c r="AO396" s="30" t="inlineStr">
        <is>
          <t>B-06-03</t>
        </is>
      </c>
    </row>
    <row r="397">
      <c r="A397" s="30" t="inlineStr">
        <is>
          <t>O0396</t>
        </is>
      </c>
      <c r="B397" s="30" t="inlineStr">
        <is>
          <t>I</t>
        </is>
      </c>
      <c r="C397" s="31" t="n">
        <v>4948.2</v>
      </c>
      <c r="D397" s="31" t="n">
        <v>14419.3</v>
      </c>
      <c r="E397" s="31" t="n">
        <v>14442.8</v>
      </c>
      <c r="F397" s="31" t="n">
        <v>14457.4</v>
      </c>
      <c r="G397" s="31" t="n">
        <v>14484.2</v>
      </c>
      <c r="H397" s="31" t="n">
        <v>14484.3</v>
      </c>
      <c r="I397" s="31" t="n">
        <v>14497.9</v>
      </c>
      <c r="J397" s="31" t="n">
        <v>14520.3</v>
      </c>
      <c r="K397" s="31" t="n">
        <v>9572.1</v>
      </c>
      <c r="L397" s="31" t="n">
        <v>9471.1</v>
      </c>
      <c r="M397" s="30" t="inlineStr">
        <is>
          <t>AMR2</t>
        </is>
      </c>
      <c r="N397" s="30" t="inlineStr">
        <is>
          <t>AMR2</t>
        </is>
      </c>
      <c r="O397" s="32" t="n">
        <v>1</v>
      </c>
      <c r="P397" s="32" t="n">
        <v>25</v>
      </c>
      <c r="Q397" s="32" t="n">
        <v>0</v>
      </c>
      <c r="R397" s="31" t="n">
        <v>62.3</v>
      </c>
      <c r="S397" s="31" t="n">
        <v>62.3</v>
      </c>
      <c r="T397" s="30" t="inlineStr">
        <is>
          <t>AMR2</t>
        </is>
      </c>
      <c r="U397" s="31" t="n">
        <v>35.7</v>
      </c>
      <c r="V397" s="31" t="n">
        <v>35.7</v>
      </c>
      <c r="W397" s="30" t="inlineStr">
        <is>
          <t>AMR2</t>
        </is>
      </c>
      <c r="X397" s="32" t="n">
        <v>0</v>
      </c>
      <c r="Y397" s="32" t="n">
        <v>0</v>
      </c>
      <c r="Z397" s="31" t="n">
        <v>0</v>
      </c>
      <c r="AA397" s="32" t="n">
        <v>0</v>
      </c>
      <c r="AB397" s="32" t="n">
        <v>0</v>
      </c>
      <c r="AC397" s="32" t="n">
        <v>0</v>
      </c>
      <c r="AD397" s="32" t="n">
        <v>0</v>
      </c>
      <c r="AE397" s="31" t="n">
        <v>0</v>
      </c>
      <c r="AF397" s="32" t="n">
        <v>0</v>
      </c>
      <c r="AG397" s="31" t="n">
        <v>0</v>
      </c>
      <c r="AH397" s="32" t="n">
        <v>54</v>
      </c>
      <c r="AI397" s="31" t="n">
        <v>56.3</v>
      </c>
      <c r="AJ397" s="31" t="n">
        <v>44.6</v>
      </c>
      <c r="AK397" s="31" t="n">
        <v>0</v>
      </c>
      <c r="AL397" s="30" t="inlineStr">
        <is>
          <t>T-0548</t>
        </is>
      </c>
      <c r="AM397" s="30" t="inlineStr">
        <is>
          <t>I-03-03</t>
        </is>
      </c>
      <c r="AN397" s="30" t="inlineStr">
        <is>
          <t>T-0427</t>
        </is>
      </c>
      <c r="AO397" s="30" t="inlineStr">
        <is>
          <t>I-01-03</t>
        </is>
      </c>
    </row>
    <row r="398">
      <c r="A398" s="30" t="inlineStr">
        <is>
          <t>O0397</t>
        </is>
      </c>
      <c r="B398" s="30" t="inlineStr">
        <is>
          <t>D</t>
        </is>
      </c>
      <c r="C398" s="31" t="n">
        <v>4954.2</v>
      </c>
      <c r="D398" s="31" t="n">
        <v>14204.2</v>
      </c>
      <c r="E398" s="31" t="n">
        <v>14237.7</v>
      </c>
      <c r="F398" s="31" t="n">
        <v>14248.5</v>
      </c>
      <c r="G398" s="31" t="n">
        <v>14272.7</v>
      </c>
      <c r="H398" s="31" t="n">
        <v>14272.8</v>
      </c>
      <c r="I398" s="31" t="n">
        <v>14286.1</v>
      </c>
      <c r="J398" s="31" t="n">
        <v>14312.9</v>
      </c>
      <c r="K398" s="31" t="n">
        <v>9358.700000000001</v>
      </c>
      <c r="L398" s="31" t="n">
        <v>9250</v>
      </c>
      <c r="M398" s="30" t="inlineStr">
        <is>
          <t>AMR2</t>
        </is>
      </c>
      <c r="N398" s="30" t="inlineStr">
        <is>
          <t>AMR2</t>
        </is>
      </c>
      <c r="O398" s="32" t="n">
        <v>1</v>
      </c>
      <c r="P398" s="32" t="n">
        <v>25</v>
      </c>
      <c r="Q398" s="32" t="n">
        <v>1</v>
      </c>
      <c r="R398" s="31" t="n">
        <v>55</v>
      </c>
      <c r="S398" s="31" t="n">
        <v>55</v>
      </c>
      <c r="T398" s="30" t="inlineStr">
        <is>
          <t>AMR2</t>
        </is>
      </c>
      <c r="U398" s="31" t="n">
        <v>39.7</v>
      </c>
      <c r="V398" s="31" t="n">
        <v>39.7</v>
      </c>
      <c r="W398" s="30" t="inlineStr">
        <is>
          <t>AMR2</t>
        </is>
      </c>
      <c r="X398" s="32" t="n">
        <v>0</v>
      </c>
      <c r="Y398" s="32" t="n">
        <v>0</v>
      </c>
      <c r="Z398" s="31" t="n">
        <v>0</v>
      </c>
      <c r="AA398" s="32" t="n">
        <v>0</v>
      </c>
      <c r="AB398" s="32" t="n">
        <v>0</v>
      </c>
      <c r="AC398" s="32" t="n">
        <v>0</v>
      </c>
      <c r="AD398" s="32" t="n">
        <v>0</v>
      </c>
      <c r="AE398" s="31" t="n">
        <v>0</v>
      </c>
      <c r="AF398" s="32" t="n">
        <v>1</v>
      </c>
      <c r="AG398" s="31" t="n">
        <v>5</v>
      </c>
      <c r="AH398" s="32" t="n">
        <v>56</v>
      </c>
      <c r="AI398" s="31" t="n">
        <v>57.5</v>
      </c>
      <c r="AJ398" s="31" t="n">
        <v>41.1</v>
      </c>
      <c r="AK398" s="31" t="n">
        <v>10</v>
      </c>
      <c r="AL398" s="30" t="inlineStr">
        <is>
          <t>T-0542</t>
        </is>
      </c>
      <c r="AM398" s="30" t="inlineStr">
        <is>
          <t>D-05-03</t>
        </is>
      </c>
      <c r="AN398" s="30" t="inlineStr">
        <is>
          <t>T-0426</t>
        </is>
      </c>
      <c r="AO398" s="30" t="inlineStr">
        <is>
          <t>D-03-01</t>
        </is>
      </c>
    </row>
    <row r="399">
      <c r="A399" s="30" t="inlineStr">
        <is>
          <t>O0398</t>
        </is>
      </c>
      <c r="B399" s="30" t="inlineStr">
        <is>
          <t>D</t>
        </is>
      </c>
      <c r="C399" s="31" t="n">
        <v>4959.3</v>
      </c>
      <c r="D399" s="31" t="n">
        <v>14392.3</v>
      </c>
      <c r="E399" s="31" t="n">
        <v>14417.8</v>
      </c>
      <c r="F399" s="31" t="n">
        <v>14432.9</v>
      </c>
      <c r="G399" s="31" t="n">
        <v>14456.8</v>
      </c>
      <c r="H399" s="31" t="n">
        <v>14456.9</v>
      </c>
      <c r="I399" s="31" t="n">
        <v>14470.5</v>
      </c>
      <c r="J399" s="31" t="n">
        <v>14502.2</v>
      </c>
      <c r="K399" s="31" t="n">
        <v>9542.9</v>
      </c>
      <c r="L399" s="31" t="n">
        <v>9433</v>
      </c>
      <c r="M399" s="30" t="inlineStr">
        <is>
          <t>AMR1</t>
        </is>
      </c>
      <c r="N399" s="30" t="inlineStr">
        <is>
          <t>AMR1</t>
        </is>
      </c>
      <c r="O399" s="32" t="n">
        <v>1</v>
      </c>
      <c r="P399" s="32" t="n">
        <v>25</v>
      </c>
      <c r="Q399" s="32" t="n">
        <v>1</v>
      </c>
      <c r="R399" s="31" t="n">
        <v>59</v>
      </c>
      <c r="S399" s="31" t="n">
        <v>59</v>
      </c>
      <c r="T399" s="30" t="inlineStr">
        <is>
          <t>AMR1</t>
        </is>
      </c>
      <c r="U399" s="31" t="n">
        <v>43.4</v>
      </c>
      <c r="V399" s="31" t="n">
        <v>43.4</v>
      </c>
      <c r="W399" s="30" t="inlineStr">
        <is>
          <t>AMR1</t>
        </is>
      </c>
      <c r="X399" s="32" t="n">
        <v>0</v>
      </c>
      <c r="Y399" s="32" t="n">
        <v>0</v>
      </c>
      <c r="Z399" s="31" t="n">
        <v>0</v>
      </c>
      <c r="AA399" s="32" t="n">
        <v>0</v>
      </c>
      <c r="AB399" s="32" t="n">
        <v>0</v>
      </c>
      <c r="AC399" s="32" t="n">
        <v>0</v>
      </c>
      <c r="AD399" s="32" t="n">
        <v>0</v>
      </c>
      <c r="AE399" s="31" t="n">
        <v>0</v>
      </c>
      <c r="AF399" s="32" t="n">
        <v>0</v>
      </c>
      <c r="AG399" s="31" t="n">
        <v>0</v>
      </c>
      <c r="AH399" s="32" t="n">
        <v>58</v>
      </c>
      <c r="AI399" s="31" t="n">
        <v>59</v>
      </c>
      <c r="AJ399" s="31" t="n">
        <v>48.8</v>
      </c>
      <c r="AK399" s="31" t="n">
        <v>2</v>
      </c>
      <c r="AL399" s="30" t="inlineStr">
        <is>
          <t>T-0547</t>
        </is>
      </c>
      <c r="AM399" s="30" t="inlineStr">
        <is>
          <t>D-04-01</t>
        </is>
      </c>
      <c r="AN399" s="30" t="inlineStr">
        <is>
          <t>T-0446</t>
        </is>
      </c>
      <c r="AO399" s="30" t="inlineStr">
        <is>
          <t>D-06-01</t>
        </is>
      </c>
    </row>
    <row r="400">
      <c r="A400" s="30" t="inlineStr">
        <is>
          <t>O0399</t>
        </is>
      </c>
      <c r="B400" s="30" t="inlineStr">
        <is>
          <t>J</t>
        </is>
      </c>
      <c r="C400" s="31" t="n">
        <v>4963.7</v>
      </c>
      <c r="D400" s="31" t="n">
        <v>14694.3</v>
      </c>
      <c r="E400" s="31" t="n">
        <v>14717.8</v>
      </c>
      <c r="F400" s="31" t="n">
        <v>14732.8</v>
      </c>
      <c r="G400" s="31" t="n">
        <v>14762.4</v>
      </c>
      <c r="H400" s="31" t="n">
        <v>14762.5</v>
      </c>
      <c r="I400" s="31" t="n">
        <v>14778.5</v>
      </c>
      <c r="J400" s="31" t="n">
        <v>14808.4</v>
      </c>
      <c r="K400" s="31" t="n">
        <v>9844.700000000001</v>
      </c>
      <c r="L400" s="31" t="n">
        <v>9730.6</v>
      </c>
      <c r="M400" s="30" t="inlineStr">
        <is>
          <t>AMR3</t>
        </is>
      </c>
      <c r="N400" s="30" t="inlineStr">
        <is>
          <t>AMR3</t>
        </is>
      </c>
      <c r="O400" s="32" t="n">
        <v>1</v>
      </c>
      <c r="P400" s="32" t="n">
        <v>25</v>
      </c>
      <c r="Q400" s="32" t="n">
        <v>1</v>
      </c>
      <c r="R400" s="31" t="n">
        <v>66.3</v>
      </c>
      <c r="S400" s="31" t="n">
        <v>65</v>
      </c>
      <c r="T400" s="30" t="inlineStr">
        <is>
          <t>AMR2</t>
        </is>
      </c>
      <c r="U400" s="31" t="n">
        <v>44.1</v>
      </c>
      <c r="V400" s="31" t="n">
        <v>44.1</v>
      </c>
      <c r="W400" s="30" t="inlineStr">
        <is>
          <t>AMR3</t>
        </is>
      </c>
      <c r="X400" s="32" t="n">
        <v>1</v>
      </c>
      <c r="Y400" s="32" t="n">
        <v>6</v>
      </c>
      <c r="Z400" s="31" t="n">
        <v>1.3</v>
      </c>
      <c r="AA400" s="32" t="n">
        <v>0</v>
      </c>
      <c r="AB400" s="32" t="n">
        <v>0</v>
      </c>
      <c r="AC400" s="32" t="n">
        <v>0</v>
      </c>
      <c r="AD400" s="32" t="n">
        <v>0</v>
      </c>
      <c r="AE400" s="31" t="n">
        <v>0</v>
      </c>
      <c r="AF400" s="32" t="n">
        <v>0</v>
      </c>
      <c r="AG400" s="31" t="n">
        <v>0</v>
      </c>
      <c r="AH400" s="32" t="n">
        <v>68</v>
      </c>
      <c r="AI400" s="31" t="n">
        <v>68.3</v>
      </c>
      <c r="AJ400" s="31" t="n">
        <v>45.7</v>
      </c>
      <c r="AK400" s="31" t="n">
        <v>0</v>
      </c>
      <c r="AL400" s="30" t="inlineStr">
        <is>
          <t>T-0555</t>
        </is>
      </c>
      <c r="AM400" s="30" t="inlineStr">
        <is>
          <t>J-02-03</t>
        </is>
      </c>
      <c r="AN400" s="30" t="inlineStr">
        <is>
          <t>T-0335</t>
        </is>
      </c>
      <c r="AO400" s="30" t="inlineStr">
        <is>
          <t>J-04-03</t>
        </is>
      </c>
    </row>
    <row r="401">
      <c r="A401" s="30" t="inlineStr">
        <is>
          <t>O0400</t>
        </is>
      </c>
      <c r="B401" s="30" t="inlineStr">
        <is>
          <t>D</t>
        </is>
      </c>
      <c r="C401" s="31" t="n">
        <v>4967.6</v>
      </c>
      <c r="D401" s="31" t="n">
        <v>14313</v>
      </c>
      <c r="E401" s="31" t="n">
        <v>14339.5</v>
      </c>
      <c r="F401" s="31" t="n">
        <v>14352.7</v>
      </c>
      <c r="G401" s="31" t="n">
        <v>14377</v>
      </c>
      <c r="H401" s="31" t="n">
        <v>14377.1</v>
      </c>
      <c r="I401" s="31" t="n">
        <v>14389.7</v>
      </c>
      <c r="J401" s="31" t="n">
        <v>14419.2</v>
      </c>
      <c r="K401" s="31" t="n">
        <v>9451.6</v>
      </c>
      <c r="L401" s="31" t="n">
        <v>9345.4</v>
      </c>
      <c r="M401" s="30" t="inlineStr">
        <is>
          <t>AMR2</t>
        </is>
      </c>
      <c r="N401" s="30" t="inlineStr">
        <is>
          <t>AMR2</t>
        </is>
      </c>
      <c r="O401" s="32" t="n">
        <v>1</v>
      </c>
      <c r="P401" s="32" t="n">
        <v>25</v>
      </c>
      <c r="Q401" s="32" t="n">
        <v>0</v>
      </c>
      <c r="R401" s="31" t="n">
        <v>58.3</v>
      </c>
      <c r="S401" s="31" t="n">
        <v>58.3</v>
      </c>
      <c r="T401" s="30" t="inlineStr">
        <is>
          <t>AMR2</t>
        </is>
      </c>
      <c r="U401" s="31" t="n">
        <v>40.3</v>
      </c>
      <c r="V401" s="31" t="n">
        <v>40.3</v>
      </c>
      <c r="W401" s="30" t="inlineStr">
        <is>
          <t>AMR2</t>
        </is>
      </c>
      <c r="X401" s="32" t="n">
        <v>0</v>
      </c>
      <c r="Y401" s="32" t="n">
        <v>0</v>
      </c>
      <c r="Z401" s="31" t="n">
        <v>0</v>
      </c>
      <c r="AA401" s="32" t="n">
        <v>0</v>
      </c>
      <c r="AB401" s="32" t="n">
        <v>0</v>
      </c>
      <c r="AC401" s="32" t="n">
        <v>0</v>
      </c>
      <c r="AD401" s="32" t="n">
        <v>0</v>
      </c>
      <c r="AE401" s="31" t="n">
        <v>0</v>
      </c>
      <c r="AF401" s="32" t="n">
        <v>0</v>
      </c>
      <c r="AG401" s="31" t="n">
        <v>0</v>
      </c>
      <c r="AH401" s="32" t="n">
        <v>56</v>
      </c>
      <c r="AI401" s="31" t="n">
        <v>57.4</v>
      </c>
      <c r="AJ401" s="31" t="n">
        <v>45.7</v>
      </c>
      <c r="AK401" s="31" t="n">
        <v>3</v>
      </c>
      <c r="AL401" s="30" t="inlineStr">
        <is>
          <t>T-0545</t>
        </is>
      </c>
      <c r="AM401" s="30" t="inlineStr">
        <is>
          <t>D-03-01</t>
        </is>
      </c>
      <c r="AN401" s="30" t="inlineStr">
        <is>
          <t>T-0438</t>
        </is>
      </c>
      <c r="AO401" s="30" t="inlineStr">
        <is>
          <t>D-04-01</t>
        </is>
      </c>
    </row>
    <row r="402">
      <c r="A402" s="30" t="inlineStr">
        <is>
          <t>O0401</t>
        </is>
      </c>
      <c r="B402" s="30" t="inlineStr">
        <is>
          <t>B</t>
        </is>
      </c>
      <c r="C402" s="31" t="n">
        <v>4988.6</v>
      </c>
      <c r="D402" s="31" t="n">
        <v>14477.5</v>
      </c>
      <c r="E402" s="31" t="n">
        <v>14501</v>
      </c>
      <c r="F402" s="31" t="n">
        <v>14514.8</v>
      </c>
      <c r="G402" s="31" t="n">
        <v>14536.2</v>
      </c>
      <c r="H402" s="31" t="n">
        <v>14536.3</v>
      </c>
      <c r="I402" s="31" t="n">
        <v>14550.1</v>
      </c>
      <c r="J402" s="31" t="n">
        <v>14578</v>
      </c>
      <c r="K402" s="31" t="n">
        <v>9589.4</v>
      </c>
      <c r="L402" s="31" t="n">
        <v>9488.9</v>
      </c>
      <c r="M402" s="30" t="inlineStr">
        <is>
          <t>AMR3</t>
        </is>
      </c>
      <c r="N402" s="30" t="inlineStr">
        <is>
          <t>AMR3</t>
        </is>
      </c>
      <c r="O402" s="32" t="n">
        <v>1</v>
      </c>
      <c r="P402" s="32" t="n">
        <v>25</v>
      </c>
      <c r="Q402" s="32" t="n">
        <v>1</v>
      </c>
      <c r="R402" s="31" t="n">
        <v>56.8</v>
      </c>
      <c r="S402" s="31" t="n">
        <v>56</v>
      </c>
      <c r="T402" s="30" t="inlineStr">
        <is>
          <t>AMR2</t>
        </is>
      </c>
      <c r="U402" s="31" t="n">
        <v>42.9</v>
      </c>
      <c r="V402" s="31" t="n">
        <v>42.9</v>
      </c>
      <c r="W402" s="30" t="inlineStr">
        <is>
          <t>AMR3</t>
        </is>
      </c>
      <c r="X402" s="32" t="n">
        <v>1</v>
      </c>
      <c r="Y402" s="32" t="n">
        <v>10</v>
      </c>
      <c r="Z402" s="31" t="n">
        <v>0.8</v>
      </c>
      <c r="AA402" s="32" t="n">
        <v>0</v>
      </c>
      <c r="AB402" s="32" t="n">
        <v>0</v>
      </c>
      <c r="AC402" s="32" t="n">
        <v>0</v>
      </c>
      <c r="AD402" s="32" t="n">
        <v>0</v>
      </c>
      <c r="AE402" s="31" t="n">
        <v>0</v>
      </c>
      <c r="AF402" s="32" t="n">
        <v>0</v>
      </c>
      <c r="AG402" s="31" t="n">
        <v>0</v>
      </c>
      <c r="AH402" s="32" t="n">
        <v>56</v>
      </c>
      <c r="AI402" s="31" t="n">
        <v>57.5</v>
      </c>
      <c r="AJ402" s="31" t="n">
        <v>42.9</v>
      </c>
      <c r="AK402" s="31" t="n">
        <v>0</v>
      </c>
      <c r="AL402" s="30" t="inlineStr">
        <is>
          <t>T-0549</t>
        </is>
      </c>
      <c r="AM402" s="30" t="inlineStr">
        <is>
          <t>B-04-01</t>
        </is>
      </c>
      <c r="AN402" s="30" t="inlineStr">
        <is>
          <t>T-0310</t>
        </is>
      </c>
      <c r="AO402" s="30" t="inlineStr">
        <is>
          <t>B-05-01</t>
        </is>
      </c>
    </row>
    <row r="403">
      <c r="A403" s="30" t="inlineStr">
        <is>
          <t>O0402</t>
        </is>
      </c>
      <c r="B403" s="30" t="inlineStr">
        <is>
          <t>H</t>
        </is>
      </c>
      <c r="C403" s="31" t="n">
        <v>5013.1</v>
      </c>
      <c r="D403" s="31" t="n">
        <v>14502.3</v>
      </c>
      <c r="E403" s="31" t="n">
        <v>14525.8</v>
      </c>
      <c r="F403" s="31" t="n">
        <v>14538.3</v>
      </c>
      <c r="G403" s="31" t="n">
        <v>14563.9</v>
      </c>
      <c r="H403" s="31" t="n">
        <v>14564</v>
      </c>
      <c r="I403" s="31" t="n">
        <v>14578.5</v>
      </c>
      <c r="J403" s="31" t="n">
        <v>14604.5</v>
      </c>
      <c r="K403" s="31" t="n">
        <v>9591.4</v>
      </c>
      <c r="L403" s="31" t="n">
        <v>9489.200000000001</v>
      </c>
      <c r="M403" s="30" t="inlineStr">
        <is>
          <t>AMR1</t>
        </is>
      </c>
      <c r="N403" s="30" t="inlineStr">
        <is>
          <t>AMR1</t>
        </is>
      </c>
      <c r="O403" s="32" t="n">
        <v>1</v>
      </c>
      <c r="P403" s="32" t="n">
        <v>25</v>
      </c>
      <c r="Q403" s="32" t="n">
        <v>2</v>
      </c>
      <c r="R403" s="31" t="n">
        <v>60.6</v>
      </c>
      <c r="S403" s="31" t="n">
        <v>60.6</v>
      </c>
      <c r="T403" s="30" t="inlineStr">
        <is>
          <t>AMR1</t>
        </is>
      </c>
      <c r="U403" s="31" t="n">
        <v>39.7</v>
      </c>
      <c r="V403" s="31" t="n">
        <v>39.7</v>
      </c>
      <c r="W403" s="30" t="inlineStr">
        <is>
          <t>AMR1</t>
        </is>
      </c>
      <c r="X403" s="32" t="n">
        <v>0</v>
      </c>
      <c r="Y403" s="32" t="n">
        <v>0</v>
      </c>
      <c r="Z403" s="31" t="n">
        <v>0</v>
      </c>
      <c r="AA403" s="32" t="n">
        <v>0</v>
      </c>
      <c r="AB403" s="32" t="n">
        <v>0</v>
      </c>
      <c r="AC403" s="32" t="n">
        <v>0</v>
      </c>
      <c r="AD403" s="32" t="n">
        <v>0</v>
      </c>
      <c r="AE403" s="31" t="n">
        <v>0</v>
      </c>
      <c r="AF403" s="32" t="n">
        <v>0</v>
      </c>
      <c r="AG403" s="31" t="n">
        <v>0</v>
      </c>
      <c r="AH403" s="32" t="n">
        <v>54</v>
      </c>
      <c r="AI403" s="31" t="n">
        <v>56.1</v>
      </c>
      <c r="AJ403" s="31" t="n">
        <v>46</v>
      </c>
      <c r="AK403" s="31" t="n">
        <v>0</v>
      </c>
      <c r="AL403" s="30" t="inlineStr">
        <is>
          <t>T-0550</t>
        </is>
      </c>
      <c r="AM403" s="30" t="inlineStr">
        <is>
          <t>H-06-01</t>
        </is>
      </c>
      <c r="AN403" s="30" t="inlineStr">
        <is>
          <t>T-0474</t>
        </is>
      </c>
      <c r="AO403" s="30" t="inlineStr">
        <is>
          <t>H-01-02</t>
        </is>
      </c>
    </row>
    <row r="404">
      <c r="A404" s="30" t="inlineStr">
        <is>
          <t>O0403</t>
        </is>
      </c>
      <c r="B404" s="30" t="inlineStr">
        <is>
          <t>J</t>
        </is>
      </c>
      <c r="C404" s="31" t="n">
        <v>5035.7</v>
      </c>
      <c r="D404" s="31" t="n">
        <v>14520.4</v>
      </c>
      <c r="E404" s="31" t="n">
        <v>14549.9</v>
      </c>
      <c r="F404" s="31" t="n">
        <v>14560.9</v>
      </c>
      <c r="G404" s="31" t="n">
        <v>14592.5</v>
      </c>
      <c r="H404" s="31" t="n">
        <v>14592.6</v>
      </c>
      <c r="I404" s="31" t="n">
        <v>14607.9</v>
      </c>
      <c r="J404" s="31" t="n">
        <v>14635.9</v>
      </c>
      <c r="K404" s="31" t="n">
        <v>9600.200000000001</v>
      </c>
      <c r="L404" s="31" t="n">
        <v>9484.700000000001</v>
      </c>
      <c r="M404" s="30" t="inlineStr">
        <is>
          <t>AMR2</t>
        </is>
      </c>
      <c r="N404" s="30" t="inlineStr">
        <is>
          <t>AMR2</t>
        </is>
      </c>
      <c r="O404" s="32" t="n">
        <v>1</v>
      </c>
      <c r="P404" s="32" t="n">
        <v>25</v>
      </c>
      <c r="Q404" s="32" t="n">
        <v>1</v>
      </c>
      <c r="R404" s="31" t="n">
        <v>62.7</v>
      </c>
      <c r="S404" s="31" t="n">
        <v>62.7</v>
      </c>
      <c r="T404" s="30" t="inlineStr">
        <is>
          <t>AMR2</t>
        </is>
      </c>
      <c r="U404" s="31" t="n">
        <v>43.9</v>
      </c>
      <c r="V404" s="31" t="n">
        <v>43.9</v>
      </c>
      <c r="W404" s="30" t="inlineStr">
        <is>
          <t>AMR2</t>
        </is>
      </c>
      <c r="X404" s="32" t="n">
        <v>0</v>
      </c>
      <c r="Y404" s="32" t="n">
        <v>0</v>
      </c>
      <c r="Z404" s="31" t="n">
        <v>0</v>
      </c>
      <c r="AA404" s="32" t="n">
        <v>0</v>
      </c>
      <c r="AB404" s="32" t="n">
        <v>0</v>
      </c>
      <c r="AC404" s="32" t="n">
        <v>0</v>
      </c>
      <c r="AD404" s="32" t="n">
        <v>0</v>
      </c>
      <c r="AE404" s="31" t="n">
        <v>0</v>
      </c>
      <c r="AF404" s="32" t="n">
        <v>1</v>
      </c>
      <c r="AG404" s="31" t="n">
        <v>1</v>
      </c>
      <c r="AH404" s="32" t="n">
        <v>68</v>
      </c>
      <c r="AI404" s="31" t="n">
        <v>67.5</v>
      </c>
      <c r="AJ404" s="31" t="n">
        <v>41.9</v>
      </c>
      <c r="AK404" s="31" t="n">
        <v>6</v>
      </c>
      <c r="AL404" s="30" t="inlineStr">
        <is>
          <t>T-0551</t>
        </is>
      </c>
      <c r="AM404" s="30" t="inlineStr">
        <is>
          <t>J-05-02</t>
        </is>
      </c>
      <c r="AN404" s="30" t="inlineStr">
        <is>
          <t>T-0322</t>
        </is>
      </c>
      <c r="AO404" s="30" t="inlineStr">
        <is>
          <t>J-03-03</t>
        </is>
      </c>
    </row>
    <row r="405">
      <c r="A405" s="30" t="inlineStr">
        <is>
          <t>O0404</t>
        </is>
      </c>
      <c r="B405" s="30" t="inlineStr">
        <is>
          <t>J</t>
        </is>
      </c>
      <c r="C405" s="31" t="n">
        <v>5057.5</v>
      </c>
      <c r="D405" s="31" t="n">
        <v>15017.4</v>
      </c>
      <c r="E405" s="31" t="n">
        <v>15040.9</v>
      </c>
      <c r="F405" s="31" t="n">
        <v>15054.8</v>
      </c>
      <c r="G405" s="31" t="n">
        <v>15085.7</v>
      </c>
      <c r="H405" s="31" t="n">
        <v>15085.8</v>
      </c>
      <c r="I405" s="31" t="n">
        <v>15102</v>
      </c>
      <c r="J405" s="31" t="n">
        <v>15138</v>
      </c>
      <c r="K405" s="31" t="n">
        <v>10080.5</v>
      </c>
      <c r="L405" s="31" t="n">
        <v>9959.9</v>
      </c>
      <c r="M405" s="30" t="inlineStr">
        <is>
          <t>AMR3</t>
        </is>
      </c>
      <c r="N405" s="30" t="inlineStr">
        <is>
          <t>AMR3</t>
        </is>
      </c>
      <c r="O405" s="32" t="n">
        <v>1</v>
      </c>
      <c r="P405" s="32" t="n">
        <v>25</v>
      </c>
      <c r="Q405" s="32" t="n">
        <v>1</v>
      </c>
      <c r="R405" s="31" t="n">
        <v>66.5</v>
      </c>
      <c r="S405" s="31" t="n">
        <v>66.5</v>
      </c>
      <c r="T405" s="30" t="inlineStr">
        <is>
          <t>AMR3</t>
        </is>
      </c>
      <c r="U405" s="31" t="n">
        <v>48.9</v>
      </c>
      <c r="V405" s="31" t="n">
        <v>48.9</v>
      </c>
      <c r="W405" s="30" t="inlineStr">
        <is>
          <t>AMR3</t>
        </is>
      </c>
      <c r="X405" s="32" t="n">
        <v>0</v>
      </c>
      <c r="Y405" s="32" t="n">
        <v>0</v>
      </c>
      <c r="Z405" s="31" t="n">
        <v>0</v>
      </c>
      <c r="AA405" s="32" t="n">
        <v>0</v>
      </c>
      <c r="AB405" s="32" t="n">
        <v>0</v>
      </c>
      <c r="AC405" s="32" t="n">
        <v>0</v>
      </c>
      <c r="AD405" s="32" t="n">
        <v>0</v>
      </c>
      <c r="AE405" s="31" t="n">
        <v>0</v>
      </c>
      <c r="AF405" s="32" t="n">
        <v>0</v>
      </c>
      <c r="AG405" s="31" t="n">
        <v>0</v>
      </c>
      <c r="AH405" s="32" t="n">
        <v>70</v>
      </c>
      <c r="AI405" s="31" t="n">
        <v>69.8</v>
      </c>
      <c r="AJ405" s="31" t="n">
        <v>50.7</v>
      </c>
      <c r="AK405" s="31" t="n">
        <v>0</v>
      </c>
      <c r="AL405" s="30" t="inlineStr">
        <is>
          <t>T-0563</t>
        </is>
      </c>
      <c r="AM405" s="30" t="inlineStr">
        <is>
          <t>J-01-03</t>
        </is>
      </c>
      <c r="AN405" s="30" t="inlineStr">
        <is>
          <t>T-0357</t>
        </is>
      </c>
      <c r="AO405" s="30" t="inlineStr">
        <is>
          <t>J-06-02</t>
        </is>
      </c>
    </row>
    <row r="406">
      <c r="A406" s="30" t="inlineStr">
        <is>
          <t>O0405</t>
        </is>
      </c>
      <c r="B406" s="30" t="inlineStr">
        <is>
          <t>J</t>
        </is>
      </c>
      <c r="C406" s="31" t="n">
        <v>5078.9</v>
      </c>
      <c r="D406" s="31" t="n">
        <v>15325.3</v>
      </c>
      <c r="E406" s="31" t="n">
        <v>15348.8</v>
      </c>
      <c r="F406" s="31" t="n">
        <v>15365</v>
      </c>
      <c r="G406" s="31" t="n">
        <v>15397.1</v>
      </c>
      <c r="H406" s="31" t="n">
        <v>15397.2</v>
      </c>
      <c r="I406" s="31" t="n">
        <v>15409.5</v>
      </c>
      <c r="J406" s="31" t="n">
        <v>15442.2</v>
      </c>
      <c r="K406" s="31" t="n">
        <v>10363.3</v>
      </c>
      <c r="L406" s="31" t="n">
        <v>10246.4</v>
      </c>
      <c r="M406" s="30" t="inlineStr">
        <is>
          <t>AMR2</t>
        </is>
      </c>
      <c r="N406" s="30" t="inlineStr">
        <is>
          <t>AMR2</t>
        </is>
      </c>
      <c r="O406" s="32" t="n">
        <v>1</v>
      </c>
      <c r="P406" s="32" t="n">
        <v>25</v>
      </c>
      <c r="Q406" s="32" t="n">
        <v>1</v>
      </c>
      <c r="R406" s="31" t="n">
        <v>70</v>
      </c>
      <c r="S406" s="31" t="n">
        <v>70</v>
      </c>
      <c r="T406" s="30" t="inlineStr">
        <is>
          <t>AMR2</t>
        </is>
      </c>
      <c r="U406" s="31" t="n">
        <v>47.7</v>
      </c>
      <c r="V406" s="31" t="n">
        <v>47.7</v>
      </c>
      <c r="W406" s="30" t="inlineStr">
        <is>
          <t>AMR2</t>
        </is>
      </c>
      <c r="X406" s="32" t="n">
        <v>0</v>
      </c>
      <c r="Y406" s="32" t="n">
        <v>0</v>
      </c>
      <c r="Z406" s="31" t="n">
        <v>0</v>
      </c>
      <c r="AA406" s="32" t="n">
        <v>0</v>
      </c>
      <c r="AB406" s="32" t="n">
        <v>0</v>
      </c>
      <c r="AC406" s="32" t="n">
        <v>0</v>
      </c>
      <c r="AD406" s="32" t="n">
        <v>0</v>
      </c>
      <c r="AE406" s="31" t="n">
        <v>0</v>
      </c>
      <c r="AF406" s="32" t="n">
        <v>0</v>
      </c>
      <c r="AG406" s="31" t="n">
        <v>0</v>
      </c>
      <c r="AH406" s="32" t="n">
        <v>64</v>
      </c>
      <c r="AI406" s="31" t="n">
        <v>63.8</v>
      </c>
      <c r="AJ406" s="31" t="n">
        <v>53</v>
      </c>
      <c r="AK406" s="31" t="n">
        <v>0</v>
      </c>
      <c r="AL406" s="30" t="inlineStr">
        <is>
          <t>T-0572</t>
        </is>
      </c>
      <c r="AM406" s="30" t="inlineStr">
        <is>
          <t>J-01-01</t>
        </is>
      </c>
      <c r="AN406" s="30" t="inlineStr">
        <is>
          <t>T-0408</t>
        </is>
      </c>
      <c r="AO406" s="30" t="inlineStr">
        <is>
          <t>J-02-01</t>
        </is>
      </c>
    </row>
    <row r="407">
      <c r="A407" s="30" t="inlineStr">
        <is>
          <t>O0406</t>
        </is>
      </c>
      <c r="B407" s="30" t="inlineStr">
        <is>
          <t>F</t>
        </is>
      </c>
      <c r="C407" s="31" t="n">
        <v>5102.5</v>
      </c>
      <c r="D407" s="31" t="n">
        <v>14578.1</v>
      </c>
      <c r="E407" s="31" t="n">
        <v>14601.6</v>
      </c>
      <c r="F407" s="31" t="n">
        <v>14616.2</v>
      </c>
      <c r="G407" s="31" t="n">
        <v>14649.1</v>
      </c>
      <c r="H407" s="31" t="n">
        <v>15232.5</v>
      </c>
      <c r="I407" s="31" t="n">
        <v>15243.9</v>
      </c>
      <c r="J407" s="31" t="n">
        <v>15275.9</v>
      </c>
      <c r="K407" s="31" t="n">
        <v>10173.4</v>
      </c>
      <c r="L407" s="31" t="n">
        <v>9475.6</v>
      </c>
      <c r="M407" s="30" t="inlineStr">
        <is>
          <t>AMR3</t>
        </is>
      </c>
      <c r="N407" s="30" t="inlineStr">
        <is>
          <t>AMR1</t>
        </is>
      </c>
      <c r="O407" s="32" t="n">
        <v>1</v>
      </c>
      <c r="P407" s="32" t="n">
        <v>25</v>
      </c>
      <c r="Q407" s="32" t="n">
        <v>1</v>
      </c>
      <c r="R407" s="31" t="n">
        <v>67.59999999999999</v>
      </c>
      <c r="S407" s="31" t="n">
        <v>67.59999999999999</v>
      </c>
      <c r="T407" s="30" t="inlineStr">
        <is>
          <t>AMR3</t>
        </is>
      </c>
      <c r="U407" s="31" t="n">
        <v>45.6</v>
      </c>
      <c r="V407" s="31" t="n">
        <v>45.6</v>
      </c>
      <c r="W407" s="30" t="inlineStr">
        <is>
          <t>AMR1</t>
        </is>
      </c>
      <c r="X407" s="32" t="n">
        <v>0</v>
      </c>
      <c r="Y407" s="32" t="n">
        <v>0</v>
      </c>
      <c r="Z407" s="31" t="n">
        <v>0</v>
      </c>
      <c r="AA407" s="32" t="n">
        <v>0</v>
      </c>
      <c r="AB407" s="32" t="n">
        <v>0</v>
      </c>
      <c r="AC407" s="32" t="n">
        <v>0</v>
      </c>
      <c r="AD407" s="32" t="n">
        <v>0</v>
      </c>
      <c r="AE407" s="31" t="n">
        <v>0</v>
      </c>
      <c r="AF407" s="32" t="n">
        <v>0</v>
      </c>
      <c r="AG407" s="31" t="n">
        <v>0</v>
      </c>
      <c r="AH407" s="32" t="n">
        <v>70</v>
      </c>
      <c r="AI407" s="31" t="n">
        <v>69.09999999999999</v>
      </c>
      <c r="AJ407" s="31" t="n">
        <v>45.3</v>
      </c>
      <c r="AK407" s="31" t="n">
        <v>0</v>
      </c>
      <c r="AL407" s="30" t="inlineStr">
        <is>
          <t>T-0552</t>
        </is>
      </c>
      <c r="AM407" s="30" t="inlineStr">
        <is>
          <t>F-01-03</t>
        </is>
      </c>
      <c r="AN407" s="30" t="inlineStr">
        <is>
          <t>T-0315</t>
        </is>
      </c>
      <c r="AO407" s="30" t="inlineStr">
        <is>
          <t>F-05-03</t>
        </is>
      </c>
    </row>
    <row r="408">
      <c r="A408" s="30" t="inlineStr">
        <is>
          <t>O0407</t>
        </is>
      </c>
      <c r="B408" s="30" t="inlineStr">
        <is>
          <t>H</t>
        </is>
      </c>
      <c r="C408" s="31" t="n">
        <v>5121.9</v>
      </c>
      <c r="D408" s="31" t="n">
        <v>14604.6</v>
      </c>
      <c r="E408" s="31" t="n">
        <v>14628.1</v>
      </c>
      <c r="F408" s="31" t="n">
        <v>14641.9</v>
      </c>
      <c r="G408" s="31" t="n">
        <v>14664</v>
      </c>
      <c r="H408" s="31" t="n">
        <v>14664.1</v>
      </c>
      <c r="I408" s="31" t="n">
        <v>14675.2</v>
      </c>
      <c r="J408" s="31" t="n">
        <v>14708.4</v>
      </c>
      <c r="K408" s="31" t="n">
        <v>9586.5</v>
      </c>
      <c r="L408" s="31" t="n">
        <v>9482.700000000001</v>
      </c>
      <c r="M408" s="30" t="inlineStr">
        <is>
          <t>AMR1</t>
        </is>
      </c>
      <c r="N408" s="30" t="inlineStr">
        <is>
          <t>AMR1</t>
        </is>
      </c>
      <c r="O408" s="32" t="n">
        <v>1</v>
      </c>
      <c r="P408" s="32" t="n">
        <v>25</v>
      </c>
      <c r="Q408" s="32" t="n">
        <v>1</v>
      </c>
      <c r="R408" s="31" t="n">
        <v>57.6</v>
      </c>
      <c r="S408" s="31" t="n">
        <v>57.6</v>
      </c>
      <c r="T408" s="30" t="inlineStr">
        <is>
          <t>AMR1</t>
        </is>
      </c>
      <c r="U408" s="31" t="n">
        <v>38</v>
      </c>
      <c r="V408" s="31" t="n">
        <v>38</v>
      </c>
      <c r="W408" s="30" t="inlineStr">
        <is>
          <t>AMR1</t>
        </is>
      </c>
      <c r="X408" s="32" t="n">
        <v>0</v>
      </c>
      <c r="Y408" s="32" t="n">
        <v>0</v>
      </c>
      <c r="Z408" s="31" t="n">
        <v>0</v>
      </c>
      <c r="AA408" s="32" t="n">
        <v>0</v>
      </c>
      <c r="AB408" s="32" t="n">
        <v>0</v>
      </c>
      <c r="AC408" s="32" t="n">
        <v>0</v>
      </c>
      <c r="AD408" s="32" t="n">
        <v>2</v>
      </c>
      <c r="AE408" s="31" t="n">
        <v>7.5</v>
      </c>
      <c r="AF408" s="32" t="n">
        <v>1</v>
      </c>
      <c r="AG408" s="31" t="n">
        <v>1</v>
      </c>
      <c r="AH408" s="32" t="n">
        <v>52</v>
      </c>
      <c r="AI408" s="31" t="n">
        <v>54.2</v>
      </c>
      <c r="AJ408" s="31" t="n">
        <v>42</v>
      </c>
      <c r="AK408" s="31" t="n">
        <v>7.5</v>
      </c>
      <c r="AL408" s="30" t="inlineStr">
        <is>
          <t>T-0553</t>
        </is>
      </c>
      <c r="AM408" s="30" t="inlineStr">
        <is>
          <t>H-01-02</t>
        </is>
      </c>
      <c r="AN408" s="30" t="inlineStr">
        <is>
          <t>T-0483</t>
        </is>
      </c>
      <c r="AO408" s="30" t="inlineStr">
        <is>
          <t>H-02-01</t>
        </is>
      </c>
    </row>
    <row r="409">
      <c r="A409" s="30" t="inlineStr">
        <is>
          <t>O0408</t>
        </is>
      </c>
      <c r="B409" s="30" t="inlineStr">
        <is>
          <t>E</t>
        </is>
      </c>
      <c r="C409" s="31" t="n">
        <v>5143.2</v>
      </c>
      <c r="D409" s="31" t="n">
        <v>14636</v>
      </c>
      <c r="E409" s="31" t="n">
        <v>14659.5</v>
      </c>
      <c r="F409" s="31" t="n">
        <v>14672</v>
      </c>
      <c r="G409" s="31" t="n">
        <v>14697.1</v>
      </c>
      <c r="H409" s="31" t="n">
        <v>14697.2</v>
      </c>
      <c r="I409" s="31" t="n">
        <v>14707.6</v>
      </c>
      <c r="J409" s="31" t="n">
        <v>14745.5</v>
      </c>
      <c r="K409" s="31" t="n">
        <v>9602.299999999999</v>
      </c>
      <c r="L409" s="31" t="n">
        <v>9492.799999999999</v>
      </c>
      <c r="M409" s="30" t="inlineStr">
        <is>
          <t>AMR2</t>
        </is>
      </c>
      <c r="N409" s="30" t="inlineStr">
        <is>
          <t>AMR2</t>
        </is>
      </c>
      <c r="O409" s="32" t="n">
        <v>1</v>
      </c>
      <c r="P409" s="32" t="n">
        <v>25</v>
      </c>
      <c r="Q409" s="32" t="n">
        <v>0</v>
      </c>
      <c r="R409" s="31" t="n">
        <v>58.4</v>
      </c>
      <c r="S409" s="31" t="n">
        <v>58.4</v>
      </c>
      <c r="T409" s="30" t="inlineStr">
        <is>
          <t>AMR2</t>
        </is>
      </c>
      <c r="U409" s="31" t="n">
        <v>46</v>
      </c>
      <c r="V409" s="31" t="n">
        <v>46</v>
      </c>
      <c r="W409" s="30" t="inlineStr">
        <is>
          <t>AMR2</t>
        </is>
      </c>
      <c r="X409" s="32" t="n">
        <v>0</v>
      </c>
      <c r="Y409" s="32" t="n">
        <v>0</v>
      </c>
      <c r="Z409" s="31" t="n">
        <v>0</v>
      </c>
      <c r="AA409" s="32" t="n">
        <v>0</v>
      </c>
      <c r="AB409" s="32" t="n">
        <v>0</v>
      </c>
      <c r="AC409" s="32" t="n">
        <v>0</v>
      </c>
      <c r="AD409" s="32" t="n">
        <v>0</v>
      </c>
      <c r="AE409" s="31" t="n">
        <v>0</v>
      </c>
      <c r="AF409" s="32" t="n">
        <v>0</v>
      </c>
      <c r="AG409" s="31" t="n">
        <v>0</v>
      </c>
      <c r="AH409" s="32" t="n">
        <v>70</v>
      </c>
      <c r="AI409" s="31" t="n">
        <v>68.5</v>
      </c>
      <c r="AJ409" s="31" t="n">
        <v>40.9</v>
      </c>
      <c r="AK409" s="31" t="n">
        <v>0</v>
      </c>
      <c r="AL409" s="30" t="inlineStr">
        <is>
          <t>T-0554</t>
        </is>
      </c>
      <c r="AM409" s="30" t="inlineStr">
        <is>
          <t>E-03-03</t>
        </is>
      </c>
      <c r="AN409" s="30" t="inlineStr">
        <is>
          <t>T-0286</t>
        </is>
      </c>
      <c r="AO409" s="30" t="inlineStr">
        <is>
          <t>E-06-02</t>
        </is>
      </c>
    </row>
    <row r="410">
      <c r="A410" s="30" t="inlineStr">
        <is>
          <t>O0409</t>
        </is>
      </c>
      <c r="B410" s="30" t="inlineStr">
        <is>
          <t>I</t>
        </is>
      </c>
      <c r="C410" s="31" t="n">
        <v>5158.8</v>
      </c>
      <c r="D410" s="31" t="n">
        <v>14857.3</v>
      </c>
      <c r="E410" s="31" t="n">
        <v>14880.8</v>
      </c>
      <c r="F410" s="31" t="n">
        <v>14896.7</v>
      </c>
      <c r="G410" s="31" t="n">
        <v>14924.4</v>
      </c>
      <c r="H410" s="31" t="n">
        <v>14924.5</v>
      </c>
      <c r="I410" s="31" t="n">
        <v>14937.4</v>
      </c>
      <c r="J410" s="31" t="n">
        <v>14962</v>
      </c>
      <c r="K410" s="31" t="n">
        <v>9803.200000000001</v>
      </c>
      <c r="L410" s="31" t="n">
        <v>9698.5</v>
      </c>
      <c r="M410" s="30" t="inlineStr">
        <is>
          <t>AMR2</t>
        </is>
      </c>
      <c r="N410" s="30" t="inlineStr">
        <is>
          <t>AMR2</t>
        </is>
      </c>
      <c r="O410" s="32" t="n">
        <v>1</v>
      </c>
      <c r="P410" s="32" t="n">
        <v>25</v>
      </c>
      <c r="Q410" s="32" t="n">
        <v>1</v>
      </c>
      <c r="R410" s="31" t="n">
        <v>65.3</v>
      </c>
      <c r="S410" s="31" t="n">
        <v>65.3</v>
      </c>
      <c r="T410" s="30" t="inlineStr">
        <is>
          <t>AMR2</t>
        </is>
      </c>
      <c r="U410" s="31" t="n">
        <v>39.2</v>
      </c>
      <c r="V410" s="31" t="n">
        <v>39.2</v>
      </c>
      <c r="W410" s="30" t="inlineStr">
        <is>
          <t>AMR2</t>
        </is>
      </c>
      <c r="X410" s="32" t="n">
        <v>0</v>
      </c>
      <c r="Y410" s="32" t="n">
        <v>0</v>
      </c>
      <c r="Z410" s="31" t="n">
        <v>0</v>
      </c>
      <c r="AA410" s="32" t="n">
        <v>0</v>
      </c>
      <c r="AB410" s="32" t="n">
        <v>0</v>
      </c>
      <c r="AC410" s="32" t="n">
        <v>0</v>
      </c>
      <c r="AD410" s="32" t="n">
        <v>0</v>
      </c>
      <c r="AE410" s="31" t="n">
        <v>0</v>
      </c>
      <c r="AF410" s="32" t="n">
        <v>0</v>
      </c>
      <c r="AG410" s="31" t="n">
        <v>0</v>
      </c>
      <c r="AH410" s="32" t="n">
        <v>52</v>
      </c>
      <c r="AI410" s="31" t="n">
        <v>54.2</v>
      </c>
      <c r="AJ410" s="31" t="n">
        <v>50.4</v>
      </c>
      <c r="AK410" s="31" t="n">
        <v>0</v>
      </c>
      <c r="AL410" s="30" t="inlineStr">
        <is>
          <t>T-0560</t>
        </is>
      </c>
      <c r="AM410" s="30" t="inlineStr">
        <is>
          <t>I-01-03</t>
        </is>
      </c>
      <c r="AN410" s="30" t="inlineStr">
        <is>
          <t>T-0431</t>
        </is>
      </c>
      <c r="AO410" s="30" t="inlineStr">
        <is>
          <t>I-01-01</t>
        </is>
      </c>
    </row>
    <row r="411">
      <c r="A411" s="30" t="inlineStr">
        <is>
          <t>O0410</t>
        </is>
      </c>
      <c r="B411" s="30" t="inlineStr">
        <is>
          <t>H</t>
        </is>
      </c>
      <c r="C411" s="31" t="n">
        <v>5176.9</v>
      </c>
      <c r="D411" s="31" t="n">
        <v>14708.5</v>
      </c>
      <c r="E411" s="31" t="n">
        <v>14742</v>
      </c>
      <c r="F411" s="31" t="n">
        <v>14754.2</v>
      </c>
      <c r="G411" s="31" t="n">
        <v>14777.9</v>
      </c>
      <c r="H411" s="31" t="n">
        <v>14778</v>
      </c>
      <c r="I411" s="31" t="n">
        <v>14789</v>
      </c>
      <c r="J411" s="31" t="n">
        <v>14826.4</v>
      </c>
      <c r="K411" s="31" t="n">
        <v>9649.5</v>
      </c>
      <c r="L411" s="31" t="n">
        <v>9531.6</v>
      </c>
      <c r="M411" s="30" t="inlineStr">
        <is>
          <t>AMR1</t>
        </is>
      </c>
      <c r="N411" s="30" t="inlineStr">
        <is>
          <t>AMR1</t>
        </is>
      </c>
      <c r="O411" s="32" t="n">
        <v>1</v>
      </c>
      <c r="P411" s="32" t="n">
        <v>25</v>
      </c>
      <c r="Q411" s="32" t="n">
        <v>1</v>
      </c>
      <c r="R411" s="31" t="n">
        <v>57.6</v>
      </c>
      <c r="S411" s="31" t="n">
        <v>57.6</v>
      </c>
      <c r="T411" s="30" t="inlineStr">
        <is>
          <t>AMR1</t>
        </is>
      </c>
      <c r="U411" s="31" t="n">
        <v>36.5</v>
      </c>
      <c r="V411" s="31" t="n">
        <v>36.5</v>
      </c>
      <c r="W411" s="30" t="inlineStr">
        <is>
          <t>AMR1</t>
        </is>
      </c>
      <c r="X411" s="32" t="n">
        <v>0</v>
      </c>
      <c r="Y411" s="32" t="n">
        <v>0</v>
      </c>
      <c r="Z411" s="31" t="n">
        <v>0</v>
      </c>
      <c r="AA411" s="32" t="n">
        <v>0</v>
      </c>
      <c r="AB411" s="32" t="n">
        <v>0</v>
      </c>
      <c r="AC411" s="32" t="n">
        <v>0</v>
      </c>
      <c r="AD411" s="32" t="n">
        <v>1</v>
      </c>
      <c r="AE411" s="31" t="n">
        <v>11</v>
      </c>
      <c r="AF411" s="32" t="n">
        <v>2</v>
      </c>
      <c r="AG411" s="31" t="n">
        <v>11</v>
      </c>
      <c r="AH411" s="32" t="n">
        <v>54</v>
      </c>
      <c r="AI411" s="31" t="n">
        <v>56.3</v>
      </c>
      <c r="AJ411" s="31" t="n">
        <v>40.5</v>
      </c>
      <c r="AK411" s="31" t="n">
        <v>21</v>
      </c>
      <c r="AL411" s="30" t="inlineStr">
        <is>
          <t>T-0556</t>
        </is>
      </c>
      <c r="AM411" s="30" t="inlineStr">
        <is>
          <t>H-02-01</t>
        </is>
      </c>
      <c r="AN411" s="30" t="inlineStr">
        <is>
          <t>T-0484</t>
        </is>
      </c>
      <c r="AO411" s="30" t="inlineStr">
        <is>
          <t>H-03-03</t>
        </is>
      </c>
    </row>
    <row r="412">
      <c r="A412" s="30" t="inlineStr">
        <is>
          <t>O0411</t>
        </is>
      </c>
      <c r="B412" s="30" t="inlineStr">
        <is>
          <t>E</t>
        </is>
      </c>
      <c r="C412" s="31" t="n">
        <v>5192.4</v>
      </c>
      <c r="D412" s="31" t="n">
        <v>14745.6</v>
      </c>
      <c r="E412" s="31" t="n">
        <v>14769.1</v>
      </c>
      <c r="F412" s="31" t="n">
        <v>14782.3</v>
      </c>
      <c r="G412" s="31" t="n">
        <v>14812.4</v>
      </c>
      <c r="H412" s="31" t="n">
        <v>14812.5</v>
      </c>
      <c r="I412" s="31" t="n">
        <v>14824.7</v>
      </c>
      <c r="J412" s="31" t="n">
        <v>14857.2</v>
      </c>
      <c r="K412" s="31" t="n">
        <v>9664.799999999999</v>
      </c>
      <c r="L412" s="31" t="n">
        <v>9553.200000000001</v>
      </c>
      <c r="M412" s="30" t="inlineStr">
        <is>
          <t>AMR2</t>
        </is>
      </c>
      <c r="N412" s="30" t="inlineStr">
        <is>
          <t>AMR2</t>
        </is>
      </c>
      <c r="O412" s="32" t="n">
        <v>1</v>
      </c>
      <c r="P412" s="32" t="n">
        <v>25</v>
      </c>
      <c r="Q412" s="32" t="n">
        <v>2</v>
      </c>
      <c r="R412" s="31" t="n">
        <v>62.5</v>
      </c>
      <c r="S412" s="31" t="n">
        <v>62.5</v>
      </c>
      <c r="T412" s="30" t="inlineStr">
        <is>
          <t>AMR2</t>
        </is>
      </c>
      <c r="U412" s="31" t="n">
        <v>45.2</v>
      </c>
      <c r="V412" s="31" t="n">
        <v>45.2</v>
      </c>
      <c r="W412" s="30" t="inlineStr">
        <is>
          <t>AMR2</t>
        </is>
      </c>
      <c r="X412" s="32" t="n">
        <v>0</v>
      </c>
      <c r="Y412" s="32" t="n">
        <v>0</v>
      </c>
      <c r="Z412" s="31" t="n">
        <v>0</v>
      </c>
      <c r="AA412" s="32" t="n">
        <v>0</v>
      </c>
      <c r="AB412" s="32" t="n">
        <v>0</v>
      </c>
      <c r="AC412" s="32" t="n">
        <v>0</v>
      </c>
      <c r="AD412" s="32" t="n">
        <v>0</v>
      </c>
      <c r="AE412" s="31" t="n">
        <v>0</v>
      </c>
      <c r="AF412" s="32" t="n">
        <v>0</v>
      </c>
      <c r="AG412" s="31" t="n">
        <v>0</v>
      </c>
      <c r="AH412" s="32" t="n">
        <v>70</v>
      </c>
      <c r="AI412" s="31" t="n">
        <v>68.7</v>
      </c>
      <c r="AJ412" s="31" t="n">
        <v>42.8</v>
      </c>
      <c r="AK412" s="31" t="n">
        <v>0</v>
      </c>
      <c r="AL412" s="30" t="inlineStr">
        <is>
          <t>T-0557</t>
        </is>
      </c>
      <c r="AM412" s="30" t="inlineStr">
        <is>
          <t>E-06-02</t>
        </is>
      </c>
      <c r="AN412" s="30" t="inlineStr">
        <is>
          <t>T-0302</t>
        </is>
      </c>
      <c r="AO412" s="30" t="inlineStr">
        <is>
          <t>E-04-03</t>
        </is>
      </c>
    </row>
    <row r="413">
      <c r="A413" s="30" t="inlineStr">
        <is>
          <t>O0412</t>
        </is>
      </c>
      <c r="B413" s="30" t="inlineStr">
        <is>
          <t>B</t>
        </is>
      </c>
      <c r="C413" s="31" t="n">
        <v>5213.9</v>
      </c>
      <c r="D413" s="31" t="n">
        <v>14808.5</v>
      </c>
      <c r="E413" s="31" t="n">
        <v>14832</v>
      </c>
      <c r="F413" s="31" t="n">
        <v>14846.1</v>
      </c>
      <c r="G413" s="31" t="n">
        <v>14869.2</v>
      </c>
      <c r="H413" s="31" t="n">
        <v>14869.3</v>
      </c>
      <c r="I413" s="31" t="n">
        <v>14881.4</v>
      </c>
      <c r="J413" s="31" t="n">
        <v>14915.3</v>
      </c>
      <c r="K413" s="31" t="n">
        <v>9701.4</v>
      </c>
      <c r="L413" s="31" t="n">
        <v>9594.6</v>
      </c>
      <c r="M413" s="30" t="inlineStr">
        <is>
          <t>AMR3</t>
        </is>
      </c>
      <c r="N413" s="30" t="inlineStr">
        <is>
          <t>AMR3</t>
        </is>
      </c>
      <c r="O413" s="32" t="n">
        <v>1</v>
      </c>
      <c r="P413" s="32" t="n">
        <v>25</v>
      </c>
      <c r="Q413" s="32" t="n">
        <v>1</v>
      </c>
      <c r="R413" s="31" t="n">
        <v>58.8</v>
      </c>
      <c r="S413" s="31" t="n">
        <v>58.8</v>
      </c>
      <c r="T413" s="30" t="inlineStr">
        <is>
          <t>AMR3</t>
        </is>
      </c>
      <c r="U413" s="31" t="n">
        <v>44.2</v>
      </c>
      <c r="V413" s="31" t="n">
        <v>44.2</v>
      </c>
      <c r="W413" s="30" t="inlineStr">
        <is>
          <t>AMR3</t>
        </is>
      </c>
      <c r="X413" s="32" t="n">
        <v>0</v>
      </c>
      <c r="Y413" s="32" t="n">
        <v>0</v>
      </c>
      <c r="Z413" s="31" t="n">
        <v>0</v>
      </c>
      <c r="AA413" s="32" t="n">
        <v>0</v>
      </c>
      <c r="AB413" s="32" t="n">
        <v>0</v>
      </c>
      <c r="AC413" s="32" t="n">
        <v>0</v>
      </c>
      <c r="AD413" s="32" t="n">
        <v>0</v>
      </c>
      <c r="AE413" s="31" t="n">
        <v>0</v>
      </c>
      <c r="AF413" s="32" t="n">
        <v>0</v>
      </c>
      <c r="AG413" s="31" t="n">
        <v>0</v>
      </c>
      <c r="AH413" s="32" t="n">
        <v>60</v>
      </c>
      <c r="AI413" s="31" t="n">
        <v>60.5</v>
      </c>
      <c r="AJ413" s="31" t="n">
        <v>46.2</v>
      </c>
      <c r="AK413" s="31" t="n">
        <v>0</v>
      </c>
      <c r="AL413" s="30" t="inlineStr">
        <is>
          <t>T-0558</t>
        </is>
      </c>
      <c r="AM413" s="30" t="inlineStr">
        <is>
          <t>B-05-01</t>
        </is>
      </c>
      <c r="AN413" s="30" t="inlineStr">
        <is>
          <t>T-0320</t>
        </is>
      </c>
      <c r="AO413" s="30" t="inlineStr">
        <is>
          <t>B-01-02</t>
        </is>
      </c>
    </row>
    <row r="414">
      <c r="A414" s="30" t="inlineStr">
        <is>
          <t>O0413</t>
        </is>
      </c>
      <c r="B414" s="30" t="inlineStr">
        <is>
          <t>G</t>
        </is>
      </c>
      <c r="C414" s="31" t="n">
        <v>5234.8</v>
      </c>
      <c r="D414" s="31" t="n">
        <v>16996.4</v>
      </c>
      <c r="E414" s="31" t="n">
        <v>17019.9</v>
      </c>
      <c r="F414" s="31" t="n">
        <v>17043.4</v>
      </c>
      <c r="G414" s="31" t="n">
        <v>17071.8</v>
      </c>
      <c r="H414" s="31" t="n">
        <v>17115.8</v>
      </c>
      <c r="I414" s="31" t="n">
        <v>17145.6</v>
      </c>
      <c r="J414" s="31" t="n">
        <v>17185.7</v>
      </c>
      <c r="K414" s="31" t="n">
        <v>11950.9</v>
      </c>
      <c r="L414" s="31" t="n">
        <v>11761.6</v>
      </c>
      <c r="M414" s="30" t="inlineStr">
        <is>
          <t>AMR3</t>
        </is>
      </c>
      <c r="N414" s="30" t="inlineStr">
        <is>
          <t>AMR3</t>
        </is>
      </c>
      <c r="O414" s="32" t="n">
        <v>1</v>
      </c>
      <c r="P414" s="32" t="n">
        <v>25</v>
      </c>
      <c r="Q414" s="32" t="n">
        <v>16</v>
      </c>
      <c r="R414" s="31" t="n">
        <v>72.8</v>
      </c>
      <c r="S414" s="31" t="n">
        <v>72.8</v>
      </c>
      <c r="T414" s="30" t="inlineStr">
        <is>
          <t>AMR3</t>
        </is>
      </c>
      <c r="U414" s="31" t="n">
        <v>57.1</v>
      </c>
      <c r="V414" s="31" t="n">
        <v>57.1</v>
      </c>
      <c r="W414" s="30" t="inlineStr">
        <is>
          <t>AMR3</t>
        </is>
      </c>
      <c r="X414" s="32" t="n">
        <v>0</v>
      </c>
      <c r="Y414" s="32" t="n">
        <v>0</v>
      </c>
      <c r="Z414" s="31" t="n">
        <v>0</v>
      </c>
      <c r="AA414" s="32" t="n">
        <v>0</v>
      </c>
      <c r="AB414" s="32" t="n">
        <v>0</v>
      </c>
      <c r="AC414" s="32" t="n">
        <v>0</v>
      </c>
      <c r="AD414" s="32" t="n">
        <v>1</v>
      </c>
      <c r="AE414" s="31" t="n">
        <v>10</v>
      </c>
      <c r="AF414" s="32" t="n">
        <v>1</v>
      </c>
      <c r="AG414" s="31" t="n">
        <v>5</v>
      </c>
      <c r="AH414" s="32" t="n">
        <v>76</v>
      </c>
      <c r="AI414" s="31" t="n">
        <v>76.40000000000001</v>
      </c>
      <c r="AJ414" s="31" t="n">
        <v>58.9</v>
      </c>
      <c r="AK414" s="31" t="n">
        <v>10</v>
      </c>
      <c r="AL414" s="30" t="inlineStr">
        <is>
          <t>T-0616</t>
        </is>
      </c>
      <c r="AM414" s="30" t="inlineStr">
        <is>
          <t>G-03-01</t>
        </is>
      </c>
      <c r="AN414" s="30" t="inlineStr">
        <is>
          <t>T-0416</t>
        </is>
      </c>
      <c r="AO414" s="30" t="inlineStr">
        <is>
          <t>G-01-02</t>
        </is>
      </c>
    </row>
    <row r="415">
      <c r="A415" s="30" t="inlineStr">
        <is>
          <t>O0414</t>
        </is>
      </c>
      <c r="B415" s="30" t="inlineStr">
        <is>
          <t>A</t>
        </is>
      </c>
      <c r="C415" s="31" t="n">
        <v>5255.6</v>
      </c>
      <c r="D415" s="31" t="n">
        <v>14826.5</v>
      </c>
      <c r="E415" s="31" t="n">
        <v>14856</v>
      </c>
      <c r="F415" s="31" t="n">
        <v>14868</v>
      </c>
      <c r="G415" s="31" t="n">
        <v>14896</v>
      </c>
      <c r="H415" s="31" t="n">
        <v>15009.8</v>
      </c>
      <c r="I415" s="31" t="n">
        <v>15019.9</v>
      </c>
      <c r="J415" s="31" t="n">
        <v>15062</v>
      </c>
      <c r="K415" s="31" t="n">
        <v>9806.4</v>
      </c>
      <c r="L415" s="31" t="n">
        <v>9570.9</v>
      </c>
      <c r="M415" s="30" t="inlineStr">
        <is>
          <t>AMR1</t>
        </is>
      </c>
      <c r="N415" s="30" t="inlineStr">
        <is>
          <t>AMR1</t>
        </is>
      </c>
      <c r="O415" s="32" t="n">
        <v>1</v>
      </c>
      <c r="P415" s="32" t="n">
        <v>25</v>
      </c>
      <c r="Q415" s="32" t="n">
        <v>1</v>
      </c>
      <c r="R415" s="31" t="n">
        <v>60</v>
      </c>
      <c r="S415" s="31" t="n">
        <v>60</v>
      </c>
      <c r="T415" s="30" t="inlineStr">
        <is>
          <t>AMR1</t>
        </is>
      </c>
      <c r="U415" s="31" t="n">
        <v>45.4</v>
      </c>
      <c r="V415" s="31" t="n">
        <v>45.4</v>
      </c>
      <c r="W415" s="30" t="inlineStr">
        <is>
          <t>AMR1</t>
        </is>
      </c>
      <c r="X415" s="32" t="n">
        <v>0</v>
      </c>
      <c r="Y415" s="32" t="n">
        <v>0</v>
      </c>
      <c r="Z415" s="31" t="n">
        <v>0</v>
      </c>
      <c r="AA415" s="32" t="n">
        <v>0</v>
      </c>
      <c r="AB415" s="32" t="n">
        <v>0</v>
      </c>
      <c r="AC415" s="32" t="n">
        <v>0</v>
      </c>
      <c r="AD415" s="32" t="n">
        <v>1</v>
      </c>
      <c r="AE415" s="31" t="n">
        <v>6</v>
      </c>
      <c r="AF415" s="32" t="n">
        <v>2</v>
      </c>
      <c r="AG415" s="31" t="n">
        <v>2</v>
      </c>
      <c r="AH415" s="32" t="n">
        <v>74</v>
      </c>
      <c r="AI415" s="31" t="n">
        <v>71.7</v>
      </c>
      <c r="AJ415" s="31" t="n">
        <v>38</v>
      </c>
      <c r="AK415" s="31" t="n">
        <v>12</v>
      </c>
      <c r="AL415" s="30" t="inlineStr">
        <is>
          <t>T-0559</t>
        </is>
      </c>
      <c r="AM415" s="30" t="inlineStr">
        <is>
          <t>A-02-02</t>
        </is>
      </c>
      <c r="AN415" s="30" t="inlineStr">
        <is>
          <t>T-0240</t>
        </is>
      </c>
      <c r="AO415" s="30" t="inlineStr">
        <is>
          <t>A-01-01</t>
        </is>
      </c>
    </row>
    <row r="416">
      <c r="A416" s="30" t="inlineStr">
        <is>
          <t>O0415</t>
        </is>
      </c>
      <c r="B416" s="30" t="inlineStr">
        <is>
          <t>J</t>
        </is>
      </c>
      <c r="C416" s="31" t="n">
        <v>5279.7</v>
      </c>
      <c r="D416" s="31" t="n">
        <v>14915.4</v>
      </c>
      <c r="E416" s="31" t="n">
        <v>14938.9</v>
      </c>
      <c r="F416" s="31" t="n">
        <v>14951.6</v>
      </c>
      <c r="G416" s="31" t="n">
        <v>14979.5</v>
      </c>
      <c r="H416" s="31" t="n">
        <v>14979.6</v>
      </c>
      <c r="I416" s="31" t="n">
        <v>14989.9</v>
      </c>
      <c r="J416" s="31" t="n">
        <v>15017.3</v>
      </c>
      <c r="K416" s="31" t="n">
        <v>9737.6</v>
      </c>
      <c r="L416" s="31" t="n">
        <v>9635.700000000001</v>
      </c>
      <c r="M416" s="30" t="inlineStr">
        <is>
          <t>AMR3</t>
        </is>
      </c>
      <c r="N416" s="30" t="inlineStr">
        <is>
          <t>AMR3</t>
        </is>
      </c>
      <c r="O416" s="32" t="n">
        <v>1</v>
      </c>
      <c r="P416" s="32" t="n">
        <v>25</v>
      </c>
      <c r="Q416" s="32" t="n">
        <v>0</v>
      </c>
      <c r="R416" s="31" t="n">
        <v>61.5</v>
      </c>
      <c r="S416" s="31" t="n">
        <v>61.5</v>
      </c>
      <c r="T416" s="30" t="inlineStr">
        <is>
          <t>AMR3</t>
        </is>
      </c>
      <c r="U416" s="31" t="n">
        <v>38.4</v>
      </c>
      <c r="V416" s="31" t="n">
        <v>38.4</v>
      </c>
      <c r="W416" s="30" t="inlineStr">
        <is>
          <t>AMR3</t>
        </is>
      </c>
      <c r="X416" s="32" t="n">
        <v>0</v>
      </c>
      <c r="Y416" s="32" t="n">
        <v>0</v>
      </c>
      <c r="Z416" s="31" t="n">
        <v>0</v>
      </c>
      <c r="AA416" s="32" t="n">
        <v>0</v>
      </c>
      <c r="AB416" s="32" t="n">
        <v>0</v>
      </c>
      <c r="AC416" s="32" t="n">
        <v>0</v>
      </c>
      <c r="AD416" s="32" t="n">
        <v>0</v>
      </c>
      <c r="AE416" s="31" t="n">
        <v>0</v>
      </c>
      <c r="AF416" s="32" t="n">
        <v>0</v>
      </c>
      <c r="AG416" s="31" t="n">
        <v>0</v>
      </c>
      <c r="AH416" s="32" t="n">
        <v>66</v>
      </c>
      <c r="AI416" s="31" t="n">
        <v>65.90000000000001</v>
      </c>
      <c r="AJ416" s="31" t="n">
        <v>35.9</v>
      </c>
      <c r="AK416" s="31" t="n">
        <v>0</v>
      </c>
      <c r="AL416" s="30" t="inlineStr">
        <is>
          <t>T-0561</t>
        </is>
      </c>
      <c r="AM416" s="30" t="inlineStr">
        <is>
          <t>J-03-03</t>
        </is>
      </c>
      <c r="AN416" s="30" t="inlineStr">
        <is>
          <t>T-0342</t>
        </is>
      </c>
      <c r="AO416" s="30" t="inlineStr">
        <is>
          <t>J-01-03</t>
        </is>
      </c>
    </row>
    <row r="417">
      <c r="A417" s="30" t="inlineStr">
        <is>
          <t>O0416</t>
        </is>
      </c>
      <c r="B417" s="30" t="inlineStr">
        <is>
          <t>J</t>
        </is>
      </c>
      <c r="C417" s="31" t="n">
        <v>5296.6</v>
      </c>
      <c r="D417" s="31" t="n">
        <v>15103.1</v>
      </c>
      <c r="E417" s="31" t="n">
        <v>15115.7</v>
      </c>
      <c r="F417" s="31" t="n">
        <v>15127.1</v>
      </c>
      <c r="G417" s="31" t="n">
        <v>15160</v>
      </c>
      <c r="H417" s="31" t="n">
        <v>15160.1</v>
      </c>
      <c r="I417" s="31" t="n">
        <v>15172.8</v>
      </c>
      <c r="J417" s="31" t="n">
        <v>15202.5</v>
      </c>
      <c r="K417" s="31" t="n">
        <v>9905.9</v>
      </c>
      <c r="L417" s="31" t="n">
        <v>9806.5</v>
      </c>
      <c r="M417" s="30" t="inlineStr">
        <is>
          <t>AMR2</t>
        </is>
      </c>
      <c r="N417" s="30" t="inlineStr">
        <is>
          <t>AMR2</t>
        </is>
      </c>
      <c r="O417" s="32" t="n">
        <v>1</v>
      </c>
      <c r="P417" s="32" t="n">
        <v>12</v>
      </c>
      <c r="Q417" s="32" t="n">
        <v>2</v>
      </c>
      <c r="R417" s="31" t="n">
        <v>52.7</v>
      </c>
      <c r="S417" s="31" t="n">
        <v>52.7</v>
      </c>
      <c r="T417" s="30" t="inlineStr">
        <is>
          <t>AMR2</t>
        </is>
      </c>
      <c r="U417" s="31" t="n">
        <v>42.9</v>
      </c>
      <c r="V417" s="31" t="n">
        <v>42.9</v>
      </c>
      <c r="W417" s="30" t="inlineStr">
        <is>
          <t>AMR2</t>
        </is>
      </c>
      <c r="X417" s="32" t="n">
        <v>0</v>
      </c>
      <c r="Y417" s="32" t="n">
        <v>0</v>
      </c>
      <c r="Z417" s="31" t="n">
        <v>0</v>
      </c>
      <c r="AA417" s="32" t="n">
        <v>0</v>
      </c>
      <c r="AB417" s="32" t="n">
        <v>0</v>
      </c>
      <c r="AC417" s="32" t="n">
        <v>0</v>
      </c>
      <c r="AD417" s="32" t="n">
        <v>0</v>
      </c>
      <c r="AE417" s="31" t="n">
        <v>0</v>
      </c>
      <c r="AF417" s="32" t="n">
        <v>0</v>
      </c>
      <c r="AG417" s="31" t="n">
        <v>0</v>
      </c>
      <c r="AH417" s="32" t="n">
        <v>57</v>
      </c>
      <c r="AI417" s="31" t="n">
        <v>58.2</v>
      </c>
      <c r="AJ417" s="31" t="n">
        <v>41.1</v>
      </c>
      <c r="AK417" s="31" t="n">
        <v>0</v>
      </c>
      <c r="AL417" s="30" t="inlineStr">
        <is>
          <t>T-0566</t>
        </is>
      </c>
      <c r="AM417" s="30" t="inlineStr">
        <is>
          <t>J-06-02</t>
        </is>
      </c>
      <c r="AN417" s="30" t="inlineStr">
        <is>
          <t>T-0364</t>
        </is>
      </c>
      <c r="AO417" s="30" t="inlineStr">
        <is>
          <t>J-05-03</t>
        </is>
      </c>
    </row>
    <row r="418">
      <c r="A418" s="30" t="inlineStr">
        <is>
          <t>O0417</t>
        </is>
      </c>
      <c r="B418" s="30" t="inlineStr">
        <is>
          <t>A</t>
        </is>
      </c>
      <c r="C418" s="31" t="n">
        <v>5316.6</v>
      </c>
      <c r="D418" s="31" t="n">
        <v>14942.8</v>
      </c>
      <c r="E418" s="31" t="n">
        <v>14966.3</v>
      </c>
      <c r="F418" s="31" t="n">
        <v>14980.2</v>
      </c>
      <c r="G418" s="31" t="n">
        <v>15009.7</v>
      </c>
      <c r="H418" s="31" t="n">
        <v>16488</v>
      </c>
      <c r="I418" s="31" t="n">
        <v>16502.5</v>
      </c>
      <c r="J418" s="31" t="n">
        <v>16539.9</v>
      </c>
      <c r="K418" s="31" t="n">
        <v>11223.3</v>
      </c>
      <c r="L418" s="31" t="n">
        <v>9626.200000000001</v>
      </c>
      <c r="M418" s="30" t="inlineStr">
        <is>
          <t>AMR1</t>
        </is>
      </c>
      <c r="N418" s="30" t="inlineStr">
        <is>
          <t>AMR1</t>
        </is>
      </c>
      <c r="O418" s="32" t="n">
        <v>1</v>
      </c>
      <c r="P418" s="32" t="n">
        <v>25</v>
      </c>
      <c r="Q418" s="32" t="n">
        <v>2</v>
      </c>
      <c r="R418" s="31" t="n">
        <v>65</v>
      </c>
      <c r="S418" s="31" t="n">
        <v>65</v>
      </c>
      <c r="T418" s="30" t="inlineStr">
        <is>
          <t>AMR1</t>
        </is>
      </c>
      <c r="U418" s="31" t="n">
        <v>51.1</v>
      </c>
      <c r="V418" s="31" t="n">
        <v>51.1</v>
      </c>
      <c r="W418" s="30" t="inlineStr">
        <is>
          <t>AMR1</t>
        </is>
      </c>
      <c r="X418" s="32" t="n">
        <v>0</v>
      </c>
      <c r="Y418" s="32" t="n">
        <v>0</v>
      </c>
      <c r="Z418" s="31" t="n">
        <v>0</v>
      </c>
      <c r="AA418" s="32" t="n">
        <v>0</v>
      </c>
      <c r="AB418" s="32" t="n">
        <v>0</v>
      </c>
      <c r="AC418" s="32" t="n">
        <v>0</v>
      </c>
      <c r="AD418" s="32" t="n">
        <v>0</v>
      </c>
      <c r="AE418" s="31" t="n">
        <v>0</v>
      </c>
      <c r="AF418" s="32" t="n">
        <v>0</v>
      </c>
      <c r="AG418" s="31" t="n">
        <v>0</v>
      </c>
      <c r="AH418" s="32" t="n">
        <v>73</v>
      </c>
      <c r="AI418" s="31" t="n">
        <v>70.8</v>
      </c>
      <c r="AJ418" s="31" t="n">
        <v>48</v>
      </c>
      <c r="AK418" s="31" t="n">
        <v>0</v>
      </c>
      <c r="AL418" s="30" t="inlineStr">
        <is>
          <t>T-0562</t>
        </is>
      </c>
      <c r="AM418" s="30" t="inlineStr">
        <is>
          <t>A-04-02</t>
        </is>
      </c>
      <c r="AN418" s="30" t="inlineStr">
        <is>
          <t>T-0246</t>
        </is>
      </c>
      <c r="AO418" s="30" t="inlineStr">
        <is>
          <t>A-01-03</t>
        </is>
      </c>
    </row>
    <row r="419">
      <c r="A419" s="30" t="inlineStr">
        <is>
          <t>O0418</t>
        </is>
      </c>
      <c r="B419" s="30" t="inlineStr">
        <is>
          <t>F</t>
        </is>
      </c>
      <c r="C419" s="31" t="n">
        <v>5332.6</v>
      </c>
      <c r="D419" s="31" t="n">
        <v>17145.2</v>
      </c>
      <c r="E419" s="31" t="n">
        <v>17178.7</v>
      </c>
      <c r="F419" s="31" t="n">
        <v>17200.7</v>
      </c>
      <c r="G419" s="31" t="n">
        <v>17232.2</v>
      </c>
      <c r="H419" s="31" t="n">
        <v>17232.3</v>
      </c>
      <c r="I419" s="31" t="n">
        <v>17242</v>
      </c>
      <c r="J419" s="31" t="n">
        <v>17275</v>
      </c>
      <c r="K419" s="31" t="n">
        <v>11942.4</v>
      </c>
      <c r="L419" s="31" t="n">
        <v>11812.6</v>
      </c>
      <c r="M419" s="30" t="inlineStr">
        <is>
          <t>AMR1</t>
        </is>
      </c>
      <c r="N419" s="30" t="inlineStr">
        <is>
          <t>AMR1</t>
        </is>
      </c>
      <c r="O419" s="32" t="n">
        <v>1</v>
      </c>
      <c r="P419" s="32" t="n">
        <v>25</v>
      </c>
      <c r="Q419" s="32" t="n">
        <v>1</v>
      </c>
      <c r="R419" s="31" t="n">
        <v>73.59999999999999</v>
      </c>
      <c r="S419" s="31" t="n">
        <v>73.59999999999999</v>
      </c>
      <c r="T419" s="30" t="inlineStr">
        <is>
          <t>AMR1</t>
        </is>
      </c>
      <c r="U419" s="31" t="n">
        <v>43.3</v>
      </c>
      <c r="V419" s="31" t="n">
        <v>43.3</v>
      </c>
      <c r="W419" s="30" t="inlineStr">
        <is>
          <t>AMR1</t>
        </is>
      </c>
      <c r="X419" s="32" t="n">
        <v>0</v>
      </c>
      <c r="Y419" s="32" t="n">
        <v>0</v>
      </c>
      <c r="Z419" s="31" t="n">
        <v>0</v>
      </c>
      <c r="AA419" s="32" t="n">
        <v>0</v>
      </c>
      <c r="AB419" s="32" t="n">
        <v>0</v>
      </c>
      <c r="AC419" s="32" t="n">
        <v>0</v>
      </c>
      <c r="AD419" s="32" t="n">
        <v>0</v>
      </c>
      <c r="AE419" s="31" t="n">
        <v>0</v>
      </c>
      <c r="AF419" s="32" t="n">
        <v>1</v>
      </c>
      <c r="AG419" s="31" t="n">
        <v>5</v>
      </c>
      <c r="AH419" s="32" t="n">
        <v>72</v>
      </c>
      <c r="AI419" s="31" t="n">
        <v>70.7</v>
      </c>
      <c r="AJ419" s="31" t="n">
        <v>49</v>
      </c>
      <c r="AK419" s="31" t="n">
        <v>10</v>
      </c>
      <c r="AL419" s="30" t="inlineStr">
        <is>
          <t>T-0620</t>
        </is>
      </c>
      <c r="AM419" s="30" t="inlineStr">
        <is>
          <t>F-02-02</t>
        </is>
      </c>
      <c r="AN419" s="30" t="inlineStr">
        <is>
          <t>T-0417</t>
        </is>
      </c>
      <c r="AO419" s="30" t="inlineStr">
        <is>
          <t>F-03-02</t>
        </is>
      </c>
    </row>
    <row r="420">
      <c r="A420" s="30" t="inlineStr">
        <is>
          <t>O0419</t>
        </is>
      </c>
      <c r="B420" s="30" t="inlineStr">
        <is>
          <t>C</t>
        </is>
      </c>
      <c r="C420" s="31" t="n">
        <v>5348.5</v>
      </c>
      <c r="D420" s="31" t="n">
        <v>15037.9</v>
      </c>
      <c r="E420" s="31" t="n">
        <v>15065.4</v>
      </c>
      <c r="F420" s="31" t="n">
        <v>15080.5</v>
      </c>
      <c r="G420" s="31" t="n">
        <v>15103</v>
      </c>
      <c r="H420" s="31" t="n">
        <v>15351.9</v>
      </c>
      <c r="I420" s="31" t="n">
        <v>15376.3</v>
      </c>
      <c r="J420" s="31" t="n">
        <v>15415.5</v>
      </c>
      <c r="K420" s="31" t="n">
        <v>10067</v>
      </c>
      <c r="L420" s="31" t="n">
        <v>9689.4</v>
      </c>
      <c r="M420" s="30" t="inlineStr">
        <is>
          <t>AMR2</t>
        </is>
      </c>
      <c r="N420" s="30" t="inlineStr">
        <is>
          <t>AMR3</t>
        </is>
      </c>
      <c r="O420" s="32" t="n">
        <v>1</v>
      </c>
      <c r="P420" s="32" t="n">
        <v>25</v>
      </c>
      <c r="Q420" s="32" t="n">
        <v>16</v>
      </c>
      <c r="R420" s="31" t="n">
        <v>59.2</v>
      </c>
      <c r="S420" s="31" t="n">
        <v>59.2</v>
      </c>
      <c r="T420" s="30" t="inlineStr">
        <is>
          <t>AMR2</t>
        </is>
      </c>
      <c r="U420" s="31" t="n">
        <v>55</v>
      </c>
      <c r="V420" s="31" t="n">
        <v>55</v>
      </c>
      <c r="W420" s="30" t="inlineStr">
        <is>
          <t>AMR3</t>
        </is>
      </c>
      <c r="X420" s="32" t="n">
        <v>0</v>
      </c>
      <c r="Y420" s="32" t="n">
        <v>0</v>
      </c>
      <c r="Z420" s="31" t="n">
        <v>0</v>
      </c>
      <c r="AA420" s="32" t="n">
        <v>0</v>
      </c>
      <c r="AB420" s="32" t="n">
        <v>0</v>
      </c>
      <c r="AC420" s="32" t="n">
        <v>0</v>
      </c>
      <c r="AD420" s="32" t="n">
        <v>1</v>
      </c>
      <c r="AE420" s="31" t="n">
        <v>9</v>
      </c>
      <c r="AF420" s="32" t="n">
        <v>1</v>
      </c>
      <c r="AG420" s="31" t="n">
        <v>4</v>
      </c>
      <c r="AH420" s="32" t="n">
        <v>67</v>
      </c>
      <c r="AI420" s="31" t="n">
        <v>69.5</v>
      </c>
      <c r="AJ420" s="31" t="n">
        <v>46.2</v>
      </c>
      <c r="AK420" s="31" t="n">
        <v>13</v>
      </c>
      <c r="AL420" s="30" t="inlineStr">
        <is>
          <t>T-0564</t>
        </is>
      </c>
      <c r="AM420" s="30" t="inlineStr">
        <is>
          <t>C-04-02</t>
        </is>
      </c>
      <c r="AN420" s="30" t="inlineStr">
        <is>
          <t>T-0470</t>
        </is>
      </c>
      <c r="AO420" s="30" t="inlineStr">
        <is>
          <t>C-01-03</t>
        </is>
      </c>
    </row>
    <row r="421">
      <c r="A421" s="30" t="inlineStr">
        <is>
          <t>O0420</t>
        </is>
      </c>
      <c r="B421" s="30" t="inlineStr">
        <is>
          <t>H</t>
        </is>
      </c>
      <c r="C421" s="31" t="n">
        <v>5366</v>
      </c>
      <c r="D421" s="31" t="n">
        <v>15062.1</v>
      </c>
      <c r="E421" s="31" t="n">
        <v>15089.6</v>
      </c>
      <c r="F421" s="31" t="n">
        <v>15104.7</v>
      </c>
      <c r="G421" s="31" t="n">
        <v>15127.8</v>
      </c>
      <c r="H421" s="31" t="n">
        <v>15127.9</v>
      </c>
      <c r="I421" s="31" t="n">
        <v>15140.9</v>
      </c>
      <c r="J421" s="31" t="n">
        <v>15165.4</v>
      </c>
      <c r="K421" s="31" t="n">
        <v>9799.4</v>
      </c>
      <c r="L421" s="31" t="n">
        <v>9696.1</v>
      </c>
      <c r="M421" s="30" t="inlineStr">
        <is>
          <t>AMR1</t>
        </is>
      </c>
      <c r="N421" s="30" t="inlineStr">
        <is>
          <t>AMR1</t>
        </is>
      </c>
      <c r="O421" s="32" t="n">
        <v>1</v>
      </c>
      <c r="P421" s="32" t="n">
        <v>25</v>
      </c>
      <c r="Q421" s="32" t="n">
        <v>0</v>
      </c>
      <c r="R421" s="31" t="n">
        <v>59.1</v>
      </c>
      <c r="S421" s="31" t="n">
        <v>59.1</v>
      </c>
      <c r="T421" s="30" t="inlineStr">
        <is>
          <t>AMR1</t>
        </is>
      </c>
      <c r="U421" s="31" t="n">
        <v>36.7</v>
      </c>
      <c r="V421" s="31" t="n">
        <v>36.7</v>
      </c>
      <c r="W421" s="30" t="inlineStr">
        <is>
          <t>AMR1</t>
        </is>
      </c>
      <c r="X421" s="32" t="n">
        <v>0</v>
      </c>
      <c r="Y421" s="32" t="n">
        <v>0</v>
      </c>
      <c r="Z421" s="31" t="n">
        <v>0</v>
      </c>
      <c r="AA421" s="32" t="n">
        <v>0</v>
      </c>
      <c r="AB421" s="32" t="n">
        <v>0</v>
      </c>
      <c r="AC421" s="32" t="n">
        <v>0</v>
      </c>
      <c r="AD421" s="32" t="n">
        <v>0</v>
      </c>
      <c r="AE421" s="31" t="n">
        <v>0</v>
      </c>
      <c r="AF421" s="32" t="n">
        <v>0</v>
      </c>
      <c r="AG421" s="31" t="n">
        <v>0</v>
      </c>
      <c r="AH421" s="32" t="n">
        <v>54</v>
      </c>
      <c r="AI421" s="31" t="n">
        <v>56.3</v>
      </c>
      <c r="AJ421" s="31" t="n">
        <v>42.9</v>
      </c>
      <c r="AK421" s="31" t="n">
        <v>4</v>
      </c>
      <c r="AL421" s="30" t="inlineStr">
        <is>
          <t>T-0565</t>
        </is>
      </c>
      <c r="AM421" s="30" t="inlineStr">
        <is>
          <t>H-03-03</t>
        </is>
      </c>
      <c r="AN421" s="30" t="inlineStr">
        <is>
          <t>T-0491</t>
        </is>
      </c>
      <c r="AO421" s="30" t="inlineStr">
        <is>
          <t>H-04-01</t>
        </is>
      </c>
    </row>
    <row r="422">
      <c r="A422" s="30" t="inlineStr">
        <is>
          <t>O0421</t>
        </is>
      </c>
      <c r="B422" s="30" t="inlineStr">
        <is>
          <t>J</t>
        </is>
      </c>
      <c r="C422" s="31" t="n">
        <v>5386.2</v>
      </c>
      <c r="D422" s="31" t="n">
        <v>15569.9</v>
      </c>
      <c r="E422" s="31" t="n">
        <v>15601.4</v>
      </c>
      <c r="F422" s="31" t="n">
        <v>15617</v>
      </c>
      <c r="G422" s="31" t="n">
        <v>15649.4</v>
      </c>
      <c r="H422" s="31" t="n">
        <v>15649.5</v>
      </c>
      <c r="I422" s="31" t="n">
        <v>15661.2</v>
      </c>
      <c r="J422" s="31" t="n">
        <v>15693.3</v>
      </c>
      <c r="K422" s="31" t="n">
        <v>10307.1</v>
      </c>
      <c r="L422" s="31" t="n">
        <v>10183.7</v>
      </c>
      <c r="M422" s="30" t="inlineStr">
        <is>
          <t>AMR1</t>
        </is>
      </c>
      <c r="N422" s="30" t="inlineStr">
        <is>
          <t>AMR1</t>
        </is>
      </c>
      <c r="O422" s="32" t="n">
        <v>1</v>
      </c>
      <c r="P422" s="32" t="n">
        <v>25</v>
      </c>
      <c r="Q422" s="32" t="n">
        <v>1</v>
      </c>
      <c r="R422" s="31" t="n">
        <v>68.09999999999999</v>
      </c>
      <c r="S422" s="31" t="n">
        <v>68.09999999999999</v>
      </c>
      <c r="T422" s="30" t="inlineStr">
        <is>
          <t>AMR1</t>
        </is>
      </c>
      <c r="U422" s="31" t="n">
        <v>44.4</v>
      </c>
      <c r="V422" s="31" t="n">
        <v>44.4</v>
      </c>
      <c r="W422" s="30" t="inlineStr">
        <is>
          <t>AMR1</t>
        </is>
      </c>
      <c r="X422" s="32" t="n">
        <v>0</v>
      </c>
      <c r="Y422" s="32" t="n">
        <v>0</v>
      </c>
      <c r="Z422" s="31" t="n">
        <v>0</v>
      </c>
      <c r="AA422" s="32" t="n">
        <v>0</v>
      </c>
      <c r="AB422" s="32" t="n">
        <v>0</v>
      </c>
      <c r="AC422" s="32" t="n">
        <v>0</v>
      </c>
      <c r="AD422" s="32" t="n">
        <v>0</v>
      </c>
      <c r="AE422" s="31" t="n">
        <v>0</v>
      </c>
      <c r="AF422" s="32" t="n">
        <v>1</v>
      </c>
      <c r="AG422" s="31" t="n">
        <v>3</v>
      </c>
      <c r="AH422" s="32" t="n">
        <v>68</v>
      </c>
      <c r="AI422" s="31" t="n">
        <v>67.5</v>
      </c>
      <c r="AJ422" s="31" t="n">
        <v>47.8</v>
      </c>
      <c r="AK422" s="31" t="n">
        <v>8</v>
      </c>
      <c r="AL422" s="30" t="inlineStr">
        <is>
          <t>T-0578</t>
        </is>
      </c>
      <c r="AM422" s="30" t="inlineStr">
        <is>
          <t>J-04-01</t>
        </is>
      </c>
      <c r="AN422" s="30" t="inlineStr">
        <is>
          <t>T-0460</t>
        </is>
      </c>
      <c r="AO422" s="30" t="inlineStr">
        <is>
          <t>J-03-01</t>
        </is>
      </c>
    </row>
    <row r="423">
      <c r="A423" s="30" t="inlineStr">
        <is>
          <t>O0422</t>
        </is>
      </c>
      <c r="B423" s="30" t="inlineStr">
        <is>
          <t>E</t>
        </is>
      </c>
      <c r="C423" s="31" t="n">
        <v>5404.9</v>
      </c>
      <c r="D423" s="31" t="n">
        <v>15138.1</v>
      </c>
      <c r="E423" s="31" t="n">
        <v>15161.6</v>
      </c>
      <c r="F423" s="31" t="n">
        <v>15176.9</v>
      </c>
      <c r="G423" s="31" t="n">
        <v>15204.7</v>
      </c>
      <c r="H423" s="31" t="n">
        <v>15810.7</v>
      </c>
      <c r="I423" s="31" t="n">
        <v>15825</v>
      </c>
      <c r="J423" s="31" t="n">
        <v>15857.9</v>
      </c>
      <c r="K423" s="31" t="n">
        <v>10453</v>
      </c>
      <c r="L423" s="31" t="n">
        <v>9733.200000000001</v>
      </c>
      <c r="M423" s="30" t="inlineStr">
        <is>
          <t>AMR3</t>
        </is>
      </c>
      <c r="N423" s="30" t="inlineStr">
        <is>
          <t>AMR3</t>
        </is>
      </c>
      <c r="O423" s="32" t="n">
        <v>1</v>
      </c>
      <c r="P423" s="32" t="n">
        <v>25</v>
      </c>
      <c r="Q423" s="32" t="n">
        <v>2</v>
      </c>
      <c r="R423" s="31" t="n">
        <v>63.1</v>
      </c>
      <c r="S423" s="31" t="n">
        <v>63.1</v>
      </c>
      <c r="T423" s="30" t="inlineStr">
        <is>
          <t>AMR3</t>
        </is>
      </c>
      <c r="U423" s="31" t="n">
        <v>46.9</v>
      </c>
      <c r="V423" s="31" t="n">
        <v>46.9</v>
      </c>
      <c r="W423" s="30" t="inlineStr">
        <is>
          <t>AMR3</t>
        </is>
      </c>
      <c r="X423" s="32" t="n">
        <v>0</v>
      </c>
      <c r="Y423" s="32" t="n">
        <v>0</v>
      </c>
      <c r="Z423" s="31" t="n">
        <v>0</v>
      </c>
      <c r="AA423" s="32" t="n">
        <v>0</v>
      </c>
      <c r="AB423" s="32" t="n">
        <v>0</v>
      </c>
      <c r="AC423" s="32" t="n">
        <v>0</v>
      </c>
      <c r="AD423" s="32" t="n">
        <v>0</v>
      </c>
      <c r="AE423" s="31" t="n">
        <v>0</v>
      </c>
      <c r="AF423" s="32" t="n">
        <v>0</v>
      </c>
      <c r="AG423" s="31" t="n">
        <v>0</v>
      </c>
      <c r="AH423" s="32" t="n">
        <v>69</v>
      </c>
      <c r="AI423" s="31" t="n">
        <v>68.7</v>
      </c>
      <c r="AJ423" s="31" t="n">
        <v>45.1</v>
      </c>
      <c r="AK423" s="31" t="n">
        <v>0</v>
      </c>
      <c r="AL423" s="30" t="inlineStr">
        <is>
          <t>T-0567</t>
        </is>
      </c>
      <c r="AM423" s="30" t="inlineStr">
        <is>
          <t>E-04-03</t>
        </is>
      </c>
      <c r="AN423" s="30" t="inlineStr">
        <is>
          <t>T-0350</t>
        </is>
      </c>
      <c r="AO423" s="30" t="inlineStr">
        <is>
          <t>E-03-02</t>
        </is>
      </c>
    </row>
    <row r="424">
      <c r="A424" s="30" t="inlineStr">
        <is>
          <t>O0423</t>
        </is>
      </c>
      <c r="B424" s="30" t="inlineStr">
        <is>
          <t>F</t>
        </is>
      </c>
      <c r="C424" s="31" t="n">
        <v>5423.9</v>
      </c>
      <c r="D424" s="31" t="n">
        <v>15165.5</v>
      </c>
      <c r="E424" s="31" t="n">
        <v>15189</v>
      </c>
      <c r="F424" s="31" t="n">
        <v>15199.9</v>
      </c>
      <c r="G424" s="31" t="n">
        <v>15232.4</v>
      </c>
      <c r="H424" s="31" t="n">
        <v>15483.8</v>
      </c>
      <c r="I424" s="31" t="n">
        <v>15495.5</v>
      </c>
      <c r="J424" s="31" t="n">
        <v>15529.5</v>
      </c>
      <c r="K424" s="31" t="n">
        <v>10105.6</v>
      </c>
      <c r="L424" s="31" t="n">
        <v>9741.6</v>
      </c>
      <c r="M424" s="30" t="inlineStr">
        <is>
          <t>AMR1</t>
        </is>
      </c>
      <c r="N424" s="30" t="inlineStr">
        <is>
          <t>AMR3</t>
        </is>
      </c>
      <c r="O424" s="32" t="n">
        <v>1</v>
      </c>
      <c r="P424" s="32" t="n">
        <v>25</v>
      </c>
      <c r="Q424" s="32" t="n">
        <v>1</v>
      </c>
      <c r="R424" s="31" t="n">
        <v>65.09999999999999</v>
      </c>
      <c r="S424" s="31" t="n">
        <v>65.09999999999999</v>
      </c>
      <c r="T424" s="30" t="inlineStr">
        <is>
          <t>AMR1</t>
        </is>
      </c>
      <c r="U424" s="31" t="n">
        <v>43.9</v>
      </c>
      <c r="V424" s="31" t="n">
        <v>43.9</v>
      </c>
      <c r="W424" s="30" t="inlineStr">
        <is>
          <t>AMR3</t>
        </is>
      </c>
      <c r="X424" s="32" t="n">
        <v>0</v>
      </c>
      <c r="Y424" s="32" t="n">
        <v>0</v>
      </c>
      <c r="Z424" s="31" t="n">
        <v>0</v>
      </c>
      <c r="AA424" s="32" t="n">
        <v>0</v>
      </c>
      <c r="AB424" s="32" t="n">
        <v>0</v>
      </c>
      <c r="AC424" s="32" t="n">
        <v>0</v>
      </c>
      <c r="AD424" s="32" t="n">
        <v>0</v>
      </c>
      <c r="AE424" s="31" t="n">
        <v>0</v>
      </c>
      <c r="AF424" s="32" t="n">
        <v>0</v>
      </c>
      <c r="AG424" s="31" t="n">
        <v>0</v>
      </c>
      <c r="AH424" s="32" t="n">
        <v>72</v>
      </c>
      <c r="AI424" s="31" t="n">
        <v>71.5</v>
      </c>
      <c r="AJ424" s="31" t="n">
        <v>41.1</v>
      </c>
      <c r="AK424" s="31" t="n">
        <v>0</v>
      </c>
      <c r="AL424" s="30" t="inlineStr">
        <is>
          <t>T-0568</t>
        </is>
      </c>
      <c r="AM424" s="30" t="inlineStr">
        <is>
          <t>F-04-01</t>
        </is>
      </c>
      <c r="AN424" s="30" t="inlineStr">
        <is>
          <t>T-0331</t>
        </is>
      </c>
      <c r="AO424" s="30" t="inlineStr">
        <is>
          <t>F-02-01</t>
        </is>
      </c>
    </row>
    <row r="425">
      <c r="A425" s="30" t="inlineStr">
        <is>
          <t>O0424</t>
        </is>
      </c>
      <c r="B425" s="30" t="inlineStr">
        <is>
          <t>F</t>
        </is>
      </c>
      <c r="C425" s="31" t="n">
        <v>5444.9</v>
      </c>
      <c r="D425" s="31" t="n">
        <v>15415.6</v>
      </c>
      <c r="E425" s="31" t="n">
        <v>15439.1</v>
      </c>
      <c r="F425" s="31" t="n">
        <v>15454.5</v>
      </c>
      <c r="G425" s="31" t="n">
        <v>15483.7</v>
      </c>
      <c r="H425" s="31" t="n">
        <v>15852.2</v>
      </c>
      <c r="I425" s="31" t="n">
        <v>15864.5</v>
      </c>
      <c r="J425" s="31" t="n">
        <v>15913.6</v>
      </c>
      <c r="K425" s="31" t="n">
        <v>10468.7</v>
      </c>
      <c r="L425" s="31" t="n">
        <v>9970.700000000001</v>
      </c>
      <c r="M425" s="30" t="inlineStr">
        <is>
          <t>AMR3</t>
        </is>
      </c>
      <c r="N425" s="30" t="inlineStr">
        <is>
          <t>AMR2</t>
        </is>
      </c>
      <c r="O425" s="32" t="n">
        <v>1</v>
      </c>
      <c r="P425" s="32" t="n">
        <v>25</v>
      </c>
      <c r="Q425" s="32" t="n">
        <v>0</v>
      </c>
      <c r="R425" s="31" t="n">
        <v>66.3</v>
      </c>
      <c r="S425" s="31" t="n">
        <v>66.3</v>
      </c>
      <c r="T425" s="30" t="inlineStr">
        <is>
          <t>AMR3</t>
        </is>
      </c>
      <c r="U425" s="31" t="n">
        <v>44.6</v>
      </c>
      <c r="V425" s="31" t="n">
        <v>44.6</v>
      </c>
      <c r="W425" s="30" t="inlineStr">
        <is>
          <t>AMR2</t>
        </is>
      </c>
      <c r="X425" s="32" t="n">
        <v>0</v>
      </c>
      <c r="Y425" s="32" t="n">
        <v>0</v>
      </c>
      <c r="Z425" s="31" t="n">
        <v>0</v>
      </c>
      <c r="AA425" s="32" t="n">
        <v>0</v>
      </c>
      <c r="AB425" s="32" t="n">
        <v>0</v>
      </c>
      <c r="AC425" s="32" t="n">
        <v>0</v>
      </c>
      <c r="AD425" s="32" t="n">
        <v>1</v>
      </c>
      <c r="AE425" s="31" t="n">
        <v>15</v>
      </c>
      <c r="AF425" s="32" t="n">
        <v>1</v>
      </c>
      <c r="AG425" s="31" t="n">
        <v>10</v>
      </c>
      <c r="AH425" s="32" t="n">
        <v>71</v>
      </c>
      <c r="AI425" s="31" t="n">
        <v>70.8</v>
      </c>
      <c r="AJ425" s="31" t="n">
        <v>43.7</v>
      </c>
      <c r="AK425" s="31" t="n">
        <v>15</v>
      </c>
      <c r="AL425" s="30" t="inlineStr">
        <is>
          <t>T-0573</t>
        </is>
      </c>
      <c r="AM425" s="30" t="inlineStr">
        <is>
          <t>F-05-03</t>
        </is>
      </c>
      <c r="AN425" s="30" t="inlineStr">
        <is>
          <t>T-0363</t>
        </is>
      </c>
      <c r="AO425" s="30" t="inlineStr">
        <is>
          <t>F-01-01</t>
        </is>
      </c>
    </row>
    <row r="426">
      <c r="A426" s="30" t="inlineStr">
        <is>
          <t>O0425</t>
        </is>
      </c>
      <c r="B426" s="30" t="inlineStr">
        <is>
          <t>I</t>
        </is>
      </c>
      <c r="C426" s="31" t="n">
        <v>5463.2</v>
      </c>
      <c r="D426" s="31" t="n">
        <v>15253</v>
      </c>
      <c r="E426" s="31" t="n">
        <v>15276.5</v>
      </c>
      <c r="F426" s="31" t="n">
        <v>15292.1</v>
      </c>
      <c r="G426" s="31" t="n">
        <v>15314.6</v>
      </c>
      <c r="H426" s="31" t="n">
        <v>15314.7</v>
      </c>
      <c r="I426" s="31" t="n">
        <v>15325.5</v>
      </c>
      <c r="J426" s="31" t="n">
        <v>15351.8</v>
      </c>
      <c r="K426" s="31" t="n">
        <v>9888.6</v>
      </c>
      <c r="L426" s="31" t="n">
        <v>9789.799999999999</v>
      </c>
      <c r="M426" s="30" t="inlineStr">
        <is>
          <t>AMR3</t>
        </is>
      </c>
      <c r="N426" s="30" t="inlineStr">
        <is>
          <t>AMR3</t>
        </is>
      </c>
      <c r="O426" s="32" t="n">
        <v>1</v>
      </c>
      <c r="P426" s="32" t="n">
        <v>25</v>
      </c>
      <c r="Q426" s="32" t="n">
        <v>1</v>
      </c>
      <c r="R426" s="31" t="n">
        <v>59.8</v>
      </c>
      <c r="S426" s="31" t="n">
        <v>59.8</v>
      </c>
      <c r="T426" s="30" t="inlineStr">
        <is>
          <t>AMR3</t>
        </is>
      </c>
      <c r="U426" s="31" t="n">
        <v>38.3</v>
      </c>
      <c r="V426" s="31" t="n">
        <v>38.3</v>
      </c>
      <c r="W426" s="30" t="inlineStr">
        <is>
          <t>AMR3</t>
        </is>
      </c>
      <c r="X426" s="32" t="n">
        <v>0</v>
      </c>
      <c r="Y426" s="32" t="n">
        <v>0</v>
      </c>
      <c r="Z426" s="31" t="n">
        <v>0</v>
      </c>
      <c r="AA426" s="32" t="n">
        <v>0</v>
      </c>
      <c r="AB426" s="32" t="n">
        <v>0</v>
      </c>
      <c r="AC426" s="32" t="n">
        <v>0</v>
      </c>
      <c r="AD426" s="32" t="n">
        <v>0</v>
      </c>
      <c r="AE426" s="31" t="n">
        <v>0</v>
      </c>
      <c r="AF426" s="32" t="n">
        <v>0</v>
      </c>
      <c r="AG426" s="31" t="n">
        <v>0</v>
      </c>
      <c r="AH426" s="32" t="n">
        <v>52</v>
      </c>
      <c r="AI426" s="31" t="n">
        <v>54.7</v>
      </c>
      <c r="AJ426" s="31" t="n">
        <v>44</v>
      </c>
      <c r="AK426" s="31" t="n">
        <v>0</v>
      </c>
      <c r="AL426" s="30" t="inlineStr">
        <is>
          <t>T-0570</t>
        </is>
      </c>
      <c r="AM426" s="30" t="inlineStr">
        <is>
          <t>I-01-01</t>
        </is>
      </c>
      <c r="AN426" s="30" t="inlineStr">
        <is>
          <t>T-0434</t>
        </is>
      </c>
      <c r="AO426" s="30" t="inlineStr">
        <is>
          <t>I-02-01</t>
        </is>
      </c>
    </row>
    <row r="427">
      <c r="A427" s="30" t="inlineStr">
        <is>
          <t>O0426</t>
        </is>
      </c>
      <c r="B427" s="30" t="inlineStr">
        <is>
          <t>E</t>
        </is>
      </c>
      <c r="C427" s="31" t="n">
        <v>5482.1</v>
      </c>
      <c r="D427" s="31" t="n">
        <v>15276</v>
      </c>
      <c r="E427" s="31" t="n">
        <v>15300.5</v>
      </c>
      <c r="F427" s="31" t="n">
        <v>15316.7</v>
      </c>
      <c r="G427" s="31" t="n">
        <v>15345</v>
      </c>
      <c r="H427" s="31" t="n">
        <v>16122.1</v>
      </c>
      <c r="I427" s="31" t="n">
        <v>16135.7</v>
      </c>
      <c r="J427" s="31" t="n">
        <v>16168.7</v>
      </c>
      <c r="K427" s="31" t="n">
        <v>10686.6</v>
      </c>
      <c r="L427" s="31" t="n">
        <v>9793.9</v>
      </c>
      <c r="M427" s="30" t="inlineStr">
        <is>
          <t>AMR1</t>
        </is>
      </c>
      <c r="N427" s="30" t="inlineStr">
        <is>
          <t>AMR3</t>
        </is>
      </c>
      <c r="O427" s="32" t="n">
        <v>1</v>
      </c>
      <c r="P427" s="32" t="n">
        <v>25</v>
      </c>
      <c r="Q427" s="32" t="n">
        <v>2</v>
      </c>
      <c r="R427" s="31" t="n">
        <v>66.09999999999999</v>
      </c>
      <c r="S427" s="31" t="n">
        <v>66.09999999999999</v>
      </c>
      <c r="T427" s="30" t="inlineStr">
        <is>
          <t>AMR1</t>
        </is>
      </c>
      <c r="U427" s="31" t="n">
        <v>47.3</v>
      </c>
      <c r="V427" s="31" t="n">
        <v>47.3</v>
      </c>
      <c r="W427" s="30" t="inlineStr">
        <is>
          <t>AMR3</t>
        </is>
      </c>
      <c r="X427" s="32" t="n">
        <v>0</v>
      </c>
      <c r="Y427" s="32" t="n">
        <v>0</v>
      </c>
      <c r="Z427" s="31" t="n">
        <v>0</v>
      </c>
      <c r="AA427" s="32" t="n">
        <v>0</v>
      </c>
      <c r="AB427" s="32" t="n">
        <v>0</v>
      </c>
      <c r="AC427" s="32" t="n">
        <v>0</v>
      </c>
      <c r="AD427" s="32" t="n">
        <v>0</v>
      </c>
      <c r="AE427" s="31" t="n">
        <v>0</v>
      </c>
      <c r="AF427" s="32" t="n">
        <v>0</v>
      </c>
      <c r="AG427" s="31" t="n">
        <v>0</v>
      </c>
      <c r="AH427" s="32" t="n">
        <v>67</v>
      </c>
      <c r="AI427" s="31" t="n">
        <v>66.09999999999999</v>
      </c>
      <c r="AJ427" s="31" t="n">
        <v>48.5</v>
      </c>
      <c r="AK427" s="31" t="n">
        <v>1</v>
      </c>
      <c r="AL427" s="30" t="inlineStr">
        <is>
          <t>T-0571</t>
        </is>
      </c>
      <c r="AM427" s="30" t="inlineStr">
        <is>
          <t>E-02-01</t>
        </is>
      </c>
      <c r="AN427" s="30" t="inlineStr">
        <is>
          <t>T-0360</t>
        </is>
      </c>
      <c r="AO427" s="30" t="inlineStr">
        <is>
          <t>E-01-01</t>
        </is>
      </c>
    </row>
    <row r="428">
      <c r="A428" s="30" t="inlineStr">
        <is>
          <t>O0427</t>
        </is>
      </c>
      <c r="B428" s="30" t="inlineStr">
        <is>
          <t>J</t>
        </is>
      </c>
      <c r="C428" s="31" t="n">
        <v>5505.6</v>
      </c>
      <c r="D428" s="31" t="n">
        <v>15736.6</v>
      </c>
      <c r="E428" s="31" t="n">
        <v>15760.1</v>
      </c>
      <c r="F428" s="31" t="n">
        <v>15780.6</v>
      </c>
      <c r="G428" s="31" t="n">
        <v>15810.6</v>
      </c>
      <c r="H428" s="31" t="n">
        <v>15979.7</v>
      </c>
      <c r="I428" s="31" t="n">
        <v>15993.5</v>
      </c>
      <c r="J428" s="31" t="n">
        <v>16025.7</v>
      </c>
      <c r="K428" s="31" t="n">
        <v>10520.1</v>
      </c>
      <c r="L428" s="31" t="n">
        <v>10231</v>
      </c>
      <c r="M428" s="30" t="inlineStr">
        <is>
          <t>AMR3</t>
        </is>
      </c>
      <c r="N428" s="30" t="inlineStr">
        <is>
          <t>AMR2</t>
        </is>
      </c>
      <c r="O428" s="32" t="n">
        <v>1</v>
      </c>
      <c r="P428" s="32" t="n">
        <v>25</v>
      </c>
      <c r="Q428" s="32" t="n">
        <v>1</v>
      </c>
      <c r="R428" s="31" t="n">
        <v>67.2</v>
      </c>
      <c r="S428" s="31" t="n">
        <v>67.2</v>
      </c>
      <c r="T428" s="30" t="inlineStr">
        <is>
          <t>AMR3</t>
        </is>
      </c>
      <c r="U428" s="31" t="n">
        <v>44.1</v>
      </c>
      <c r="V428" s="31" t="n">
        <v>44.1</v>
      </c>
      <c r="W428" s="30" t="inlineStr">
        <is>
          <t>AMR2</t>
        </is>
      </c>
      <c r="X428" s="32" t="n">
        <v>0</v>
      </c>
      <c r="Y428" s="32" t="n">
        <v>0</v>
      </c>
      <c r="Z428" s="31" t="n">
        <v>0</v>
      </c>
      <c r="AA428" s="32" t="n">
        <v>0</v>
      </c>
      <c r="AB428" s="32" t="n">
        <v>0</v>
      </c>
      <c r="AC428" s="32" t="n">
        <v>0</v>
      </c>
      <c r="AD428" s="32" t="n">
        <v>1</v>
      </c>
      <c r="AE428" s="31" t="n">
        <v>2.5</v>
      </c>
      <c r="AF428" s="32" t="n">
        <v>0</v>
      </c>
      <c r="AG428" s="31" t="n">
        <v>0</v>
      </c>
      <c r="AH428" s="32" t="n">
        <v>71</v>
      </c>
      <c r="AI428" s="31" t="n">
        <v>70.8</v>
      </c>
      <c r="AJ428" s="31" t="n">
        <v>46.6</v>
      </c>
      <c r="AK428" s="31" t="n">
        <v>2.6</v>
      </c>
      <c r="AL428" s="30" t="inlineStr">
        <is>
          <t>T-0582</t>
        </is>
      </c>
      <c r="AM428" s="30" t="inlineStr">
        <is>
          <t>J-03-01</t>
        </is>
      </c>
      <c r="AN428" s="30" t="inlineStr">
        <is>
          <t>T-0466</t>
        </is>
      </c>
      <c r="AO428" s="30" t="inlineStr">
        <is>
          <t>J-06-01</t>
        </is>
      </c>
    </row>
    <row r="429">
      <c r="A429" s="30" t="inlineStr">
        <is>
          <t>O0428</t>
        </is>
      </c>
      <c r="B429" s="30" t="inlineStr">
        <is>
          <t>J</t>
        </is>
      </c>
      <c r="C429" s="31" t="n">
        <v>5523.9</v>
      </c>
      <c r="D429" s="31" t="n">
        <v>15442.3</v>
      </c>
      <c r="E429" s="31" t="n">
        <v>15465.8</v>
      </c>
      <c r="F429" s="31" t="n">
        <v>15476.7</v>
      </c>
      <c r="G429" s="31" t="n">
        <v>15503.2</v>
      </c>
      <c r="H429" s="31" t="n">
        <v>15503.3</v>
      </c>
      <c r="I429" s="31" t="n">
        <v>15516.1</v>
      </c>
      <c r="J429" s="31" t="n">
        <v>15549.3</v>
      </c>
      <c r="K429" s="31" t="n">
        <v>10025.4</v>
      </c>
      <c r="L429" s="31" t="n">
        <v>9918.4</v>
      </c>
      <c r="M429" s="30" t="inlineStr">
        <is>
          <t>AMR2</t>
        </is>
      </c>
      <c r="N429" s="30" t="inlineStr">
        <is>
          <t>AMR2</t>
        </is>
      </c>
      <c r="O429" s="32" t="n">
        <v>1</v>
      </c>
      <c r="P429" s="32" t="n">
        <v>25</v>
      </c>
      <c r="Q429" s="32" t="n">
        <v>1</v>
      </c>
      <c r="R429" s="31" t="n">
        <v>59.1</v>
      </c>
      <c r="S429" s="31" t="n">
        <v>59.1</v>
      </c>
      <c r="T429" s="30" t="inlineStr">
        <is>
          <t>AMR2</t>
        </is>
      </c>
      <c r="U429" s="31" t="n">
        <v>41.2</v>
      </c>
      <c r="V429" s="31" t="n">
        <v>41.2</v>
      </c>
      <c r="W429" s="30" t="inlineStr">
        <is>
          <t>AMR2</t>
        </is>
      </c>
      <c r="X429" s="32" t="n">
        <v>0</v>
      </c>
      <c r="Y429" s="32" t="n">
        <v>0</v>
      </c>
      <c r="Z429" s="31" t="n">
        <v>0</v>
      </c>
      <c r="AA429" s="32" t="n">
        <v>0</v>
      </c>
      <c r="AB429" s="32" t="n">
        <v>0</v>
      </c>
      <c r="AC429" s="32" t="n">
        <v>0</v>
      </c>
      <c r="AD429" s="32" t="n">
        <v>1</v>
      </c>
      <c r="AE429" s="31" t="n">
        <v>3</v>
      </c>
      <c r="AF429" s="32" t="n">
        <v>0</v>
      </c>
      <c r="AG429" s="31" t="n">
        <v>0</v>
      </c>
      <c r="AH429" s="32" t="n">
        <v>68</v>
      </c>
      <c r="AI429" s="31" t="n">
        <v>68.3</v>
      </c>
      <c r="AJ429" s="31" t="n">
        <v>35.6</v>
      </c>
      <c r="AK429" s="31" t="n">
        <v>3</v>
      </c>
      <c r="AL429" s="30" t="inlineStr">
        <is>
          <t>T-0574</t>
        </is>
      </c>
      <c r="AM429" s="30" t="inlineStr">
        <is>
          <t>J-02-01</t>
        </is>
      </c>
      <c r="AN429" s="30" t="inlineStr">
        <is>
          <t>T-0435</t>
        </is>
      </c>
      <c r="AO429" s="30" t="inlineStr">
        <is>
          <t>J-04-01</t>
        </is>
      </c>
    </row>
    <row r="430">
      <c r="A430" s="30" t="inlineStr">
        <is>
          <t>O0429</t>
        </is>
      </c>
      <c r="B430" s="30" t="inlineStr">
        <is>
          <t>F</t>
        </is>
      </c>
      <c r="C430" s="31" t="n">
        <v>5540.3</v>
      </c>
      <c r="D430" s="31" t="n">
        <v>15655.4</v>
      </c>
      <c r="E430" s="31" t="n">
        <v>15679.9</v>
      </c>
      <c r="F430" s="31" t="n">
        <v>15693.5</v>
      </c>
      <c r="G430" s="31" t="n">
        <v>15726.8</v>
      </c>
      <c r="H430" s="31" t="n">
        <v>15726.9</v>
      </c>
      <c r="I430" s="31" t="n">
        <v>15738.8</v>
      </c>
      <c r="J430" s="31" t="n">
        <v>15769</v>
      </c>
      <c r="K430" s="31" t="n">
        <v>10228.7</v>
      </c>
      <c r="L430" s="31" t="n">
        <v>10115.1</v>
      </c>
      <c r="M430" s="30" t="inlineStr">
        <is>
          <t>AMR2</t>
        </is>
      </c>
      <c r="N430" s="30" t="inlineStr">
        <is>
          <t>AMR2</t>
        </is>
      </c>
      <c r="O430" s="32" t="n">
        <v>1</v>
      </c>
      <c r="P430" s="32" t="n">
        <v>25</v>
      </c>
      <c r="Q430" s="32" t="n">
        <v>1</v>
      </c>
      <c r="R430" s="31" t="n">
        <v>67</v>
      </c>
      <c r="S430" s="31" t="n">
        <v>67</v>
      </c>
      <c r="T430" s="30" t="inlineStr">
        <is>
          <t>AMR2</t>
        </is>
      </c>
      <c r="U430" s="31" t="n">
        <v>42.7</v>
      </c>
      <c r="V430" s="31" t="n">
        <v>42.7</v>
      </c>
      <c r="W430" s="30" t="inlineStr">
        <is>
          <t>AMR2</t>
        </is>
      </c>
      <c r="X430" s="32" t="n">
        <v>0</v>
      </c>
      <c r="Y430" s="32" t="n">
        <v>0</v>
      </c>
      <c r="Z430" s="31" t="n">
        <v>0</v>
      </c>
      <c r="AA430" s="32" t="n">
        <v>0</v>
      </c>
      <c r="AB430" s="32" t="n">
        <v>0</v>
      </c>
      <c r="AC430" s="32" t="n">
        <v>0</v>
      </c>
      <c r="AD430" s="32" t="n">
        <v>0</v>
      </c>
      <c r="AE430" s="31" t="n">
        <v>0</v>
      </c>
      <c r="AF430" s="32" t="n">
        <v>0</v>
      </c>
      <c r="AG430" s="31" t="n">
        <v>0</v>
      </c>
      <c r="AH430" s="32" t="n">
        <v>72</v>
      </c>
      <c r="AI430" s="31" t="n">
        <v>70.7</v>
      </c>
      <c r="AJ430" s="31" t="n">
        <v>41.8</v>
      </c>
      <c r="AK430" s="31" t="n">
        <v>1</v>
      </c>
      <c r="AL430" s="30" t="inlineStr">
        <is>
          <t>T-0580</t>
        </is>
      </c>
      <c r="AM430" s="30" t="inlineStr">
        <is>
          <t>F-02-01</t>
        </is>
      </c>
      <c r="AN430" s="30" t="inlineStr">
        <is>
          <t>T-0346</t>
        </is>
      </c>
      <c r="AO430" s="30" t="inlineStr">
        <is>
          <t>F-03-01</t>
        </is>
      </c>
    </row>
    <row r="431">
      <c r="A431" s="30" t="inlineStr">
        <is>
          <t>O0430</t>
        </is>
      </c>
      <c r="B431" s="30" t="inlineStr">
        <is>
          <t>G</t>
        </is>
      </c>
      <c r="C431" s="31" t="n">
        <v>5565</v>
      </c>
      <c r="D431" s="31" t="n">
        <v>15529.6</v>
      </c>
      <c r="E431" s="31" t="n">
        <v>15553.1</v>
      </c>
      <c r="F431" s="31" t="n">
        <v>15564.3</v>
      </c>
      <c r="G431" s="31" t="n">
        <v>15590</v>
      </c>
      <c r="H431" s="31" t="n">
        <v>15590.1</v>
      </c>
      <c r="I431" s="31" t="n">
        <v>15604</v>
      </c>
      <c r="J431" s="31" t="n">
        <v>15631.9</v>
      </c>
      <c r="K431" s="31" t="n">
        <v>10066.9</v>
      </c>
      <c r="L431" s="31" t="n">
        <v>9964.6</v>
      </c>
      <c r="M431" s="30" t="inlineStr">
        <is>
          <t>AMR3</t>
        </is>
      </c>
      <c r="N431" s="30" t="inlineStr">
        <is>
          <t>AMR3</t>
        </is>
      </c>
      <c r="O431" s="32" t="n">
        <v>1</v>
      </c>
      <c r="P431" s="32" t="n">
        <v>25</v>
      </c>
      <c r="Q431" s="32" t="n">
        <v>0</v>
      </c>
      <c r="R431" s="31" t="n">
        <v>57.8</v>
      </c>
      <c r="S431" s="31" t="n">
        <v>57.8</v>
      </c>
      <c r="T431" s="30" t="inlineStr">
        <is>
          <t>AMR3</t>
        </is>
      </c>
      <c r="U431" s="31" t="n">
        <v>41.5</v>
      </c>
      <c r="V431" s="31" t="n">
        <v>41.5</v>
      </c>
      <c r="W431" s="30" t="inlineStr">
        <is>
          <t>AMR3</t>
        </is>
      </c>
      <c r="X431" s="32" t="n">
        <v>0</v>
      </c>
      <c r="Y431" s="32" t="n">
        <v>0</v>
      </c>
      <c r="Z431" s="31" t="n">
        <v>0</v>
      </c>
      <c r="AA431" s="32" t="n">
        <v>0</v>
      </c>
      <c r="AB431" s="32" t="n">
        <v>0</v>
      </c>
      <c r="AC431" s="32" t="n">
        <v>0</v>
      </c>
      <c r="AD431" s="32" t="n">
        <v>0</v>
      </c>
      <c r="AE431" s="31" t="n">
        <v>0</v>
      </c>
      <c r="AF431" s="32" t="n">
        <v>0</v>
      </c>
      <c r="AG431" s="31" t="n">
        <v>0</v>
      </c>
      <c r="AH431" s="32" t="n">
        <v>58</v>
      </c>
      <c r="AI431" s="31" t="n">
        <v>59.5</v>
      </c>
      <c r="AJ431" s="31" t="n">
        <v>42.7</v>
      </c>
      <c r="AK431" s="31" t="n">
        <v>0</v>
      </c>
      <c r="AL431" s="30" t="inlineStr">
        <is>
          <t>T-0576</t>
        </is>
      </c>
      <c r="AM431" s="30" t="inlineStr">
        <is>
          <t>G-03-03</t>
        </is>
      </c>
      <c r="AN431" s="30" t="inlineStr">
        <is>
          <t>T-0337</t>
        </is>
      </c>
      <c r="AO431" s="30" t="inlineStr">
        <is>
          <t>G-05-01</t>
        </is>
      </c>
    </row>
    <row r="432">
      <c r="A432" s="30" t="inlineStr">
        <is>
          <t>O0431</t>
        </is>
      </c>
      <c r="B432" s="30" t="inlineStr">
        <is>
          <t>B</t>
        </is>
      </c>
      <c r="C432" s="31" t="n">
        <v>5586</v>
      </c>
      <c r="D432" s="31" t="n">
        <v>15461.4</v>
      </c>
      <c r="E432" s="31" t="n">
        <v>15489.9</v>
      </c>
      <c r="F432" s="31" t="n">
        <v>15505.1</v>
      </c>
      <c r="G432" s="31" t="n">
        <v>15529.2</v>
      </c>
      <c r="H432" s="31" t="n">
        <v>15529.3</v>
      </c>
      <c r="I432" s="31" t="n">
        <v>15538.4</v>
      </c>
      <c r="J432" s="31" t="n">
        <v>15569.8</v>
      </c>
      <c r="K432" s="31" t="n">
        <v>9983.799999999999</v>
      </c>
      <c r="L432" s="31" t="n">
        <v>9875.4</v>
      </c>
      <c r="M432" s="30" t="inlineStr">
        <is>
          <t>AMR1</t>
        </is>
      </c>
      <c r="N432" s="30" t="inlineStr">
        <is>
          <t>AMR1</t>
        </is>
      </c>
      <c r="O432" s="32" t="n">
        <v>1</v>
      </c>
      <c r="P432" s="32" t="n">
        <v>25</v>
      </c>
      <c r="Q432" s="32" t="n">
        <v>1</v>
      </c>
      <c r="R432" s="31" t="n">
        <v>59.3</v>
      </c>
      <c r="S432" s="31" t="n">
        <v>59.3</v>
      </c>
      <c r="T432" s="30" t="inlineStr">
        <is>
          <t>AMR1</t>
        </is>
      </c>
      <c r="U432" s="31" t="n">
        <v>37.1</v>
      </c>
      <c r="V432" s="31" t="n">
        <v>37.1</v>
      </c>
      <c r="W432" s="30" t="inlineStr">
        <is>
          <t>AMR1</t>
        </is>
      </c>
      <c r="X432" s="32" t="n">
        <v>0</v>
      </c>
      <c r="Y432" s="32" t="n">
        <v>0</v>
      </c>
      <c r="Z432" s="31" t="n">
        <v>0</v>
      </c>
      <c r="AA432" s="32" t="n">
        <v>0</v>
      </c>
      <c r="AB432" s="32" t="n">
        <v>0</v>
      </c>
      <c r="AC432" s="32" t="n">
        <v>0</v>
      </c>
      <c r="AD432" s="32" t="n">
        <v>1</v>
      </c>
      <c r="AE432" s="31" t="n">
        <v>3</v>
      </c>
      <c r="AF432" s="32" t="n">
        <v>0</v>
      </c>
      <c r="AG432" s="31" t="n">
        <v>0</v>
      </c>
      <c r="AH432" s="32" t="n">
        <v>60</v>
      </c>
      <c r="AI432" s="31" t="n">
        <v>60.7</v>
      </c>
      <c r="AJ432" s="31" t="n">
        <v>39.6</v>
      </c>
      <c r="AK432" s="31" t="n">
        <v>8</v>
      </c>
      <c r="AL432" s="30" t="inlineStr">
        <is>
          <t>T-0575</t>
        </is>
      </c>
      <c r="AM432" s="30" t="inlineStr">
        <is>
          <t>B-01-02</t>
        </is>
      </c>
      <c r="AN432" s="30" t="inlineStr">
        <is>
          <t>T-0344</t>
        </is>
      </c>
      <c r="AO432" s="30" t="inlineStr">
        <is>
          <t>B-02-02</t>
        </is>
      </c>
    </row>
    <row r="433">
      <c r="A433" s="30" t="inlineStr">
        <is>
          <t>O0432</t>
        </is>
      </c>
      <c r="B433" s="30" t="inlineStr">
        <is>
          <t>F</t>
        </is>
      </c>
      <c r="C433" s="31" t="n">
        <v>5606.6</v>
      </c>
      <c r="D433" s="31" t="n">
        <v>15769.1</v>
      </c>
      <c r="E433" s="31" t="n">
        <v>15792.6</v>
      </c>
      <c r="F433" s="31" t="n">
        <v>15820.7</v>
      </c>
      <c r="G433" s="31" t="n">
        <v>15852.1</v>
      </c>
      <c r="H433" s="31" t="n">
        <v>16751.7</v>
      </c>
      <c r="I433" s="31" t="n">
        <v>16766.5</v>
      </c>
      <c r="J433" s="31" t="n">
        <v>16797.5</v>
      </c>
      <c r="K433" s="31" t="n">
        <v>11190.9</v>
      </c>
      <c r="L433" s="31" t="n">
        <v>10162.5</v>
      </c>
      <c r="M433" s="30" t="inlineStr">
        <is>
          <t>AMR2</t>
        </is>
      </c>
      <c r="N433" s="30" t="inlineStr">
        <is>
          <t>AMR2</t>
        </is>
      </c>
      <c r="O433" s="32" t="n">
        <v>1</v>
      </c>
      <c r="P433" s="32" t="n">
        <v>25</v>
      </c>
      <c r="Q433" s="32" t="n">
        <v>1</v>
      </c>
      <c r="R433" s="31" t="n">
        <v>69.09999999999999</v>
      </c>
      <c r="S433" s="31" t="n">
        <v>69.09999999999999</v>
      </c>
      <c r="T433" s="30" t="inlineStr">
        <is>
          <t>AMR2</t>
        </is>
      </c>
      <c r="U433" s="31" t="n">
        <v>48</v>
      </c>
      <c r="V433" s="31" t="n">
        <v>48</v>
      </c>
      <c r="W433" s="30" t="inlineStr">
        <is>
          <t>AMR2</t>
        </is>
      </c>
      <c r="X433" s="32" t="n">
        <v>0</v>
      </c>
      <c r="Y433" s="32" t="n">
        <v>0</v>
      </c>
      <c r="Z433" s="31" t="n">
        <v>0</v>
      </c>
      <c r="AA433" s="32" t="n">
        <v>0</v>
      </c>
      <c r="AB433" s="32" t="n">
        <v>0</v>
      </c>
      <c r="AC433" s="32" t="n">
        <v>0</v>
      </c>
      <c r="AD433" s="32" t="n">
        <v>4</v>
      </c>
      <c r="AE433" s="31" t="n">
        <v>8.5</v>
      </c>
      <c r="AF433" s="32" t="n">
        <v>1</v>
      </c>
      <c r="AG433" s="31" t="n">
        <v>2.3</v>
      </c>
      <c r="AH433" s="32" t="n">
        <v>71</v>
      </c>
      <c r="AI433" s="31" t="n">
        <v>70.8</v>
      </c>
      <c r="AJ433" s="31" t="n">
        <v>49.2</v>
      </c>
      <c r="AK433" s="31" t="n">
        <v>8.800000000000001</v>
      </c>
      <c r="AL433" s="30" t="inlineStr">
        <is>
          <t>T-0583</t>
        </is>
      </c>
      <c r="AM433" s="30" t="inlineStr">
        <is>
          <t>F-03-01</t>
        </is>
      </c>
      <c r="AN433" s="30" t="inlineStr">
        <is>
          <t>T-0393</t>
        </is>
      </c>
      <c r="AO433" s="30" t="inlineStr">
        <is>
          <t>F-06-01</t>
        </is>
      </c>
    </row>
    <row r="434">
      <c r="A434" s="30" t="inlineStr">
        <is>
          <t>O0433</t>
        </is>
      </c>
      <c r="B434" s="30" t="inlineStr">
        <is>
          <t>I</t>
        </is>
      </c>
      <c r="C434" s="31" t="n">
        <v>5628.3</v>
      </c>
      <c r="D434" s="31" t="n">
        <v>15549.4</v>
      </c>
      <c r="E434" s="31" t="n">
        <v>15576.9</v>
      </c>
      <c r="F434" s="31" t="n">
        <v>15591.2</v>
      </c>
      <c r="G434" s="31" t="n">
        <v>15615.5</v>
      </c>
      <c r="H434" s="31" t="n">
        <v>15615.6</v>
      </c>
      <c r="I434" s="31" t="n">
        <v>15630.5</v>
      </c>
      <c r="J434" s="31" t="n">
        <v>15655.3</v>
      </c>
      <c r="K434" s="31" t="n">
        <v>10027</v>
      </c>
      <c r="L434" s="31" t="n">
        <v>9921.1</v>
      </c>
      <c r="M434" s="30" t="inlineStr">
        <is>
          <t>AMR2</t>
        </is>
      </c>
      <c r="N434" s="30" t="inlineStr">
        <is>
          <t>AMR2</t>
        </is>
      </c>
      <c r="O434" s="32" t="n">
        <v>1</v>
      </c>
      <c r="P434" s="32" t="n">
        <v>25</v>
      </c>
      <c r="Q434" s="32" t="n">
        <v>1</v>
      </c>
      <c r="R434" s="31" t="n">
        <v>60.3</v>
      </c>
      <c r="S434" s="31" t="n">
        <v>60.3</v>
      </c>
      <c r="T434" s="30" t="inlineStr">
        <is>
          <t>AMR2</t>
        </is>
      </c>
      <c r="U434" s="31" t="n">
        <v>38.4</v>
      </c>
      <c r="V434" s="31" t="n">
        <v>38.4</v>
      </c>
      <c r="W434" s="30" t="inlineStr">
        <is>
          <t>AMR2</t>
        </is>
      </c>
      <c r="X434" s="32" t="n">
        <v>0</v>
      </c>
      <c r="Y434" s="32" t="n">
        <v>0</v>
      </c>
      <c r="Z434" s="31" t="n">
        <v>0</v>
      </c>
      <c r="AA434" s="32" t="n">
        <v>0</v>
      </c>
      <c r="AB434" s="32" t="n">
        <v>0</v>
      </c>
      <c r="AC434" s="32" t="n">
        <v>0</v>
      </c>
      <c r="AD434" s="32" t="n">
        <v>0</v>
      </c>
      <c r="AE434" s="31" t="n">
        <v>0</v>
      </c>
      <c r="AF434" s="32" t="n">
        <v>0</v>
      </c>
      <c r="AG434" s="31" t="n">
        <v>0</v>
      </c>
      <c r="AH434" s="32" t="n">
        <v>54</v>
      </c>
      <c r="AI434" s="31" t="n">
        <v>57.2</v>
      </c>
      <c r="AJ434" s="31" t="n">
        <v>44.6</v>
      </c>
      <c r="AK434" s="31" t="n">
        <v>4</v>
      </c>
      <c r="AL434" s="30" t="inlineStr">
        <is>
          <t>T-0577</t>
        </is>
      </c>
      <c r="AM434" s="30" t="inlineStr">
        <is>
          <t>I-02-01</t>
        </is>
      </c>
      <c r="AN434" s="30" t="inlineStr">
        <is>
          <t>T-0437</t>
        </is>
      </c>
      <c r="AO434" s="30" t="inlineStr">
        <is>
          <t>I-03-01</t>
        </is>
      </c>
    </row>
    <row r="435">
      <c r="A435" s="30" t="inlineStr">
        <is>
          <t>O0434</t>
        </is>
      </c>
      <c r="B435" s="30" t="inlineStr">
        <is>
          <t>G</t>
        </is>
      </c>
      <c r="C435" s="31" t="n">
        <v>5649.7</v>
      </c>
      <c r="D435" s="31" t="n">
        <v>16025.8</v>
      </c>
      <c r="E435" s="31" t="n">
        <v>16049.3</v>
      </c>
      <c r="F435" s="31" t="n">
        <v>16063.9</v>
      </c>
      <c r="G435" s="31" t="n">
        <v>16090.3</v>
      </c>
      <c r="H435" s="31" t="n">
        <v>16090.4</v>
      </c>
      <c r="I435" s="31" t="n">
        <v>16100.8</v>
      </c>
      <c r="J435" s="31" t="n">
        <v>16130.6</v>
      </c>
      <c r="K435" s="31" t="n">
        <v>10480.9</v>
      </c>
      <c r="L435" s="31" t="n">
        <v>10376.1</v>
      </c>
      <c r="M435" s="30" t="inlineStr">
        <is>
          <t>AMR2</t>
        </is>
      </c>
      <c r="N435" s="30" t="inlineStr">
        <is>
          <t>AMR2</t>
        </is>
      </c>
      <c r="O435" s="32" t="n">
        <v>1</v>
      </c>
      <c r="P435" s="32" t="n">
        <v>25</v>
      </c>
      <c r="Q435" s="32" t="n">
        <v>1</v>
      </c>
      <c r="R435" s="31" t="n">
        <v>62.7</v>
      </c>
      <c r="S435" s="31" t="n">
        <v>62.7</v>
      </c>
      <c r="T435" s="30" t="inlineStr">
        <is>
          <t>AMR2</t>
        </is>
      </c>
      <c r="U435" s="31" t="n">
        <v>41.4</v>
      </c>
      <c r="V435" s="31" t="n">
        <v>41.4</v>
      </c>
      <c r="W435" s="30" t="inlineStr">
        <is>
          <t>AMR2</t>
        </is>
      </c>
      <c r="X435" s="32" t="n">
        <v>0</v>
      </c>
      <c r="Y435" s="32" t="n">
        <v>0</v>
      </c>
      <c r="Z435" s="31" t="n">
        <v>0</v>
      </c>
      <c r="AA435" s="32" t="n">
        <v>0</v>
      </c>
      <c r="AB435" s="32" t="n">
        <v>0</v>
      </c>
      <c r="AC435" s="32" t="n">
        <v>0</v>
      </c>
      <c r="AD435" s="32" t="n">
        <v>0</v>
      </c>
      <c r="AE435" s="31" t="n">
        <v>0</v>
      </c>
      <c r="AF435" s="32" t="n">
        <v>0</v>
      </c>
      <c r="AG435" s="31" t="n">
        <v>0</v>
      </c>
      <c r="AH435" s="32" t="n">
        <v>56</v>
      </c>
      <c r="AI435" s="31" t="n">
        <v>57.9</v>
      </c>
      <c r="AJ435" s="31" t="n">
        <v>46.8</v>
      </c>
      <c r="AK435" s="31" t="n">
        <v>0</v>
      </c>
      <c r="AL435" s="30" t="inlineStr">
        <is>
          <t>T-0590</t>
        </is>
      </c>
      <c r="AM435" s="30" t="inlineStr">
        <is>
          <t>G-05-01</t>
        </is>
      </c>
      <c r="AN435" s="30" t="inlineStr">
        <is>
          <t>T-0341</t>
        </is>
      </c>
      <c r="AO435" s="30" t="inlineStr">
        <is>
          <t>G-05-03</t>
        </is>
      </c>
    </row>
    <row r="436">
      <c r="A436" s="30" t="inlineStr">
        <is>
          <t>O0435</t>
        </is>
      </c>
      <c r="B436" s="30" t="inlineStr">
        <is>
          <t>F</t>
        </is>
      </c>
      <c r="C436" s="31" t="n">
        <v>5668.3</v>
      </c>
      <c r="D436" s="31" t="n">
        <v>16875.8</v>
      </c>
      <c r="E436" s="31" t="n">
        <v>16899.3</v>
      </c>
      <c r="F436" s="31" t="n">
        <v>16915</v>
      </c>
      <c r="G436" s="31" t="n">
        <v>16948.2</v>
      </c>
      <c r="H436" s="31" t="n">
        <v>16948.3</v>
      </c>
      <c r="I436" s="31" t="n">
        <v>16963.8</v>
      </c>
      <c r="J436" s="31" t="n">
        <v>16996.3</v>
      </c>
      <c r="K436" s="31" t="n">
        <v>11328</v>
      </c>
      <c r="L436" s="31" t="n">
        <v>11207.5</v>
      </c>
      <c r="M436" s="30" t="inlineStr">
        <is>
          <t>AMR3</t>
        </is>
      </c>
      <c r="N436" s="30" t="inlineStr">
        <is>
          <t>AMR3</t>
        </is>
      </c>
      <c r="O436" s="32" t="n">
        <v>1</v>
      </c>
      <c r="P436" s="32" t="n">
        <v>25</v>
      </c>
      <c r="Q436" s="32" t="n">
        <v>2</v>
      </c>
      <c r="R436" s="31" t="n">
        <v>71.40000000000001</v>
      </c>
      <c r="S436" s="31" t="n">
        <v>67.3</v>
      </c>
      <c r="T436" s="30" t="inlineStr">
        <is>
          <t>AMR1</t>
        </is>
      </c>
      <c r="U436" s="31" t="n">
        <v>46.2</v>
      </c>
      <c r="V436" s="31" t="n">
        <v>46.2</v>
      </c>
      <c r="W436" s="30" t="inlineStr">
        <is>
          <t>AMR3</t>
        </is>
      </c>
      <c r="X436" s="32" t="n">
        <v>1</v>
      </c>
      <c r="Y436" s="32" t="n">
        <v>13</v>
      </c>
      <c r="Z436" s="31" t="n">
        <v>4.1</v>
      </c>
      <c r="AA436" s="32" t="n">
        <v>0</v>
      </c>
      <c r="AB436" s="32" t="n">
        <v>0</v>
      </c>
      <c r="AC436" s="32" t="n">
        <v>0</v>
      </c>
      <c r="AD436" s="32" t="n">
        <v>0</v>
      </c>
      <c r="AE436" s="31" t="n">
        <v>0</v>
      </c>
      <c r="AF436" s="32" t="n">
        <v>0</v>
      </c>
      <c r="AG436" s="31" t="n">
        <v>0</v>
      </c>
      <c r="AH436" s="32" t="n">
        <v>72</v>
      </c>
      <c r="AI436" s="31" t="n">
        <v>71.40000000000001</v>
      </c>
      <c r="AJ436" s="31" t="n">
        <v>49</v>
      </c>
      <c r="AK436" s="31" t="n">
        <v>0</v>
      </c>
      <c r="AL436" s="30" t="inlineStr">
        <is>
          <t>T-0613</t>
        </is>
      </c>
      <c r="AM436" s="30" t="inlineStr">
        <is>
          <t>F-06-01</t>
        </is>
      </c>
      <c r="AN436" s="30" t="inlineStr">
        <is>
          <t>T-0412</t>
        </is>
      </c>
      <c r="AO436" s="30" t="inlineStr">
        <is>
          <t>F-02-02</t>
        </is>
      </c>
    </row>
    <row r="437">
      <c r="A437" s="30" t="inlineStr">
        <is>
          <t>O0436</t>
        </is>
      </c>
      <c r="B437" s="30" t="inlineStr">
        <is>
          <t>D</t>
        </is>
      </c>
      <c r="C437" s="31" t="n">
        <v>5685.1</v>
      </c>
      <c r="D437" s="31" t="n">
        <v>15632</v>
      </c>
      <c r="E437" s="31" t="n">
        <v>15655.5</v>
      </c>
      <c r="F437" s="31" t="n">
        <v>15671.5</v>
      </c>
      <c r="G437" s="31" t="n">
        <v>15697.7</v>
      </c>
      <c r="H437" s="31" t="n">
        <v>15697.8</v>
      </c>
      <c r="I437" s="31" t="n">
        <v>15710.6</v>
      </c>
      <c r="J437" s="31" t="n">
        <v>15736.5</v>
      </c>
      <c r="K437" s="31" t="n">
        <v>10051.4</v>
      </c>
      <c r="L437" s="31" t="n">
        <v>9946.9</v>
      </c>
      <c r="M437" s="30" t="inlineStr">
        <is>
          <t>AMR3</t>
        </is>
      </c>
      <c r="N437" s="30" t="inlineStr">
        <is>
          <t>AMR3</t>
        </is>
      </c>
      <c r="O437" s="32" t="n">
        <v>1</v>
      </c>
      <c r="P437" s="32" t="n">
        <v>25</v>
      </c>
      <c r="Q437" s="32" t="n">
        <v>2</v>
      </c>
      <c r="R437" s="31" t="n">
        <v>61.4</v>
      </c>
      <c r="S437" s="31" t="n">
        <v>61.4</v>
      </c>
      <c r="T437" s="30" t="inlineStr">
        <is>
          <t>AMR3</t>
        </is>
      </c>
      <c r="U437" s="31" t="n">
        <v>38.2</v>
      </c>
      <c r="V437" s="31" t="n">
        <v>38.2</v>
      </c>
      <c r="W437" s="30" t="inlineStr">
        <is>
          <t>AMR3</t>
        </is>
      </c>
      <c r="X437" s="32" t="n">
        <v>0</v>
      </c>
      <c r="Y437" s="32" t="n">
        <v>0</v>
      </c>
      <c r="Z437" s="31" t="n">
        <v>0</v>
      </c>
      <c r="AA437" s="32" t="n">
        <v>0</v>
      </c>
      <c r="AB437" s="32" t="n">
        <v>0</v>
      </c>
      <c r="AC437" s="32" t="n">
        <v>0</v>
      </c>
      <c r="AD437" s="32" t="n">
        <v>0</v>
      </c>
      <c r="AE437" s="31" t="n">
        <v>0</v>
      </c>
      <c r="AF437" s="32" t="n">
        <v>0</v>
      </c>
      <c r="AG437" s="31" t="n">
        <v>0</v>
      </c>
      <c r="AH437" s="32" t="n">
        <v>58</v>
      </c>
      <c r="AI437" s="31" t="n">
        <v>59.1</v>
      </c>
      <c r="AJ437" s="31" t="n">
        <v>45.3</v>
      </c>
      <c r="AK437" s="31" t="n">
        <v>0</v>
      </c>
      <c r="AL437" s="30" t="inlineStr">
        <is>
          <t>T-0579</t>
        </is>
      </c>
      <c r="AM437" s="30" t="inlineStr">
        <is>
          <t>D-06-01</t>
        </is>
      </c>
      <c r="AN437" s="30" t="inlineStr">
        <is>
          <t>T-0452</t>
        </is>
      </c>
      <c r="AO437" s="30" t="inlineStr">
        <is>
          <t>D-05-01</t>
        </is>
      </c>
    </row>
    <row r="438">
      <c r="A438" s="30" t="inlineStr">
        <is>
          <t>O0437</t>
        </is>
      </c>
      <c r="B438" s="30" t="inlineStr">
        <is>
          <t>H</t>
        </is>
      </c>
      <c r="C438" s="31" t="n">
        <v>5709.6</v>
      </c>
      <c r="D438" s="31" t="n">
        <v>15757.2</v>
      </c>
      <c r="E438" s="31" t="n">
        <v>15816.6</v>
      </c>
      <c r="F438" s="31" t="n">
        <v>15828.4</v>
      </c>
      <c r="G438" s="31" t="n">
        <v>15854.8</v>
      </c>
      <c r="H438" s="31" t="n">
        <v>15854.9</v>
      </c>
      <c r="I438" s="31" t="n">
        <v>15864.3</v>
      </c>
      <c r="J438" s="31" t="n">
        <v>15889.8</v>
      </c>
      <c r="K438" s="31" t="n">
        <v>10180.2</v>
      </c>
      <c r="L438" s="31" t="n">
        <v>10047.6</v>
      </c>
      <c r="M438" s="30" t="inlineStr">
        <is>
          <t>AMR1</t>
        </is>
      </c>
      <c r="N438" s="30" t="inlineStr">
        <is>
          <t>AMR1</t>
        </is>
      </c>
      <c r="O438" s="32" t="n">
        <v>1</v>
      </c>
      <c r="P438" s="32" t="n">
        <v>12</v>
      </c>
      <c r="Q438" s="32" t="n">
        <v>1</v>
      </c>
      <c r="R438" s="31" t="n">
        <v>49</v>
      </c>
      <c r="S438" s="31" t="n">
        <v>49</v>
      </c>
      <c r="T438" s="30" t="inlineStr">
        <is>
          <t>AMR1</t>
        </is>
      </c>
      <c r="U438" s="31" t="n">
        <v>35.6</v>
      </c>
      <c r="V438" s="31" t="n">
        <v>35.6</v>
      </c>
      <c r="W438" s="30" t="inlineStr">
        <is>
          <t>AMR1</t>
        </is>
      </c>
      <c r="X438" s="32" t="n">
        <v>0</v>
      </c>
      <c r="Y438" s="32" t="n">
        <v>0</v>
      </c>
      <c r="Z438" s="31" t="n">
        <v>0</v>
      </c>
      <c r="AA438" s="32" t="n">
        <v>0</v>
      </c>
      <c r="AB438" s="32" t="n">
        <v>0</v>
      </c>
      <c r="AC438" s="32" t="n">
        <v>0</v>
      </c>
      <c r="AD438" s="32" t="n">
        <v>1</v>
      </c>
      <c r="AE438" s="31" t="n">
        <v>1.5</v>
      </c>
      <c r="AF438" s="32" t="n">
        <v>2</v>
      </c>
      <c r="AG438" s="31" t="n">
        <v>16.9</v>
      </c>
      <c r="AH438" s="32" t="n">
        <v>51</v>
      </c>
      <c r="AI438" s="31" t="n">
        <v>59.2</v>
      </c>
      <c r="AJ438" s="31" t="n">
        <v>41.9</v>
      </c>
      <c r="AK438" s="31" t="n">
        <v>31.4</v>
      </c>
      <c r="AL438" s="30" t="inlineStr">
        <is>
          <t>T-0584</t>
        </is>
      </c>
      <c r="AM438" s="30" t="inlineStr">
        <is>
          <t>H-04-01</t>
        </is>
      </c>
      <c r="AN438" s="30" t="inlineStr">
        <is>
          <t>T-0493</t>
        </is>
      </c>
      <c r="AO438" s="30" t="inlineStr">
        <is>
          <t>H-05-01</t>
        </is>
      </c>
    </row>
    <row r="439">
      <c r="A439" s="30" t="inlineStr">
        <is>
          <t>O0438</t>
        </is>
      </c>
      <c r="B439" s="30" t="inlineStr">
        <is>
          <t>C</t>
        </is>
      </c>
      <c r="C439" s="31" t="n">
        <v>5726.9</v>
      </c>
      <c r="D439" s="31" t="n">
        <v>15693.4</v>
      </c>
      <c r="E439" s="31" t="n">
        <v>15716.9</v>
      </c>
      <c r="F439" s="31" t="n">
        <v>15732.8</v>
      </c>
      <c r="G439" s="31" t="n">
        <v>15757.1</v>
      </c>
      <c r="H439" s="31" t="n">
        <v>16359.6</v>
      </c>
      <c r="I439" s="31" t="n">
        <v>16388</v>
      </c>
      <c r="J439" s="31" t="n">
        <v>16419.4</v>
      </c>
      <c r="K439" s="31" t="n">
        <v>10692.5</v>
      </c>
      <c r="L439" s="31" t="n">
        <v>9966.5</v>
      </c>
      <c r="M439" s="30" t="inlineStr">
        <is>
          <t>AMR1</t>
        </is>
      </c>
      <c r="N439" s="30" t="inlineStr">
        <is>
          <t>AMR1</t>
        </is>
      </c>
      <c r="O439" s="32" t="n">
        <v>1</v>
      </c>
      <c r="P439" s="32" t="n">
        <v>25</v>
      </c>
      <c r="Q439" s="32" t="n">
        <v>16</v>
      </c>
      <c r="R439" s="31" t="n">
        <v>61.8</v>
      </c>
      <c r="S439" s="31" t="n">
        <v>58</v>
      </c>
      <c r="T439" s="30" t="inlineStr">
        <is>
          <t>AMR3</t>
        </is>
      </c>
      <c r="U439" s="31" t="n">
        <v>58.2</v>
      </c>
      <c r="V439" s="31" t="n">
        <v>58.2</v>
      </c>
      <c r="W439" s="30" t="inlineStr">
        <is>
          <t>AMR1</t>
        </is>
      </c>
      <c r="X439" s="32" t="n">
        <v>1</v>
      </c>
      <c r="Y439" s="32" t="n">
        <v>10</v>
      </c>
      <c r="Z439" s="31" t="n">
        <v>3.8</v>
      </c>
      <c r="AA439" s="32" t="n">
        <v>0</v>
      </c>
      <c r="AB439" s="32" t="n">
        <v>0</v>
      </c>
      <c r="AC439" s="32" t="n">
        <v>0</v>
      </c>
      <c r="AD439" s="32" t="n">
        <v>0</v>
      </c>
      <c r="AE439" s="31" t="n">
        <v>0</v>
      </c>
      <c r="AF439" s="32" t="n">
        <v>0</v>
      </c>
      <c r="AG439" s="31" t="n">
        <v>0</v>
      </c>
      <c r="AH439" s="32" t="n">
        <v>69</v>
      </c>
      <c r="AI439" s="31" t="n">
        <v>71.5</v>
      </c>
      <c r="AJ439" s="31" t="n">
        <v>52</v>
      </c>
      <c r="AK439" s="31" t="n">
        <v>0</v>
      </c>
      <c r="AL439" s="30" t="inlineStr">
        <is>
          <t>T-0581</t>
        </is>
      </c>
      <c r="AM439" s="30" t="inlineStr">
        <is>
          <t>C-05-02</t>
        </is>
      </c>
      <c r="AN439" s="30" t="inlineStr">
        <is>
          <t>T-0489</t>
        </is>
      </c>
      <c r="AO439" s="30" t="inlineStr">
        <is>
          <t>C-03-03</t>
        </is>
      </c>
    </row>
    <row r="440">
      <c r="A440" s="30" t="inlineStr">
        <is>
          <t>O0439</t>
        </is>
      </c>
      <c r="B440" s="30" t="inlineStr">
        <is>
          <t>B</t>
        </is>
      </c>
      <c r="C440" s="31" t="n">
        <v>5742.6</v>
      </c>
      <c r="D440" s="31" t="n">
        <v>15858</v>
      </c>
      <c r="E440" s="31" t="n">
        <v>15881.5</v>
      </c>
      <c r="F440" s="31" t="n">
        <v>15894.7</v>
      </c>
      <c r="G440" s="31" t="n">
        <v>15922.4</v>
      </c>
      <c r="H440" s="31" t="n">
        <v>15922.5</v>
      </c>
      <c r="I440" s="31" t="n">
        <v>15933.5</v>
      </c>
      <c r="J440" s="31" t="n">
        <v>15962</v>
      </c>
      <c r="K440" s="31" t="n">
        <v>10219.4</v>
      </c>
      <c r="L440" s="31" t="n">
        <v>10115.4</v>
      </c>
      <c r="M440" s="30" t="inlineStr">
        <is>
          <t>AMR3</t>
        </is>
      </c>
      <c r="N440" s="30" t="inlineStr">
        <is>
          <t>AMR3</t>
        </is>
      </c>
      <c r="O440" s="32" t="n">
        <v>1</v>
      </c>
      <c r="P440" s="32" t="n">
        <v>25</v>
      </c>
      <c r="Q440" s="32" t="n">
        <v>1</v>
      </c>
      <c r="R440" s="31" t="n">
        <v>60.9</v>
      </c>
      <c r="S440" s="31" t="n">
        <v>60.9</v>
      </c>
      <c r="T440" s="30" t="inlineStr">
        <is>
          <t>AMR3</t>
        </is>
      </c>
      <c r="U440" s="31" t="n">
        <v>39.1</v>
      </c>
      <c r="V440" s="31" t="n">
        <v>39.1</v>
      </c>
      <c r="W440" s="30" t="inlineStr">
        <is>
          <t>AMR3</t>
        </is>
      </c>
      <c r="X440" s="32" t="n">
        <v>0</v>
      </c>
      <c r="Y440" s="32" t="n">
        <v>0</v>
      </c>
      <c r="Z440" s="31" t="n">
        <v>0</v>
      </c>
      <c r="AA440" s="32" t="n">
        <v>0</v>
      </c>
      <c r="AB440" s="32" t="n">
        <v>0</v>
      </c>
      <c r="AC440" s="32" t="n">
        <v>0</v>
      </c>
      <c r="AD440" s="32" t="n">
        <v>0</v>
      </c>
      <c r="AE440" s="31" t="n">
        <v>0</v>
      </c>
      <c r="AF440" s="32" t="n">
        <v>0</v>
      </c>
      <c r="AG440" s="31" t="n">
        <v>0</v>
      </c>
      <c r="AH440" s="32" t="n">
        <v>60</v>
      </c>
      <c r="AI440" s="31" t="n">
        <v>60.7</v>
      </c>
      <c r="AJ440" s="31" t="n">
        <v>43.2</v>
      </c>
      <c r="AK440" s="31" t="n">
        <v>0</v>
      </c>
      <c r="AL440" s="30" t="inlineStr">
        <is>
          <t>T-0585</t>
        </is>
      </c>
      <c r="AM440" s="30" t="inlineStr">
        <is>
          <t>B-02-02</t>
        </is>
      </c>
      <c r="AN440" s="30" t="inlineStr">
        <is>
          <t>T-0362</t>
        </is>
      </c>
      <c r="AO440" s="30" t="inlineStr">
        <is>
          <t>B-03-02</t>
        </is>
      </c>
    </row>
    <row r="441">
      <c r="A441" s="30" t="inlineStr">
        <is>
          <t>O0440</t>
        </is>
      </c>
      <c r="B441" s="30" t="inlineStr">
        <is>
          <t>I</t>
        </is>
      </c>
      <c r="C441" s="31" t="n">
        <v>5765.4</v>
      </c>
      <c r="D441" s="31" t="n">
        <v>15889.9</v>
      </c>
      <c r="E441" s="31" t="n">
        <v>15913.4</v>
      </c>
      <c r="F441" s="31" t="n">
        <v>15929.4</v>
      </c>
      <c r="G441" s="31" t="n">
        <v>15953.2</v>
      </c>
      <c r="H441" s="31" t="n">
        <v>15953.3</v>
      </c>
      <c r="I441" s="31" t="n">
        <v>15967.5</v>
      </c>
      <c r="J441" s="31" t="n">
        <v>15997.7</v>
      </c>
      <c r="K441" s="31" t="n">
        <v>10232.3</v>
      </c>
      <c r="L441" s="31" t="n">
        <v>10124.5</v>
      </c>
      <c r="M441" s="30" t="inlineStr">
        <is>
          <t>AMR1</t>
        </is>
      </c>
      <c r="N441" s="30" t="inlineStr">
        <is>
          <t>AMR1</t>
        </is>
      </c>
      <c r="O441" s="32" t="n">
        <v>1</v>
      </c>
      <c r="P441" s="32" t="n">
        <v>25</v>
      </c>
      <c r="Q441" s="32" t="n">
        <v>0</v>
      </c>
      <c r="R441" s="31" t="n">
        <v>60.7</v>
      </c>
      <c r="S441" s="31" t="n">
        <v>60.7</v>
      </c>
      <c r="T441" s="30" t="inlineStr">
        <is>
          <t>AMR1</t>
        </is>
      </c>
      <c r="U441" s="31" t="n">
        <v>39.3</v>
      </c>
      <c r="V441" s="31" t="n">
        <v>39.3</v>
      </c>
      <c r="W441" s="30" t="inlineStr">
        <is>
          <t>AMR1</t>
        </is>
      </c>
      <c r="X441" s="32" t="n">
        <v>0</v>
      </c>
      <c r="Y441" s="32" t="n">
        <v>0</v>
      </c>
      <c r="Z441" s="31" t="n">
        <v>0</v>
      </c>
      <c r="AA441" s="32" t="n">
        <v>0</v>
      </c>
      <c r="AB441" s="32" t="n">
        <v>0</v>
      </c>
      <c r="AC441" s="32" t="n">
        <v>0</v>
      </c>
      <c r="AD441" s="32" t="n">
        <v>0</v>
      </c>
      <c r="AE441" s="31" t="n">
        <v>0</v>
      </c>
      <c r="AF441" s="32" t="n">
        <v>0</v>
      </c>
      <c r="AG441" s="31" t="n">
        <v>0</v>
      </c>
      <c r="AH441" s="32" t="n">
        <v>60</v>
      </c>
      <c r="AI441" s="31" t="n">
        <v>61.1</v>
      </c>
      <c r="AJ441" s="31" t="n">
        <v>46.6</v>
      </c>
      <c r="AK441" s="31" t="n">
        <v>0</v>
      </c>
      <c r="AL441" s="30" t="inlineStr">
        <is>
          <t>T-0586</t>
        </is>
      </c>
      <c r="AM441" s="30" t="inlineStr">
        <is>
          <t>I-03-01</t>
        </is>
      </c>
      <c r="AN441" s="30" t="inlineStr">
        <is>
          <t>T-0441</t>
        </is>
      </c>
      <c r="AO441" s="30" t="inlineStr">
        <is>
          <t>I-04-01</t>
        </is>
      </c>
    </row>
    <row r="442">
      <c r="A442" s="30" t="inlineStr">
        <is>
          <t>O0441</t>
        </is>
      </c>
      <c r="B442" s="30" t="inlineStr">
        <is>
          <t>J</t>
        </is>
      </c>
      <c r="C442" s="31" t="n">
        <v>5787</v>
      </c>
      <c r="D442" s="31" t="n">
        <v>16151.7</v>
      </c>
      <c r="E442" s="31" t="n">
        <v>16166.7</v>
      </c>
      <c r="F442" s="31" t="n">
        <v>16178.2</v>
      </c>
      <c r="G442" s="31" t="n">
        <v>16211.5</v>
      </c>
      <c r="H442" s="31" t="n">
        <v>16211.6</v>
      </c>
      <c r="I442" s="31" t="n">
        <v>16224.3</v>
      </c>
      <c r="J442" s="31" t="n">
        <v>16254.4</v>
      </c>
      <c r="K442" s="31" t="n">
        <v>10467.4</v>
      </c>
      <c r="L442" s="31" t="n">
        <v>10364.7</v>
      </c>
      <c r="M442" s="30" t="inlineStr">
        <is>
          <t>AMR1</t>
        </is>
      </c>
      <c r="N442" s="30" t="inlineStr">
        <is>
          <t>AMR1</t>
        </is>
      </c>
      <c r="O442" s="32" t="n">
        <v>1</v>
      </c>
      <c r="P442" s="32" t="n">
        <v>12</v>
      </c>
      <c r="Q442" s="32" t="n">
        <v>2</v>
      </c>
      <c r="R442" s="31" t="n">
        <v>53.8</v>
      </c>
      <c r="S442" s="31" t="n">
        <v>53.8</v>
      </c>
      <c r="T442" s="30" t="inlineStr">
        <is>
          <t>AMR1</t>
        </is>
      </c>
      <c r="U442" s="31" t="n">
        <v>43.5</v>
      </c>
      <c r="V442" s="31" t="n">
        <v>43.5</v>
      </c>
      <c r="W442" s="30" t="inlineStr">
        <is>
          <t>AMR1</t>
        </is>
      </c>
      <c r="X442" s="32" t="n">
        <v>0</v>
      </c>
      <c r="Y442" s="32" t="n">
        <v>0</v>
      </c>
      <c r="Z442" s="31" t="n">
        <v>0</v>
      </c>
      <c r="AA442" s="32" t="n">
        <v>0</v>
      </c>
      <c r="AB442" s="32" t="n">
        <v>0</v>
      </c>
      <c r="AC442" s="32" t="n">
        <v>0</v>
      </c>
      <c r="AD442" s="32" t="n">
        <v>0</v>
      </c>
      <c r="AE442" s="31" t="n">
        <v>0</v>
      </c>
      <c r="AF442" s="32" t="n">
        <v>0</v>
      </c>
      <c r="AG442" s="31" t="n">
        <v>0</v>
      </c>
      <c r="AH442" s="32" t="n">
        <v>57</v>
      </c>
      <c r="AI442" s="31" t="n">
        <v>57.4</v>
      </c>
      <c r="AJ442" s="31" t="n">
        <v>42.2</v>
      </c>
      <c r="AK442" s="31" t="n">
        <v>3</v>
      </c>
      <c r="AL442" s="30" t="inlineStr">
        <is>
          <t>T-0594</t>
        </is>
      </c>
      <c r="AM442" s="30" t="inlineStr">
        <is>
          <t>J-06-01</t>
        </is>
      </c>
      <c r="AN442" s="30" t="inlineStr">
        <is>
          <t>T-0473</t>
        </is>
      </c>
      <c r="AO442" s="30" t="inlineStr">
        <is>
          <t>J-01-02</t>
        </is>
      </c>
    </row>
    <row r="443">
      <c r="A443" s="30" t="inlineStr">
        <is>
          <t>O0442</t>
        </is>
      </c>
      <c r="B443" s="30" t="inlineStr">
        <is>
          <t>C</t>
        </is>
      </c>
      <c r="C443" s="31" t="n">
        <v>5807.9</v>
      </c>
      <c r="D443" s="31" t="n">
        <v>15962.1</v>
      </c>
      <c r="E443" s="31" t="n">
        <v>15985.6</v>
      </c>
      <c r="F443" s="31" t="n">
        <v>16001.1</v>
      </c>
      <c r="G443" s="31" t="n">
        <v>16021.9</v>
      </c>
      <c r="H443" s="31" t="n">
        <v>16022</v>
      </c>
      <c r="I443" s="31" t="n">
        <v>16032.8</v>
      </c>
      <c r="J443" s="31" t="n">
        <v>16059.3</v>
      </c>
      <c r="K443" s="31" t="n">
        <v>10251.4</v>
      </c>
      <c r="L443" s="31" t="n">
        <v>10154.2</v>
      </c>
      <c r="M443" s="30" t="inlineStr">
        <is>
          <t>AMR3</t>
        </is>
      </c>
      <c r="N443" s="30" t="inlineStr">
        <is>
          <t>AMR3</t>
        </is>
      </c>
      <c r="O443" s="32" t="n">
        <v>1</v>
      </c>
      <c r="P443" s="32" t="n">
        <v>25</v>
      </c>
      <c r="Q443" s="32" t="n">
        <v>2</v>
      </c>
      <c r="R443" s="31" t="n">
        <v>58.7</v>
      </c>
      <c r="S443" s="31" t="n">
        <v>58.7</v>
      </c>
      <c r="T443" s="30" t="inlineStr">
        <is>
          <t>AMR3</t>
        </is>
      </c>
      <c r="U443" s="31" t="n">
        <v>37.5</v>
      </c>
      <c r="V443" s="31" t="n">
        <v>37.5</v>
      </c>
      <c r="W443" s="30" t="inlineStr">
        <is>
          <t>AMR3</t>
        </is>
      </c>
      <c r="X443" s="32" t="n">
        <v>0</v>
      </c>
      <c r="Y443" s="32" t="n">
        <v>0</v>
      </c>
      <c r="Z443" s="31" t="n">
        <v>0</v>
      </c>
      <c r="AA443" s="32" t="n">
        <v>0</v>
      </c>
      <c r="AB443" s="32" t="n">
        <v>0</v>
      </c>
      <c r="AC443" s="32" t="n">
        <v>0</v>
      </c>
      <c r="AD443" s="32" t="n">
        <v>0</v>
      </c>
      <c r="AE443" s="31" t="n">
        <v>0</v>
      </c>
      <c r="AF443" s="32" t="n">
        <v>0</v>
      </c>
      <c r="AG443" s="31" t="n">
        <v>0</v>
      </c>
      <c r="AH443" s="32" t="n">
        <v>54</v>
      </c>
      <c r="AI443" s="31" t="n">
        <v>54.7</v>
      </c>
      <c r="AJ443" s="31" t="n">
        <v>42.4</v>
      </c>
      <c r="AK443" s="31" t="n">
        <v>0</v>
      </c>
      <c r="AL443" s="30" t="inlineStr">
        <is>
          <t>T-0588</t>
        </is>
      </c>
      <c r="AM443" s="30" t="inlineStr">
        <is>
          <t>C-06-02</t>
        </is>
      </c>
      <c r="AN443" s="30" t="inlineStr">
        <is>
          <t>T-0485</t>
        </is>
      </c>
      <c r="AO443" s="30" t="inlineStr">
        <is>
          <t>C-02-03</t>
        </is>
      </c>
    </row>
    <row r="444">
      <c r="A444" s="30" t="inlineStr">
        <is>
          <t>O0443</t>
        </is>
      </c>
      <c r="B444" s="30" t="inlineStr">
        <is>
          <t>J</t>
        </is>
      </c>
      <c r="C444" s="31" t="n">
        <v>5824.8</v>
      </c>
      <c r="D444" s="31" t="n">
        <v>15913.7</v>
      </c>
      <c r="E444" s="31" t="n">
        <v>15937.2</v>
      </c>
      <c r="F444" s="31" t="n">
        <v>15948.5</v>
      </c>
      <c r="G444" s="31" t="n">
        <v>15979.6</v>
      </c>
      <c r="H444" s="31" t="n">
        <v>16599.7</v>
      </c>
      <c r="I444" s="31" t="n">
        <v>16629.1</v>
      </c>
      <c r="J444" s="31" t="n">
        <v>16662.7</v>
      </c>
      <c r="K444" s="31" t="n">
        <v>10837.9</v>
      </c>
      <c r="L444" s="31" t="n">
        <v>10088.9</v>
      </c>
      <c r="M444" s="30" t="inlineStr">
        <is>
          <t>AMR2</t>
        </is>
      </c>
      <c r="N444" s="30" t="inlineStr">
        <is>
          <t>AMR3</t>
        </is>
      </c>
      <c r="O444" s="32" t="n">
        <v>1</v>
      </c>
      <c r="P444" s="32" t="n">
        <v>25</v>
      </c>
      <c r="Q444" s="32" t="n">
        <v>20</v>
      </c>
      <c r="R444" s="31" t="n">
        <v>62.5</v>
      </c>
      <c r="S444" s="31" t="n">
        <v>62.5</v>
      </c>
      <c r="T444" s="30" t="inlineStr">
        <is>
          <t>AMR2</t>
        </is>
      </c>
      <c r="U444" s="31" t="n">
        <v>62.7</v>
      </c>
      <c r="V444" s="31" t="n">
        <v>62.7</v>
      </c>
      <c r="W444" s="30" t="inlineStr">
        <is>
          <t>AMR3</t>
        </is>
      </c>
      <c r="X444" s="32" t="n">
        <v>0</v>
      </c>
      <c r="Y444" s="32" t="n">
        <v>0</v>
      </c>
      <c r="Z444" s="31" t="n">
        <v>0</v>
      </c>
      <c r="AA444" s="32" t="n">
        <v>0</v>
      </c>
      <c r="AB444" s="32" t="n">
        <v>0</v>
      </c>
      <c r="AC444" s="32" t="n">
        <v>0</v>
      </c>
      <c r="AD444" s="32" t="n">
        <v>0</v>
      </c>
      <c r="AE444" s="31" t="n">
        <v>0</v>
      </c>
      <c r="AF444" s="32" t="n">
        <v>0</v>
      </c>
      <c r="AG444" s="31" t="n">
        <v>0</v>
      </c>
      <c r="AH444" s="32" t="n">
        <v>87</v>
      </c>
      <c r="AI444" s="31" t="n">
        <v>86.09999999999999</v>
      </c>
      <c r="AJ444" s="31" t="n">
        <v>42.8</v>
      </c>
      <c r="AK444" s="31" t="n">
        <v>0</v>
      </c>
      <c r="AL444" s="30" t="inlineStr">
        <is>
          <t>T-0587</t>
        </is>
      </c>
      <c r="AM444" s="30" t="inlineStr">
        <is>
          <t>J-05-03</t>
        </is>
      </c>
      <c r="AN444" s="30" t="inlineStr">
        <is>
          <t>T-0524</t>
        </is>
      </c>
      <c r="AO444" s="30" t="inlineStr">
        <is>
          <t>J-03-02</t>
        </is>
      </c>
    </row>
    <row r="445">
      <c r="A445" s="30" t="inlineStr">
        <is>
          <t>O0444</t>
        </is>
      </c>
      <c r="B445" s="30" t="inlineStr">
        <is>
          <t>A</t>
        </is>
      </c>
      <c r="C445" s="31" t="n">
        <v>5847</v>
      </c>
      <c r="D445" s="31" t="n">
        <v>16168.8</v>
      </c>
      <c r="E445" s="31" t="n">
        <v>16192.3</v>
      </c>
      <c r="F445" s="31" t="n">
        <v>16206.5</v>
      </c>
      <c r="G445" s="31" t="n">
        <v>16237.2</v>
      </c>
      <c r="H445" s="31" t="n">
        <v>16237.3</v>
      </c>
      <c r="I445" s="31" t="n">
        <v>16248.9</v>
      </c>
      <c r="J445" s="31" t="n">
        <v>16280.5</v>
      </c>
      <c r="K445" s="31" t="n">
        <v>10433.5</v>
      </c>
      <c r="L445" s="31" t="n">
        <v>10321.8</v>
      </c>
      <c r="M445" s="30" t="inlineStr">
        <is>
          <t>AMR3</t>
        </is>
      </c>
      <c r="N445" s="30" t="inlineStr">
        <is>
          <t>AMR3</t>
        </is>
      </c>
      <c r="O445" s="32" t="n">
        <v>1</v>
      </c>
      <c r="P445" s="32" t="n">
        <v>25</v>
      </c>
      <c r="Q445" s="32" t="n">
        <v>1</v>
      </c>
      <c r="R445" s="31" t="n">
        <v>64.90000000000001</v>
      </c>
      <c r="S445" s="31" t="n">
        <v>64.90000000000001</v>
      </c>
      <c r="T445" s="30" t="inlineStr">
        <is>
          <t>AMR3</t>
        </is>
      </c>
      <c r="U445" s="31" t="n">
        <v>44</v>
      </c>
      <c r="V445" s="31" t="n">
        <v>44</v>
      </c>
      <c r="W445" s="30" t="inlineStr">
        <is>
          <t>AMR3</t>
        </is>
      </c>
      <c r="X445" s="32" t="n">
        <v>0</v>
      </c>
      <c r="Y445" s="32" t="n">
        <v>0</v>
      </c>
      <c r="Z445" s="31" t="n">
        <v>0</v>
      </c>
      <c r="AA445" s="32" t="n">
        <v>0</v>
      </c>
      <c r="AB445" s="32" t="n">
        <v>0</v>
      </c>
      <c r="AC445" s="32" t="n">
        <v>0</v>
      </c>
      <c r="AD445" s="32" t="n">
        <v>0</v>
      </c>
      <c r="AE445" s="31" t="n">
        <v>0</v>
      </c>
      <c r="AF445" s="32" t="n">
        <v>0</v>
      </c>
      <c r="AG445" s="31" t="n">
        <v>0</v>
      </c>
      <c r="AH445" s="32" t="n">
        <v>72</v>
      </c>
      <c r="AI445" s="31" t="n">
        <v>70.09999999999999</v>
      </c>
      <c r="AJ445" s="31" t="n">
        <v>41.5</v>
      </c>
      <c r="AK445" s="31" t="n">
        <v>0</v>
      </c>
      <c r="AL445" s="30" t="inlineStr">
        <is>
          <t>T-0595</t>
        </is>
      </c>
      <c r="AM445" s="30" t="inlineStr">
        <is>
          <t>A-01-01</t>
        </is>
      </c>
      <c r="AN445" s="30" t="inlineStr">
        <is>
          <t>T-0242</t>
        </is>
      </c>
      <c r="AO445" s="30" t="inlineStr">
        <is>
          <t>A-06-02</t>
        </is>
      </c>
    </row>
    <row r="446">
      <c r="A446" s="30" t="inlineStr">
        <is>
          <t>O0445</t>
        </is>
      </c>
      <c r="B446" s="30" t="inlineStr">
        <is>
          <t>D</t>
        </is>
      </c>
      <c r="C446" s="31" t="n">
        <v>5865.6</v>
      </c>
      <c r="D446" s="31" t="n">
        <v>15997.8</v>
      </c>
      <c r="E446" s="31" t="n">
        <v>16021.3</v>
      </c>
      <c r="F446" s="31" t="n">
        <v>16032.3</v>
      </c>
      <c r="G446" s="31" t="n">
        <v>16053.4</v>
      </c>
      <c r="H446" s="31" t="n">
        <v>16053.5</v>
      </c>
      <c r="I446" s="31" t="n">
        <v>16065.1</v>
      </c>
      <c r="J446" s="31" t="n">
        <v>16093.9</v>
      </c>
      <c r="K446" s="31" t="n">
        <v>10228.3</v>
      </c>
      <c r="L446" s="31" t="n">
        <v>10132.2</v>
      </c>
      <c r="M446" s="30" t="inlineStr">
        <is>
          <t>AMR1</t>
        </is>
      </c>
      <c r="N446" s="30" t="inlineStr">
        <is>
          <t>AMR1</t>
        </is>
      </c>
      <c r="O446" s="32" t="n">
        <v>1</v>
      </c>
      <c r="P446" s="32" t="n">
        <v>25</v>
      </c>
      <c r="Q446" s="32" t="n">
        <v>1</v>
      </c>
      <c r="R446" s="31" t="n">
        <v>52.1</v>
      </c>
      <c r="S446" s="31" t="n">
        <v>52.1</v>
      </c>
      <c r="T446" s="30" t="inlineStr">
        <is>
          <t>AMR1</t>
        </is>
      </c>
      <c r="U446" s="31" t="n">
        <v>39.6</v>
      </c>
      <c r="V446" s="31" t="n">
        <v>39.6</v>
      </c>
      <c r="W446" s="30" t="inlineStr">
        <is>
          <t>AMR1</t>
        </is>
      </c>
      <c r="X446" s="32" t="n">
        <v>0</v>
      </c>
      <c r="Y446" s="32" t="n">
        <v>0</v>
      </c>
      <c r="Z446" s="31" t="n">
        <v>0</v>
      </c>
      <c r="AA446" s="32" t="n">
        <v>0</v>
      </c>
      <c r="AB446" s="32" t="n">
        <v>0</v>
      </c>
      <c r="AC446" s="32" t="n">
        <v>0</v>
      </c>
      <c r="AD446" s="32" t="n">
        <v>0</v>
      </c>
      <c r="AE446" s="31" t="n">
        <v>0</v>
      </c>
      <c r="AF446" s="32" t="n">
        <v>0</v>
      </c>
      <c r="AG446" s="31" t="n">
        <v>0</v>
      </c>
      <c r="AH446" s="32" t="n">
        <v>56</v>
      </c>
      <c r="AI446" s="31" t="n">
        <v>57.9</v>
      </c>
      <c r="AJ446" s="31" t="n">
        <v>38.1</v>
      </c>
      <c r="AK446" s="31" t="n">
        <v>0</v>
      </c>
      <c r="AL446" s="30" t="inlineStr">
        <is>
          <t>T-0589</t>
        </is>
      </c>
      <c r="AM446" s="30" t="inlineStr">
        <is>
          <t>D-05-01</t>
        </is>
      </c>
      <c r="AN446" s="30" t="inlineStr">
        <is>
          <t>T-0456</t>
        </is>
      </c>
      <c r="AO446" s="30" t="inlineStr">
        <is>
          <t>D-02-01</t>
        </is>
      </c>
    </row>
    <row r="447">
      <c r="A447" s="30" t="inlineStr">
        <is>
          <t>O0446</t>
        </is>
      </c>
      <c r="B447" s="30" t="inlineStr">
        <is>
          <t>H</t>
        </is>
      </c>
      <c r="C447" s="31" t="n">
        <v>5886.7</v>
      </c>
      <c r="D447" s="31" t="n">
        <v>16130.7</v>
      </c>
      <c r="E447" s="31" t="n">
        <v>16154.2</v>
      </c>
      <c r="F447" s="31" t="n">
        <v>16164.9</v>
      </c>
      <c r="G447" s="31" t="n">
        <v>16188.1</v>
      </c>
      <c r="H447" s="31" t="n">
        <v>16188.2</v>
      </c>
      <c r="I447" s="31" t="n">
        <v>16202.7</v>
      </c>
      <c r="J447" s="31" t="n">
        <v>16227.5</v>
      </c>
      <c r="K447" s="31" t="n">
        <v>10340.8</v>
      </c>
      <c r="L447" s="31" t="n">
        <v>10244</v>
      </c>
      <c r="M447" s="30" t="inlineStr">
        <is>
          <t>AMR2</t>
        </is>
      </c>
      <c r="N447" s="30" t="inlineStr">
        <is>
          <t>AMR2</t>
        </is>
      </c>
      <c r="O447" s="32" t="n">
        <v>1</v>
      </c>
      <c r="P447" s="32" t="n">
        <v>25</v>
      </c>
      <c r="Q447" s="32" t="n">
        <v>1</v>
      </c>
      <c r="R447" s="31" t="n">
        <v>55.6</v>
      </c>
      <c r="S447" s="31" t="n">
        <v>55.6</v>
      </c>
      <c r="T447" s="30" t="inlineStr">
        <is>
          <t>AMR2</t>
        </is>
      </c>
      <c r="U447" s="31" t="n">
        <v>38.5</v>
      </c>
      <c r="V447" s="31" t="n">
        <v>38.5</v>
      </c>
      <c r="W447" s="30" t="inlineStr">
        <is>
          <t>AMR2</t>
        </is>
      </c>
      <c r="X447" s="32" t="n">
        <v>0</v>
      </c>
      <c r="Y447" s="32" t="n">
        <v>0</v>
      </c>
      <c r="Z447" s="31" t="n">
        <v>0</v>
      </c>
      <c r="AA447" s="32" t="n">
        <v>0</v>
      </c>
      <c r="AB447" s="32" t="n">
        <v>0</v>
      </c>
      <c r="AC447" s="32" t="n">
        <v>0</v>
      </c>
      <c r="AD447" s="32" t="n">
        <v>0</v>
      </c>
      <c r="AE447" s="31" t="n">
        <v>0</v>
      </c>
      <c r="AF447" s="32" t="n">
        <v>0</v>
      </c>
      <c r="AG447" s="31" t="n">
        <v>0</v>
      </c>
      <c r="AH447" s="32" t="n">
        <v>54</v>
      </c>
      <c r="AI447" s="31" t="n">
        <v>56.2</v>
      </c>
      <c r="AJ447" s="31" t="n">
        <v>40.5</v>
      </c>
      <c r="AK447" s="31" t="n">
        <v>0</v>
      </c>
      <c r="AL447" s="30" t="inlineStr">
        <is>
          <t>T-0593</t>
        </is>
      </c>
      <c r="AM447" s="30" t="inlineStr">
        <is>
          <t>H-05-01</t>
        </is>
      </c>
      <c r="AN447" s="30" t="inlineStr">
        <is>
          <t>T-0503</t>
        </is>
      </c>
      <c r="AO447" s="30" t="inlineStr">
        <is>
          <t>H-02-02</t>
        </is>
      </c>
    </row>
    <row r="448">
      <c r="A448" s="30" t="inlineStr">
        <is>
          <t>O0447</t>
        </is>
      </c>
      <c r="B448" s="30" t="inlineStr">
        <is>
          <t>E</t>
        </is>
      </c>
      <c r="C448" s="31" t="n">
        <v>5907.1</v>
      </c>
      <c r="D448" s="31" t="n">
        <v>16059.4</v>
      </c>
      <c r="E448" s="31" t="n">
        <v>16082.9</v>
      </c>
      <c r="F448" s="31" t="n">
        <v>16095.1</v>
      </c>
      <c r="G448" s="31" t="n">
        <v>16122</v>
      </c>
      <c r="H448" s="31" t="n">
        <v>16344.5</v>
      </c>
      <c r="I448" s="31" t="n">
        <v>16359.3</v>
      </c>
      <c r="J448" s="31" t="n">
        <v>16391.6</v>
      </c>
      <c r="K448" s="31" t="n">
        <v>10484.5</v>
      </c>
      <c r="L448" s="31" t="n">
        <v>10152.3</v>
      </c>
      <c r="M448" s="30" t="inlineStr">
        <is>
          <t>AMR3</t>
        </is>
      </c>
      <c r="N448" s="30" t="inlineStr">
        <is>
          <t>AMR3</t>
        </is>
      </c>
      <c r="O448" s="32" t="n">
        <v>1</v>
      </c>
      <c r="P448" s="32" t="n">
        <v>25</v>
      </c>
      <c r="Q448" s="32" t="n">
        <v>1</v>
      </c>
      <c r="R448" s="31" t="n">
        <v>58.3</v>
      </c>
      <c r="S448" s="31" t="n">
        <v>58.3</v>
      </c>
      <c r="T448" s="30" t="inlineStr">
        <is>
          <t>AMR3</t>
        </is>
      </c>
      <c r="U448" s="31" t="n">
        <v>46.3</v>
      </c>
      <c r="V448" s="31" t="n">
        <v>46.3</v>
      </c>
      <c r="W448" s="30" t="inlineStr">
        <is>
          <t>AMR3</t>
        </is>
      </c>
      <c r="X448" s="32" t="n">
        <v>0</v>
      </c>
      <c r="Y448" s="32" t="n">
        <v>0</v>
      </c>
      <c r="Z448" s="31" t="n">
        <v>0</v>
      </c>
      <c r="AA448" s="32" t="n">
        <v>0</v>
      </c>
      <c r="AB448" s="32" t="n">
        <v>0</v>
      </c>
      <c r="AC448" s="32" t="n">
        <v>0</v>
      </c>
      <c r="AD448" s="32" t="n">
        <v>0</v>
      </c>
      <c r="AE448" s="31" t="n">
        <v>0</v>
      </c>
      <c r="AF448" s="32" t="n">
        <v>0</v>
      </c>
      <c r="AG448" s="31" t="n">
        <v>0</v>
      </c>
      <c r="AH448" s="32" t="n">
        <v>71</v>
      </c>
      <c r="AI448" s="31" t="n">
        <v>69.3</v>
      </c>
      <c r="AJ448" s="31" t="n">
        <v>40.4</v>
      </c>
      <c r="AK448" s="31" t="n">
        <v>0</v>
      </c>
      <c r="AL448" s="30" t="inlineStr">
        <is>
          <t>T-0591</t>
        </is>
      </c>
      <c r="AM448" s="30" t="inlineStr">
        <is>
          <t>E-06-01</t>
        </is>
      </c>
      <c r="AN448" s="30" t="inlineStr">
        <is>
          <t>T-0368</t>
        </is>
      </c>
      <c r="AO448" s="30" t="inlineStr">
        <is>
          <t>E-05-03</t>
        </is>
      </c>
    </row>
    <row r="449">
      <c r="A449" s="30" t="inlineStr">
        <is>
          <t>O0448</t>
        </is>
      </c>
      <c r="B449" s="30" t="inlineStr">
        <is>
          <t>D</t>
        </is>
      </c>
      <c r="C449" s="31" t="n">
        <v>5931.1</v>
      </c>
      <c r="D449" s="31" t="n">
        <v>16094</v>
      </c>
      <c r="E449" s="31" t="n">
        <v>16117.5</v>
      </c>
      <c r="F449" s="31" t="n">
        <v>16131.9</v>
      </c>
      <c r="G449" s="31" t="n">
        <v>16151.6</v>
      </c>
      <c r="H449" s="31" t="n">
        <v>17600.9</v>
      </c>
      <c r="I449" s="31" t="n">
        <v>17618.4</v>
      </c>
      <c r="J449" s="31" t="n">
        <v>17648.5</v>
      </c>
      <c r="K449" s="31" t="n">
        <v>11717.4</v>
      </c>
      <c r="L449" s="31" t="n">
        <v>10162.9</v>
      </c>
      <c r="M449" s="30" t="inlineStr">
        <is>
          <t>AMR1</t>
        </is>
      </c>
      <c r="N449" s="30" t="inlineStr">
        <is>
          <t>AMR1</t>
        </is>
      </c>
      <c r="O449" s="32" t="n">
        <v>1</v>
      </c>
      <c r="P449" s="32" t="n">
        <v>25</v>
      </c>
      <c r="Q449" s="32" t="n">
        <v>2</v>
      </c>
      <c r="R449" s="31" t="n">
        <v>55.7</v>
      </c>
      <c r="S449" s="31" t="n">
        <v>55.7</v>
      </c>
      <c r="T449" s="30" t="inlineStr">
        <is>
          <t>AMR1</t>
        </is>
      </c>
      <c r="U449" s="31" t="n">
        <v>45.9</v>
      </c>
      <c r="V449" s="31" t="n">
        <v>45.9</v>
      </c>
      <c r="W449" s="30" t="inlineStr">
        <is>
          <t>AMR1</t>
        </is>
      </c>
      <c r="X449" s="32" t="n">
        <v>0</v>
      </c>
      <c r="Y449" s="32" t="n">
        <v>0</v>
      </c>
      <c r="Z449" s="31" t="n">
        <v>0</v>
      </c>
      <c r="AA449" s="32" t="n">
        <v>0</v>
      </c>
      <c r="AB449" s="32" t="n">
        <v>0</v>
      </c>
      <c r="AC449" s="32" t="n">
        <v>0</v>
      </c>
      <c r="AD449" s="32" t="n">
        <v>0</v>
      </c>
      <c r="AE449" s="31" t="n">
        <v>0</v>
      </c>
      <c r="AF449" s="32" t="n">
        <v>0</v>
      </c>
      <c r="AG449" s="31" t="n">
        <v>0</v>
      </c>
      <c r="AH449" s="32" t="n">
        <v>55</v>
      </c>
      <c r="AI449" s="31" t="n">
        <v>57.9</v>
      </c>
      <c r="AJ449" s="31" t="n">
        <v>47.3</v>
      </c>
      <c r="AK449" s="31" t="n">
        <v>0</v>
      </c>
      <c r="AL449" s="30" t="inlineStr">
        <is>
          <t>T-0592</t>
        </is>
      </c>
      <c r="AM449" s="30" t="inlineStr">
        <is>
          <t>D-02-01</t>
        </is>
      </c>
      <c r="AN449" s="30" t="inlineStr">
        <is>
          <t>T-0461</t>
        </is>
      </c>
      <c r="AO449" s="30" t="inlineStr">
        <is>
          <t>D-01-02</t>
        </is>
      </c>
    </row>
    <row r="450">
      <c r="A450" s="30" t="inlineStr">
        <is>
          <t>O0449</t>
        </is>
      </c>
      <c r="B450" s="30" t="inlineStr">
        <is>
          <t>J</t>
        </is>
      </c>
      <c r="C450" s="31" t="n">
        <v>5952.9</v>
      </c>
      <c r="D450" s="31" t="n">
        <v>16227.6</v>
      </c>
      <c r="E450" s="31" t="n">
        <v>16251.1</v>
      </c>
      <c r="F450" s="31" t="n">
        <v>16261.6</v>
      </c>
      <c r="G450" s="31" t="n">
        <v>16289.3</v>
      </c>
      <c r="H450" s="31" t="n">
        <v>16289.4</v>
      </c>
      <c r="I450" s="31" t="n">
        <v>16302.1</v>
      </c>
      <c r="J450" s="31" t="n">
        <v>16334.8</v>
      </c>
      <c r="K450" s="31" t="n">
        <v>10381.9</v>
      </c>
      <c r="L450" s="31" t="n">
        <v>10274.7</v>
      </c>
      <c r="M450" s="30" t="inlineStr">
        <is>
          <t>AMR2</t>
        </is>
      </c>
      <c r="N450" s="30" t="inlineStr">
        <is>
          <t>AMR2</t>
        </is>
      </c>
      <c r="O450" s="32" t="n">
        <v>1</v>
      </c>
      <c r="P450" s="32" t="n">
        <v>25</v>
      </c>
      <c r="Q450" s="32" t="n">
        <v>1</v>
      </c>
      <c r="R450" s="31" t="n">
        <v>59.9</v>
      </c>
      <c r="S450" s="31" t="n">
        <v>59.9</v>
      </c>
      <c r="T450" s="30" t="inlineStr">
        <is>
          <t>AMR2</t>
        </is>
      </c>
      <c r="U450" s="31" t="n">
        <v>43.6</v>
      </c>
      <c r="V450" s="31" t="n">
        <v>43.6</v>
      </c>
      <c r="W450" s="30" t="inlineStr">
        <is>
          <t>AMR2</t>
        </is>
      </c>
      <c r="X450" s="32" t="n">
        <v>0</v>
      </c>
      <c r="Y450" s="32" t="n">
        <v>0</v>
      </c>
      <c r="Z450" s="31" t="n">
        <v>0</v>
      </c>
      <c r="AA450" s="32" t="n">
        <v>0</v>
      </c>
      <c r="AB450" s="32" t="n">
        <v>0</v>
      </c>
      <c r="AC450" s="32" t="n">
        <v>0</v>
      </c>
      <c r="AD450" s="32" t="n">
        <v>0</v>
      </c>
      <c r="AE450" s="31" t="n">
        <v>0</v>
      </c>
      <c r="AF450" s="32" t="n">
        <v>0</v>
      </c>
      <c r="AG450" s="31" t="n">
        <v>0</v>
      </c>
      <c r="AH450" s="32" t="n">
        <v>68</v>
      </c>
      <c r="AI450" s="31" t="n">
        <v>68.3</v>
      </c>
      <c r="AJ450" s="31" t="n">
        <v>38.8</v>
      </c>
      <c r="AK450" s="31" t="n">
        <v>0</v>
      </c>
      <c r="AL450" s="30" t="inlineStr">
        <is>
          <t>T-0596</t>
        </is>
      </c>
      <c r="AM450" s="30" t="inlineStr">
        <is>
          <t>J-01-02</t>
        </is>
      </c>
      <c r="AN450" s="30" t="inlineStr">
        <is>
          <t>T-0479</t>
        </is>
      </c>
      <c r="AO450" s="30" t="inlineStr">
        <is>
          <t>J-05-01</t>
        </is>
      </c>
    </row>
    <row r="451">
      <c r="A451" s="30" t="inlineStr">
        <is>
          <t>O0450</t>
        </is>
      </c>
      <c r="B451" s="30" t="inlineStr">
        <is>
          <t>E</t>
        </is>
      </c>
      <c r="C451" s="31" t="n">
        <v>5972.5</v>
      </c>
      <c r="D451" s="31" t="n">
        <v>16280.6</v>
      </c>
      <c r="E451" s="31" t="n">
        <v>16304.1</v>
      </c>
      <c r="F451" s="31" t="n">
        <v>16320.3</v>
      </c>
      <c r="G451" s="31" t="n">
        <v>16344.4</v>
      </c>
      <c r="H451" s="31" t="n">
        <v>17412.5</v>
      </c>
      <c r="I451" s="31" t="n">
        <v>17427</v>
      </c>
      <c r="J451" s="31" t="n">
        <v>17462.3</v>
      </c>
      <c r="K451" s="31" t="n">
        <v>11489.8</v>
      </c>
      <c r="L451" s="31" t="n">
        <v>10308.1</v>
      </c>
      <c r="M451" s="30" t="inlineStr">
        <is>
          <t>AMR3</t>
        </is>
      </c>
      <c r="N451" s="30" t="inlineStr">
        <is>
          <t>AMR2</t>
        </is>
      </c>
      <c r="O451" s="32" t="n">
        <v>1</v>
      </c>
      <c r="P451" s="32" t="n">
        <v>25</v>
      </c>
      <c r="Q451" s="32" t="n">
        <v>2</v>
      </c>
      <c r="R451" s="31" t="n">
        <v>61.9</v>
      </c>
      <c r="S451" s="31" t="n">
        <v>61.9</v>
      </c>
      <c r="T451" s="30" t="inlineStr">
        <is>
          <t>AMR3</t>
        </is>
      </c>
      <c r="U451" s="31" t="n">
        <v>47</v>
      </c>
      <c r="V451" s="31" t="n">
        <v>47</v>
      </c>
      <c r="W451" s="30" t="inlineStr">
        <is>
          <t>AMR2</t>
        </is>
      </c>
      <c r="X451" s="32" t="n">
        <v>0</v>
      </c>
      <c r="Y451" s="32" t="n">
        <v>0</v>
      </c>
      <c r="Z451" s="31" t="n">
        <v>0</v>
      </c>
      <c r="AA451" s="32" t="n">
        <v>0</v>
      </c>
      <c r="AB451" s="32" t="n">
        <v>0</v>
      </c>
      <c r="AC451" s="32" t="n">
        <v>0</v>
      </c>
      <c r="AD451" s="32" t="n">
        <v>0</v>
      </c>
      <c r="AE451" s="31" t="n">
        <v>0</v>
      </c>
      <c r="AF451" s="32" t="n">
        <v>0</v>
      </c>
      <c r="AG451" s="31" t="n">
        <v>0</v>
      </c>
      <c r="AH451" s="32" t="n">
        <v>69</v>
      </c>
      <c r="AI451" s="31" t="n">
        <v>69.59999999999999</v>
      </c>
      <c r="AJ451" s="31" t="n">
        <v>44</v>
      </c>
      <c r="AK451" s="31" t="n">
        <v>0</v>
      </c>
      <c r="AL451" s="30" t="inlineStr">
        <is>
          <t>T-0598</t>
        </is>
      </c>
      <c r="AM451" s="30" t="inlineStr">
        <is>
          <t>E-01-01</t>
        </is>
      </c>
      <c r="AN451" s="30" t="inlineStr">
        <is>
          <t>T-0443</t>
        </is>
      </c>
      <c r="AO451" s="30" t="inlineStr">
        <is>
          <t>E-04-01</t>
        </is>
      </c>
    </row>
    <row r="452">
      <c r="A452" s="30" t="inlineStr">
        <is>
          <t>O0451</t>
        </is>
      </c>
      <c r="B452" s="30" t="inlineStr">
        <is>
          <t>G</t>
        </is>
      </c>
      <c r="C452" s="31" t="n">
        <v>5992.5</v>
      </c>
      <c r="D452" s="31" t="n">
        <v>16254.5</v>
      </c>
      <c r="E452" s="31" t="n">
        <v>16278</v>
      </c>
      <c r="F452" s="31" t="n">
        <v>16288.9</v>
      </c>
      <c r="G452" s="31" t="n">
        <v>16317.4</v>
      </c>
      <c r="H452" s="31" t="n">
        <v>16317.5</v>
      </c>
      <c r="I452" s="31" t="n">
        <v>16332.8</v>
      </c>
      <c r="J452" s="31" t="n">
        <v>16359.5</v>
      </c>
      <c r="K452" s="31" t="n">
        <v>10367</v>
      </c>
      <c r="L452" s="31" t="n">
        <v>10262</v>
      </c>
      <c r="M452" s="30" t="inlineStr">
        <is>
          <t>AMR1</t>
        </is>
      </c>
      <c r="N452" s="30" t="inlineStr">
        <is>
          <t>AMR1</t>
        </is>
      </c>
      <c r="O452" s="32" t="n">
        <v>1</v>
      </c>
      <c r="P452" s="32" t="n">
        <v>25</v>
      </c>
      <c r="Q452" s="32" t="n">
        <v>1</v>
      </c>
      <c r="R452" s="31" t="n">
        <v>61.1</v>
      </c>
      <c r="S452" s="31" t="n">
        <v>61.1</v>
      </c>
      <c r="T452" s="30" t="inlineStr">
        <is>
          <t>AMR1</t>
        </is>
      </c>
      <c r="U452" s="31" t="n">
        <v>43.2</v>
      </c>
      <c r="V452" s="31" t="n">
        <v>43.2</v>
      </c>
      <c r="W452" s="30" t="inlineStr">
        <is>
          <t>AMR1</t>
        </is>
      </c>
      <c r="X452" s="32" t="n">
        <v>0</v>
      </c>
      <c r="Y452" s="32" t="n">
        <v>0</v>
      </c>
      <c r="Z452" s="31" t="n">
        <v>0</v>
      </c>
      <c r="AA452" s="32" t="n">
        <v>0</v>
      </c>
      <c r="AB452" s="32" t="n">
        <v>0</v>
      </c>
      <c r="AC452" s="32" t="n">
        <v>0</v>
      </c>
      <c r="AD452" s="32" t="n">
        <v>0</v>
      </c>
      <c r="AE452" s="31" t="n">
        <v>0</v>
      </c>
      <c r="AF452" s="32" t="n">
        <v>0</v>
      </c>
      <c r="AG452" s="31" t="n">
        <v>0</v>
      </c>
      <c r="AH452" s="32" t="n">
        <v>56</v>
      </c>
      <c r="AI452" s="31" t="n">
        <v>57.9</v>
      </c>
      <c r="AJ452" s="31" t="n">
        <v>47</v>
      </c>
      <c r="AK452" s="31" t="n">
        <v>0</v>
      </c>
      <c r="AL452" s="30" t="inlineStr">
        <is>
          <t>T-0597</t>
        </is>
      </c>
      <c r="AM452" s="30" t="inlineStr">
        <is>
          <t>G-04-03</t>
        </is>
      </c>
      <c r="AN452" s="30" t="inlineStr">
        <is>
          <t>T-0348</t>
        </is>
      </c>
      <c r="AO452" s="30" t="inlineStr">
        <is>
          <t>G-06-01</t>
        </is>
      </c>
    </row>
    <row r="453">
      <c r="A453" s="30" t="inlineStr">
        <is>
          <t>O0452</t>
        </is>
      </c>
      <c r="B453" s="30" t="inlineStr">
        <is>
          <t>J</t>
        </is>
      </c>
      <c r="C453" s="31" t="n">
        <v>6015.7</v>
      </c>
      <c r="D453" s="31" t="n">
        <v>16334.9</v>
      </c>
      <c r="E453" s="31" t="n">
        <v>16358.4</v>
      </c>
      <c r="F453" s="31" t="n">
        <v>16373</v>
      </c>
      <c r="G453" s="31" t="n">
        <v>16405.3</v>
      </c>
      <c r="H453" s="31" t="n">
        <v>16405.4</v>
      </c>
      <c r="I453" s="31" t="n">
        <v>16415.9</v>
      </c>
      <c r="J453" s="31" t="n">
        <v>16446.4</v>
      </c>
      <c r="K453" s="31" t="n">
        <v>10430.7</v>
      </c>
      <c r="L453" s="31" t="n">
        <v>10319.2</v>
      </c>
      <c r="M453" s="30" t="inlineStr">
        <is>
          <t>AMR2</t>
        </is>
      </c>
      <c r="N453" s="30" t="inlineStr">
        <is>
          <t>AMR2</t>
        </is>
      </c>
      <c r="O453" s="32" t="n">
        <v>1</v>
      </c>
      <c r="P453" s="32" t="n">
        <v>25</v>
      </c>
      <c r="Q453" s="32" t="n">
        <v>1</v>
      </c>
      <c r="R453" s="31" t="n">
        <v>67</v>
      </c>
      <c r="S453" s="31" t="n">
        <v>67</v>
      </c>
      <c r="T453" s="30" t="inlineStr">
        <is>
          <t>AMR2</t>
        </is>
      </c>
      <c r="U453" s="31" t="n">
        <v>41.7</v>
      </c>
      <c r="V453" s="31" t="n">
        <v>41.7</v>
      </c>
      <c r="W453" s="30" t="inlineStr">
        <is>
          <t>AMR2</t>
        </is>
      </c>
      <c r="X453" s="32" t="n">
        <v>0</v>
      </c>
      <c r="Y453" s="32" t="n">
        <v>0</v>
      </c>
      <c r="Z453" s="31" t="n">
        <v>0</v>
      </c>
      <c r="AA453" s="32" t="n">
        <v>0</v>
      </c>
      <c r="AB453" s="32" t="n">
        <v>0</v>
      </c>
      <c r="AC453" s="32" t="n">
        <v>0</v>
      </c>
      <c r="AD453" s="32" t="n">
        <v>0</v>
      </c>
      <c r="AE453" s="31" t="n">
        <v>0</v>
      </c>
      <c r="AF453" s="32" t="n">
        <v>0</v>
      </c>
      <c r="AG453" s="31" t="n">
        <v>0</v>
      </c>
      <c r="AH453" s="32" t="n">
        <v>68</v>
      </c>
      <c r="AI453" s="31" t="n">
        <v>67.40000000000001</v>
      </c>
      <c r="AJ453" s="31" t="n">
        <v>44</v>
      </c>
      <c r="AK453" s="31" t="n">
        <v>0</v>
      </c>
      <c r="AL453" s="30" t="inlineStr">
        <is>
          <t>T-0599</t>
        </is>
      </c>
      <c r="AM453" s="30" t="inlineStr">
        <is>
          <t>J-05-01</t>
        </is>
      </c>
      <c r="AN453" s="30" t="inlineStr">
        <is>
          <t>T-0492</t>
        </is>
      </c>
      <c r="AO453" s="30" t="inlineStr">
        <is>
          <t>J-02-02</t>
        </is>
      </c>
    </row>
    <row r="454">
      <c r="A454" s="30" t="inlineStr">
        <is>
          <t>O0453</t>
        </is>
      </c>
      <c r="B454" s="30" t="inlineStr">
        <is>
          <t>A</t>
        </is>
      </c>
      <c r="C454" s="31" t="n">
        <v>6039.4</v>
      </c>
      <c r="D454" s="31" t="n">
        <v>16419.5</v>
      </c>
      <c r="E454" s="31" t="n">
        <v>16443</v>
      </c>
      <c r="F454" s="31" t="n">
        <v>16457.9</v>
      </c>
      <c r="G454" s="31" t="n">
        <v>16487.9</v>
      </c>
      <c r="H454" s="31" t="n">
        <v>16864</v>
      </c>
      <c r="I454" s="31" t="n">
        <v>16877.2</v>
      </c>
      <c r="J454" s="31" t="n">
        <v>16911.2</v>
      </c>
      <c r="K454" s="31" t="n">
        <v>10871.8</v>
      </c>
      <c r="L454" s="31" t="n">
        <v>10380.1</v>
      </c>
      <c r="M454" s="30" t="inlineStr">
        <is>
          <t>AMR1</t>
        </is>
      </c>
      <c r="N454" s="30" t="inlineStr">
        <is>
          <t>AMR2</t>
        </is>
      </c>
      <c r="O454" s="32" t="n">
        <v>1</v>
      </c>
      <c r="P454" s="32" t="n">
        <v>25</v>
      </c>
      <c r="Q454" s="32" t="n">
        <v>1</v>
      </c>
      <c r="R454" s="31" t="n">
        <v>67.3</v>
      </c>
      <c r="S454" s="31" t="n">
        <v>67.3</v>
      </c>
      <c r="T454" s="30" t="inlineStr">
        <is>
          <t>AMR1</t>
        </is>
      </c>
      <c r="U454" s="31" t="n">
        <v>47.8</v>
      </c>
      <c r="V454" s="31" t="n">
        <v>47.8</v>
      </c>
      <c r="W454" s="30" t="inlineStr">
        <is>
          <t>AMR2</t>
        </is>
      </c>
      <c r="X454" s="32" t="n">
        <v>0</v>
      </c>
      <c r="Y454" s="32" t="n">
        <v>0</v>
      </c>
      <c r="Z454" s="31" t="n">
        <v>0</v>
      </c>
      <c r="AA454" s="32" t="n">
        <v>0</v>
      </c>
      <c r="AB454" s="32" t="n">
        <v>0</v>
      </c>
      <c r="AC454" s="32" t="n">
        <v>0</v>
      </c>
      <c r="AD454" s="32" t="n">
        <v>0</v>
      </c>
      <c r="AE454" s="31" t="n">
        <v>0</v>
      </c>
      <c r="AF454" s="32" t="n">
        <v>0</v>
      </c>
      <c r="AG454" s="31" t="n">
        <v>0</v>
      </c>
      <c r="AH454" s="32" t="n">
        <v>69</v>
      </c>
      <c r="AI454" s="31" t="n">
        <v>67.90000000000001</v>
      </c>
      <c r="AJ454" s="31" t="n">
        <v>47.7</v>
      </c>
      <c r="AK454" s="31" t="n">
        <v>0</v>
      </c>
      <c r="AL454" s="30" t="inlineStr">
        <is>
          <t>T-0601</t>
        </is>
      </c>
      <c r="AM454" s="30" t="inlineStr">
        <is>
          <t>A-06-02</t>
        </is>
      </c>
      <c r="AN454" s="30" t="inlineStr">
        <is>
          <t>T-0270</t>
        </is>
      </c>
      <c r="AO454" s="30" t="inlineStr">
        <is>
          <t>A-02-03</t>
        </is>
      </c>
    </row>
    <row r="455">
      <c r="A455" s="30" t="inlineStr">
        <is>
          <t>O0454</t>
        </is>
      </c>
      <c r="B455" s="30" t="inlineStr">
        <is>
          <t>I</t>
        </is>
      </c>
      <c r="C455" s="31" t="n">
        <v>6063.2</v>
      </c>
      <c r="D455" s="31" t="n">
        <v>16391.7</v>
      </c>
      <c r="E455" s="31" t="n">
        <v>16415.2</v>
      </c>
      <c r="F455" s="31" t="n">
        <v>16427.3</v>
      </c>
      <c r="G455" s="31" t="n">
        <v>16451.7</v>
      </c>
      <c r="H455" s="31" t="n">
        <v>16451.8</v>
      </c>
      <c r="I455" s="31" t="n">
        <v>16465.7</v>
      </c>
      <c r="J455" s="31" t="n">
        <v>16493</v>
      </c>
      <c r="K455" s="31" t="n">
        <v>10429.8</v>
      </c>
      <c r="L455" s="31" t="n">
        <v>10328.5</v>
      </c>
      <c r="M455" s="30" t="inlineStr">
        <is>
          <t>AMR3</t>
        </is>
      </c>
      <c r="N455" s="30" t="inlineStr">
        <is>
          <t>AMR3</t>
        </is>
      </c>
      <c r="O455" s="32" t="n">
        <v>1</v>
      </c>
      <c r="P455" s="32" t="n">
        <v>25</v>
      </c>
      <c r="Q455" s="32" t="n">
        <v>1</v>
      </c>
      <c r="R455" s="31" t="n">
        <v>56.6</v>
      </c>
      <c r="S455" s="31" t="n">
        <v>56.6</v>
      </c>
      <c r="T455" s="30" t="inlineStr">
        <is>
          <t>AMR3</t>
        </is>
      </c>
      <c r="U455" s="31" t="n">
        <v>40.8</v>
      </c>
      <c r="V455" s="31" t="n">
        <v>40.8</v>
      </c>
      <c r="W455" s="30" t="inlineStr">
        <is>
          <t>AMR3</t>
        </is>
      </c>
      <c r="X455" s="32" t="n">
        <v>0</v>
      </c>
      <c r="Y455" s="32" t="n">
        <v>0</v>
      </c>
      <c r="Z455" s="31" t="n">
        <v>0</v>
      </c>
      <c r="AA455" s="32" t="n">
        <v>0</v>
      </c>
      <c r="AB455" s="32" t="n">
        <v>0</v>
      </c>
      <c r="AC455" s="32" t="n">
        <v>0</v>
      </c>
      <c r="AD455" s="32" t="n">
        <v>0</v>
      </c>
      <c r="AE455" s="31" t="n">
        <v>0</v>
      </c>
      <c r="AF455" s="32" t="n">
        <v>0</v>
      </c>
      <c r="AG455" s="31" t="n">
        <v>0</v>
      </c>
      <c r="AH455" s="32" t="n">
        <v>56</v>
      </c>
      <c r="AI455" s="31" t="n">
        <v>57.9</v>
      </c>
      <c r="AJ455" s="31" t="n">
        <v>43.3</v>
      </c>
      <c r="AK455" s="31" t="n">
        <v>0</v>
      </c>
      <c r="AL455" s="30" t="inlineStr">
        <is>
          <t>T-0600</t>
        </is>
      </c>
      <c r="AM455" s="30" t="inlineStr">
        <is>
          <t>I-04-01</t>
        </is>
      </c>
      <c r="AN455" s="30" t="inlineStr">
        <is>
          <t>T-0463</t>
        </is>
      </c>
      <c r="AO455" s="30" t="inlineStr">
        <is>
          <t>I-05-01</t>
        </is>
      </c>
    </row>
    <row r="456">
      <c r="A456" s="30" t="inlineStr">
        <is>
          <t>O0455</t>
        </is>
      </c>
      <c r="B456" s="30" t="inlineStr">
        <is>
          <t>I</t>
        </is>
      </c>
      <c r="C456" s="31" t="n">
        <v>6085.3</v>
      </c>
      <c r="D456" s="31" t="n">
        <v>16493.1</v>
      </c>
      <c r="E456" s="31" t="n">
        <v>16516.6</v>
      </c>
      <c r="F456" s="31" t="n">
        <v>16529.7</v>
      </c>
      <c r="G456" s="31" t="n">
        <v>16554.5</v>
      </c>
      <c r="H456" s="31" t="n">
        <v>16554.6</v>
      </c>
      <c r="I456" s="31" t="n">
        <v>16569</v>
      </c>
      <c r="J456" s="31" t="n">
        <v>16599.6</v>
      </c>
      <c r="K456" s="31" t="n">
        <v>10514.3</v>
      </c>
      <c r="L456" s="31" t="n">
        <v>10407.8</v>
      </c>
      <c r="M456" s="30" t="inlineStr">
        <is>
          <t>AMR3</t>
        </is>
      </c>
      <c r="N456" s="30" t="inlineStr">
        <is>
          <t>AMR3</t>
        </is>
      </c>
      <c r="O456" s="32" t="n">
        <v>1</v>
      </c>
      <c r="P456" s="32" t="n">
        <v>25</v>
      </c>
      <c r="Q456" s="32" t="n">
        <v>1</v>
      </c>
      <c r="R456" s="31" t="n">
        <v>58</v>
      </c>
      <c r="S456" s="31" t="n">
        <v>58</v>
      </c>
      <c r="T456" s="30" t="inlineStr">
        <is>
          <t>AMR3</t>
        </is>
      </c>
      <c r="U456" s="31" t="n">
        <v>41.4</v>
      </c>
      <c r="V456" s="31" t="n">
        <v>41.4</v>
      </c>
      <c r="W456" s="30" t="inlineStr">
        <is>
          <t>AMR3</t>
        </is>
      </c>
      <c r="X456" s="32" t="n">
        <v>0</v>
      </c>
      <c r="Y456" s="32" t="n">
        <v>0</v>
      </c>
      <c r="Z456" s="31" t="n">
        <v>0</v>
      </c>
      <c r="AA456" s="32" t="n">
        <v>0</v>
      </c>
      <c r="AB456" s="32" t="n">
        <v>0</v>
      </c>
      <c r="AC456" s="32" t="n">
        <v>0</v>
      </c>
      <c r="AD456" s="32" t="n">
        <v>0</v>
      </c>
      <c r="AE456" s="31" t="n">
        <v>0</v>
      </c>
      <c r="AF456" s="32" t="n">
        <v>0</v>
      </c>
      <c r="AG456" s="31" t="n">
        <v>0</v>
      </c>
      <c r="AH456" s="32" t="n">
        <v>60</v>
      </c>
      <c r="AI456" s="31" t="n">
        <v>61.1</v>
      </c>
      <c r="AJ456" s="31" t="n">
        <v>45.3</v>
      </c>
      <c r="AK456" s="31" t="n">
        <v>0</v>
      </c>
      <c r="AL456" s="30" t="inlineStr">
        <is>
          <t>T-0603</t>
        </is>
      </c>
      <c r="AM456" s="30" t="inlineStr">
        <is>
          <t>I-05-01</t>
        </is>
      </c>
      <c r="AN456" s="30" t="inlineStr">
        <is>
          <t>T-0476</t>
        </is>
      </c>
      <c r="AO456" s="30" t="inlineStr">
        <is>
          <t>I-06-01</t>
        </is>
      </c>
    </row>
    <row r="457">
      <c r="A457" s="30" t="inlineStr">
        <is>
          <t>O0456</t>
        </is>
      </c>
      <c r="B457" s="30" t="inlineStr">
        <is>
          <t>C</t>
        </is>
      </c>
      <c r="C457" s="31" t="n">
        <v>6103.1</v>
      </c>
      <c r="D457" s="31" t="n">
        <v>16446.5</v>
      </c>
      <c r="E457" s="31" t="n">
        <v>16470</v>
      </c>
      <c r="F457" s="31" t="n">
        <v>16481.4</v>
      </c>
      <c r="G457" s="31" t="n">
        <v>16504.3</v>
      </c>
      <c r="H457" s="31" t="n">
        <v>16504.4</v>
      </c>
      <c r="I457" s="31" t="n">
        <v>16514.8</v>
      </c>
      <c r="J457" s="31" t="n">
        <v>16552.2</v>
      </c>
      <c r="K457" s="31" t="n">
        <v>10449.1</v>
      </c>
      <c r="L457" s="31" t="n">
        <v>10343.4</v>
      </c>
      <c r="M457" s="30" t="inlineStr">
        <is>
          <t>AMR2</t>
        </is>
      </c>
      <c r="N457" s="30" t="inlineStr">
        <is>
          <t>AMR2</t>
        </is>
      </c>
      <c r="O457" s="32" t="n">
        <v>1</v>
      </c>
      <c r="P457" s="32" t="n">
        <v>25</v>
      </c>
      <c r="Q457" s="32" t="n">
        <v>1</v>
      </c>
      <c r="R457" s="31" t="n">
        <v>55.9</v>
      </c>
      <c r="S457" s="31" t="n">
        <v>54.3</v>
      </c>
      <c r="T457" s="30" t="inlineStr">
        <is>
          <t>AMR3</t>
        </is>
      </c>
      <c r="U457" s="31" t="n">
        <v>35</v>
      </c>
      <c r="V457" s="31" t="n">
        <v>35</v>
      </c>
      <c r="W457" s="30" t="inlineStr">
        <is>
          <t>AMR2</t>
        </is>
      </c>
      <c r="X457" s="32" t="n">
        <v>1</v>
      </c>
      <c r="Y457" s="32" t="n">
        <v>9</v>
      </c>
      <c r="Z457" s="31" t="n">
        <v>1.6</v>
      </c>
      <c r="AA457" s="32" t="n">
        <v>0</v>
      </c>
      <c r="AB457" s="32" t="n">
        <v>0</v>
      </c>
      <c r="AC457" s="32" t="n">
        <v>0</v>
      </c>
      <c r="AD457" s="32" t="n">
        <v>1</v>
      </c>
      <c r="AE457" s="31" t="n">
        <v>13</v>
      </c>
      <c r="AF457" s="32" t="n">
        <v>1</v>
      </c>
      <c r="AG457" s="31" t="n">
        <v>8</v>
      </c>
      <c r="AH457" s="32" t="n">
        <v>54</v>
      </c>
      <c r="AI457" s="31" t="n">
        <v>54.8</v>
      </c>
      <c r="AJ457" s="31" t="n">
        <v>37.8</v>
      </c>
      <c r="AK457" s="31" t="n">
        <v>13</v>
      </c>
      <c r="AL457" s="30" t="inlineStr">
        <is>
          <t>T-0602</t>
        </is>
      </c>
      <c r="AM457" s="30" t="inlineStr">
        <is>
          <t>C-01-03</t>
        </is>
      </c>
      <c r="AN457" s="30" t="inlineStr">
        <is>
          <t>T-0494</t>
        </is>
      </c>
      <c r="AO457" s="30" t="inlineStr">
        <is>
          <t>C-04-03</t>
        </is>
      </c>
    </row>
    <row r="458">
      <c r="A458" s="30" t="inlineStr">
        <is>
          <t>O0457</t>
        </is>
      </c>
      <c r="B458" s="30" t="inlineStr">
        <is>
          <t>I</t>
        </is>
      </c>
      <c r="C458" s="31" t="n">
        <v>6122.6</v>
      </c>
      <c r="D458" s="31" t="n">
        <v>16662.8</v>
      </c>
      <c r="E458" s="31" t="n">
        <v>16686.3</v>
      </c>
      <c r="F458" s="31" t="n">
        <v>16700.6</v>
      </c>
      <c r="G458" s="31" t="n">
        <v>16729.5</v>
      </c>
      <c r="H458" s="31" t="n">
        <v>16729.6</v>
      </c>
      <c r="I458" s="31" t="n">
        <v>16744.6</v>
      </c>
      <c r="J458" s="31" t="n">
        <v>16772</v>
      </c>
      <c r="K458" s="31" t="n">
        <v>10649.4</v>
      </c>
      <c r="L458" s="31" t="n">
        <v>10540.2</v>
      </c>
      <c r="M458" s="30" t="inlineStr">
        <is>
          <t>AMR3</t>
        </is>
      </c>
      <c r="N458" s="30" t="inlineStr">
        <is>
          <t>AMR3</t>
        </is>
      </c>
      <c r="O458" s="32" t="n">
        <v>1</v>
      </c>
      <c r="P458" s="32" t="n">
        <v>25</v>
      </c>
      <c r="Q458" s="32" t="n">
        <v>2</v>
      </c>
      <c r="R458" s="31" t="n">
        <v>62.5</v>
      </c>
      <c r="S458" s="31" t="n">
        <v>62.5</v>
      </c>
      <c r="T458" s="30" t="inlineStr">
        <is>
          <t>AMR3</t>
        </is>
      </c>
      <c r="U458" s="31" t="n">
        <v>42.1</v>
      </c>
      <c r="V458" s="31" t="n">
        <v>42.1</v>
      </c>
      <c r="W458" s="30" t="inlineStr">
        <is>
          <t>AMR3</t>
        </is>
      </c>
      <c r="X458" s="32" t="n">
        <v>0</v>
      </c>
      <c r="Y458" s="32" t="n">
        <v>0</v>
      </c>
      <c r="Z458" s="31" t="n">
        <v>0</v>
      </c>
      <c r="AA458" s="32" t="n">
        <v>0</v>
      </c>
      <c r="AB458" s="32" t="n">
        <v>0</v>
      </c>
      <c r="AC458" s="32" t="n">
        <v>0</v>
      </c>
      <c r="AD458" s="32" t="n">
        <v>0</v>
      </c>
      <c r="AE458" s="31" t="n">
        <v>0</v>
      </c>
      <c r="AF458" s="32" t="n">
        <v>0</v>
      </c>
      <c r="AG458" s="31" t="n">
        <v>0</v>
      </c>
      <c r="AH458" s="32" t="n">
        <v>58</v>
      </c>
      <c r="AI458" s="31" t="n">
        <v>59.3</v>
      </c>
      <c r="AJ458" s="31" t="n">
        <v>49.8</v>
      </c>
      <c r="AK458" s="31" t="n">
        <v>0</v>
      </c>
      <c r="AL458" s="30" t="inlineStr">
        <is>
          <t>T-0607</t>
        </is>
      </c>
      <c r="AM458" s="30" t="inlineStr">
        <is>
          <t>I-06-01</t>
        </is>
      </c>
      <c r="AN458" s="30" t="inlineStr">
        <is>
          <t>T-0480</t>
        </is>
      </c>
      <c r="AO458" s="30" t="inlineStr">
        <is>
          <t>I-01-02</t>
        </is>
      </c>
    </row>
    <row r="459">
      <c r="A459" s="30" t="inlineStr">
        <is>
          <t>O0458</t>
        </is>
      </c>
      <c r="B459" s="30" t="inlineStr">
        <is>
          <t>B</t>
        </is>
      </c>
      <c r="C459" s="31" t="n">
        <v>6145.9</v>
      </c>
      <c r="D459" s="31" t="n">
        <v>16540</v>
      </c>
      <c r="E459" s="31" t="n">
        <v>16563.5</v>
      </c>
      <c r="F459" s="31" t="n">
        <v>16575.1</v>
      </c>
      <c r="G459" s="31" t="n">
        <v>16599.2</v>
      </c>
      <c r="H459" s="31" t="n">
        <v>17071.9</v>
      </c>
      <c r="I459" s="31" t="n">
        <v>17085.5</v>
      </c>
      <c r="J459" s="31" t="n">
        <v>17115.7</v>
      </c>
      <c r="K459" s="31" t="n">
        <v>10969.8</v>
      </c>
      <c r="L459" s="31" t="n">
        <v>10394.1</v>
      </c>
      <c r="M459" s="30" t="inlineStr">
        <is>
          <t>AMR1</t>
        </is>
      </c>
      <c r="N459" s="30" t="inlineStr">
        <is>
          <t>AMR3</t>
        </is>
      </c>
      <c r="O459" s="32" t="n">
        <v>1</v>
      </c>
      <c r="P459" s="32" t="n">
        <v>25</v>
      </c>
      <c r="Q459" s="32" t="n">
        <v>2</v>
      </c>
      <c r="R459" s="31" t="n">
        <v>56.5</v>
      </c>
      <c r="S459" s="31" t="n">
        <v>56.5</v>
      </c>
      <c r="T459" s="30" t="inlineStr">
        <is>
          <t>AMR1</t>
        </is>
      </c>
      <c r="U459" s="31" t="n">
        <v>41.6</v>
      </c>
      <c r="V459" s="31" t="n">
        <v>41.6</v>
      </c>
      <c r="W459" s="30" t="inlineStr">
        <is>
          <t>AMR3</t>
        </is>
      </c>
      <c r="X459" s="32" t="n">
        <v>0</v>
      </c>
      <c r="Y459" s="32" t="n">
        <v>0</v>
      </c>
      <c r="Z459" s="31" t="n">
        <v>0</v>
      </c>
      <c r="AA459" s="32" t="n">
        <v>0</v>
      </c>
      <c r="AB459" s="32" t="n">
        <v>0</v>
      </c>
      <c r="AC459" s="32" t="n">
        <v>0</v>
      </c>
      <c r="AD459" s="32" t="n">
        <v>0</v>
      </c>
      <c r="AE459" s="31" t="n">
        <v>0</v>
      </c>
      <c r="AF459" s="32" t="n">
        <v>0</v>
      </c>
      <c r="AG459" s="31" t="n">
        <v>0</v>
      </c>
      <c r="AH459" s="32" t="n">
        <v>60</v>
      </c>
      <c r="AI459" s="31" t="n">
        <v>62.4</v>
      </c>
      <c r="AJ459" s="31" t="n">
        <v>40.6</v>
      </c>
      <c r="AK459" s="31" t="n">
        <v>0</v>
      </c>
      <c r="AL459" s="30" t="inlineStr">
        <is>
          <t>T-0604</t>
        </is>
      </c>
      <c r="AM459" s="30" t="inlineStr">
        <is>
          <t>B-03-02</t>
        </is>
      </c>
      <c r="AN459" s="30" t="inlineStr">
        <is>
          <t>T-0384</t>
        </is>
      </c>
      <c r="AO459" s="30" t="inlineStr">
        <is>
          <t>B-04-02</t>
        </is>
      </c>
    </row>
    <row r="460">
      <c r="A460" s="30" t="inlineStr">
        <is>
          <t>O0459</t>
        </is>
      </c>
      <c r="B460" s="30" t="inlineStr">
        <is>
          <t>F</t>
        </is>
      </c>
      <c r="C460" s="31" t="n">
        <v>6169.1</v>
      </c>
      <c r="D460" s="31" t="n">
        <v>16599.3</v>
      </c>
      <c r="E460" s="31" t="n">
        <v>16614</v>
      </c>
      <c r="F460" s="31" t="n">
        <v>16626.6</v>
      </c>
      <c r="G460" s="31" t="n">
        <v>16656.5</v>
      </c>
      <c r="H460" s="31" t="n">
        <v>16656.6</v>
      </c>
      <c r="I460" s="31" t="n">
        <v>16668.8</v>
      </c>
      <c r="J460" s="31" t="n">
        <v>16698.9</v>
      </c>
      <c r="K460" s="31" t="n">
        <v>10529.8</v>
      </c>
      <c r="L460" s="31" t="n">
        <v>10430.2</v>
      </c>
      <c r="M460" s="30" t="inlineStr">
        <is>
          <t>AMR1</t>
        </is>
      </c>
      <c r="N460" s="30" t="inlineStr">
        <is>
          <t>AMR1</t>
        </is>
      </c>
      <c r="O460" s="32" t="n">
        <v>1</v>
      </c>
      <c r="P460" s="32" t="n">
        <v>15</v>
      </c>
      <c r="Q460" s="32" t="n">
        <v>1</v>
      </c>
      <c r="R460" s="31" t="n">
        <v>54.4</v>
      </c>
      <c r="S460" s="31" t="n">
        <v>54.4</v>
      </c>
      <c r="T460" s="30" t="inlineStr">
        <is>
          <t>AMR1</t>
        </is>
      </c>
      <c r="U460" s="31" t="n">
        <v>43</v>
      </c>
      <c r="V460" s="31" t="n">
        <v>43</v>
      </c>
      <c r="W460" s="30" t="inlineStr">
        <is>
          <t>AMR1</t>
        </is>
      </c>
      <c r="X460" s="32" t="n">
        <v>0</v>
      </c>
      <c r="Y460" s="32" t="n">
        <v>0</v>
      </c>
      <c r="Z460" s="31" t="n">
        <v>0</v>
      </c>
      <c r="AA460" s="32" t="n">
        <v>0</v>
      </c>
      <c r="AB460" s="32" t="n">
        <v>0</v>
      </c>
      <c r="AC460" s="32" t="n">
        <v>0</v>
      </c>
      <c r="AD460" s="32" t="n">
        <v>0</v>
      </c>
      <c r="AE460" s="31" t="n">
        <v>0</v>
      </c>
      <c r="AF460" s="32" t="n">
        <v>0</v>
      </c>
      <c r="AG460" s="31" t="n">
        <v>0</v>
      </c>
      <c r="AH460" s="32" t="n">
        <v>62</v>
      </c>
      <c r="AI460" s="31" t="n">
        <v>61.8</v>
      </c>
      <c r="AJ460" s="31" t="n">
        <v>37.7</v>
      </c>
      <c r="AK460" s="31" t="n">
        <v>0</v>
      </c>
      <c r="AL460" s="30" t="inlineStr">
        <is>
          <t>T-0606</t>
        </is>
      </c>
      <c r="AM460" s="30" t="inlineStr">
        <is>
          <t>F-01-01</t>
        </is>
      </c>
      <c r="AN460" s="30" t="inlineStr">
        <is>
          <t>T-0386</t>
        </is>
      </c>
      <c r="AO460" s="30" t="inlineStr">
        <is>
          <t>F-05-01</t>
        </is>
      </c>
    </row>
    <row r="461">
      <c r="A461" s="30" t="inlineStr">
        <is>
          <t>O0460</t>
        </is>
      </c>
      <c r="B461" s="30" t="inlineStr">
        <is>
          <t>G</t>
        </is>
      </c>
      <c r="C461" s="31" t="n">
        <v>6188.3</v>
      </c>
      <c r="D461" s="31" t="n">
        <v>16552.3</v>
      </c>
      <c r="E461" s="31" t="n">
        <v>16587.8</v>
      </c>
      <c r="F461" s="31" t="n">
        <v>16598.7</v>
      </c>
      <c r="G461" s="31" t="n">
        <v>16621.6</v>
      </c>
      <c r="H461" s="31" t="n">
        <v>16621.7</v>
      </c>
      <c r="I461" s="31" t="n">
        <v>16632.8</v>
      </c>
      <c r="J461" s="31" t="n">
        <v>16678.8</v>
      </c>
      <c r="K461" s="31" t="n">
        <v>10490.5</v>
      </c>
      <c r="L461" s="31" t="n">
        <v>10364</v>
      </c>
      <c r="M461" s="30" t="inlineStr">
        <is>
          <t>AMR2</t>
        </is>
      </c>
      <c r="N461" s="30" t="inlineStr">
        <is>
          <t>AMR2</t>
        </is>
      </c>
      <c r="O461" s="32" t="n">
        <v>1</v>
      </c>
      <c r="P461" s="32" t="n">
        <v>25</v>
      </c>
      <c r="Q461" s="32" t="n">
        <v>2</v>
      </c>
      <c r="R461" s="31" t="n">
        <v>56.3</v>
      </c>
      <c r="S461" s="31" t="n">
        <v>51.7</v>
      </c>
      <c r="T461" s="30" t="inlineStr">
        <is>
          <t>AMR3</t>
        </is>
      </c>
      <c r="U461" s="31" t="n">
        <v>37.3</v>
      </c>
      <c r="V461" s="31" t="n">
        <v>37.3</v>
      </c>
      <c r="W461" s="30" t="inlineStr">
        <is>
          <t>AMR2</t>
        </is>
      </c>
      <c r="X461" s="32" t="n">
        <v>1</v>
      </c>
      <c r="Y461" s="32" t="n">
        <v>9</v>
      </c>
      <c r="Z461" s="31" t="n">
        <v>4.6</v>
      </c>
      <c r="AA461" s="32" t="n">
        <v>0</v>
      </c>
      <c r="AB461" s="32" t="n">
        <v>0</v>
      </c>
      <c r="AC461" s="32" t="n">
        <v>0</v>
      </c>
      <c r="AD461" s="32" t="n">
        <v>1</v>
      </c>
      <c r="AE461" s="31" t="n">
        <v>17</v>
      </c>
      <c r="AF461" s="32" t="n">
        <v>2</v>
      </c>
      <c r="AG461" s="31" t="n">
        <v>19</v>
      </c>
      <c r="AH461" s="32" t="n">
        <v>60</v>
      </c>
      <c r="AI461" s="31" t="n">
        <v>61.8</v>
      </c>
      <c r="AJ461" s="31" t="n">
        <v>35.6</v>
      </c>
      <c r="AK461" s="31" t="n">
        <v>29</v>
      </c>
      <c r="AL461" s="30" t="inlineStr">
        <is>
          <t>T-0605</t>
        </is>
      </c>
      <c r="AM461" s="30" t="inlineStr">
        <is>
          <t>G-06-01</t>
        </is>
      </c>
      <c r="AN461" s="30" t="inlineStr">
        <is>
          <t>T-0358</t>
        </is>
      </c>
      <c r="AO461" s="30" t="inlineStr">
        <is>
          <t>G-01-01</t>
        </is>
      </c>
    </row>
    <row r="462">
      <c r="A462" s="30" t="inlineStr">
        <is>
          <t>O0461</t>
        </is>
      </c>
      <c r="B462" s="30" t="inlineStr">
        <is>
          <t>G</t>
        </is>
      </c>
      <c r="C462" s="31" t="n">
        <v>6207</v>
      </c>
      <c r="D462" s="31" t="n">
        <v>16772.1</v>
      </c>
      <c r="E462" s="31" t="n">
        <v>16795.6</v>
      </c>
      <c r="F462" s="31" t="n">
        <v>16811.8</v>
      </c>
      <c r="G462" s="31" t="n">
        <v>16838.1</v>
      </c>
      <c r="H462" s="31" t="n">
        <v>16838.2</v>
      </c>
      <c r="I462" s="31" t="n">
        <v>16848.9</v>
      </c>
      <c r="J462" s="31" t="n">
        <v>16875.7</v>
      </c>
      <c r="K462" s="31" t="n">
        <v>10668.7</v>
      </c>
      <c r="L462" s="31" t="n">
        <v>10565.1</v>
      </c>
      <c r="M462" s="30" t="inlineStr">
        <is>
          <t>AMR3</t>
        </is>
      </c>
      <c r="N462" s="30" t="inlineStr">
        <is>
          <t>AMR3</t>
        </is>
      </c>
      <c r="O462" s="32" t="n">
        <v>1</v>
      </c>
      <c r="P462" s="32" t="n">
        <v>25</v>
      </c>
      <c r="Q462" s="32" t="n">
        <v>1</v>
      </c>
      <c r="R462" s="31" t="n">
        <v>62.6</v>
      </c>
      <c r="S462" s="31" t="n">
        <v>62.6</v>
      </c>
      <c r="T462" s="30" t="inlineStr">
        <is>
          <t>AMR3</t>
        </is>
      </c>
      <c r="U462" s="31" t="n">
        <v>37.1</v>
      </c>
      <c r="V462" s="31" t="n">
        <v>37.1</v>
      </c>
      <c r="W462" s="30" t="inlineStr">
        <is>
          <t>AMR3</t>
        </is>
      </c>
      <c r="X462" s="32" t="n">
        <v>0</v>
      </c>
      <c r="Y462" s="32" t="n">
        <v>0</v>
      </c>
      <c r="Z462" s="31" t="n">
        <v>0</v>
      </c>
      <c r="AA462" s="32" t="n">
        <v>0</v>
      </c>
      <c r="AB462" s="32" t="n">
        <v>0</v>
      </c>
      <c r="AC462" s="32" t="n">
        <v>0</v>
      </c>
      <c r="AD462" s="32" t="n">
        <v>0</v>
      </c>
      <c r="AE462" s="31" t="n">
        <v>0</v>
      </c>
      <c r="AF462" s="32" t="n">
        <v>0</v>
      </c>
      <c r="AG462" s="31" t="n">
        <v>0</v>
      </c>
      <c r="AH462" s="32" t="n">
        <v>60</v>
      </c>
      <c r="AI462" s="31" t="n">
        <v>61.1</v>
      </c>
      <c r="AJ462" s="31" t="n">
        <v>42.4</v>
      </c>
      <c r="AK462" s="31" t="n">
        <v>0</v>
      </c>
      <c r="AL462" s="30" t="inlineStr">
        <is>
          <t>T-0610</t>
        </is>
      </c>
      <c r="AM462" s="30" t="inlineStr">
        <is>
          <t>G-01-01</t>
        </is>
      </c>
      <c r="AN462" s="30" t="inlineStr">
        <is>
          <t>T-0397</t>
        </is>
      </c>
      <c r="AO462" s="30" t="inlineStr">
        <is>
          <t>G-03-01</t>
        </is>
      </c>
    </row>
    <row r="463">
      <c r="A463" s="30" t="inlineStr">
        <is>
          <t>O0462</t>
        </is>
      </c>
      <c r="B463" s="30" t="inlineStr">
        <is>
          <t>A</t>
        </is>
      </c>
      <c r="C463" s="31" t="n">
        <v>6225.8</v>
      </c>
      <c r="D463" s="31" t="n">
        <v>16926.8</v>
      </c>
      <c r="E463" s="31" t="n">
        <v>16959.3</v>
      </c>
      <c r="F463" s="31" t="n">
        <v>16972.9</v>
      </c>
      <c r="G463" s="31" t="n">
        <v>17005.5</v>
      </c>
      <c r="H463" s="31" t="n">
        <v>17005.6</v>
      </c>
      <c r="I463" s="31" t="n">
        <v>17016.2</v>
      </c>
      <c r="J463" s="31" t="n">
        <v>17049.7</v>
      </c>
      <c r="K463" s="31" t="n">
        <v>10823.9</v>
      </c>
      <c r="L463" s="31" t="n">
        <v>10701</v>
      </c>
      <c r="M463" s="30" t="inlineStr">
        <is>
          <t>AMR1</t>
        </is>
      </c>
      <c r="N463" s="30" t="inlineStr">
        <is>
          <t>AMR1</t>
        </is>
      </c>
      <c r="O463" s="32" t="n">
        <v>1</v>
      </c>
      <c r="P463" s="32" t="n">
        <v>25</v>
      </c>
      <c r="Q463" s="32" t="n">
        <v>1</v>
      </c>
      <c r="R463" s="31" t="n">
        <v>66.2</v>
      </c>
      <c r="S463" s="31" t="n">
        <v>66.2</v>
      </c>
      <c r="T463" s="30" t="inlineStr">
        <is>
          <t>AMR1</t>
        </is>
      </c>
      <c r="U463" s="31" t="n">
        <v>44.7</v>
      </c>
      <c r="V463" s="31" t="n">
        <v>44.7</v>
      </c>
      <c r="W463" s="30" t="inlineStr">
        <is>
          <t>AMR1</t>
        </is>
      </c>
      <c r="X463" s="32" t="n">
        <v>0</v>
      </c>
      <c r="Y463" s="32" t="n">
        <v>0</v>
      </c>
      <c r="Z463" s="31" t="n">
        <v>0</v>
      </c>
      <c r="AA463" s="32" t="n">
        <v>0</v>
      </c>
      <c r="AB463" s="32" t="n">
        <v>0</v>
      </c>
      <c r="AC463" s="32" t="n">
        <v>0</v>
      </c>
      <c r="AD463" s="32" t="n">
        <v>0</v>
      </c>
      <c r="AE463" s="31" t="n">
        <v>0</v>
      </c>
      <c r="AF463" s="32" t="n">
        <v>1</v>
      </c>
      <c r="AG463" s="31" t="n">
        <v>4</v>
      </c>
      <c r="AH463" s="32" t="n">
        <v>72</v>
      </c>
      <c r="AI463" s="31" t="n">
        <v>70.3</v>
      </c>
      <c r="AJ463" s="31" t="n">
        <v>43.5</v>
      </c>
      <c r="AK463" s="31" t="n">
        <v>9</v>
      </c>
      <c r="AL463" s="30" t="inlineStr">
        <is>
          <t>T-0615</t>
        </is>
      </c>
      <c r="AM463" s="30" t="inlineStr">
        <is>
          <t>A-02-03</t>
        </is>
      </c>
      <c r="AN463" s="30" t="inlineStr">
        <is>
          <t>T-0272</t>
        </is>
      </c>
      <c r="AO463" s="30" t="inlineStr">
        <is>
          <t>A-03-03</t>
        </is>
      </c>
    </row>
    <row r="464">
      <c r="A464" s="30" t="inlineStr">
        <is>
          <t>O0463</t>
        </is>
      </c>
      <c r="B464" s="30" t="inlineStr">
        <is>
          <t>F</t>
        </is>
      </c>
      <c r="C464" s="31" t="n">
        <v>6250.1</v>
      </c>
      <c r="D464" s="31" t="n">
        <v>16678.9</v>
      </c>
      <c r="E464" s="31" t="n">
        <v>16710.4</v>
      </c>
      <c r="F464" s="31" t="n">
        <v>16721.7</v>
      </c>
      <c r="G464" s="31" t="n">
        <v>16751.6</v>
      </c>
      <c r="H464" s="31" t="n">
        <v>17428.1</v>
      </c>
      <c r="I464" s="31" t="n">
        <v>17441.1</v>
      </c>
      <c r="J464" s="31" t="n">
        <v>17482</v>
      </c>
      <c r="K464" s="31" t="n">
        <v>11231.9</v>
      </c>
      <c r="L464" s="31" t="n">
        <v>10428.8</v>
      </c>
      <c r="M464" s="30" t="inlineStr">
        <is>
          <t>AMR2</t>
        </is>
      </c>
      <c r="N464" s="30" t="inlineStr">
        <is>
          <t>AMR3</t>
        </is>
      </c>
      <c r="O464" s="32" t="n">
        <v>1</v>
      </c>
      <c r="P464" s="32" t="n">
        <v>25</v>
      </c>
      <c r="Q464" s="32" t="n">
        <v>0</v>
      </c>
      <c r="R464" s="31" t="n">
        <v>62.9</v>
      </c>
      <c r="S464" s="31" t="n">
        <v>62.9</v>
      </c>
      <c r="T464" s="30" t="inlineStr">
        <is>
          <t>AMR2</t>
        </is>
      </c>
      <c r="U464" s="31" t="n">
        <v>44.6</v>
      </c>
      <c r="V464" s="31" t="n">
        <v>44.6</v>
      </c>
      <c r="W464" s="30" t="inlineStr">
        <is>
          <t>AMR3</t>
        </is>
      </c>
      <c r="X464" s="32" t="n">
        <v>0</v>
      </c>
      <c r="Y464" s="32" t="n">
        <v>0</v>
      </c>
      <c r="Z464" s="31" t="n">
        <v>0</v>
      </c>
      <c r="AA464" s="32" t="n">
        <v>0</v>
      </c>
      <c r="AB464" s="32" t="n">
        <v>0</v>
      </c>
      <c r="AC464" s="32" t="n">
        <v>0</v>
      </c>
      <c r="AD464" s="32" t="n">
        <v>1</v>
      </c>
      <c r="AE464" s="31" t="n">
        <v>10</v>
      </c>
      <c r="AF464" s="32" t="n">
        <v>2</v>
      </c>
      <c r="AG464" s="31" t="n">
        <v>8</v>
      </c>
      <c r="AH464" s="32" t="n">
        <v>69</v>
      </c>
      <c r="AI464" s="31" t="n">
        <v>68.3</v>
      </c>
      <c r="AJ464" s="31" t="n">
        <v>40.3</v>
      </c>
      <c r="AK464" s="31" t="n">
        <v>18</v>
      </c>
      <c r="AL464" s="30" t="inlineStr">
        <is>
          <t>T-0608</t>
        </is>
      </c>
      <c r="AM464" s="30" t="inlineStr">
        <is>
          <t>F-05-01</t>
        </is>
      </c>
      <c r="AN464" s="30" t="inlineStr">
        <is>
          <t>T-0433</t>
        </is>
      </c>
      <c r="AO464" s="30" t="inlineStr">
        <is>
          <t>F-05-02</t>
        </is>
      </c>
    </row>
    <row r="465">
      <c r="A465" s="30" t="inlineStr">
        <is>
          <t>O0464</t>
        </is>
      </c>
      <c r="B465" s="30" t="inlineStr">
        <is>
          <t>E</t>
        </is>
      </c>
      <c r="C465" s="31" t="n">
        <v>6266.4</v>
      </c>
      <c r="D465" s="31" t="n">
        <v>16911.3</v>
      </c>
      <c r="E465" s="31" t="n">
        <v>16934.8</v>
      </c>
      <c r="F465" s="31" t="n">
        <v>16946.9</v>
      </c>
      <c r="G465" s="31" t="n">
        <v>16974.9</v>
      </c>
      <c r="H465" s="31" t="n">
        <v>16975</v>
      </c>
      <c r="I465" s="31" t="n">
        <v>16985.3</v>
      </c>
      <c r="J465" s="31" t="n">
        <v>17022.8</v>
      </c>
      <c r="K465" s="31" t="n">
        <v>10756.4</v>
      </c>
      <c r="L465" s="31" t="n">
        <v>10644.9</v>
      </c>
      <c r="M465" s="30" t="inlineStr">
        <is>
          <t>AMR2</t>
        </is>
      </c>
      <c r="N465" s="30" t="inlineStr">
        <is>
          <t>AMR2</t>
        </is>
      </c>
      <c r="O465" s="32" t="n">
        <v>1</v>
      </c>
      <c r="P465" s="32" t="n">
        <v>25</v>
      </c>
      <c r="Q465" s="32" t="n">
        <v>0</v>
      </c>
      <c r="R465" s="31" t="n">
        <v>60.9</v>
      </c>
      <c r="S465" s="31" t="n">
        <v>60.9</v>
      </c>
      <c r="T465" s="30" t="inlineStr">
        <is>
          <t>AMR2</t>
        </is>
      </c>
      <c r="U465" s="31" t="n">
        <v>43.5</v>
      </c>
      <c r="V465" s="31" t="n">
        <v>43.5</v>
      </c>
      <c r="W465" s="30" t="inlineStr">
        <is>
          <t>AMR2</t>
        </is>
      </c>
      <c r="X465" s="32" t="n">
        <v>0</v>
      </c>
      <c r="Y465" s="32" t="n">
        <v>0</v>
      </c>
      <c r="Z465" s="31" t="n">
        <v>0</v>
      </c>
      <c r="AA465" s="32" t="n">
        <v>0</v>
      </c>
      <c r="AB465" s="32" t="n">
        <v>0</v>
      </c>
      <c r="AC465" s="32" t="n">
        <v>0</v>
      </c>
      <c r="AD465" s="32" t="n">
        <v>1</v>
      </c>
      <c r="AE465" s="31" t="n">
        <v>2</v>
      </c>
      <c r="AF465" s="32" t="n">
        <v>0</v>
      </c>
      <c r="AG465" s="31" t="n">
        <v>0</v>
      </c>
      <c r="AH465" s="32" t="n">
        <v>70</v>
      </c>
      <c r="AI465" s="31" t="n">
        <v>68.5</v>
      </c>
      <c r="AJ465" s="31" t="n">
        <v>40.9</v>
      </c>
      <c r="AK465" s="31" t="n">
        <v>2</v>
      </c>
      <c r="AL465" s="30" t="inlineStr">
        <is>
          <t>T-0614</t>
        </is>
      </c>
      <c r="AM465" s="30" t="inlineStr">
        <is>
          <t>E-03-02</t>
        </is>
      </c>
      <c r="AN465" s="30" t="inlineStr">
        <is>
          <t>T-0404</t>
        </is>
      </c>
      <c r="AO465" s="30" t="inlineStr">
        <is>
          <t>E-06-03</t>
        </is>
      </c>
    </row>
    <row r="466">
      <c r="A466" s="30" t="inlineStr">
        <is>
          <t>O0465</t>
        </is>
      </c>
      <c r="B466" s="30" t="inlineStr">
        <is>
          <t>C</t>
        </is>
      </c>
      <c r="C466" s="31" t="n">
        <v>6288.4</v>
      </c>
      <c r="D466" s="31" t="n">
        <v>16699</v>
      </c>
      <c r="E466" s="31" t="n">
        <v>16734.5</v>
      </c>
      <c r="F466" s="31" t="n">
        <v>16746.3</v>
      </c>
      <c r="G466" s="31" t="n">
        <v>16767.7</v>
      </c>
      <c r="H466" s="31" t="n">
        <v>16767.8</v>
      </c>
      <c r="I466" s="31" t="n">
        <v>16777.2</v>
      </c>
      <c r="J466" s="31" t="n">
        <v>16815.2</v>
      </c>
      <c r="K466" s="31" t="n">
        <v>10526.8</v>
      </c>
      <c r="L466" s="31" t="n">
        <v>10410.6</v>
      </c>
      <c r="M466" s="30" t="inlineStr">
        <is>
          <t>AMR1</t>
        </is>
      </c>
      <c r="N466" s="30" t="inlineStr">
        <is>
          <t>AMR1</t>
        </is>
      </c>
      <c r="O466" s="32" t="n">
        <v>1</v>
      </c>
      <c r="P466" s="32" t="n">
        <v>25</v>
      </c>
      <c r="Q466" s="32" t="n">
        <v>1</v>
      </c>
      <c r="R466" s="31" t="n">
        <v>54.8</v>
      </c>
      <c r="S466" s="31" t="n">
        <v>54.8</v>
      </c>
      <c r="T466" s="30" t="inlineStr">
        <is>
          <t>AMR1</t>
        </is>
      </c>
      <c r="U466" s="31" t="n">
        <v>38.6</v>
      </c>
      <c r="V466" s="31" t="n">
        <v>38.6</v>
      </c>
      <c r="W466" s="30" t="inlineStr">
        <is>
          <t>AMR1</t>
        </is>
      </c>
      <c r="X466" s="32" t="n">
        <v>0</v>
      </c>
      <c r="Y466" s="32" t="n">
        <v>0</v>
      </c>
      <c r="Z466" s="31" t="n">
        <v>0</v>
      </c>
      <c r="AA466" s="32" t="n">
        <v>0</v>
      </c>
      <c r="AB466" s="32" t="n">
        <v>0</v>
      </c>
      <c r="AC466" s="32" t="n">
        <v>0</v>
      </c>
      <c r="AD466" s="32" t="n">
        <v>1</v>
      </c>
      <c r="AE466" s="31" t="n">
        <v>10</v>
      </c>
      <c r="AF466" s="32" t="n">
        <v>2</v>
      </c>
      <c r="AG466" s="31" t="n">
        <v>12</v>
      </c>
      <c r="AH466" s="32" t="n">
        <v>52</v>
      </c>
      <c r="AI466" s="31" t="n">
        <v>53.8</v>
      </c>
      <c r="AJ466" s="31" t="n">
        <v>40.3</v>
      </c>
      <c r="AK466" s="31" t="n">
        <v>22</v>
      </c>
      <c r="AL466" s="30" t="inlineStr">
        <is>
          <t>T-0609</t>
        </is>
      </c>
      <c r="AM466" s="30" t="inlineStr">
        <is>
          <t>C-02-03</t>
        </is>
      </c>
      <c r="AN466" s="30" t="inlineStr">
        <is>
          <t>T-0496</t>
        </is>
      </c>
      <c r="AO466" s="30" t="inlineStr">
        <is>
          <t>C-01-01</t>
        </is>
      </c>
    </row>
    <row r="467">
      <c r="A467" s="30" t="inlineStr">
        <is>
          <t>O0466</t>
        </is>
      </c>
      <c r="B467" s="30" t="inlineStr">
        <is>
          <t>J</t>
        </is>
      </c>
      <c r="C467" s="31" t="n">
        <v>6308.1</v>
      </c>
      <c r="D467" s="31" t="n">
        <v>17234.7</v>
      </c>
      <c r="E467" s="31" t="n">
        <v>17258.2</v>
      </c>
      <c r="F467" s="31" t="n">
        <v>17268.7</v>
      </c>
      <c r="G467" s="31" t="n">
        <v>17300.6</v>
      </c>
      <c r="H467" s="31" t="n">
        <v>17300.7</v>
      </c>
      <c r="I467" s="31" t="n">
        <v>17314.6</v>
      </c>
      <c r="J467" s="31" t="n">
        <v>17345.8</v>
      </c>
      <c r="K467" s="31" t="n">
        <v>11037.7</v>
      </c>
      <c r="L467" s="31" t="n">
        <v>10926.6</v>
      </c>
      <c r="M467" s="30" t="inlineStr">
        <is>
          <t>AMR2</t>
        </is>
      </c>
      <c r="N467" s="30" t="inlineStr">
        <is>
          <t>AMR2</t>
        </is>
      </c>
      <c r="O467" s="32" t="n">
        <v>1</v>
      </c>
      <c r="P467" s="32" t="n">
        <v>25</v>
      </c>
      <c r="Q467" s="32" t="n">
        <v>1</v>
      </c>
      <c r="R467" s="31" t="n">
        <v>64.09999999999999</v>
      </c>
      <c r="S467" s="31" t="n">
        <v>64.09999999999999</v>
      </c>
      <c r="T467" s="30" t="inlineStr">
        <is>
          <t>AMR2</t>
        </is>
      </c>
      <c r="U467" s="31" t="n">
        <v>43.3</v>
      </c>
      <c r="V467" s="31" t="n">
        <v>43.3</v>
      </c>
      <c r="W467" s="30" t="inlineStr">
        <is>
          <t>AMR2</t>
        </is>
      </c>
      <c r="X467" s="32" t="n">
        <v>0</v>
      </c>
      <c r="Y467" s="32" t="n">
        <v>0</v>
      </c>
      <c r="Z467" s="31" t="n">
        <v>0</v>
      </c>
      <c r="AA467" s="32" t="n">
        <v>0</v>
      </c>
      <c r="AB467" s="32" t="n">
        <v>0</v>
      </c>
      <c r="AC467" s="32" t="n">
        <v>0</v>
      </c>
      <c r="AD467" s="32" t="n">
        <v>0</v>
      </c>
      <c r="AE467" s="31" t="n">
        <v>0</v>
      </c>
      <c r="AF467" s="32" t="n">
        <v>0</v>
      </c>
      <c r="AG467" s="31" t="n">
        <v>0</v>
      </c>
      <c r="AH467" s="32" t="n">
        <v>68</v>
      </c>
      <c r="AI467" s="31" t="n">
        <v>68.3</v>
      </c>
      <c r="AJ467" s="31" t="n">
        <v>42.7</v>
      </c>
      <c r="AK467" s="31" t="n">
        <v>0</v>
      </c>
      <c r="AL467" s="30" t="inlineStr">
        <is>
          <t>T-0622</t>
        </is>
      </c>
      <c r="AM467" s="30" t="inlineStr">
        <is>
          <t>J-02-02</t>
        </is>
      </c>
      <c r="AN467" s="30" t="inlineStr">
        <is>
          <t>T-0546</t>
        </is>
      </c>
      <c r="AO467" s="30" t="inlineStr">
        <is>
          <t>J-04-02</t>
        </is>
      </c>
    </row>
    <row r="468">
      <c r="A468" s="30" t="inlineStr">
        <is>
          <t>O0467</t>
        </is>
      </c>
      <c r="B468" s="30" t="inlineStr">
        <is>
          <t>A</t>
        </is>
      </c>
      <c r="C468" s="31" t="n">
        <v>6332.1</v>
      </c>
      <c r="D468" s="31" t="n">
        <v>16797.6</v>
      </c>
      <c r="E468" s="31" t="n">
        <v>16821.1</v>
      </c>
      <c r="F468" s="31" t="n">
        <v>16834.8</v>
      </c>
      <c r="G468" s="31" t="n">
        <v>16863.9</v>
      </c>
      <c r="H468" s="31" t="n">
        <v>17255.5</v>
      </c>
      <c r="I468" s="31" t="n">
        <v>17268.2</v>
      </c>
      <c r="J468" s="31" t="n">
        <v>17301.6</v>
      </c>
      <c r="K468" s="31" t="n">
        <v>10969.5</v>
      </c>
      <c r="L468" s="31" t="n">
        <v>10465.5</v>
      </c>
      <c r="M468" s="30" t="inlineStr">
        <is>
          <t>AMR2</t>
        </is>
      </c>
      <c r="N468" s="30" t="inlineStr">
        <is>
          <t>AMR3</t>
        </is>
      </c>
      <c r="O468" s="32" t="n">
        <v>1</v>
      </c>
      <c r="P468" s="32" t="n">
        <v>25</v>
      </c>
      <c r="Q468" s="32" t="n">
        <v>0</v>
      </c>
      <c r="R468" s="31" t="n">
        <v>62.8</v>
      </c>
      <c r="S468" s="31" t="n">
        <v>62.8</v>
      </c>
      <c r="T468" s="30" t="inlineStr">
        <is>
          <t>AMR2</t>
        </is>
      </c>
      <c r="U468" s="31" t="n">
        <v>46.8</v>
      </c>
      <c r="V468" s="31" t="n">
        <v>46.8</v>
      </c>
      <c r="W468" s="30" t="inlineStr">
        <is>
          <t>AMR3</t>
        </is>
      </c>
      <c r="X468" s="32" t="n">
        <v>0</v>
      </c>
      <c r="Y468" s="32" t="n">
        <v>0</v>
      </c>
      <c r="Z468" s="31" t="n">
        <v>0</v>
      </c>
      <c r="AA468" s="32" t="n">
        <v>0</v>
      </c>
      <c r="AB468" s="32" t="n">
        <v>0</v>
      </c>
      <c r="AC468" s="32" t="n">
        <v>0</v>
      </c>
      <c r="AD468" s="32" t="n">
        <v>0</v>
      </c>
      <c r="AE468" s="31" t="n">
        <v>0</v>
      </c>
      <c r="AF468" s="32" t="n">
        <v>0</v>
      </c>
      <c r="AG468" s="31" t="n">
        <v>0</v>
      </c>
      <c r="AH468" s="32" t="n">
        <v>71</v>
      </c>
      <c r="AI468" s="31" t="n">
        <v>69.5</v>
      </c>
      <c r="AJ468" s="31" t="n">
        <v>42.9</v>
      </c>
      <c r="AK468" s="31" t="n">
        <v>0</v>
      </c>
      <c r="AL468" s="30" t="inlineStr">
        <is>
          <t>T-0611</t>
        </is>
      </c>
      <c r="AM468" s="30" t="inlineStr">
        <is>
          <t>A-01-03</t>
        </is>
      </c>
      <c r="AN468" s="30" t="inlineStr">
        <is>
          <t>T-0352</t>
        </is>
      </c>
      <c r="AO468" s="30" t="inlineStr">
        <is>
          <t>A-04-03</t>
        </is>
      </c>
    </row>
    <row r="469">
      <c r="A469" s="30" t="inlineStr">
        <is>
          <t>O0468</t>
        </is>
      </c>
      <c r="B469" s="30" t="inlineStr">
        <is>
          <t>C</t>
        </is>
      </c>
      <c r="C469" s="31" t="n">
        <v>6349.3</v>
      </c>
      <c r="D469" s="31" t="n">
        <v>16815.3</v>
      </c>
      <c r="E469" s="31" t="n">
        <v>16844.8</v>
      </c>
      <c r="F469" s="31" t="n">
        <v>16860</v>
      </c>
      <c r="G469" s="31" t="n">
        <v>16882.5</v>
      </c>
      <c r="H469" s="31" t="n">
        <v>16882.6</v>
      </c>
      <c r="I469" s="31" t="n">
        <v>16892.4</v>
      </c>
      <c r="J469" s="31" t="n">
        <v>16926.7</v>
      </c>
      <c r="K469" s="31" t="n">
        <v>10577.4</v>
      </c>
      <c r="L469" s="31" t="n">
        <v>10466</v>
      </c>
      <c r="M469" s="30" t="inlineStr">
        <is>
          <t>AMR1</t>
        </is>
      </c>
      <c r="N469" s="30" t="inlineStr">
        <is>
          <t>AMR1</t>
        </is>
      </c>
      <c r="O469" s="32" t="n">
        <v>1</v>
      </c>
      <c r="P469" s="32" t="n">
        <v>25</v>
      </c>
      <c r="Q469" s="32" t="n">
        <v>1</v>
      </c>
      <c r="R469" s="31" t="n">
        <v>59.3</v>
      </c>
      <c r="S469" s="31" t="n">
        <v>59.3</v>
      </c>
      <c r="T469" s="30" t="inlineStr">
        <is>
          <t>AMR1</t>
        </is>
      </c>
      <c r="U469" s="31" t="n">
        <v>34.3</v>
      </c>
      <c r="V469" s="31" t="n">
        <v>34.3</v>
      </c>
      <c r="W469" s="30" t="inlineStr">
        <is>
          <t>AMR1</t>
        </is>
      </c>
      <c r="X469" s="32" t="n">
        <v>0</v>
      </c>
      <c r="Y469" s="32" t="n">
        <v>0</v>
      </c>
      <c r="Z469" s="31" t="n">
        <v>0</v>
      </c>
      <c r="AA469" s="32" t="n">
        <v>0</v>
      </c>
      <c r="AB469" s="32" t="n">
        <v>0</v>
      </c>
      <c r="AC469" s="32" t="n">
        <v>0</v>
      </c>
      <c r="AD469" s="32" t="n">
        <v>1</v>
      </c>
      <c r="AE469" s="31" t="n">
        <v>10</v>
      </c>
      <c r="AF469" s="32" t="n">
        <v>2</v>
      </c>
      <c r="AG469" s="31" t="n">
        <v>6</v>
      </c>
      <c r="AH469" s="32" t="n">
        <v>54</v>
      </c>
      <c r="AI469" s="31" t="n">
        <v>54.8</v>
      </c>
      <c r="AJ469" s="31" t="n">
        <v>40.5</v>
      </c>
      <c r="AK469" s="31" t="n">
        <v>16</v>
      </c>
      <c r="AL469" s="30" t="inlineStr">
        <is>
          <t>T-0612</t>
        </is>
      </c>
      <c r="AM469" s="30" t="inlineStr">
        <is>
          <t>C-01-01</t>
        </is>
      </c>
      <c r="AN469" s="30" t="inlineStr">
        <is>
          <t>T-0499</t>
        </is>
      </c>
      <c r="AO469" s="30" t="inlineStr">
        <is>
          <t>C-05-01</t>
        </is>
      </c>
    </row>
    <row r="470">
      <c r="A470" s="30" t="inlineStr">
        <is>
          <t>O0469</t>
        </is>
      </c>
      <c r="B470" s="30" t="inlineStr">
        <is>
          <t>J</t>
        </is>
      </c>
      <c r="C470" s="31" t="n">
        <v>6373.7</v>
      </c>
      <c r="D470" s="31" t="n">
        <v>17345.9</v>
      </c>
      <c r="E470" s="31" t="n">
        <v>17369.4</v>
      </c>
      <c r="F470" s="31" t="n">
        <v>17383</v>
      </c>
      <c r="G470" s="31" t="n">
        <v>17412.4</v>
      </c>
      <c r="H470" s="31" t="n">
        <v>17495</v>
      </c>
      <c r="I470" s="31" t="n">
        <v>17506.3</v>
      </c>
      <c r="J470" s="31" t="n">
        <v>17540.4</v>
      </c>
      <c r="K470" s="31" t="n">
        <v>11166.7</v>
      </c>
      <c r="L470" s="31" t="n">
        <v>10972.2</v>
      </c>
      <c r="M470" s="30" t="inlineStr">
        <is>
          <t>AMR2</t>
        </is>
      </c>
      <c r="N470" s="30" t="inlineStr">
        <is>
          <t>AMR1</t>
        </is>
      </c>
      <c r="O470" s="32" t="n">
        <v>1</v>
      </c>
      <c r="P470" s="32" t="n">
        <v>25</v>
      </c>
      <c r="Q470" s="32" t="n">
        <v>1</v>
      </c>
      <c r="R470" s="31" t="n">
        <v>63.9</v>
      </c>
      <c r="S470" s="31" t="n">
        <v>63.9</v>
      </c>
      <c r="T470" s="30" t="inlineStr">
        <is>
          <t>AMR2</t>
        </is>
      </c>
      <c r="U470" s="31" t="n">
        <v>46</v>
      </c>
      <c r="V470" s="31" t="n">
        <v>46</v>
      </c>
      <c r="W470" s="30" t="inlineStr">
        <is>
          <t>AMR1</t>
        </is>
      </c>
      <c r="X470" s="32" t="n">
        <v>0</v>
      </c>
      <c r="Y470" s="32" t="n">
        <v>0</v>
      </c>
      <c r="Z470" s="31" t="n">
        <v>0</v>
      </c>
      <c r="AA470" s="32" t="n">
        <v>0</v>
      </c>
      <c r="AB470" s="32" t="n">
        <v>0</v>
      </c>
      <c r="AC470" s="32" t="n">
        <v>0</v>
      </c>
      <c r="AD470" s="32" t="n">
        <v>0</v>
      </c>
      <c r="AE470" s="31" t="n">
        <v>0</v>
      </c>
      <c r="AF470" s="32" t="n">
        <v>0</v>
      </c>
      <c r="AG470" s="31" t="n">
        <v>0</v>
      </c>
      <c r="AH470" s="32" t="n">
        <v>67</v>
      </c>
      <c r="AI470" s="31" t="n">
        <v>66.7</v>
      </c>
      <c r="AJ470" s="31" t="n">
        <v>45.2</v>
      </c>
      <c r="AK470" s="31" t="n">
        <v>0</v>
      </c>
      <c r="AL470" s="30" t="inlineStr">
        <is>
          <t>T-0625</t>
        </is>
      </c>
      <c r="AM470" s="30" t="inlineStr">
        <is>
          <t>J-03-02</t>
        </is>
      </c>
      <c r="AN470" s="30" t="inlineStr">
        <is>
          <t>T-0551</t>
        </is>
      </c>
      <c r="AO470" s="30" t="inlineStr">
        <is>
          <t>J-05-02</t>
        </is>
      </c>
    </row>
    <row r="471">
      <c r="A471" s="30" t="inlineStr">
        <is>
          <t>O0470</t>
        </is>
      </c>
      <c r="B471" s="30" t="inlineStr">
        <is>
          <t>E</t>
        </is>
      </c>
      <c r="C471" s="31" t="n">
        <v>6392.9</v>
      </c>
      <c r="D471" s="31" t="n">
        <v>17130.7</v>
      </c>
      <c r="E471" s="31" t="n">
        <v>17154.2</v>
      </c>
      <c r="F471" s="31" t="n">
        <v>17165.9</v>
      </c>
      <c r="G471" s="31" t="n">
        <v>17193.9</v>
      </c>
      <c r="H471" s="31" t="n">
        <v>17194</v>
      </c>
      <c r="I471" s="31" t="n">
        <v>17203.9</v>
      </c>
      <c r="J471" s="31" t="n">
        <v>17234.6</v>
      </c>
      <c r="K471" s="31" t="n">
        <v>10841.7</v>
      </c>
      <c r="L471" s="31" t="n">
        <v>10737.8</v>
      </c>
      <c r="M471" s="30" t="inlineStr">
        <is>
          <t>AMR2</t>
        </is>
      </c>
      <c r="N471" s="30" t="inlineStr">
        <is>
          <t>AMR2</t>
        </is>
      </c>
      <c r="O471" s="32" t="n">
        <v>1</v>
      </c>
      <c r="P471" s="32" t="n">
        <v>25</v>
      </c>
      <c r="Q471" s="32" t="n">
        <v>1</v>
      </c>
      <c r="R471" s="31" t="n">
        <v>59.7</v>
      </c>
      <c r="S471" s="31" t="n">
        <v>59.7</v>
      </c>
      <c r="T471" s="30" t="inlineStr">
        <is>
          <t>AMR2</t>
        </is>
      </c>
      <c r="U471" s="31" t="n">
        <v>41.2</v>
      </c>
      <c r="V471" s="31" t="n">
        <v>41.2</v>
      </c>
      <c r="W471" s="30" t="inlineStr">
        <is>
          <t>AMR2</t>
        </is>
      </c>
      <c r="X471" s="32" t="n">
        <v>0</v>
      </c>
      <c r="Y471" s="32" t="n">
        <v>0</v>
      </c>
      <c r="Z471" s="31" t="n">
        <v>0</v>
      </c>
      <c r="AA471" s="32" t="n">
        <v>0</v>
      </c>
      <c r="AB471" s="32" t="n">
        <v>0</v>
      </c>
      <c r="AC471" s="32" t="n">
        <v>0</v>
      </c>
      <c r="AD471" s="32" t="n">
        <v>0</v>
      </c>
      <c r="AE471" s="31" t="n">
        <v>0</v>
      </c>
      <c r="AF471" s="32" t="n">
        <v>0</v>
      </c>
      <c r="AG471" s="31" t="n">
        <v>0</v>
      </c>
      <c r="AH471" s="32" t="n">
        <v>68</v>
      </c>
      <c r="AI471" s="31" t="n">
        <v>67.09999999999999</v>
      </c>
      <c r="AJ471" s="31" t="n">
        <v>36.7</v>
      </c>
      <c r="AK471" s="31" t="n">
        <v>0</v>
      </c>
      <c r="AL471" s="30" t="inlineStr">
        <is>
          <t>T-0619</t>
        </is>
      </c>
      <c r="AM471" s="30" t="inlineStr">
        <is>
          <t>E-05-03</t>
        </is>
      </c>
      <c r="AN471" s="30" t="inlineStr">
        <is>
          <t>T-0439</t>
        </is>
      </c>
      <c r="AO471" s="30" t="inlineStr">
        <is>
          <t>E-03-01</t>
        </is>
      </c>
    </row>
    <row r="472">
      <c r="A472" s="30" t="inlineStr">
        <is>
          <t>O0471</t>
        </is>
      </c>
      <c r="B472" s="30" t="inlineStr">
        <is>
          <t>A</t>
        </is>
      </c>
      <c r="C472" s="31" t="n">
        <v>6410.9</v>
      </c>
      <c r="D472" s="31" t="n">
        <v>17185.8</v>
      </c>
      <c r="E472" s="31" t="n">
        <v>17209.3</v>
      </c>
      <c r="F472" s="31" t="n">
        <v>17224.1</v>
      </c>
      <c r="G472" s="31" t="n">
        <v>17255.4</v>
      </c>
      <c r="H472" s="31" t="n">
        <v>18067.5</v>
      </c>
      <c r="I472" s="31" t="n">
        <v>18081.5</v>
      </c>
      <c r="J472" s="31" t="n">
        <v>18116.3</v>
      </c>
      <c r="K472" s="31" t="n">
        <v>11705.4</v>
      </c>
      <c r="L472" s="31" t="n">
        <v>10774.9</v>
      </c>
      <c r="M472" s="30" t="inlineStr">
        <is>
          <t>AMR3</t>
        </is>
      </c>
      <c r="N472" s="30" t="inlineStr">
        <is>
          <t>AMR2</t>
        </is>
      </c>
      <c r="O472" s="32" t="n">
        <v>1</v>
      </c>
      <c r="P472" s="32" t="n">
        <v>25</v>
      </c>
      <c r="Q472" s="32" t="n">
        <v>1</v>
      </c>
      <c r="R472" s="31" t="n">
        <v>66.90000000000001</v>
      </c>
      <c r="S472" s="31" t="n">
        <v>66.90000000000001</v>
      </c>
      <c r="T472" s="30" t="inlineStr">
        <is>
          <t>AMR3</t>
        </is>
      </c>
      <c r="U472" s="31" t="n">
        <v>49.5</v>
      </c>
      <c r="V472" s="31" t="n">
        <v>49.5</v>
      </c>
      <c r="W472" s="30" t="inlineStr">
        <is>
          <t>AMR2</t>
        </is>
      </c>
      <c r="X472" s="32" t="n">
        <v>0</v>
      </c>
      <c r="Y472" s="32" t="n">
        <v>0</v>
      </c>
      <c r="Z472" s="31" t="n">
        <v>0</v>
      </c>
      <c r="AA472" s="32" t="n">
        <v>0</v>
      </c>
      <c r="AB472" s="32" t="n">
        <v>0</v>
      </c>
      <c r="AC472" s="32" t="n">
        <v>0</v>
      </c>
      <c r="AD472" s="32" t="n">
        <v>0</v>
      </c>
      <c r="AE472" s="31" t="n">
        <v>0</v>
      </c>
      <c r="AF472" s="32" t="n">
        <v>0</v>
      </c>
      <c r="AG472" s="31" t="n">
        <v>0</v>
      </c>
      <c r="AH472" s="32" t="n">
        <v>71</v>
      </c>
      <c r="AI472" s="31" t="n">
        <v>69.40000000000001</v>
      </c>
      <c r="AJ472" s="31" t="n">
        <v>49</v>
      </c>
      <c r="AK472" s="31" t="n">
        <v>0</v>
      </c>
      <c r="AL472" s="30" t="inlineStr">
        <is>
          <t>T-0621</t>
        </is>
      </c>
      <c r="AM472" s="30" t="inlineStr">
        <is>
          <t>A-03-03</t>
        </is>
      </c>
      <c r="AN472" s="30" t="inlineStr">
        <is>
          <t>T-0374</t>
        </is>
      </c>
      <c r="AO472" s="30" t="inlineStr">
        <is>
          <t>A-05-03</t>
        </is>
      </c>
    </row>
    <row r="473">
      <c r="A473" s="30" t="inlineStr">
        <is>
          <t>O0472</t>
        </is>
      </c>
      <c r="B473" s="30" t="inlineStr">
        <is>
          <t>J</t>
        </is>
      </c>
      <c r="C473" s="31" t="n">
        <v>6430.1</v>
      </c>
      <c r="D473" s="31" t="n">
        <v>17437.2</v>
      </c>
      <c r="E473" s="31" t="n">
        <v>17451.2</v>
      </c>
      <c r="F473" s="31" t="n">
        <v>17464.2</v>
      </c>
      <c r="G473" s="31" t="n">
        <v>17494.9</v>
      </c>
      <c r="H473" s="31" t="n">
        <v>17855.7</v>
      </c>
      <c r="I473" s="31" t="n">
        <v>17871.8</v>
      </c>
      <c r="J473" s="31" t="n">
        <v>17902.8</v>
      </c>
      <c r="K473" s="31" t="n">
        <v>11472.7</v>
      </c>
      <c r="L473" s="31" t="n">
        <v>11007.1</v>
      </c>
      <c r="M473" s="30" t="inlineStr">
        <is>
          <t>AMR1</t>
        </is>
      </c>
      <c r="N473" s="30" t="inlineStr">
        <is>
          <t>AMR2</t>
        </is>
      </c>
      <c r="O473" s="32" t="n">
        <v>1</v>
      </c>
      <c r="P473" s="32" t="n">
        <v>14</v>
      </c>
      <c r="Q473" s="32" t="n">
        <v>1</v>
      </c>
      <c r="R473" s="31" t="n">
        <v>54.9</v>
      </c>
      <c r="S473" s="31" t="n">
        <v>54.9</v>
      </c>
      <c r="T473" s="30" t="inlineStr">
        <is>
          <t>AMR1</t>
        </is>
      </c>
      <c r="U473" s="31" t="n">
        <v>47.8</v>
      </c>
      <c r="V473" s="31" t="n">
        <v>47.8</v>
      </c>
      <c r="W473" s="30" t="inlineStr">
        <is>
          <t>AMR2</t>
        </is>
      </c>
      <c r="X473" s="32" t="n">
        <v>0</v>
      </c>
      <c r="Y473" s="32" t="n">
        <v>0</v>
      </c>
      <c r="Z473" s="31" t="n">
        <v>0</v>
      </c>
      <c r="AA473" s="32" t="n">
        <v>0</v>
      </c>
      <c r="AB473" s="32" t="n">
        <v>0</v>
      </c>
      <c r="AC473" s="32" t="n">
        <v>0</v>
      </c>
      <c r="AD473" s="32" t="n">
        <v>0</v>
      </c>
      <c r="AE473" s="31" t="n">
        <v>0</v>
      </c>
      <c r="AF473" s="32" t="n">
        <v>0</v>
      </c>
      <c r="AG473" s="31" t="n">
        <v>0</v>
      </c>
      <c r="AH473" s="32" t="n">
        <v>57</v>
      </c>
      <c r="AI473" s="31" t="n">
        <v>57.9</v>
      </c>
      <c r="AJ473" s="31" t="n">
        <v>46.9</v>
      </c>
      <c r="AK473" s="31" t="n">
        <v>0</v>
      </c>
      <c r="AL473" s="30" t="inlineStr">
        <is>
          <t>T-0628</t>
        </is>
      </c>
      <c r="AM473" s="30" t="inlineStr">
        <is>
          <t>J-04-02</t>
        </is>
      </c>
      <c r="AN473" s="30" t="inlineStr">
        <is>
          <t>T-0555</t>
        </is>
      </c>
      <c r="AO473" s="30" t="inlineStr">
        <is>
          <t>J-02-03</t>
        </is>
      </c>
    </row>
    <row r="474">
      <c r="A474" s="30" t="inlineStr">
        <is>
          <t>O0473</t>
        </is>
      </c>
      <c r="B474" s="30" t="inlineStr">
        <is>
          <t>H</t>
        </is>
      </c>
      <c r="C474" s="31" t="n">
        <v>6445.8</v>
      </c>
      <c r="D474" s="31" t="n">
        <v>17022.9</v>
      </c>
      <c r="E474" s="31" t="n">
        <v>17046.4</v>
      </c>
      <c r="F474" s="31" t="n">
        <v>17060.5</v>
      </c>
      <c r="G474" s="31" t="n">
        <v>17087.6</v>
      </c>
      <c r="H474" s="31" t="n">
        <v>17087.7</v>
      </c>
      <c r="I474" s="31" t="n">
        <v>17098.4</v>
      </c>
      <c r="J474" s="31" t="n">
        <v>17130.6</v>
      </c>
      <c r="K474" s="31" t="n">
        <v>10684.8</v>
      </c>
      <c r="L474" s="31" t="n">
        <v>10577.1</v>
      </c>
      <c r="M474" s="30" t="inlineStr">
        <is>
          <t>AMR2</t>
        </is>
      </c>
      <c r="N474" s="30" t="inlineStr">
        <is>
          <t>AMR2</t>
        </is>
      </c>
      <c r="O474" s="32" t="n">
        <v>1</v>
      </c>
      <c r="P474" s="32" t="n">
        <v>25</v>
      </c>
      <c r="Q474" s="32" t="n">
        <v>1</v>
      </c>
      <c r="R474" s="31" t="n">
        <v>62.9</v>
      </c>
      <c r="S474" s="31" t="n">
        <v>62.9</v>
      </c>
      <c r="T474" s="30" t="inlineStr">
        <is>
          <t>AMR2</t>
        </is>
      </c>
      <c r="U474" s="31" t="n">
        <v>36.1</v>
      </c>
      <c r="V474" s="31" t="n">
        <v>36.1</v>
      </c>
      <c r="W474" s="30" t="inlineStr">
        <is>
          <t>AMR2</t>
        </is>
      </c>
      <c r="X474" s="32" t="n">
        <v>0</v>
      </c>
      <c r="Y474" s="32" t="n">
        <v>0</v>
      </c>
      <c r="Z474" s="31" t="n">
        <v>0</v>
      </c>
      <c r="AA474" s="32" t="n">
        <v>0</v>
      </c>
      <c r="AB474" s="32" t="n">
        <v>0</v>
      </c>
      <c r="AC474" s="32" t="n">
        <v>0</v>
      </c>
      <c r="AD474" s="32" t="n">
        <v>1</v>
      </c>
      <c r="AE474" s="31" t="n">
        <v>6</v>
      </c>
      <c r="AF474" s="32" t="n">
        <v>1</v>
      </c>
      <c r="AG474" s="31" t="n">
        <v>1</v>
      </c>
      <c r="AH474" s="32" t="n">
        <v>54</v>
      </c>
      <c r="AI474" s="31" t="n">
        <v>56.2</v>
      </c>
      <c r="AJ474" s="31" t="n">
        <v>45.4</v>
      </c>
      <c r="AK474" s="31" t="n">
        <v>6</v>
      </c>
      <c r="AL474" s="30" t="inlineStr">
        <is>
          <t>T-0617</t>
        </is>
      </c>
      <c r="AM474" s="30" t="inlineStr">
        <is>
          <t>H-02-02</t>
        </is>
      </c>
      <c r="AN474" s="30" t="inlineStr">
        <is>
          <t>T-0506</t>
        </is>
      </c>
      <c r="AO474" s="30" t="inlineStr">
        <is>
          <t>H-04-02</t>
        </is>
      </c>
    </row>
    <row r="475">
      <c r="A475" s="30" t="inlineStr">
        <is>
          <t>O0474</t>
        </is>
      </c>
      <c r="B475" s="30" t="inlineStr">
        <is>
          <t>I</t>
        </is>
      </c>
      <c r="C475" s="31" t="n">
        <v>6466.1</v>
      </c>
      <c r="D475" s="31" t="n">
        <v>17049.8</v>
      </c>
      <c r="E475" s="31" t="n">
        <v>17073.3</v>
      </c>
      <c r="F475" s="31" t="n">
        <v>17085.6</v>
      </c>
      <c r="G475" s="31" t="n">
        <v>17110.9</v>
      </c>
      <c r="H475" s="31" t="n">
        <v>17111</v>
      </c>
      <c r="I475" s="31" t="n">
        <v>17120.7</v>
      </c>
      <c r="J475" s="31" t="n">
        <v>17145.1</v>
      </c>
      <c r="K475" s="31" t="n">
        <v>10679</v>
      </c>
      <c r="L475" s="31" t="n">
        <v>10583.7</v>
      </c>
      <c r="M475" s="30" t="inlineStr">
        <is>
          <t>AMR1</t>
        </is>
      </c>
      <c r="N475" s="30" t="inlineStr">
        <is>
          <t>AMR1</t>
        </is>
      </c>
      <c r="O475" s="32" t="n">
        <v>1</v>
      </c>
      <c r="P475" s="32" t="n">
        <v>25</v>
      </c>
      <c r="Q475" s="32" t="n">
        <v>1</v>
      </c>
      <c r="R475" s="31" t="n">
        <v>59.3</v>
      </c>
      <c r="S475" s="31" t="n">
        <v>59.3</v>
      </c>
      <c r="T475" s="30" t="inlineStr">
        <is>
          <t>AMR1</t>
        </is>
      </c>
      <c r="U475" s="31" t="n">
        <v>35.8</v>
      </c>
      <c r="V475" s="31" t="n">
        <v>35.8</v>
      </c>
      <c r="W475" s="30" t="inlineStr">
        <is>
          <t>AMR1</t>
        </is>
      </c>
      <c r="X475" s="32" t="n">
        <v>0</v>
      </c>
      <c r="Y475" s="32" t="n">
        <v>0</v>
      </c>
      <c r="Z475" s="31" t="n">
        <v>0</v>
      </c>
      <c r="AA475" s="32" t="n">
        <v>0</v>
      </c>
      <c r="AB475" s="32" t="n">
        <v>0</v>
      </c>
      <c r="AC475" s="32" t="n">
        <v>0</v>
      </c>
      <c r="AD475" s="32" t="n">
        <v>0</v>
      </c>
      <c r="AE475" s="31" t="n">
        <v>0</v>
      </c>
      <c r="AF475" s="32" t="n">
        <v>0</v>
      </c>
      <c r="AG475" s="31" t="n">
        <v>0</v>
      </c>
      <c r="AH475" s="32" t="n">
        <v>52</v>
      </c>
      <c r="AI475" s="31" t="n">
        <v>54.2</v>
      </c>
      <c r="AJ475" s="31" t="n">
        <v>41</v>
      </c>
      <c r="AK475" s="31" t="n">
        <v>0</v>
      </c>
      <c r="AL475" s="30" t="inlineStr">
        <is>
          <t>T-0618</t>
        </is>
      </c>
      <c r="AM475" s="30" t="inlineStr">
        <is>
          <t>I-01-02</t>
        </is>
      </c>
      <c r="AN475" s="30" t="inlineStr">
        <is>
          <t>T-0507</t>
        </is>
      </c>
      <c r="AO475" s="30" t="inlineStr">
        <is>
          <t>I-02-02</t>
        </is>
      </c>
    </row>
    <row r="476">
      <c r="A476" s="30" t="inlineStr">
        <is>
          <t>O0475</t>
        </is>
      </c>
      <c r="B476" s="30" t="inlineStr">
        <is>
          <t>C</t>
        </is>
      </c>
      <c r="C476" s="31" t="n">
        <v>6483.6</v>
      </c>
      <c r="D476" s="31" t="n">
        <v>17301.7</v>
      </c>
      <c r="E476" s="31" t="n">
        <v>17325.2</v>
      </c>
      <c r="F476" s="31" t="n">
        <v>17336.3</v>
      </c>
      <c r="G476" s="31" t="n">
        <v>17359.6</v>
      </c>
      <c r="H476" s="31" t="n">
        <v>17924.4</v>
      </c>
      <c r="I476" s="31" t="n">
        <v>17939.9</v>
      </c>
      <c r="J476" s="31" t="n">
        <v>17970.8</v>
      </c>
      <c r="K476" s="31" t="n">
        <v>11487.2</v>
      </c>
      <c r="L476" s="31" t="n">
        <v>10818.1</v>
      </c>
      <c r="M476" s="30" t="inlineStr">
        <is>
          <t>AMR3</t>
        </is>
      </c>
      <c r="N476" s="30" t="inlineStr">
        <is>
          <t>AMR1</t>
        </is>
      </c>
      <c r="O476" s="32" t="n">
        <v>1</v>
      </c>
      <c r="P476" s="32" t="n">
        <v>25</v>
      </c>
      <c r="Q476" s="32" t="n">
        <v>2</v>
      </c>
      <c r="R476" s="31" t="n">
        <v>56</v>
      </c>
      <c r="S476" s="31" t="n">
        <v>56</v>
      </c>
      <c r="T476" s="30" t="inlineStr">
        <is>
          <t>AMR3</t>
        </is>
      </c>
      <c r="U476" s="31" t="n">
        <v>43.7</v>
      </c>
      <c r="V476" s="31" t="n">
        <v>43.7</v>
      </c>
      <c r="W476" s="30" t="inlineStr">
        <is>
          <t>AMR1</t>
        </is>
      </c>
      <c r="X476" s="32" t="n">
        <v>0</v>
      </c>
      <c r="Y476" s="32" t="n">
        <v>0</v>
      </c>
      <c r="Z476" s="31" t="n">
        <v>0</v>
      </c>
      <c r="AA476" s="32" t="n">
        <v>0</v>
      </c>
      <c r="AB476" s="32" t="n">
        <v>0</v>
      </c>
      <c r="AC476" s="32" t="n">
        <v>0</v>
      </c>
      <c r="AD476" s="32" t="n">
        <v>0</v>
      </c>
      <c r="AE476" s="31" t="n">
        <v>0</v>
      </c>
      <c r="AF476" s="32" t="n">
        <v>0</v>
      </c>
      <c r="AG476" s="31" t="n">
        <v>0</v>
      </c>
      <c r="AH476" s="32" t="n">
        <v>55</v>
      </c>
      <c r="AI476" s="31" t="n">
        <v>58.4</v>
      </c>
      <c r="AJ476" s="31" t="n">
        <v>45.9</v>
      </c>
      <c r="AK476" s="31" t="n">
        <v>0</v>
      </c>
      <c r="AL476" s="30" t="inlineStr">
        <is>
          <t>T-0624</t>
        </is>
      </c>
      <c r="AM476" s="30" t="inlineStr">
        <is>
          <t>C-05-01</t>
        </is>
      </c>
      <c r="AN476" s="30" t="inlineStr">
        <is>
          <t>T-0505</t>
        </is>
      </c>
      <c r="AO476" s="30" t="inlineStr">
        <is>
          <t>C-04-01</t>
        </is>
      </c>
    </row>
    <row r="477">
      <c r="A477" s="30" t="inlineStr">
        <is>
          <t>O0476</t>
        </is>
      </c>
      <c r="B477" s="30" t="inlineStr">
        <is>
          <t>J</t>
        </is>
      </c>
      <c r="C477" s="31" t="n">
        <v>6502.8</v>
      </c>
      <c r="D477" s="31" t="n">
        <v>17780.8</v>
      </c>
      <c r="E477" s="31" t="n">
        <v>17809.3</v>
      </c>
      <c r="F477" s="31" t="n">
        <v>17823.1</v>
      </c>
      <c r="G477" s="31" t="n">
        <v>17855.6</v>
      </c>
      <c r="H477" s="31" t="n">
        <v>18640.5</v>
      </c>
      <c r="I477" s="31" t="n">
        <v>18655.6</v>
      </c>
      <c r="J477" s="31" t="n">
        <v>18688.7</v>
      </c>
      <c r="K477" s="31" t="n">
        <v>12185.9</v>
      </c>
      <c r="L477" s="31" t="n">
        <v>11278</v>
      </c>
      <c r="M477" s="30" t="inlineStr">
        <is>
          <t>AMR2</t>
        </is>
      </c>
      <c r="N477" s="30" t="inlineStr">
        <is>
          <t>AMR2</t>
        </is>
      </c>
      <c r="O477" s="32" t="n">
        <v>1</v>
      </c>
      <c r="P477" s="32" t="n">
        <v>25</v>
      </c>
      <c r="Q477" s="32" t="n">
        <v>1</v>
      </c>
      <c r="R477" s="31" t="n">
        <v>66.40000000000001</v>
      </c>
      <c r="S477" s="31" t="n">
        <v>66.40000000000001</v>
      </c>
      <c r="T477" s="30" t="inlineStr">
        <is>
          <t>AMR2</t>
        </is>
      </c>
      <c r="U477" s="31" t="n">
        <v>47.9</v>
      </c>
      <c r="V477" s="31" t="n">
        <v>47.9</v>
      </c>
      <c r="W477" s="30" t="inlineStr">
        <is>
          <t>AMR2</t>
        </is>
      </c>
      <c r="X477" s="32" t="n">
        <v>0</v>
      </c>
      <c r="Y477" s="32" t="n">
        <v>0</v>
      </c>
      <c r="Z477" s="31" t="n">
        <v>0</v>
      </c>
      <c r="AA477" s="32" t="n">
        <v>0</v>
      </c>
      <c r="AB477" s="32" t="n">
        <v>0</v>
      </c>
      <c r="AC477" s="32" t="n">
        <v>0</v>
      </c>
      <c r="AD477" s="32" t="n">
        <v>0</v>
      </c>
      <c r="AE477" s="31" t="n">
        <v>0</v>
      </c>
      <c r="AF477" s="32" t="n">
        <v>0</v>
      </c>
      <c r="AG477" s="31" t="n">
        <v>0</v>
      </c>
      <c r="AH477" s="32" t="n">
        <v>68</v>
      </c>
      <c r="AI477" s="31" t="n">
        <v>68.40000000000001</v>
      </c>
      <c r="AJ477" s="31" t="n">
        <v>49.6</v>
      </c>
      <c r="AK477" s="31" t="n">
        <v>5</v>
      </c>
      <c r="AL477" s="30" t="inlineStr">
        <is>
          <t>T-0638</t>
        </is>
      </c>
      <c r="AM477" s="30" t="inlineStr">
        <is>
          <t>J-05-02</t>
        </is>
      </c>
      <c r="AN477" s="30" t="inlineStr">
        <is>
          <t>T-0561</t>
        </is>
      </c>
      <c r="AO477" s="30" t="inlineStr">
        <is>
          <t>J-03-03</t>
        </is>
      </c>
    </row>
    <row r="478">
      <c r="A478" s="30" t="inlineStr">
        <is>
          <t>O0477</t>
        </is>
      </c>
      <c r="B478" s="30" t="inlineStr">
        <is>
          <t>G</t>
        </is>
      </c>
      <c r="C478" s="31" t="n">
        <v>6520.3</v>
      </c>
      <c r="D478" s="31" t="n">
        <v>17669.1</v>
      </c>
      <c r="E478" s="31" t="n">
        <v>17695.6</v>
      </c>
      <c r="F478" s="31" t="n">
        <v>17710.8</v>
      </c>
      <c r="G478" s="31" t="n">
        <v>17739.7</v>
      </c>
      <c r="H478" s="31" t="n">
        <v>17739.8</v>
      </c>
      <c r="I478" s="31" t="n">
        <v>17754.1</v>
      </c>
      <c r="J478" s="31" t="n">
        <v>17780.7</v>
      </c>
      <c r="K478" s="31" t="n">
        <v>11260.4</v>
      </c>
      <c r="L478" s="31" t="n">
        <v>11148.8</v>
      </c>
      <c r="M478" s="30" t="inlineStr">
        <is>
          <t>AMR2</t>
        </is>
      </c>
      <c r="N478" s="30" t="inlineStr">
        <is>
          <t>AMR2</t>
        </is>
      </c>
      <c r="O478" s="32" t="n">
        <v>1</v>
      </c>
      <c r="P478" s="32" t="n">
        <v>25</v>
      </c>
      <c r="Q478" s="32" t="n">
        <v>1</v>
      </c>
      <c r="R478" s="31" t="n">
        <v>64.2</v>
      </c>
      <c r="S478" s="31" t="n">
        <v>64.2</v>
      </c>
      <c r="T478" s="30" t="inlineStr">
        <is>
          <t>AMR2</t>
        </is>
      </c>
      <c r="U478" s="31" t="n">
        <v>40.6</v>
      </c>
      <c r="V478" s="31" t="n">
        <v>40.6</v>
      </c>
      <c r="W478" s="30" t="inlineStr">
        <is>
          <t>AMR2</t>
        </is>
      </c>
      <c r="X478" s="32" t="n">
        <v>0</v>
      </c>
      <c r="Y478" s="32" t="n">
        <v>0</v>
      </c>
      <c r="Z478" s="31" t="n">
        <v>0</v>
      </c>
      <c r="AA478" s="32" t="n">
        <v>0</v>
      </c>
      <c r="AB478" s="32" t="n">
        <v>0</v>
      </c>
      <c r="AC478" s="32" t="n">
        <v>0</v>
      </c>
      <c r="AD478" s="32" t="n">
        <v>0</v>
      </c>
      <c r="AE478" s="31" t="n">
        <v>0</v>
      </c>
      <c r="AF478" s="32" t="n">
        <v>0</v>
      </c>
      <c r="AG478" s="31" t="n">
        <v>0</v>
      </c>
      <c r="AH478" s="32" t="n">
        <v>60</v>
      </c>
      <c r="AI478" s="31" t="n">
        <v>61</v>
      </c>
      <c r="AJ478" s="31" t="n">
        <v>47.5</v>
      </c>
      <c r="AK478" s="31" t="n">
        <v>3</v>
      </c>
      <c r="AL478" s="30" t="inlineStr">
        <is>
          <t>T-0635</t>
        </is>
      </c>
      <c r="AM478" s="30" t="inlineStr">
        <is>
          <t>G-01-02</t>
        </is>
      </c>
      <c r="AN478" s="30" t="inlineStr">
        <is>
          <t>T-0432</t>
        </is>
      </c>
      <c r="AO478" s="30" t="inlineStr">
        <is>
          <t>G-04-01</t>
        </is>
      </c>
    </row>
    <row r="479">
      <c r="A479" s="30" t="inlineStr">
        <is>
          <t>O0478</t>
        </is>
      </c>
      <c r="B479" s="30" t="inlineStr">
        <is>
          <t>B</t>
        </is>
      </c>
      <c r="C479" s="31" t="n">
        <v>6541.9</v>
      </c>
      <c r="D479" s="31" t="n">
        <v>17462.4</v>
      </c>
      <c r="E479" s="31" t="n">
        <v>17485.9</v>
      </c>
      <c r="F479" s="31" t="n">
        <v>17500.9</v>
      </c>
      <c r="G479" s="31" t="n">
        <v>17524.7</v>
      </c>
      <c r="H479" s="31" t="n">
        <v>17524.8</v>
      </c>
      <c r="I479" s="31" t="n">
        <v>17537</v>
      </c>
      <c r="J479" s="31" t="n">
        <v>17568.2</v>
      </c>
      <c r="K479" s="31" t="n">
        <v>11026.3</v>
      </c>
      <c r="L479" s="31" t="n">
        <v>10920.5</v>
      </c>
      <c r="M479" s="30" t="inlineStr">
        <is>
          <t>AMR2</t>
        </is>
      </c>
      <c r="N479" s="30" t="inlineStr">
        <is>
          <t>AMR2</t>
        </is>
      </c>
      <c r="O479" s="32" t="n">
        <v>1</v>
      </c>
      <c r="P479" s="32" t="n">
        <v>25</v>
      </c>
      <c r="Q479" s="32" t="n">
        <v>1</v>
      </c>
      <c r="R479" s="31" t="n">
        <v>60.4</v>
      </c>
      <c r="S479" s="31" t="n">
        <v>60.4</v>
      </c>
      <c r="T479" s="30" t="inlineStr">
        <is>
          <t>AMR2</t>
        </is>
      </c>
      <c r="U479" s="31" t="n">
        <v>41.6</v>
      </c>
      <c r="V479" s="31" t="n">
        <v>41.6</v>
      </c>
      <c r="W479" s="30" t="inlineStr">
        <is>
          <t>AMR2</t>
        </is>
      </c>
      <c r="X479" s="32" t="n">
        <v>0</v>
      </c>
      <c r="Y479" s="32" t="n">
        <v>0</v>
      </c>
      <c r="Z479" s="31" t="n">
        <v>0</v>
      </c>
      <c r="AA479" s="32" t="n">
        <v>0</v>
      </c>
      <c r="AB479" s="32" t="n">
        <v>0</v>
      </c>
      <c r="AC479" s="32" t="n">
        <v>0</v>
      </c>
      <c r="AD479" s="32" t="n">
        <v>0</v>
      </c>
      <c r="AE479" s="31" t="n">
        <v>0</v>
      </c>
      <c r="AF479" s="32" t="n">
        <v>0</v>
      </c>
      <c r="AG479" s="31" t="n">
        <v>0</v>
      </c>
      <c r="AH479" s="32" t="n">
        <v>60</v>
      </c>
      <c r="AI479" s="31" t="n">
        <v>60.5</v>
      </c>
      <c r="AJ479" s="31" t="n">
        <v>45.2</v>
      </c>
      <c r="AK479" s="31" t="n">
        <v>0</v>
      </c>
      <c r="AL479" s="30" t="inlineStr">
        <is>
          <t>T-0629</t>
        </is>
      </c>
      <c r="AM479" s="30" t="inlineStr">
        <is>
          <t>B-05-03</t>
        </is>
      </c>
      <c r="AN479" s="30" t="inlineStr">
        <is>
          <t>T-0410</t>
        </is>
      </c>
      <c r="AO479" s="30" t="inlineStr">
        <is>
          <t>B-01-03</t>
        </is>
      </c>
    </row>
    <row r="480">
      <c r="A480" s="30" t="inlineStr">
        <is>
          <t>O0479</t>
        </is>
      </c>
      <c r="B480" s="30" t="inlineStr">
        <is>
          <t>B</t>
        </is>
      </c>
      <c r="C480" s="31" t="n">
        <v>6566.6</v>
      </c>
      <c r="D480" s="31" t="n">
        <v>17377.3</v>
      </c>
      <c r="E480" s="31" t="n">
        <v>17400.8</v>
      </c>
      <c r="F480" s="31" t="n">
        <v>17415.2</v>
      </c>
      <c r="G480" s="31" t="n">
        <v>17437.1</v>
      </c>
      <c r="H480" s="31" t="n">
        <v>17653</v>
      </c>
      <c r="I480" s="31" t="n">
        <v>17667.1</v>
      </c>
      <c r="J480" s="31" t="n">
        <v>17696</v>
      </c>
      <c r="K480" s="31" t="n">
        <v>11129.4</v>
      </c>
      <c r="L480" s="31" t="n">
        <v>10810.7</v>
      </c>
      <c r="M480" s="30" t="inlineStr">
        <is>
          <t>AMR1</t>
        </is>
      </c>
      <c r="N480" s="30" t="inlineStr">
        <is>
          <t>AMR3</t>
        </is>
      </c>
      <c r="O480" s="32" t="n">
        <v>1</v>
      </c>
      <c r="P480" s="32" t="n">
        <v>25</v>
      </c>
      <c r="Q480" s="32" t="n">
        <v>1</v>
      </c>
      <c r="R480" s="31" t="n">
        <v>57.9</v>
      </c>
      <c r="S480" s="31" t="n">
        <v>57.9</v>
      </c>
      <c r="T480" s="30" t="inlineStr">
        <is>
          <t>AMR1</t>
        </is>
      </c>
      <c r="U480" s="31" t="n">
        <v>42.7</v>
      </c>
      <c r="V480" s="31" t="n">
        <v>42.7</v>
      </c>
      <c r="W480" s="30" t="inlineStr">
        <is>
          <t>AMR3</t>
        </is>
      </c>
      <c r="X480" s="32" t="n">
        <v>0</v>
      </c>
      <c r="Y480" s="32" t="n">
        <v>0</v>
      </c>
      <c r="Z480" s="31" t="n">
        <v>0</v>
      </c>
      <c r="AA480" s="32" t="n">
        <v>0</v>
      </c>
      <c r="AB480" s="32" t="n">
        <v>0</v>
      </c>
      <c r="AC480" s="32" t="n">
        <v>0</v>
      </c>
      <c r="AD480" s="32" t="n">
        <v>0</v>
      </c>
      <c r="AE480" s="31" t="n">
        <v>0</v>
      </c>
      <c r="AF480" s="32" t="n">
        <v>0</v>
      </c>
      <c r="AG480" s="31" t="n">
        <v>0</v>
      </c>
      <c r="AH480" s="32" t="n">
        <v>58</v>
      </c>
      <c r="AI480" s="31" t="n">
        <v>59</v>
      </c>
      <c r="AJ480" s="31" t="n">
        <v>43.8</v>
      </c>
      <c r="AK480" s="31" t="n">
        <v>0</v>
      </c>
      <c r="AL480" s="30" t="inlineStr">
        <is>
          <t>T-0627</t>
        </is>
      </c>
      <c r="AM480" s="30" t="inlineStr">
        <is>
          <t>B-04-02</t>
        </is>
      </c>
      <c r="AN480" s="30" t="inlineStr">
        <is>
          <t>T-0420</t>
        </is>
      </c>
      <c r="AO480" s="30" t="inlineStr">
        <is>
          <t>B-05-02</t>
        </is>
      </c>
    </row>
    <row r="481">
      <c r="A481" s="30" t="inlineStr">
        <is>
          <t>O0480</t>
        </is>
      </c>
      <c r="B481" s="30" t="inlineStr">
        <is>
          <t>I</t>
        </is>
      </c>
      <c r="C481" s="31" t="n">
        <v>6587.1</v>
      </c>
      <c r="D481" s="31" t="n">
        <v>17275.1</v>
      </c>
      <c r="E481" s="31" t="n">
        <v>17298.6</v>
      </c>
      <c r="F481" s="31" t="n">
        <v>17313</v>
      </c>
      <c r="G481" s="31" t="n">
        <v>17336.8</v>
      </c>
      <c r="H481" s="31" t="n">
        <v>17336.9</v>
      </c>
      <c r="I481" s="31" t="n">
        <v>17347.3</v>
      </c>
      <c r="J481" s="31" t="n">
        <v>17377.2</v>
      </c>
      <c r="K481" s="31" t="n">
        <v>10790.1</v>
      </c>
      <c r="L481" s="31" t="n">
        <v>10688</v>
      </c>
      <c r="M481" s="30" t="inlineStr">
        <is>
          <t>AMR1</t>
        </is>
      </c>
      <c r="N481" s="30" t="inlineStr">
        <is>
          <t>AMR1</t>
        </is>
      </c>
      <c r="O481" s="32" t="n">
        <v>1</v>
      </c>
      <c r="P481" s="32" t="n">
        <v>25</v>
      </c>
      <c r="Q481" s="32" t="n">
        <v>1</v>
      </c>
      <c r="R481" s="31" t="n">
        <v>59.9</v>
      </c>
      <c r="S481" s="31" t="n">
        <v>59.9</v>
      </c>
      <c r="T481" s="30" t="inlineStr">
        <is>
          <t>AMR1</t>
        </is>
      </c>
      <c r="U481" s="31" t="n">
        <v>38.5</v>
      </c>
      <c r="V481" s="31" t="n">
        <v>38.5</v>
      </c>
      <c r="W481" s="30" t="inlineStr">
        <is>
          <t>AMR1</t>
        </is>
      </c>
      <c r="X481" s="32" t="n">
        <v>0</v>
      </c>
      <c r="Y481" s="32" t="n">
        <v>0</v>
      </c>
      <c r="Z481" s="31" t="n">
        <v>0</v>
      </c>
      <c r="AA481" s="32" t="n">
        <v>0</v>
      </c>
      <c r="AB481" s="32" t="n">
        <v>0</v>
      </c>
      <c r="AC481" s="32" t="n">
        <v>0</v>
      </c>
      <c r="AD481" s="32" t="n">
        <v>0</v>
      </c>
      <c r="AE481" s="31" t="n">
        <v>0</v>
      </c>
      <c r="AF481" s="32" t="n">
        <v>0</v>
      </c>
      <c r="AG481" s="31" t="n">
        <v>0</v>
      </c>
      <c r="AH481" s="32" t="n">
        <v>54</v>
      </c>
      <c r="AI481" s="31" t="n">
        <v>57.7</v>
      </c>
      <c r="AJ481" s="31" t="n">
        <v>44.3</v>
      </c>
      <c r="AK481" s="31" t="n">
        <v>0</v>
      </c>
      <c r="AL481" s="30" t="inlineStr">
        <is>
          <t>T-0623</t>
        </is>
      </c>
      <c r="AM481" s="30" t="inlineStr">
        <is>
          <t>I-02-02</t>
        </is>
      </c>
      <c r="AN481" s="30" t="inlineStr">
        <is>
          <t>T-0520</t>
        </is>
      </c>
      <c r="AO481" s="30" t="inlineStr">
        <is>
          <t>I-03-02</t>
        </is>
      </c>
    </row>
    <row r="482">
      <c r="A482" s="30" t="inlineStr">
        <is>
          <t>O0481</t>
        </is>
      </c>
      <c r="B482" s="30" t="inlineStr">
        <is>
          <t>H</t>
        </is>
      </c>
      <c r="C482" s="31" t="n">
        <v>6602.3</v>
      </c>
      <c r="D482" s="31" t="n">
        <v>17482.1</v>
      </c>
      <c r="E482" s="31" t="n">
        <v>17509.6</v>
      </c>
      <c r="F482" s="31" t="n">
        <v>17523.9</v>
      </c>
      <c r="G482" s="31" t="n">
        <v>17550.8</v>
      </c>
      <c r="H482" s="31" t="n">
        <v>17550.9</v>
      </c>
      <c r="I482" s="31" t="n">
        <v>17561.8</v>
      </c>
      <c r="J482" s="31" t="n">
        <v>17585.3</v>
      </c>
      <c r="K482" s="31" t="n">
        <v>10983</v>
      </c>
      <c r="L482" s="31" t="n">
        <v>10879.8</v>
      </c>
      <c r="M482" s="30" t="inlineStr">
        <is>
          <t>AMR3</t>
        </is>
      </c>
      <c r="N482" s="30" t="inlineStr">
        <is>
          <t>AMR3</t>
        </is>
      </c>
      <c r="O482" s="32" t="n">
        <v>1</v>
      </c>
      <c r="P482" s="32" t="n">
        <v>25</v>
      </c>
      <c r="Q482" s="32" t="n">
        <v>1</v>
      </c>
      <c r="R482" s="31" t="n">
        <v>62.9</v>
      </c>
      <c r="S482" s="31" t="n">
        <v>62.9</v>
      </c>
      <c r="T482" s="30" t="inlineStr">
        <is>
          <t>AMR3</t>
        </is>
      </c>
      <c r="U482" s="31" t="n">
        <v>35.1</v>
      </c>
      <c r="V482" s="31" t="n">
        <v>35.1</v>
      </c>
      <c r="W482" s="30" t="inlineStr">
        <is>
          <t>AMR3</t>
        </is>
      </c>
      <c r="X482" s="32" t="n">
        <v>0</v>
      </c>
      <c r="Y482" s="32" t="n">
        <v>0</v>
      </c>
      <c r="Z482" s="31" t="n">
        <v>0</v>
      </c>
      <c r="AA482" s="32" t="n">
        <v>0</v>
      </c>
      <c r="AB482" s="32" t="n">
        <v>0</v>
      </c>
      <c r="AC482" s="32" t="n">
        <v>0</v>
      </c>
      <c r="AD482" s="32" t="n">
        <v>0</v>
      </c>
      <c r="AE482" s="31" t="n">
        <v>0</v>
      </c>
      <c r="AF482" s="32" t="n">
        <v>0</v>
      </c>
      <c r="AG482" s="31" t="n">
        <v>0</v>
      </c>
      <c r="AH482" s="32" t="n">
        <v>52</v>
      </c>
      <c r="AI482" s="31" t="n">
        <v>54.7</v>
      </c>
      <c r="AJ482" s="31" t="n">
        <v>44.4</v>
      </c>
      <c r="AK482" s="31" t="n">
        <v>4</v>
      </c>
      <c r="AL482" s="30" t="inlineStr">
        <is>
          <t>T-0630</t>
        </is>
      </c>
      <c r="AM482" s="30" t="inlineStr">
        <is>
          <t>H-04-02</t>
        </is>
      </c>
      <c r="AN482" s="30" t="inlineStr">
        <is>
          <t>T-0512</t>
        </is>
      </c>
      <c r="AO482" s="30" t="inlineStr">
        <is>
          <t>H-05-02</t>
        </is>
      </c>
    </row>
    <row r="483">
      <c r="A483" s="30" t="inlineStr">
        <is>
          <t>O0482</t>
        </is>
      </c>
      <c r="B483" s="30" t="inlineStr">
        <is>
          <t>F</t>
        </is>
      </c>
      <c r="C483" s="31" t="n">
        <v>6623.6</v>
      </c>
      <c r="D483" s="31" t="n">
        <v>17359.7</v>
      </c>
      <c r="E483" s="31" t="n">
        <v>17382.3</v>
      </c>
      <c r="F483" s="31" t="n">
        <v>17397.5</v>
      </c>
      <c r="G483" s="31" t="n">
        <v>17428</v>
      </c>
      <c r="H483" s="31" t="n">
        <v>18097.6</v>
      </c>
      <c r="I483" s="31" t="n">
        <v>18111.9</v>
      </c>
      <c r="J483" s="31" t="n">
        <v>18144.8</v>
      </c>
      <c r="K483" s="31" t="n">
        <v>11521.2</v>
      </c>
      <c r="L483" s="31" t="n">
        <v>10736.1</v>
      </c>
      <c r="M483" s="30" t="inlineStr">
        <is>
          <t>AMR3</t>
        </is>
      </c>
      <c r="N483" s="30" t="inlineStr">
        <is>
          <t>AMR3</t>
        </is>
      </c>
      <c r="O483" s="32" t="n">
        <v>1</v>
      </c>
      <c r="P483" s="32" t="n">
        <v>12</v>
      </c>
      <c r="Q483" s="32" t="n">
        <v>1</v>
      </c>
      <c r="R483" s="31" t="n">
        <v>55.7</v>
      </c>
      <c r="S483" s="31" t="n">
        <v>55.7</v>
      </c>
      <c r="T483" s="30" t="inlineStr">
        <is>
          <t>AMR3</t>
        </is>
      </c>
      <c r="U483" s="31" t="n">
        <v>47.9</v>
      </c>
      <c r="V483" s="31" t="n">
        <v>47.9</v>
      </c>
      <c r="W483" s="30" t="inlineStr">
        <is>
          <t>AMR3</t>
        </is>
      </c>
      <c r="X483" s="32" t="n">
        <v>0</v>
      </c>
      <c r="Y483" s="32" t="n">
        <v>0</v>
      </c>
      <c r="Z483" s="31" t="n">
        <v>0</v>
      </c>
      <c r="AA483" s="32" t="n">
        <v>0</v>
      </c>
      <c r="AB483" s="32" t="n">
        <v>0</v>
      </c>
      <c r="AC483" s="32" t="n">
        <v>0</v>
      </c>
      <c r="AD483" s="32" t="n">
        <v>0</v>
      </c>
      <c r="AE483" s="31" t="n">
        <v>0</v>
      </c>
      <c r="AF483" s="32" t="n">
        <v>1</v>
      </c>
      <c r="AG483" s="31" t="n">
        <v>5</v>
      </c>
      <c r="AH483" s="32" t="n">
        <v>58</v>
      </c>
      <c r="AI483" s="31" t="n">
        <v>58.9</v>
      </c>
      <c r="AJ483" s="31" t="n">
        <v>46.6</v>
      </c>
      <c r="AK483" s="31" t="n">
        <v>10</v>
      </c>
      <c r="AL483" s="30" t="inlineStr">
        <is>
          <t>T-0626</t>
        </is>
      </c>
      <c r="AM483" s="30" t="inlineStr">
        <is>
          <t>F-03-02</t>
        </is>
      </c>
      <c r="AN483" s="30" t="inlineStr">
        <is>
          <t>T-0444</t>
        </is>
      </c>
      <c r="AO483" s="30" t="inlineStr">
        <is>
          <t>F-04-02</t>
        </is>
      </c>
    </row>
    <row r="484">
      <c r="A484" s="30" t="inlineStr">
        <is>
          <t>O0483</t>
        </is>
      </c>
      <c r="B484" s="30" t="inlineStr">
        <is>
          <t>F</t>
        </is>
      </c>
      <c r="C484" s="31" t="n">
        <v>6646.1</v>
      </c>
      <c r="D484" s="31" t="n">
        <v>17648.6</v>
      </c>
      <c r="E484" s="31" t="n">
        <v>17672.1</v>
      </c>
      <c r="F484" s="31" t="n">
        <v>17683.3</v>
      </c>
      <c r="G484" s="31" t="n">
        <v>17714.7</v>
      </c>
      <c r="H484" s="31" t="n">
        <v>17714.8</v>
      </c>
      <c r="I484" s="31" t="n">
        <v>17727.3</v>
      </c>
      <c r="J484" s="31" t="n">
        <v>17761.9</v>
      </c>
      <c r="K484" s="31" t="n">
        <v>11115.8</v>
      </c>
      <c r="L484" s="31" t="n">
        <v>11002.5</v>
      </c>
      <c r="M484" s="30" t="inlineStr">
        <is>
          <t>AMR1</t>
        </is>
      </c>
      <c r="N484" s="30" t="inlineStr">
        <is>
          <t>AMR1</t>
        </is>
      </c>
      <c r="O484" s="32" t="n">
        <v>1</v>
      </c>
      <c r="P484" s="32" t="n">
        <v>25</v>
      </c>
      <c r="Q484" s="32" t="n">
        <v>1</v>
      </c>
      <c r="R484" s="31" t="n">
        <v>64.3</v>
      </c>
      <c r="S484" s="31" t="n">
        <v>61.2</v>
      </c>
      <c r="T484" s="30" t="inlineStr">
        <is>
          <t>AMR3</t>
        </is>
      </c>
      <c r="U484" s="31" t="n">
        <v>45.3</v>
      </c>
      <c r="V484" s="31" t="n">
        <v>45.3</v>
      </c>
      <c r="W484" s="30" t="inlineStr">
        <is>
          <t>AMR1</t>
        </is>
      </c>
      <c r="X484" s="32" t="n">
        <v>1</v>
      </c>
      <c r="Y484" s="32" t="n">
        <v>9</v>
      </c>
      <c r="Z484" s="31" t="n">
        <v>3.1</v>
      </c>
      <c r="AA484" s="32" t="n">
        <v>0</v>
      </c>
      <c r="AB484" s="32" t="n">
        <v>0</v>
      </c>
      <c r="AC484" s="32" t="n">
        <v>0</v>
      </c>
      <c r="AD484" s="32" t="n">
        <v>0</v>
      </c>
      <c r="AE484" s="31" t="n">
        <v>0</v>
      </c>
      <c r="AF484" s="32" t="n">
        <v>0</v>
      </c>
      <c r="AG484" s="31" t="n">
        <v>0</v>
      </c>
      <c r="AH484" s="32" t="n">
        <v>72</v>
      </c>
      <c r="AI484" s="31" t="n">
        <v>71.5</v>
      </c>
      <c r="AJ484" s="31" t="n">
        <v>41.7</v>
      </c>
      <c r="AK484" s="31" t="n">
        <v>0</v>
      </c>
      <c r="AL484" s="30" t="inlineStr">
        <is>
          <t>T-0634</t>
        </is>
      </c>
      <c r="AM484" s="30" t="inlineStr">
        <is>
          <t>F-05-02</t>
        </is>
      </c>
      <c r="AN484" s="30" t="inlineStr">
        <is>
          <t>T-0440</t>
        </is>
      </c>
      <c r="AO484" s="30" t="inlineStr">
        <is>
          <t>F-02-03</t>
        </is>
      </c>
    </row>
    <row r="485">
      <c r="A485" s="30" t="inlineStr">
        <is>
          <t>O0484</t>
        </is>
      </c>
      <c r="B485" s="30" t="inlineStr">
        <is>
          <t>B</t>
        </is>
      </c>
      <c r="C485" s="31" t="n">
        <v>6664.6</v>
      </c>
      <c r="D485" s="31" t="n">
        <v>17585.4</v>
      </c>
      <c r="E485" s="31" t="n">
        <v>17615.9</v>
      </c>
      <c r="F485" s="31" t="n">
        <v>17627.4</v>
      </c>
      <c r="G485" s="31" t="n">
        <v>17652.9</v>
      </c>
      <c r="H485" s="31" t="n">
        <v>18128.1</v>
      </c>
      <c r="I485" s="31" t="n">
        <v>18142.1</v>
      </c>
      <c r="J485" s="31" t="n">
        <v>18185</v>
      </c>
      <c r="K485" s="31" t="n">
        <v>11520.4</v>
      </c>
      <c r="L485" s="31" t="n">
        <v>10920.8</v>
      </c>
      <c r="M485" s="30" t="inlineStr">
        <is>
          <t>AMR3</t>
        </is>
      </c>
      <c r="N485" s="30" t="inlineStr">
        <is>
          <t>AMR1</t>
        </is>
      </c>
      <c r="O485" s="32" t="n">
        <v>1</v>
      </c>
      <c r="P485" s="32" t="n">
        <v>25</v>
      </c>
      <c r="Q485" s="32" t="n">
        <v>1</v>
      </c>
      <c r="R485" s="31" t="n">
        <v>57</v>
      </c>
      <c r="S485" s="31" t="n">
        <v>57</v>
      </c>
      <c r="T485" s="30" t="inlineStr">
        <is>
          <t>AMR3</t>
        </is>
      </c>
      <c r="U485" s="31" t="n">
        <v>43.4</v>
      </c>
      <c r="V485" s="31" t="n">
        <v>43.4</v>
      </c>
      <c r="W485" s="30" t="inlineStr">
        <is>
          <t>AMR1</t>
        </is>
      </c>
      <c r="X485" s="32" t="n">
        <v>0</v>
      </c>
      <c r="Y485" s="32" t="n">
        <v>0</v>
      </c>
      <c r="Z485" s="31" t="n">
        <v>0</v>
      </c>
      <c r="AA485" s="32" t="n">
        <v>0</v>
      </c>
      <c r="AB485" s="32" t="n">
        <v>0</v>
      </c>
      <c r="AC485" s="32" t="n">
        <v>0</v>
      </c>
      <c r="AD485" s="32" t="n">
        <v>1</v>
      </c>
      <c r="AE485" s="31" t="n">
        <v>13.2</v>
      </c>
      <c r="AF485" s="32" t="n">
        <v>2</v>
      </c>
      <c r="AG485" s="31" t="n">
        <v>10.2</v>
      </c>
      <c r="AH485" s="32" t="n">
        <v>60</v>
      </c>
      <c r="AI485" s="31" t="n">
        <v>60.6</v>
      </c>
      <c r="AJ485" s="31" t="n">
        <v>43.6</v>
      </c>
      <c r="AK485" s="31" t="n">
        <v>20.2</v>
      </c>
      <c r="AL485" s="30" t="inlineStr">
        <is>
          <t>T-0633</t>
        </is>
      </c>
      <c r="AM485" s="30" t="inlineStr">
        <is>
          <t>B-01-03</t>
        </is>
      </c>
      <c r="AN485" s="30" t="inlineStr">
        <is>
          <t>T-0423</t>
        </is>
      </c>
      <c r="AO485" s="30" t="inlineStr">
        <is>
          <t>B-03-01</t>
        </is>
      </c>
    </row>
    <row r="486">
      <c r="A486" s="30" t="inlineStr">
        <is>
          <t>O0485</t>
        </is>
      </c>
      <c r="B486" s="30" t="inlineStr">
        <is>
          <t>F</t>
        </is>
      </c>
      <c r="C486" s="31" t="n">
        <v>6686.9</v>
      </c>
      <c r="D486" s="31" t="n">
        <v>18642.7</v>
      </c>
      <c r="E486" s="31" t="n">
        <v>18666.2</v>
      </c>
      <c r="F486" s="31" t="n">
        <v>18682</v>
      </c>
      <c r="G486" s="31" t="n">
        <v>18713.6</v>
      </c>
      <c r="H486" s="31" t="n">
        <v>18826</v>
      </c>
      <c r="I486" s="31" t="n">
        <v>18836.7</v>
      </c>
      <c r="J486" s="31" t="n">
        <v>18869.9</v>
      </c>
      <c r="K486" s="31" t="n">
        <v>12183</v>
      </c>
      <c r="L486" s="31" t="n">
        <v>11955.8</v>
      </c>
      <c r="M486" s="30" t="inlineStr">
        <is>
          <t>AMR1</t>
        </is>
      </c>
      <c r="N486" s="30" t="inlineStr">
        <is>
          <t>AMR1</t>
        </is>
      </c>
      <c r="O486" s="32" t="n">
        <v>1</v>
      </c>
      <c r="P486" s="32" t="n">
        <v>25</v>
      </c>
      <c r="Q486" s="32" t="n">
        <v>2</v>
      </c>
      <c r="R486" s="31" t="n">
        <v>69.90000000000001</v>
      </c>
      <c r="S486" s="31" t="n">
        <v>69.90000000000001</v>
      </c>
      <c r="T486" s="30" t="inlineStr">
        <is>
          <t>AMR1</t>
        </is>
      </c>
      <c r="U486" s="31" t="n">
        <v>45.1</v>
      </c>
      <c r="V486" s="31" t="n">
        <v>45.1</v>
      </c>
      <c r="W486" s="30" t="inlineStr">
        <is>
          <t>AMR1</t>
        </is>
      </c>
      <c r="X486" s="32" t="n">
        <v>0</v>
      </c>
      <c r="Y486" s="32" t="n">
        <v>0</v>
      </c>
      <c r="Z486" s="31" t="n">
        <v>0</v>
      </c>
      <c r="AA486" s="32" t="n">
        <v>0</v>
      </c>
      <c r="AB486" s="32" t="n">
        <v>0</v>
      </c>
      <c r="AC486" s="32" t="n">
        <v>0</v>
      </c>
      <c r="AD486" s="32" t="n">
        <v>0</v>
      </c>
      <c r="AE486" s="31" t="n">
        <v>0</v>
      </c>
      <c r="AF486" s="32" t="n">
        <v>0</v>
      </c>
      <c r="AG486" s="31" t="n">
        <v>0</v>
      </c>
      <c r="AH486" s="32" t="n">
        <v>68</v>
      </c>
      <c r="AI486" s="31" t="n">
        <v>68.40000000000001</v>
      </c>
      <c r="AJ486" s="31" t="n">
        <v>46.4</v>
      </c>
      <c r="AK486" s="31" t="n">
        <v>0</v>
      </c>
      <c r="AL486" s="30" t="inlineStr">
        <is>
          <t>T-0660</t>
        </is>
      </c>
      <c r="AM486" s="30" t="inlineStr">
        <is>
          <t>F-06-02</t>
        </is>
      </c>
      <c r="AN486" s="30" t="inlineStr">
        <is>
          <t>T-0510</t>
        </is>
      </c>
      <c r="AO486" s="30" t="inlineStr">
        <is>
          <t>F-04-03</t>
        </is>
      </c>
    </row>
    <row r="487">
      <c r="A487" s="30" t="inlineStr">
        <is>
          <t>O0486</t>
        </is>
      </c>
      <c r="B487" s="30" t="inlineStr">
        <is>
          <t>I</t>
        </is>
      </c>
      <c r="C487" s="31" t="n">
        <v>6702.4</v>
      </c>
      <c r="D487" s="31" t="n">
        <v>17540.5</v>
      </c>
      <c r="E487" s="31" t="n">
        <v>17564</v>
      </c>
      <c r="F487" s="31" t="n">
        <v>17577.6</v>
      </c>
      <c r="G487" s="31" t="n">
        <v>17600.8</v>
      </c>
      <c r="H487" s="31" t="n">
        <v>18116.4</v>
      </c>
      <c r="I487" s="31" t="n">
        <v>18140.4</v>
      </c>
      <c r="J487" s="31" t="n">
        <v>18171</v>
      </c>
      <c r="K487" s="31" t="n">
        <v>11468.6</v>
      </c>
      <c r="L487" s="31" t="n">
        <v>10838.1</v>
      </c>
      <c r="M487" s="30" t="inlineStr">
        <is>
          <t>AMR1</t>
        </is>
      </c>
      <c r="N487" s="30" t="inlineStr">
        <is>
          <t>AMR2</t>
        </is>
      </c>
      <c r="O487" s="32" t="n">
        <v>1</v>
      </c>
      <c r="P487" s="32" t="n">
        <v>25</v>
      </c>
      <c r="Q487" s="32" t="n">
        <v>14</v>
      </c>
      <c r="R487" s="31" t="n">
        <v>57.7</v>
      </c>
      <c r="S487" s="31" t="n">
        <v>57.7</v>
      </c>
      <c r="T487" s="30" t="inlineStr">
        <is>
          <t>AMR1</t>
        </is>
      </c>
      <c r="U487" s="31" t="n">
        <v>51.8</v>
      </c>
      <c r="V487" s="31" t="n">
        <v>51.8</v>
      </c>
      <c r="W487" s="30" t="inlineStr">
        <is>
          <t>AMR2</t>
        </is>
      </c>
      <c r="X487" s="32" t="n">
        <v>0</v>
      </c>
      <c r="Y487" s="32" t="n">
        <v>0</v>
      </c>
      <c r="Z487" s="31" t="n">
        <v>0</v>
      </c>
      <c r="AA487" s="32" t="n">
        <v>0</v>
      </c>
      <c r="AB487" s="32" t="n">
        <v>0</v>
      </c>
      <c r="AC487" s="32" t="n">
        <v>0</v>
      </c>
      <c r="AD487" s="32" t="n">
        <v>0</v>
      </c>
      <c r="AE487" s="31" t="n">
        <v>0</v>
      </c>
      <c r="AF487" s="32" t="n">
        <v>0</v>
      </c>
      <c r="AG487" s="31" t="n">
        <v>0</v>
      </c>
      <c r="AH487" s="32" t="n">
        <v>70</v>
      </c>
      <c r="AI487" s="31" t="n">
        <v>71.8</v>
      </c>
      <c r="AJ487" s="31" t="n">
        <v>43.1</v>
      </c>
      <c r="AK487" s="31" t="n">
        <v>0</v>
      </c>
      <c r="AL487" s="30" t="inlineStr">
        <is>
          <t>T-0631</t>
        </is>
      </c>
      <c r="AM487" s="30" t="inlineStr">
        <is>
          <t>I-03-02</t>
        </is>
      </c>
      <c r="AN487" s="30" t="inlineStr">
        <is>
          <t>T-0529</t>
        </is>
      </c>
      <c r="AO487" s="30" t="inlineStr">
        <is>
          <t>I-04-02</t>
        </is>
      </c>
    </row>
    <row r="488">
      <c r="A488" s="30" t="inlineStr">
        <is>
          <t>O0487</t>
        </is>
      </c>
      <c r="B488" s="30" t="inlineStr">
        <is>
          <t>C</t>
        </is>
      </c>
      <c r="C488" s="31" t="n">
        <v>6725.5</v>
      </c>
      <c r="D488" s="31" t="n">
        <v>17568.3</v>
      </c>
      <c r="E488" s="31" t="n">
        <v>17591.8</v>
      </c>
      <c r="F488" s="31" t="n">
        <v>17606.9</v>
      </c>
      <c r="G488" s="31" t="n">
        <v>17627.3</v>
      </c>
      <c r="H488" s="31" t="n">
        <v>17627.4</v>
      </c>
      <c r="I488" s="31" t="n">
        <v>17639.8</v>
      </c>
      <c r="J488" s="31" t="n">
        <v>17669</v>
      </c>
      <c r="K488" s="31" t="n">
        <v>10943.5</v>
      </c>
      <c r="L488" s="31" t="n">
        <v>10842.8</v>
      </c>
      <c r="M488" s="30" t="inlineStr">
        <is>
          <t>AMR2</t>
        </is>
      </c>
      <c r="N488" s="30" t="inlineStr">
        <is>
          <t>AMR2</t>
        </is>
      </c>
      <c r="O488" s="32" t="n">
        <v>1</v>
      </c>
      <c r="P488" s="32" t="n">
        <v>25</v>
      </c>
      <c r="Q488" s="32" t="n">
        <v>0</v>
      </c>
      <c r="R488" s="31" t="n">
        <v>56.3</v>
      </c>
      <c r="S488" s="31" t="n">
        <v>56.3</v>
      </c>
      <c r="T488" s="30" t="inlineStr">
        <is>
          <t>AMR2</t>
        </is>
      </c>
      <c r="U488" s="31" t="n">
        <v>40.8</v>
      </c>
      <c r="V488" s="31" t="n">
        <v>40.8</v>
      </c>
      <c r="W488" s="30" t="inlineStr">
        <is>
          <t>AMR2</t>
        </is>
      </c>
      <c r="X488" s="32" t="n">
        <v>0</v>
      </c>
      <c r="Y488" s="32" t="n">
        <v>0</v>
      </c>
      <c r="Z488" s="31" t="n">
        <v>0</v>
      </c>
      <c r="AA488" s="32" t="n">
        <v>0</v>
      </c>
      <c r="AB488" s="32" t="n">
        <v>0</v>
      </c>
      <c r="AC488" s="32" t="n">
        <v>0</v>
      </c>
      <c r="AD488" s="32" t="n">
        <v>0</v>
      </c>
      <c r="AE488" s="31" t="n">
        <v>0</v>
      </c>
      <c r="AF488" s="32" t="n">
        <v>0</v>
      </c>
      <c r="AG488" s="31" t="n">
        <v>0</v>
      </c>
      <c r="AH488" s="32" t="n">
        <v>54</v>
      </c>
      <c r="AI488" s="31" t="n">
        <v>55.9</v>
      </c>
      <c r="AJ488" s="31" t="n">
        <v>44.7</v>
      </c>
      <c r="AK488" s="31" t="n">
        <v>0</v>
      </c>
      <c r="AL488" s="30" t="inlineStr">
        <is>
          <t>T-0632</t>
        </is>
      </c>
      <c r="AM488" s="30" t="inlineStr">
        <is>
          <t>C-03-03</t>
        </is>
      </c>
      <c r="AN488" s="30" t="inlineStr">
        <is>
          <t>T-0502</t>
        </is>
      </c>
      <c r="AO488" s="30" t="inlineStr">
        <is>
          <t>C-05-03</t>
        </is>
      </c>
    </row>
    <row r="489">
      <c r="A489" s="30" t="inlineStr">
        <is>
          <t>O0488</t>
        </is>
      </c>
      <c r="B489" s="30" t="inlineStr">
        <is>
          <t>H</t>
        </is>
      </c>
      <c r="C489" s="31" t="n">
        <v>6745.1</v>
      </c>
      <c r="D489" s="31" t="n">
        <v>17859.3</v>
      </c>
      <c r="E489" s="31" t="n">
        <v>17882.8</v>
      </c>
      <c r="F489" s="31" t="n">
        <v>17898.1</v>
      </c>
      <c r="G489" s="31" t="n">
        <v>17924.3</v>
      </c>
      <c r="H489" s="31" t="n">
        <v>18171.1</v>
      </c>
      <c r="I489" s="31" t="n">
        <v>18196.3</v>
      </c>
      <c r="J489" s="31" t="n">
        <v>18222.8</v>
      </c>
      <c r="K489" s="31" t="n">
        <v>11477.7</v>
      </c>
      <c r="L489" s="31" t="n">
        <v>11114.2</v>
      </c>
      <c r="M489" s="30" t="inlineStr">
        <is>
          <t>AMR1</t>
        </is>
      </c>
      <c r="N489" s="30" t="inlineStr">
        <is>
          <t>AMR2</t>
        </is>
      </c>
      <c r="O489" s="32" t="n">
        <v>1</v>
      </c>
      <c r="P489" s="32" t="n">
        <v>25</v>
      </c>
      <c r="Q489" s="32" t="n">
        <v>14</v>
      </c>
      <c r="R489" s="31" t="n">
        <v>62.4</v>
      </c>
      <c r="S489" s="31" t="n">
        <v>62.4</v>
      </c>
      <c r="T489" s="30" t="inlineStr">
        <is>
          <t>AMR1</t>
        </is>
      </c>
      <c r="U489" s="31" t="n">
        <v>52</v>
      </c>
      <c r="V489" s="31" t="n">
        <v>52</v>
      </c>
      <c r="W489" s="30" t="inlineStr">
        <is>
          <t>AMR2</t>
        </is>
      </c>
      <c r="X489" s="32" t="n">
        <v>0</v>
      </c>
      <c r="Y489" s="32" t="n">
        <v>0</v>
      </c>
      <c r="Z489" s="31" t="n">
        <v>0</v>
      </c>
      <c r="AA489" s="32" t="n">
        <v>0</v>
      </c>
      <c r="AB489" s="32" t="n">
        <v>0</v>
      </c>
      <c r="AC489" s="32" t="n">
        <v>0</v>
      </c>
      <c r="AD489" s="32" t="n">
        <v>0</v>
      </c>
      <c r="AE489" s="31" t="n">
        <v>0</v>
      </c>
      <c r="AF489" s="32" t="n">
        <v>0</v>
      </c>
      <c r="AG489" s="31" t="n">
        <v>0</v>
      </c>
      <c r="AH489" s="32" t="n">
        <v>66</v>
      </c>
      <c r="AI489" s="31" t="n">
        <v>68.2</v>
      </c>
      <c r="AJ489" s="31" t="n">
        <v>48.5</v>
      </c>
      <c r="AK489" s="31" t="n">
        <v>0</v>
      </c>
      <c r="AL489" s="30" t="inlineStr">
        <is>
          <t>T-0640</t>
        </is>
      </c>
      <c r="AM489" s="30" t="inlineStr">
        <is>
          <t>H-03-01</t>
        </is>
      </c>
      <c r="AN489" s="30" t="inlineStr">
        <is>
          <t>T-0519</t>
        </is>
      </c>
      <c r="AO489" s="30" t="inlineStr">
        <is>
          <t>H-06-02</t>
        </is>
      </c>
    </row>
    <row r="490">
      <c r="A490" s="30" t="inlineStr">
        <is>
          <t>O0489</t>
        </is>
      </c>
      <c r="B490" s="30" t="inlineStr">
        <is>
          <t>C</t>
        </is>
      </c>
      <c r="C490" s="31" t="n">
        <v>6762</v>
      </c>
      <c r="D490" s="31" t="n">
        <v>17696.1</v>
      </c>
      <c r="E490" s="31" t="n">
        <v>17719.6</v>
      </c>
      <c r="F490" s="31" t="n">
        <v>17735.2</v>
      </c>
      <c r="G490" s="31" t="n">
        <v>17756.6</v>
      </c>
      <c r="H490" s="31" t="n">
        <v>17756.7</v>
      </c>
      <c r="I490" s="31" t="n">
        <v>17771.8</v>
      </c>
      <c r="J490" s="31" t="n">
        <v>17797.4</v>
      </c>
      <c r="K490" s="31" t="n">
        <v>11035.4</v>
      </c>
      <c r="L490" s="31" t="n">
        <v>10934.1</v>
      </c>
      <c r="M490" s="30" t="inlineStr">
        <is>
          <t>AMR3</t>
        </is>
      </c>
      <c r="N490" s="30" t="inlineStr">
        <is>
          <t>AMR3</t>
        </is>
      </c>
      <c r="O490" s="32" t="n">
        <v>1</v>
      </c>
      <c r="P490" s="32" t="n">
        <v>25</v>
      </c>
      <c r="Q490" s="32" t="n">
        <v>1</v>
      </c>
      <c r="R490" s="31" t="n">
        <v>58.6</v>
      </c>
      <c r="S490" s="31" t="n">
        <v>58.6</v>
      </c>
      <c r="T490" s="30" t="inlineStr">
        <is>
          <t>AMR3</t>
        </is>
      </c>
      <c r="U490" s="31" t="n">
        <v>39.8</v>
      </c>
      <c r="V490" s="31" t="n">
        <v>39.8</v>
      </c>
      <c r="W490" s="30" t="inlineStr">
        <is>
          <t>AMR3</t>
        </is>
      </c>
      <c r="X490" s="32" t="n">
        <v>0</v>
      </c>
      <c r="Y490" s="32" t="n">
        <v>0</v>
      </c>
      <c r="Z490" s="31" t="n">
        <v>0</v>
      </c>
      <c r="AA490" s="32" t="n">
        <v>0</v>
      </c>
      <c r="AB490" s="32" t="n">
        <v>0</v>
      </c>
      <c r="AC490" s="32" t="n">
        <v>0</v>
      </c>
      <c r="AD490" s="32" t="n">
        <v>1</v>
      </c>
      <c r="AE490" s="31" t="n">
        <v>1.6</v>
      </c>
      <c r="AF490" s="32" t="n">
        <v>0</v>
      </c>
      <c r="AG490" s="31" t="n">
        <v>0</v>
      </c>
      <c r="AH490" s="32" t="n">
        <v>52</v>
      </c>
      <c r="AI490" s="31" t="n">
        <v>54.3</v>
      </c>
      <c r="AJ490" s="31" t="n">
        <v>45.3</v>
      </c>
      <c r="AK490" s="31" t="n">
        <v>1.6</v>
      </c>
      <c r="AL490" s="30" t="inlineStr">
        <is>
          <t>T-0636</t>
        </is>
      </c>
      <c r="AM490" s="30" t="inlineStr">
        <is>
          <t>C-04-03</t>
        </is>
      </c>
      <c r="AN490" s="30" t="inlineStr">
        <is>
          <t>T-0504</t>
        </is>
      </c>
      <c r="AO490" s="30" t="inlineStr">
        <is>
          <t>C-06-03</t>
        </is>
      </c>
    </row>
    <row r="491">
      <c r="A491" s="30" t="inlineStr">
        <is>
          <t>O0490</t>
        </is>
      </c>
      <c r="B491" s="30" t="inlineStr">
        <is>
          <t>H</t>
        </is>
      </c>
      <c r="C491" s="31" t="n">
        <v>6784.1</v>
      </c>
      <c r="D491" s="31" t="n">
        <v>17762</v>
      </c>
      <c r="E491" s="31" t="n">
        <v>17785.5</v>
      </c>
      <c r="F491" s="31" t="n">
        <v>17798.7</v>
      </c>
      <c r="G491" s="31" t="n">
        <v>17821.6</v>
      </c>
      <c r="H491" s="31" t="n">
        <v>17821.7</v>
      </c>
      <c r="I491" s="31" t="n">
        <v>17834.6</v>
      </c>
      <c r="J491" s="31" t="n">
        <v>17859.2</v>
      </c>
      <c r="K491" s="31" t="n">
        <v>11075.1</v>
      </c>
      <c r="L491" s="31" t="n">
        <v>10977.9</v>
      </c>
      <c r="M491" s="30" t="inlineStr">
        <is>
          <t>AMR1</t>
        </is>
      </c>
      <c r="N491" s="30" t="inlineStr">
        <is>
          <t>AMR1</t>
        </is>
      </c>
      <c r="O491" s="32" t="n">
        <v>1</v>
      </c>
      <c r="P491" s="32" t="n">
        <v>25</v>
      </c>
      <c r="Q491" s="32" t="n">
        <v>1</v>
      </c>
      <c r="R491" s="31" t="n">
        <v>57.8</v>
      </c>
      <c r="S491" s="31" t="n">
        <v>57.8</v>
      </c>
      <c r="T491" s="30" t="inlineStr">
        <is>
          <t>AMR1</t>
        </is>
      </c>
      <c r="U491" s="31" t="n">
        <v>36.6</v>
      </c>
      <c r="V491" s="31" t="n">
        <v>36.6</v>
      </c>
      <c r="W491" s="30" t="inlineStr">
        <is>
          <t>AMR1</t>
        </is>
      </c>
      <c r="X491" s="32" t="n">
        <v>0</v>
      </c>
      <c r="Y491" s="32" t="n">
        <v>0</v>
      </c>
      <c r="Z491" s="31" t="n">
        <v>0</v>
      </c>
      <c r="AA491" s="32" t="n">
        <v>0</v>
      </c>
      <c r="AB491" s="32" t="n">
        <v>0</v>
      </c>
      <c r="AC491" s="32" t="n">
        <v>0</v>
      </c>
      <c r="AD491" s="32" t="n">
        <v>0</v>
      </c>
      <c r="AE491" s="31" t="n">
        <v>0</v>
      </c>
      <c r="AF491" s="32" t="n">
        <v>0</v>
      </c>
      <c r="AG491" s="31" t="n">
        <v>0</v>
      </c>
      <c r="AH491" s="32" t="n">
        <v>54</v>
      </c>
      <c r="AI491" s="31" t="n">
        <v>56.3</v>
      </c>
      <c r="AJ491" s="31" t="n">
        <v>40.8</v>
      </c>
      <c r="AK491" s="31" t="n">
        <v>0</v>
      </c>
      <c r="AL491" s="30" t="inlineStr">
        <is>
          <t>T-0637</t>
        </is>
      </c>
      <c r="AM491" s="30" t="inlineStr">
        <is>
          <t>H-05-02</t>
        </is>
      </c>
      <c r="AN491" s="30" t="inlineStr">
        <is>
          <t>T-0515</t>
        </is>
      </c>
      <c r="AO491" s="30" t="inlineStr">
        <is>
          <t>H-03-01</t>
        </is>
      </c>
    </row>
    <row r="492">
      <c r="A492" s="30" t="inlineStr">
        <is>
          <t>O0491</t>
        </is>
      </c>
      <c r="B492" s="30" t="inlineStr">
        <is>
          <t>A</t>
        </is>
      </c>
      <c r="C492" s="31" t="n">
        <v>6802.1</v>
      </c>
      <c r="D492" s="31" t="n">
        <v>17797.5</v>
      </c>
      <c r="E492" s="31" t="n">
        <v>17833</v>
      </c>
      <c r="F492" s="31" t="n">
        <v>17844.8</v>
      </c>
      <c r="G492" s="31" t="n">
        <v>17872.5</v>
      </c>
      <c r="H492" s="31" t="n">
        <v>17872.6</v>
      </c>
      <c r="I492" s="31" t="n">
        <v>17883.3</v>
      </c>
      <c r="J492" s="31" t="n">
        <v>17928.3</v>
      </c>
      <c r="K492" s="31" t="n">
        <v>11126.2</v>
      </c>
      <c r="L492" s="31" t="n">
        <v>10995.4</v>
      </c>
      <c r="M492" s="30" t="inlineStr">
        <is>
          <t>AMR3</t>
        </is>
      </c>
      <c r="N492" s="30" t="inlineStr">
        <is>
          <t>AMR3</t>
        </is>
      </c>
      <c r="O492" s="32" t="n">
        <v>1</v>
      </c>
      <c r="P492" s="32" t="n">
        <v>25</v>
      </c>
      <c r="Q492" s="32" t="n">
        <v>1</v>
      </c>
      <c r="R492" s="31" t="n">
        <v>61.1</v>
      </c>
      <c r="S492" s="31" t="n">
        <v>61.1</v>
      </c>
      <c r="T492" s="30" t="inlineStr">
        <is>
          <t>AMR3</t>
        </is>
      </c>
      <c r="U492" s="31" t="n">
        <v>46.9</v>
      </c>
      <c r="V492" s="31" t="n">
        <v>46.9</v>
      </c>
      <c r="W492" s="30" t="inlineStr">
        <is>
          <t>AMR3</t>
        </is>
      </c>
      <c r="X492" s="32" t="n">
        <v>0</v>
      </c>
      <c r="Y492" s="32" t="n">
        <v>0</v>
      </c>
      <c r="Z492" s="31" t="n">
        <v>0</v>
      </c>
      <c r="AA492" s="32" t="n">
        <v>0</v>
      </c>
      <c r="AB492" s="32" t="n">
        <v>0</v>
      </c>
      <c r="AC492" s="32" t="n">
        <v>0</v>
      </c>
      <c r="AD492" s="32" t="n">
        <v>1</v>
      </c>
      <c r="AE492" s="31" t="n">
        <v>8</v>
      </c>
      <c r="AF492" s="32" t="n">
        <v>2</v>
      </c>
      <c r="AG492" s="31" t="n">
        <v>10</v>
      </c>
      <c r="AH492" s="32" t="n">
        <v>72</v>
      </c>
      <c r="AI492" s="31" t="n">
        <v>70.09999999999999</v>
      </c>
      <c r="AJ492" s="31" t="n">
        <v>40.6</v>
      </c>
      <c r="AK492" s="31" t="n">
        <v>20</v>
      </c>
      <c r="AL492" s="30" t="inlineStr">
        <is>
          <t>T-0639</t>
        </is>
      </c>
      <c r="AM492" s="30" t="inlineStr">
        <is>
          <t>A-04-03</t>
        </is>
      </c>
      <c r="AN492" s="30" t="inlineStr">
        <is>
          <t>T-0366</t>
        </is>
      </c>
      <c r="AO492" s="30" t="inlineStr">
        <is>
          <t>A-02-01</t>
        </is>
      </c>
    </row>
    <row r="493">
      <c r="A493" s="30" t="inlineStr">
        <is>
          <t>O0492</t>
        </is>
      </c>
      <c r="B493" s="30" t="inlineStr">
        <is>
          <t>F</t>
        </is>
      </c>
      <c r="C493" s="31" t="n">
        <v>6825.9</v>
      </c>
      <c r="D493" s="31" t="n">
        <v>18296.7</v>
      </c>
      <c r="E493" s="31" t="n">
        <v>18320.2</v>
      </c>
      <c r="F493" s="31" t="n">
        <v>18333.7</v>
      </c>
      <c r="G493" s="31" t="n">
        <v>18365.6</v>
      </c>
      <c r="H493" s="31" t="n">
        <v>18365.7</v>
      </c>
      <c r="I493" s="31" t="n">
        <v>18381.2</v>
      </c>
      <c r="J493" s="31" t="n">
        <v>18416.3</v>
      </c>
      <c r="K493" s="31" t="n">
        <v>11590.4</v>
      </c>
      <c r="L493" s="31" t="n">
        <v>11470.8</v>
      </c>
      <c r="M493" s="30" t="inlineStr">
        <is>
          <t>AMR1</t>
        </is>
      </c>
      <c r="N493" s="30" t="inlineStr">
        <is>
          <t>AMR1</t>
        </is>
      </c>
      <c r="O493" s="32" t="n">
        <v>1</v>
      </c>
      <c r="P493" s="32" t="n">
        <v>25</v>
      </c>
      <c r="Q493" s="32" t="n">
        <v>1</v>
      </c>
      <c r="R493" s="31" t="n">
        <v>67.09999999999999</v>
      </c>
      <c r="S493" s="31" t="n">
        <v>67.09999999999999</v>
      </c>
      <c r="T493" s="30" t="inlineStr">
        <is>
          <t>AMR1</t>
        </is>
      </c>
      <c r="U493" s="31" t="n">
        <v>50.3</v>
      </c>
      <c r="V493" s="31" t="n">
        <v>50.3</v>
      </c>
      <c r="W493" s="30" t="inlineStr">
        <is>
          <t>AMR1</t>
        </is>
      </c>
      <c r="X493" s="32" t="n">
        <v>0</v>
      </c>
      <c r="Y493" s="32" t="n">
        <v>0</v>
      </c>
      <c r="Z493" s="31" t="n">
        <v>0</v>
      </c>
      <c r="AA493" s="32" t="n">
        <v>0</v>
      </c>
      <c r="AB493" s="32" t="n">
        <v>0</v>
      </c>
      <c r="AC493" s="32" t="n">
        <v>0</v>
      </c>
      <c r="AD493" s="32" t="n">
        <v>0</v>
      </c>
      <c r="AE493" s="31" t="n">
        <v>0</v>
      </c>
      <c r="AF493" s="32" t="n">
        <v>0</v>
      </c>
      <c r="AG493" s="31" t="n">
        <v>0</v>
      </c>
      <c r="AH493" s="32" t="n">
        <v>70</v>
      </c>
      <c r="AI493" s="31" t="n">
        <v>70</v>
      </c>
      <c r="AJ493" s="31" t="n">
        <v>49.5</v>
      </c>
      <c r="AK493" s="31" t="n">
        <v>0</v>
      </c>
      <c r="AL493" s="30" t="inlineStr">
        <is>
          <t>T-0651</t>
        </is>
      </c>
      <c r="AM493" s="30" t="inlineStr">
        <is>
          <t>F-04-02</t>
        </is>
      </c>
      <c r="AN493" s="30" t="inlineStr">
        <is>
          <t>T-0450</t>
        </is>
      </c>
      <c r="AO493" s="30" t="inlineStr">
        <is>
          <t>F-03-03</t>
        </is>
      </c>
    </row>
    <row r="494">
      <c r="A494" s="30" t="inlineStr">
        <is>
          <t>O0493</t>
        </is>
      </c>
      <c r="B494" s="30" t="inlineStr">
        <is>
          <t>I</t>
        </is>
      </c>
      <c r="C494" s="31" t="n">
        <v>6846.1</v>
      </c>
      <c r="D494" s="31" t="n">
        <v>17902.9</v>
      </c>
      <c r="E494" s="31" t="n">
        <v>17926.4</v>
      </c>
      <c r="F494" s="31" t="n">
        <v>17940.5</v>
      </c>
      <c r="G494" s="31" t="n">
        <v>17965.2</v>
      </c>
      <c r="H494" s="31" t="n">
        <v>17965.3</v>
      </c>
      <c r="I494" s="31" t="n">
        <v>17974.8</v>
      </c>
      <c r="J494" s="31" t="n">
        <v>18000.5</v>
      </c>
      <c r="K494" s="31" t="n">
        <v>11154.4</v>
      </c>
      <c r="L494" s="31" t="n">
        <v>11056.8</v>
      </c>
      <c r="M494" s="30" t="inlineStr">
        <is>
          <t>AMR2</t>
        </is>
      </c>
      <c r="N494" s="30" t="inlineStr">
        <is>
          <t>AMR2</t>
        </is>
      </c>
      <c r="O494" s="32" t="n">
        <v>1</v>
      </c>
      <c r="P494" s="32" t="n">
        <v>25</v>
      </c>
      <c r="Q494" s="32" t="n">
        <v>1</v>
      </c>
      <c r="R494" s="31" t="n">
        <v>58.9</v>
      </c>
      <c r="S494" s="31" t="n">
        <v>58.9</v>
      </c>
      <c r="T494" s="30" t="inlineStr">
        <is>
          <t>AMR2</t>
        </is>
      </c>
      <c r="U494" s="31" t="n">
        <v>34.3</v>
      </c>
      <c r="V494" s="31" t="n">
        <v>34.3</v>
      </c>
      <c r="W494" s="30" t="inlineStr">
        <is>
          <t>AMR2</t>
        </is>
      </c>
      <c r="X494" s="32" t="n">
        <v>0</v>
      </c>
      <c r="Y494" s="32" t="n">
        <v>0</v>
      </c>
      <c r="Z494" s="31" t="n">
        <v>0</v>
      </c>
      <c r="AA494" s="32" t="n">
        <v>0</v>
      </c>
      <c r="AB494" s="32" t="n">
        <v>0</v>
      </c>
      <c r="AC494" s="32" t="n">
        <v>0</v>
      </c>
      <c r="AD494" s="32" t="n">
        <v>0</v>
      </c>
      <c r="AE494" s="31" t="n">
        <v>0</v>
      </c>
      <c r="AF494" s="32" t="n">
        <v>0</v>
      </c>
      <c r="AG494" s="31" t="n">
        <v>0</v>
      </c>
      <c r="AH494" s="32" t="n">
        <v>56</v>
      </c>
      <c r="AI494" s="31" t="n">
        <v>58.4</v>
      </c>
      <c r="AJ494" s="31" t="n">
        <v>39.1</v>
      </c>
      <c r="AK494" s="31" t="n">
        <v>0</v>
      </c>
      <c r="AL494" s="30" t="inlineStr">
        <is>
          <t>T-0641</t>
        </is>
      </c>
      <c r="AM494" s="30" t="inlineStr">
        <is>
          <t>I-05-03</t>
        </is>
      </c>
      <c r="AN494" s="30" t="inlineStr">
        <is>
          <t>T-0526</t>
        </is>
      </c>
      <c r="AO494" s="30" t="inlineStr">
        <is>
          <t>I-05-02</t>
        </is>
      </c>
    </row>
    <row r="495">
      <c r="A495" s="30" t="inlineStr">
        <is>
          <t>O0494</t>
        </is>
      </c>
      <c r="B495" s="30" t="inlineStr">
        <is>
          <t>D</t>
        </is>
      </c>
      <c r="C495" s="31" t="n">
        <v>6863.6</v>
      </c>
      <c r="D495" s="31" t="n">
        <v>17928.4</v>
      </c>
      <c r="E495" s="31" t="n">
        <v>17951.9</v>
      </c>
      <c r="F495" s="31" t="n">
        <v>17968.2</v>
      </c>
      <c r="G495" s="31" t="n">
        <v>17992.1</v>
      </c>
      <c r="H495" s="31" t="n">
        <v>17992.2</v>
      </c>
      <c r="I495" s="31" t="n">
        <v>18002.4</v>
      </c>
      <c r="J495" s="31" t="n">
        <v>18028.5</v>
      </c>
      <c r="K495" s="31" t="n">
        <v>11164.9</v>
      </c>
      <c r="L495" s="31" t="n">
        <v>11064.8</v>
      </c>
      <c r="M495" s="30" t="inlineStr">
        <is>
          <t>AMR3</t>
        </is>
      </c>
      <c r="N495" s="30" t="inlineStr">
        <is>
          <t>AMR3</t>
        </is>
      </c>
      <c r="O495" s="32" t="n">
        <v>1</v>
      </c>
      <c r="P495" s="32" t="n">
        <v>25</v>
      </c>
      <c r="Q495" s="32" t="n">
        <v>1</v>
      </c>
      <c r="R495" s="31" t="n">
        <v>61.8</v>
      </c>
      <c r="S495" s="31" t="n">
        <v>61.8</v>
      </c>
      <c r="T495" s="30" t="inlineStr">
        <is>
          <t>AMR3</t>
        </is>
      </c>
      <c r="U495" s="31" t="n">
        <v>37.5</v>
      </c>
      <c r="V495" s="31" t="n">
        <v>37.5</v>
      </c>
      <c r="W495" s="30" t="inlineStr">
        <is>
          <t>AMR3</t>
        </is>
      </c>
      <c r="X495" s="32" t="n">
        <v>0</v>
      </c>
      <c r="Y495" s="32" t="n">
        <v>0</v>
      </c>
      <c r="Z495" s="31" t="n">
        <v>0</v>
      </c>
      <c r="AA495" s="32" t="n">
        <v>0</v>
      </c>
      <c r="AB495" s="32" t="n">
        <v>0</v>
      </c>
      <c r="AC495" s="32" t="n">
        <v>0</v>
      </c>
      <c r="AD495" s="32" t="n">
        <v>0</v>
      </c>
      <c r="AE495" s="31" t="n">
        <v>0</v>
      </c>
      <c r="AF495" s="32" t="n">
        <v>0</v>
      </c>
      <c r="AG495" s="31" t="n">
        <v>0</v>
      </c>
      <c r="AH495" s="32" t="n">
        <v>52</v>
      </c>
      <c r="AI495" s="31" t="n">
        <v>54.3</v>
      </c>
      <c r="AJ495" s="31" t="n">
        <v>45.7</v>
      </c>
      <c r="AK495" s="31" t="n">
        <v>0</v>
      </c>
      <c r="AL495" s="30" t="inlineStr">
        <is>
          <t>T-0642</t>
        </is>
      </c>
      <c r="AM495" s="30" t="inlineStr">
        <is>
          <t>D-01-02</t>
        </is>
      </c>
      <c r="AN495" s="30" t="inlineStr">
        <is>
          <t>T-0468</t>
        </is>
      </c>
      <c r="AO495" s="30" t="inlineStr">
        <is>
          <t>D-02-02</t>
        </is>
      </c>
    </row>
    <row r="496">
      <c r="A496" s="30" t="inlineStr">
        <is>
          <t>O0495</t>
        </is>
      </c>
      <c r="B496" s="30" t="inlineStr">
        <is>
          <t>A</t>
        </is>
      </c>
      <c r="C496" s="31" t="n">
        <v>6882.2</v>
      </c>
      <c r="D496" s="31" t="n">
        <v>18000.6</v>
      </c>
      <c r="E496" s="31" t="n">
        <v>18024.1</v>
      </c>
      <c r="F496" s="31" t="n">
        <v>18035.4</v>
      </c>
      <c r="G496" s="31" t="n">
        <v>18067.4</v>
      </c>
      <c r="H496" s="31" t="n">
        <v>18594</v>
      </c>
      <c r="I496" s="31" t="n">
        <v>18605.3</v>
      </c>
      <c r="J496" s="31" t="n">
        <v>18642.6</v>
      </c>
      <c r="K496" s="31" t="n">
        <v>11760.4</v>
      </c>
      <c r="L496" s="31" t="n">
        <v>11118.4</v>
      </c>
      <c r="M496" s="30" t="inlineStr">
        <is>
          <t>AMR2</t>
        </is>
      </c>
      <c r="N496" s="30" t="inlineStr">
        <is>
          <t>AMR1</t>
        </is>
      </c>
      <c r="O496" s="32" t="n">
        <v>1</v>
      </c>
      <c r="P496" s="32" t="n">
        <v>25</v>
      </c>
      <c r="Q496" s="32" t="n">
        <v>1</v>
      </c>
      <c r="R496" s="31" t="n">
        <v>63.3</v>
      </c>
      <c r="S496" s="31" t="n">
        <v>63.3</v>
      </c>
      <c r="T496" s="30" t="inlineStr">
        <is>
          <t>AMR2</t>
        </is>
      </c>
      <c r="U496" s="31" t="n">
        <v>49.3</v>
      </c>
      <c r="V496" s="31" t="n">
        <v>49.3</v>
      </c>
      <c r="W496" s="30" t="inlineStr">
        <is>
          <t>AMR1</t>
        </is>
      </c>
      <c r="X496" s="32" t="n">
        <v>0</v>
      </c>
      <c r="Y496" s="32" t="n">
        <v>0</v>
      </c>
      <c r="Z496" s="31" t="n">
        <v>0</v>
      </c>
      <c r="AA496" s="32" t="n">
        <v>0</v>
      </c>
      <c r="AB496" s="32" t="n">
        <v>0</v>
      </c>
      <c r="AC496" s="32" t="n">
        <v>0</v>
      </c>
      <c r="AD496" s="32" t="n">
        <v>0</v>
      </c>
      <c r="AE496" s="31" t="n">
        <v>0</v>
      </c>
      <c r="AF496" s="32" t="n">
        <v>0</v>
      </c>
      <c r="AG496" s="31" t="n">
        <v>0</v>
      </c>
      <c r="AH496" s="32" t="n">
        <v>72</v>
      </c>
      <c r="AI496" s="31" t="n">
        <v>70.2</v>
      </c>
      <c r="AJ496" s="31" t="n">
        <v>45.2</v>
      </c>
      <c r="AK496" s="31" t="n">
        <v>0</v>
      </c>
      <c r="AL496" s="30" t="inlineStr">
        <is>
          <t>T-0644</t>
        </is>
      </c>
      <c r="AM496" s="30" t="inlineStr">
        <is>
          <t>A-02-01</t>
        </is>
      </c>
      <c r="AN496" s="30" t="inlineStr">
        <is>
          <t>T-0380</t>
        </is>
      </c>
      <c r="AO496" s="30" t="inlineStr">
        <is>
          <t>A-03-01</t>
        </is>
      </c>
    </row>
    <row r="497">
      <c r="A497" s="30" t="inlineStr">
        <is>
          <t>O0496</t>
        </is>
      </c>
      <c r="B497" s="30" t="inlineStr">
        <is>
          <t>F</t>
        </is>
      </c>
      <c r="C497" s="31" t="n">
        <v>6899.9</v>
      </c>
      <c r="D497" s="31" t="n">
        <v>18416.4</v>
      </c>
      <c r="E497" s="31" t="n">
        <v>18439.9</v>
      </c>
      <c r="F497" s="31" t="n">
        <v>18451.9</v>
      </c>
      <c r="G497" s="31" t="n">
        <v>18485.8</v>
      </c>
      <c r="H497" s="31" t="n">
        <v>18485.9</v>
      </c>
      <c r="I497" s="31" t="n">
        <v>18496.8</v>
      </c>
      <c r="J497" s="31" t="n">
        <v>18528.8</v>
      </c>
      <c r="K497" s="31" t="n">
        <v>11628.9</v>
      </c>
      <c r="L497" s="31" t="n">
        <v>11516.5</v>
      </c>
      <c r="M497" s="30" t="inlineStr">
        <is>
          <t>AMR1</t>
        </is>
      </c>
      <c r="N497" s="30" t="inlineStr">
        <is>
          <t>AMR1</t>
        </is>
      </c>
      <c r="O497" s="32" t="n">
        <v>1</v>
      </c>
      <c r="P497" s="32" t="n">
        <v>25</v>
      </c>
      <c r="Q497" s="32" t="n">
        <v>0</v>
      </c>
      <c r="R497" s="31" t="n">
        <v>66.8</v>
      </c>
      <c r="S497" s="31" t="n">
        <v>66.8</v>
      </c>
      <c r="T497" s="30" t="inlineStr">
        <is>
          <t>AMR1</t>
        </is>
      </c>
      <c r="U497" s="31" t="n">
        <v>43.7</v>
      </c>
      <c r="V497" s="31" t="n">
        <v>43.7</v>
      </c>
      <c r="W497" s="30" t="inlineStr">
        <is>
          <t>AMR1</t>
        </is>
      </c>
      <c r="X497" s="32" t="n">
        <v>0</v>
      </c>
      <c r="Y497" s="32" t="n">
        <v>0</v>
      </c>
      <c r="Z497" s="31" t="n">
        <v>0</v>
      </c>
      <c r="AA497" s="32" t="n">
        <v>0</v>
      </c>
      <c r="AB497" s="32" t="n">
        <v>0</v>
      </c>
      <c r="AC497" s="32" t="n">
        <v>0</v>
      </c>
      <c r="AD497" s="32" t="n">
        <v>0</v>
      </c>
      <c r="AE497" s="31" t="n">
        <v>0</v>
      </c>
      <c r="AF497" s="32" t="n">
        <v>0</v>
      </c>
      <c r="AG497" s="31" t="n">
        <v>0</v>
      </c>
      <c r="AH497" s="32" t="n">
        <v>70</v>
      </c>
      <c r="AI497" s="31" t="n">
        <v>69</v>
      </c>
      <c r="AJ497" s="31" t="n">
        <v>43.3</v>
      </c>
      <c r="AK497" s="31" t="n">
        <v>0</v>
      </c>
      <c r="AL497" s="30" t="inlineStr">
        <is>
          <t>T-0654</t>
        </is>
      </c>
      <c r="AM497" s="30" t="inlineStr">
        <is>
          <t>F-03-03</t>
        </is>
      </c>
      <c r="AN497" s="30" t="inlineStr">
        <is>
          <t>T-0467</t>
        </is>
      </c>
      <c r="AO497" s="30" t="inlineStr">
        <is>
          <t>F-06-02</t>
        </is>
      </c>
    </row>
    <row r="498">
      <c r="A498" s="30" t="inlineStr">
        <is>
          <t>O0497</t>
        </is>
      </c>
      <c r="B498" s="30" t="inlineStr">
        <is>
          <t>H</t>
        </is>
      </c>
      <c r="C498" s="31" t="n">
        <v>6923.8</v>
      </c>
      <c r="D498" s="31" t="n">
        <v>17970.9</v>
      </c>
      <c r="E498" s="31" t="n">
        <v>17994.4</v>
      </c>
      <c r="F498" s="31" t="n">
        <v>18010.3</v>
      </c>
      <c r="G498" s="31" t="n">
        <v>18032.6</v>
      </c>
      <c r="H498" s="31" t="n">
        <v>18032.7</v>
      </c>
      <c r="I498" s="31" t="n">
        <v>18043.5</v>
      </c>
      <c r="J498" s="31" t="n">
        <v>18068.5</v>
      </c>
      <c r="K498" s="31" t="n">
        <v>11144.7</v>
      </c>
      <c r="L498" s="31" t="n">
        <v>11047.1</v>
      </c>
      <c r="M498" s="30" t="inlineStr">
        <is>
          <t>AMR1</t>
        </is>
      </c>
      <c r="N498" s="30" t="inlineStr">
        <is>
          <t>AMR1</t>
        </is>
      </c>
      <c r="O498" s="32" t="n">
        <v>1</v>
      </c>
      <c r="P498" s="32" t="n">
        <v>25</v>
      </c>
      <c r="Q498" s="32" t="n">
        <v>1</v>
      </c>
      <c r="R498" s="31" t="n">
        <v>59.9</v>
      </c>
      <c r="S498" s="31" t="n">
        <v>59.9</v>
      </c>
      <c r="T498" s="30" t="inlineStr">
        <is>
          <t>AMR1</t>
        </is>
      </c>
      <c r="U498" s="31" t="n">
        <v>34.9</v>
      </c>
      <c r="V498" s="31" t="n">
        <v>34.9</v>
      </c>
      <c r="W498" s="30" t="inlineStr">
        <is>
          <t>AMR1</t>
        </is>
      </c>
      <c r="X498" s="32" t="n">
        <v>0</v>
      </c>
      <c r="Y498" s="32" t="n">
        <v>0</v>
      </c>
      <c r="Z498" s="31" t="n">
        <v>0</v>
      </c>
      <c r="AA498" s="32" t="n">
        <v>0</v>
      </c>
      <c r="AB498" s="32" t="n">
        <v>0</v>
      </c>
      <c r="AC498" s="32" t="n">
        <v>0</v>
      </c>
      <c r="AD498" s="32" t="n">
        <v>0</v>
      </c>
      <c r="AE498" s="31" t="n">
        <v>0</v>
      </c>
      <c r="AF498" s="32" t="n">
        <v>0</v>
      </c>
      <c r="AG498" s="31" t="n">
        <v>0</v>
      </c>
      <c r="AH498" s="32" t="n">
        <v>54</v>
      </c>
      <c r="AI498" s="31" t="n">
        <v>56.3</v>
      </c>
      <c r="AJ498" s="31" t="n">
        <v>41.2</v>
      </c>
      <c r="AK498" s="31" t="n">
        <v>0</v>
      </c>
      <c r="AL498" s="30" t="inlineStr">
        <is>
          <t>T-0643</t>
        </is>
      </c>
      <c r="AM498" s="30" t="inlineStr">
        <is>
          <t>H-05-03</t>
        </is>
      </c>
      <c r="AN498" s="30" t="inlineStr">
        <is>
          <t>T-0518</t>
        </is>
      </c>
      <c r="AO498" s="30" t="inlineStr">
        <is>
          <t>H-03-02</t>
        </is>
      </c>
    </row>
    <row r="499">
      <c r="A499" s="30" t="inlineStr">
        <is>
          <t>O0498</t>
        </is>
      </c>
      <c r="B499" s="30" t="inlineStr">
        <is>
          <t>C</t>
        </is>
      </c>
      <c r="C499" s="31" t="n">
        <v>6942.2</v>
      </c>
      <c r="D499" s="31" t="n">
        <v>18144.9</v>
      </c>
      <c r="E499" s="31" t="n">
        <v>18168.4</v>
      </c>
      <c r="F499" s="31" t="n">
        <v>18182.7</v>
      </c>
      <c r="G499" s="31" t="n">
        <v>18203.5</v>
      </c>
      <c r="H499" s="31" t="n">
        <v>19214.2</v>
      </c>
      <c r="I499" s="31" t="n">
        <v>19228.6</v>
      </c>
      <c r="J499" s="31" t="n">
        <v>19258.7</v>
      </c>
      <c r="K499" s="31" t="n">
        <v>12316.5</v>
      </c>
      <c r="L499" s="31" t="n">
        <v>11202.7</v>
      </c>
      <c r="M499" s="30" t="inlineStr">
        <is>
          <t>AMR3</t>
        </is>
      </c>
      <c r="N499" s="30" t="inlineStr">
        <is>
          <t>AMR1</t>
        </is>
      </c>
      <c r="O499" s="32" t="n">
        <v>1</v>
      </c>
      <c r="P499" s="32" t="n">
        <v>25</v>
      </c>
      <c r="Q499" s="32" t="n">
        <v>2</v>
      </c>
      <c r="R499" s="31" t="n">
        <v>56.7</v>
      </c>
      <c r="S499" s="31" t="n">
        <v>56.7</v>
      </c>
      <c r="T499" s="30" t="inlineStr">
        <is>
          <t>AMR3</t>
        </is>
      </c>
      <c r="U499" s="31" t="n">
        <v>44.7</v>
      </c>
      <c r="V499" s="31" t="n">
        <v>44.7</v>
      </c>
      <c r="W499" s="30" t="inlineStr">
        <is>
          <t>AMR1</t>
        </is>
      </c>
      <c r="X499" s="32" t="n">
        <v>0</v>
      </c>
      <c r="Y499" s="32" t="n">
        <v>0</v>
      </c>
      <c r="Z499" s="31" t="n">
        <v>0</v>
      </c>
      <c r="AA499" s="32" t="n">
        <v>0</v>
      </c>
      <c r="AB499" s="32" t="n">
        <v>0</v>
      </c>
      <c r="AC499" s="32" t="n">
        <v>0</v>
      </c>
      <c r="AD499" s="32" t="n">
        <v>0</v>
      </c>
      <c r="AE499" s="31" t="n">
        <v>0</v>
      </c>
      <c r="AF499" s="32" t="n">
        <v>0</v>
      </c>
      <c r="AG499" s="31" t="n">
        <v>0</v>
      </c>
      <c r="AH499" s="32" t="n">
        <v>55</v>
      </c>
      <c r="AI499" s="31" t="n">
        <v>55.5</v>
      </c>
      <c r="AJ499" s="31" t="n">
        <v>47.6</v>
      </c>
      <c r="AK499" s="31" t="n">
        <v>0</v>
      </c>
      <c r="AL499" s="30" t="inlineStr">
        <is>
          <t>T-0647</t>
        </is>
      </c>
      <c r="AM499" s="30" t="inlineStr">
        <is>
          <t>C-04-01</t>
        </is>
      </c>
      <c r="AN499" s="30" t="inlineStr">
        <is>
          <t>T-0514</t>
        </is>
      </c>
      <c r="AO499" s="30" t="inlineStr">
        <is>
          <t>C-01-02</t>
        </is>
      </c>
    </row>
    <row r="500">
      <c r="A500" s="30" t="inlineStr">
        <is>
          <t>O0499</t>
        </is>
      </c>
      <c r="B500" s="30" t="inlineStr">
        <is>
          <t>F</t>
        </is>
      </c>
      <c r="C500" s="31" t="n">
        <v>6964.1</v>
      </c>
      <c r="D500" s="31" t="n">
        <v>18028.6</v>
      </c>
      <c r="E500" s="31" t="n">
        <v>18052.1</v>
      </c>
      <c r="F500" s="31" t="n">
        <v>18062.8</v>
      </c>
      <c r="G500" s="31" t="n">
        <v>18097.5</v>
      </c>
      <c r="H500" s="31" t="n">
        <v>18940</v>
      </c>
      <c r="I500" s="31" t="n">
        <v>18956.2</v>
      </c>
      <c r="J500" s="31" t="n">
        <v>18991.4</v>
      </c>
      <c r="K500" s="31" t="n">
        <v>12027.3</v>
      </c>
      <c r="L500" s="31" t="n">
        <v>11064.5</v>
      </c>
      <c r="M500" s="30" t="inlineStr">
        <is>
          <t>AMR3</t>
        </is>
      </c>
      <c r="N500" s="30" t="inlineStr">
        <is>
          <t>AMR1</t>
        </is>
      </c>
      <c r="O500" s="32" t="n">
        <v>1</v>
      </c>
      <c r="P500" s="32" t="n">
        <v>25</v>
      </c>
      <c r="Q500" s="32" t="n">
        <v>1</v>
      </c>
      <c r="R500" s="31" t="n">
        <v>65.40000000000001</v>
      </c>
      <c r="S500" s="31" t="n">
        <v>60.6</v>
      </c>
      <c r="T500" s="30" t="inlineStr">
        <is>
          <t>AMR1</t>
        </is>
      </c>
      <c r="U500" s="31" t="n">
        <v>49.6</v>
      </c>
      <c r="V500" s="31" t="n">
        <v>49.6</v>
      </c>
      <c r="W500" s="30" t="inlineStr">
        <is>
          <t>AMR1</t>
        </is>
      </c>
      <c r="X500" s="32" t="n">
        <v>1</v>
      </c>
      <c r="Y500" s="32" t="n">
        <v>11</v>
      </c>
      <c r="Z500" s="31" t="n">
        <v>4.8</v>
      </c>
      <c r="AA500" s="32" t="n">
        <v>0</v>
      </c>
      <c r="AB500" s="32" t="n">
        <v>0</v>
      </c>
      <c r="AC500" s="32" t="n">
        <v>0</v>
      </c>
      <c r="AD500" s="32" t="n">
        <v>0</v>
      </c>
      <c r="AE500" s="31" t="n">
        <v>0</v>
      </c>
      <c r="AF500" s="32" t="n">
        <v>0</v>
      </c>
      <c r="AG500" s="31" t="n">
        <v>0</v>
      </c>
      <c r="AH500" s="32" t="n">
        <v>74</v>
      </c>
      <c r="AI500" s="31" t="n">
        <v>73.2</v>
      </c>
      <c r="AJ500" s="31" t="n">
        <v>47.1</v>
      </c>
      <c r="AK500" s="31" t="n">
        <v>0</v>
      </c>
      <c r="AL500" s="30" t="inlineStr">
        <is>
          <t>T-0645</t>
        </is>
      </c>
      <c r="AM500" s="30" t="inlineStr">
        <is>
          <t>F-02-03</t>
        </is>
      </c>
      <c r="AN500" s="30" t="inlineStr">
        <is>
          <t>T-0538</t>
        </is>
      </c>
      <c r="AO500" s="30" t="inlineStr">
        <is>
          <t>F-01-02</t>
        </is>
      </c>
    </row>
    <row r="501">
      <c r="A501" s="30" t="inlineStr">
        <is>
          <t>O0500</t>
        </is>
      </c>
      <c r="B501" s="30" t="inlineStr">
        <is>
          <t>B</t>
        </is>
      </c>
      <c r="C501" s="31" t="n">
        <v>6981.8</v>
      </c>
      <c r="D501" s="31" t="n">
        <v>18068.6</v>
      </c>
      <c r="E501" s="31" t="n">
        <v>18092.1</v>
      </c>
      <c r="F501" s="31" t="n">
        <v>18104.8</v>
      </c>
      <c r="G501" s="31" t="n">
        <v>18128</v>
      </c>
      <c r="H501" s="31" t="n">
        <v>18384.2</v>
      </c>
      <c r="I501" s="31" t="n">
        <v>18399.3</v>
      </c>
      <c r="J501" s="31" t="n">
        <v>18430.1</v>
      </c>
      <c r="K501" s="31" t="n">
        <v>11448.3</v>
      </c>
      <c r="L501" s="31" t="n">
        <v>11086.8</v>
      </c>
      <c r="M501" s="30" t="inlineStr">
        <is>
          <t>AMR1</t>
        </is>
      </c>
      <c r="N501" s="30" t="inlineStr">
        <is>
          <t>AMR3</t>
        </is>
      </c>
      <c r="O501" s="32" t="n">
        <v>1</v>
      </c>
      <c r="P501" s="32" t="n">
        <v>25</v>
      </c>
      <c r="Q501" s="32" t="n">
        <v>0</v>
      </c>
      <c r="R501" s="31" t="n">
        <v>57.5</v>
      </c>
      <c r="S501" s="31" t="n">
        <v>57.5</v>
      </c>
      <c r="T501" s="30" t="inlineStr">
        <is>
          <t>AMR1</t>
        </is>
      </c>
      <c r="U501" s="31" t="n">
        <v>40.7</v>
      </c>
      <c r="V501" s="31" t="n">
        <v>40.7</v>
      </c>
      <c r="W501" s="30" t="inlineStr">
        <is>
          <t>AMR3</t>
        </is>
      </c>
      <c r="X501" s="32" t="n">
        <v>0</v>
      </c>
      <c r="Y501" s="32" t="n">
        <v>0</v>
      </c>
      <c r="Z501" s="31" t="n">
        <v>0</v>
      </c>
      <c r="AA501" s="32" t="n">
        <v>0</v>
      </c>
      <c r="AB501" s="32" t="n">
        <v>0</v>
      </c>
      <c r="AC501" s="32" t="n">
        <v>0</v>
      </c>
      <c r="AD501" s="32" t="n">
        <v>1</v>
      </c>
      <c r="AE501" s="31" t="n">
        <v>5</v>
      </c>
      <c r="AF501" s="32" t="n">
        <v>0</v>
      </c>
      <c r="AG501" s="31" t="n">
        <v>0</v>
      </c>
      <c r="AH501" s="32" t="n">
        <v>57</v>
      </c>
      <c r="AI501" s="31" t="n">
        <v>58.2</v>
      </c>
      <c r="AJ501" s="31" t="n">
        <v>42.1</v>
      </c>
      <c r="AK501" s="31" t="n">
        <v>5</v>
      </c>
      <c r="AL501" s="30" t="inlineStr">
        <is>
          <t>T-0646</t>
        </is>
      </c>
      <c r="AM501" s="30" t="inlineStr">
        <is>
          <t>B-05-02</t>
        </is>
      </c>
      <c r="AN501" s="30" t="inlineStr">
        <is>
          <t>T-0428</t>
        </is>
      </c>
      <c r="AO501" s="30" t="inlineStr">
        <is>
          <t>B-06-02</t>
        </is>
      </c>
    </row>
    <row r="502">
      <c r="A502" s="30" t="inlineStr">
        <is>
          <t>O0501</t>
        </is>
      </c>
      <c r="B502" s="30" t="inlineStr">
        <is>
          <t>G</t>
        </is>
      </c>
      <c r="C502" s="31" t="n">
        <v>7001</v>
      </c>
      <c r="D502" s="31" t="n">
        <v>18547.7</v>
      </c>
      <c r="E502" s="31" t="n">
        <v>18576.2</v>
      </c>
      <c r="F502" s="31" t="n">
        <v>18587.9</v>
      </c>
      <c r="G502" s="31" t="n">
        <v>18615.6</v>
      </c>
      <c r="H502" s="31" t="n">
        <v>18615.7</v>
      </c>
      <c r="I502" s="31" t="n">
        <v>18624.3</v>
      </c>
      <c r="J502" s="31" t="n">
        <v>18659.8</v>
      </c>
      <c r="K502" s="31" t="n">
        <v>11658.8</v>
      </c>
      <c r="L502" s="31" t="n">
        <v>11546.7</v>
      </c>
      <c r="M502" s="30" t="inlineStr">
        <is>
          <t>AMR3</t>
        </is>
      </c>
      <c r="N502" s="30" t="inlineStr">
        <is>
          <t>AMR3</t>
        </is>
      </c>
      <c r="O502" s="32" t="n">
        <v>1</v>
      </c>
      <c r="P502" s="32" t="n">
        <v>25</v>
      </c>
      <c r="Q502" s="32" t="n">
        <v>1</v>
      </c>
      <c r="R502" s="31" t="n">
        <v>61.1</v>
      </c>
      <c r="S502" s="31" t="n">
        <v>61.1</v>
      </c>
      <c r="T502" s="30" t="inlineStr">
        <is>
          <t>AMR3</t>
        </is>
      </c>
      <c r="U502" s="31" t="n">
        <v>39.3</v>
      </c>
      <c r="V502" s="31" t="n">
        <v>39.3</v>
      </c>
      <c r="W502" s="30" t="inlineStr">
        <is>
          <t>AMR3</t>
        </is>
      </c>
      <c r="X502" s="32" t="n">
        <v>0</v>
      </c>
      <c r="Y502" s="32" t="n">
        <v>0</v>
      </c>
      <c r="Z502" s="31" t="n">
        <v>0</v>
      </c>
      <c r="AA502" s="32" t="n">
        <v>0</v>
      </c>
      <c r="AB502" s="32" t="n">
        <v>0</v>
      </c>
      <c r="AC502" s="32" t="n">
        <v>0</v>
      </c>
      <c r="AD502" s="32" t="n">
        <v>1</v>
      </c>
      <c r="AE502" s="31" t="n">
        <v>6</v>
      </c>
      <c r="AF502" s="32" t="n">
        <v>1</v>
      </c>
      <c r="AG502" s="31" t="n">
        <v>1</v>
      </c>
      <c r="AH502" s="32" t="n">
        <v>56</v>
      </c>
      <c r="AI502" s="31" t="n">
        <v>57.9</v>
      </c>
      <c r="AJ502" s="31" t="n">
        <v>43.1</v>
      </c>
      <c r="AK502" s="31" t="n">
        <v>11</v>
      </c>
      <c r="AL502" s="30" t="inlineStr">
        <is>
          <t>T-0658</t>
        </is>
      </c>
      <c r="AM502" s="30" t="inlineStr">
        <is>
          <t>G-05-03</t>
        </is>
      </c>
      <c r="AN502" s="30" t="inlineStr">
        <is>
          <t>T-0453</t>
        </is>
      </c>
      <c r="AO502" s="30" t="inlineStr">
        <is>
          <t>G-04-02</t>
        </is>
      </c>
    </row>
    <row r="503">
      <c r="A503" s="30" t="inlineStr">
        <is>
          <t>O0502</t>
        </is>
      </c>
      <c r="B503" s="30" t="inlineStr">
        <is>
          <t>C</t>
        </is>
      </c>
      <c r="C503" s="31" t="n">
        <v>7026</v>
      </c>
      <c r="D503" s="31" t="n">
        <v>18203.6</v>
      </c>
      <c r="E503" s="31" t="n">
        <v>18224.7</v>
      </c>
      <c r="F503" s="31" t="n">
        <v>18240.4</v>
      </c>
      <c r="G503" s="31" t="n">
        <v>18260.1</v>
      </c>
      <c r="H503" s="31" t="n">
        <v>18260.2</v>
      </c>
      <c r="I503" s="31" t="n">
        <v>18271.9</v>
      </c>
      <c r="J503" s="31" t="n">
        <v>18313.1</v>
      </c>
      <c r="K503" s="31" t="n">
        <v>11287.1</v>
      </c>
      <c r="L503" s="31" t="n">
        <v>11177.6</v>
      </c>
      <c r="M503" s="30" t="inlineStr">
        <is>
          <t>AMR3</t>
        </is>
      </c>
      <c r="N503" s="30" t="inlineStr">
        <is>
          <t>AMR3</t>
        </is>
      </c>
      <c r="O503" s="32" t="n">
        <v>1</v>
      </c>
      <c r="P503" s="32" t="n">
        <v>12</v>
      </c>
      <c r="Q503" s="32" t="n">
        <v>1</v>
      </c>
      <c r="R503" s="31" t="n">
        <v>46.1</v>
      </c>
      <c r="S503" s="31" t="n">
        <v>46.1</v>
      </c>
      <c r="T503" s="30" t="inlineStr">
        <is>
          <t>AMR3</t>
        </is>
      </c>
      <c r="U503" s="31" t="n">
        <v>37</v>
      </c>
      <c r="V503" s="31" t="n">
        <v>37</v>
      </c>
      <c r="W503" s="30" t="inlineStr">
        <is>
          <t>AMR3</t>
        </is>
      </c>
      <c r="X503" s="32" t="n">
        <v>0</v>
      </c>
      <c r="Y503" s="32" t="n">
        <v>0</v>
      </c>
      <c r="Z503" s="31" t="n">
        <v>0</v>
      </c>
      <c r="AA503" s="32" t="n">
        <v>0</v>
      </c>
      <c r="AB503" s="32" t="n">
        <v>0</v>
      </c>
      <c r="AC503" s="32" t="n">
        <v>0</v>
      </c>
      <c r="AD503" s="32" t="n">
        <v>1</v>
      </c>
      <c r="AE503" s="31" t="n">
        <v>16</v>
      </c>
      <c r="AF503" s="32" t="n">
        <v>1</v>
      </c>
      <c r="AG503" s="31" t="n">
        <v>11</v>
      </c>
      <c r="AH503" s="32" t="n">
        <v>43</v>
      </c>
      <c r="AI503" s="31" t="n">
        <v>44.4</v>
      </c>
      <c r="AJ503" s="31" t="n">
        <v>40.9</v>
      </c>
      <c r="AK503" s="31" t="n">
        <v>24.1</v>
      </c>
      <c r="AL503" s="30" t="inlineStr">
        <is>
          <t>T-0649</t>
        </is>
      </c>
      <c r="AM503" s="30" t="inlineStr">
        <is>
          <t>C-05-03</t>
        </is>
      </c>
      <c r="AN503" s="30" t="inlineStr">
        <is>
          <t>T-0508</t>
        </is>
      </c>
      <c r="AO503" s="30" t="inlineStr">
        <is>
          <t>C-03-01</t>
        </is>
      </c>
    </row>
    <row r="504">
      <c r="A504" s="30" t="inlineStr">
        <is>
          <t>O0503</t>
        </is>
      </c>
      <c r="B504" s="30" t="inlineStr">
        <is>
          <t>B</t>
        </is>
      </c>
      <c r="C504" s="31" t="n">
        <v>7043.9</v>
      </c>
      <c r="D504" s="31" t="n">
        <v>18313.2</v>
      </c>
      <c r="E504" s="31" t="n">
        <v>18343.7</v>
      </c>
      <c r="F504" s="31" t="n">
        <v>18357.2</v>
      </c>
      <c r="G504" s="31" t="n">
        <v>18384.1</v>
      </c>
      <c r="H504" s="31" t="n">
        <v>18502</v>
      </c>
      <c r="I504" s="31" t="n">
        <v>18514.3</v>
      </c>
      <c r="J504" s="31" t="n">
        <v>18547.6</v>
      </c>
      <c r="K504" s="31" t="n">
        <v>11503.7</v>
      </c>
      <c r="L504" s="31" t="n">
        <v>11269.3</v>
      </c>
      <c r="M504" s="30" t="inlineStr">
        <is>
          <t>AMR3</t>
        </is>
      </c>
      <c r="N504" s="30" t="inlineStr">
        <is>
          <t>AMR3</t>
        </is>
      </c>
      <c r="O504" s="32" t="n">
        <v>1</v>
      </c>
      <c r="P504" s="32" t="n">
        <v>25</v>
      </c>
      <c r="Q504" s="32" t="n">
        <v>2</v>
      </c>
      <c r="R504" s="31" t="n">
        <v>61.2</v>
      </c>
      <c r="S504" s="31" t="n">
        <v>61.2</v>
      </c>
      <c r="T504" s="30" t="inlineStr">
        <is>
          <t>AMR3</t>
        </is>
      </c>
      <c r="U504" s="31" t="n">
        <v>38.8</v>
      </c>
      <c r="V504" s="31" t="n">
        <v>38.8</v>
      </c>
      <c r="W504" s="30" t="inlineStr">
        <is>
          <t>AMR3</t>
        </is>
      </c>
      <c r="X504" s="32" t="n">
        <v>0</v>
      </c>
      <c r="Y504" s="32" t="n">
        <v>0</v>
      </c>
      <c r="Z504" s="31" t="n">
        <v>0</v>
      </c>
      <c r="AA504" s="32" t="n">
        <v>0</v>
      </c>
      <c r="AB504" s="32" t="n">
        <v>0</v>
      </c>
      <c r="AC504" s="32" t="n">
        <v>0</v>
      </c>
      <c r="AD504" s="32" t="n">
        <v>1</v>
      </c>
      <c r="AE504" s="31" t="n">
        <v>3</v>
      </c>
      <c r="AF504" s="32" t="n">
        <v>1</v>
      </c>
      <c r="AG504" s="31" t="n">
        <v>2</v>
      </c>
      <c r="AH504" s="32" t="n">
        <v>62</v>
      </c>
      <c r="AI504" s="31" t="n">
        <v>64</v>
      </c>
      <c r="AJ504" s="31" t="n">
        <v>42.5</v>
      </c>
      <c r="AK504" s="31" t="n">
        <v>10</v>
      </c>
      <c r="AL504" s="30" t="inlineStr">
        <is>
          <t>T-0652</t>
        </is>
      </c>
      <c r="AM504" s="30" t="inlineStr">
        <is>
          <t>B-03-01</t>
        </is>
      </c>
      <c r="AN504" s="30" t="inlineStr">
        <is>
          <t>T-0482</t>
        </is>
      </c>
      <c r="AO504" s="30" t="inlineStr">
        <is>
          <t>B-02-03</t>
        </is>
      </c>
    </row>
    <row r="505">
      <c r="A505" s="30" t="inlineStr">
        <is>
          <t>O0504</t>
        </is>
      </c>
      <c r="B505" s="30" t="inlineStr">
        <is>
          <t>E</t>
        </is>
      </c>
      <c r="C505" s="31" t="n">
        <v>7062.2</v>
      </c>
      <c r="D505" s="31" t="n">
        <v>18185.1</v>
      </c>
      <c r="E505" s="31" t="n">
        <v>18208.6</v>
      </c>
      <c r="F505" s="31" t="n">
        <v>18224.6</v>
      </c>
      <c r="G505" s="31" t="n">
        <v>18252.5</v>
      </c>
      <c r="H505" s="31" t="n">
        <v>18252.6</v>
      </c>
      <c r="I505" s="31" t="n">
        <v>18266.4</v>
      </c>
      <c r="J505" s="31" t="n">
        <v>18296.6</v>
      </c>
      <c r="K505" s="31" t="n">
        <v>11234.4</v>
      </c>
      <c r="L505" s="31" t="n">
        <v>11122.9</v>
      </c>
      <c r="M505" s="30" t="inlineStr">
        <is>
          <t>AMR1</t>
        </is>
      </c>
      <c r="N505" s="30" t="inlineStr">
        <is>
          <t>AMR1</t>
        </is>
      </c>
      <c r="O505" s="32" t="n">
        <v>1</v>
      </c>
      <c r="P505" s="32" t="n">
        <v>25</v>
      </c>
      <c r="Q505" s="32" t="n">
        <v>0</v>
      </c>
      <c r="R505" s="31" t="n">
        <v>64.7</v>
      </c>
      <c r="S505" s="31" t="n">
        <v>64.7</v>
      </c>
      <c r="T505" s="30" t="inlineStr">
        <is>
          <t>AMR1</t>
        </is>
      </c>
      <c r="U505" s="31" t="n">
        <v>44.7</v>
      </c>
      <c r="V505" s="31" t="n">
        <v>44.7</v>
      </c>
      <c r="W505" s="30" t="inlineStr">
        <is>
          <t>AMR1</t>
        </is>
      </c>
      <c r="X505" s="32" t="n">
        <v>0</v>
      </c>
      <c r="Y505" s="32" t="n">
        <v>0</v>
      </c>
      <c r="Z505" s="31" t="n">
        <v>0</v>
      </c>
      <c r="AA505" s="32" t="n">
        <v>0</v>
      </c>
      <c r="AB505" s="32" t="n">
        <v>0</v>
      </c>
      <c r="AC505" s="32" t="n">
        <v>0</v>
      </c>
      <c r="AD505" s="32" t="n">
        <v>0</v>
      </c>
      <c r="AE505" s="31" t="n">
        <v>0</v>
      </c>
      <c r="AF505" s="32" t="n">
        <v>0</v>
      </c>
      <c r="AG505" s="31" t="n">
        <v>0</v>
      </c>
      <c r="AH505" s="32" t="n">
        <v>66</v>
      </c>
      <c r="AI505" s="31" t="n">
        <v>65.5</v>
      </c>
      <c r="AJ505" s="31" t="n">
        <v>45.9</v>
      </c>
      <c r="AK505" s="31" t="n">
        <v>0</v>
      </c>
      <c r="AL505" s="30" t="inlineStr">
        <is>
          <t>T-0648</t>
        </is>
      </c>
      <c r="AM505" s="30" t="inlineStr">
        <is>
          <t>E-03-01</t>
        </is>
      </c>
      <c r="AN505" s="30" t="inlineStr">
        <is>
          <t>T-0454</t>
        </is>
      </c>
      <c r="AO505" s="30" t="inlineStr">
        <is>
          <t>E-01-02</t>
        </is>
      </c>
    </row>
    <row r="506">
      <c r="A506" s="30" t="inlineStr">
        <is>
          <t>O0505</t>
        </is>
      </c>
      <c r="B506" s="30" t="inlineStr">
        <is>
          <t>G</t>
        </is>
      </c>
      <c r="C506" s="31" t="n">
        <v>7081.6</v>
      </c>
      <c r="D506" s="31" t="n">
        <v>18222.9</v>
      </c>
      <c r="E506" s="31" t="n">
        <v>18248.4</v>
      </c>
      <c r="F506" s="31" t="n">
        <v>18259.9</v>
      </c>
      <c r="G506" s="31" t="n">
        <v>18285.9</v>
      </c>
      <c r="H506" s="31" t="n">
        <v>18286</v>
      </c>
      <c r="I506" s="31" t="n">
        <v>18298.2</v>
      </c>
      <c r="J506" s="31" t="n">
        <v>18331.6</v>
      </c>
      <c r="K506" s="31" t="n">
        <v>11250</v>
      </c>
      <c r="L506" s="31" t="n">
        <v>11141.3</v>
      </c>
      <c r="M506" s="30" t="inlineStr">
        <is>
          <t>AMR2</t>
        </is>
      </c>
      <c r="N506" s="30" t="inlineStr">
        <is>
          <t>AMR2</t>
        </is>
      </c>
      <c r="O506" s="32" t="n">
        <v>1</v>
      </c>
      <c r="P506" s="32" t="n">
        <v>25</v>
      </c>
      <c r="Q506" s="32" t="n">
        <v>1</v>
      </c>
      <c r="R506" s="31" t="n">
        <v>59.2</v>
      </c>
      <c r="S506" s="31" t="n">
        <v>59.2</v>
      </c>
      <c r="T506" s="30" t="inlineStr">
        <is>
          <t>AMR2</t>
        </is>
      </c>
      <c r="U506" s="31" t="n">
        <v>37.3</v>
      </c>
      <c r="V506" s="31" t="n">
        <v>37.3</v>
      </c>
      <c r="W506" s="30" t="inlineStr">
        <is>
          <t>AMR2</t>
        </is>
      </c>
      <c r="X506" s="32" t="n">
        <v>0</v>
      </c>
      <c r="Y506" s="32" t="n">
        <v>0</v>
      </c>
      <c r="Z506" s="31" t="n">
        <v>0</v>
      </c>
      <c r="AA506" s="32" t="n">
        <v>0</v>
      </c>
      <c r="AB506" s="32" t="n">
        <v>0</v>
      </c>
      <c r="AC506" s="32" t="n">
        <v>0</v>
      </c>
      <c r="AD506" s="32" t="n">
        <v>1</v>
      </c>
      <c r="AE506" s="31" t="n">
        <v>7</v>
      </c>
      <c r="AF506" s="32" t="n">
        <v>1</v>
      </c>
      <c r="AG506" s="31" t="n">
        <v>2</v>
      </c>
      <c r="AH506" s="32" t="n">
        <v>58</v>
      </c>
      <c r="AI506" s="31" t="n">
        <v>60.4</v>
      </c>
      <c r="AJ506" s="31" t="n">
        <v>39.2</v>
      </c>
      <c r="AK506" s="31" t="n">
        <v>9</v>
      </c>
      <c r="AL506" s="30" t="inlineStr">
        <is>
          <t>T-0650</t>
        </is>
      </c>
      <c r="AM506" s="30" t="inlineStr">
        <is>
          <t>G-04-01</t>
        </is>
      </c>
      <c r="AN506" s="30" t="inlineStr">
        <is>
          <t>T-0448</t>
        </is>
      </c>
      <c r="AO506" s="30" t="inlineStr">
        <is>
          <t>G-03-02</t>
        </is>
      </c>
    </row>
    <row r="507">
      <c r="A507" s="30" t="inlineStr">
        <is>
          <t>O0506</t>
        </is>
      </c>
      <c r="B507" s="30" t="inlineStr">
        <is>
          <t>F</t>
        </is>
      </c>
      <c r="C507" s="31" t="n">
        <v>7103.5</v>
      </c>
      <c r="D507" s="31" t="n">
        <v>18757.5</v>
      </c>
      <c r="E507" s="31" t="n">
        <v>18781</v>
      </c>
      <c r="F507" s="31" t="n">
        <v>18795.4</v>
      </c>
      <c r="G507" s="31" t="n">
        <v>18825.9</v>
      </c>
      <c r="H507" s="31" t="n">
        <v>19574.6</v>
      </c>
      <c r="I507" s="31" t="n">
        <v>19589.7</v>
      </c>
      <c r="J507" s="31" t="n">
        <v>19626.3</v>
      </c>
      <c r="K507" s="31" t="n">
        <v>12522.8</v>
      </c>
      <c r="L507" s="31" t="n">
        <v>11654</v>
      </c>
      <c r="M507" s="30" t="inlineStr">
        <is>
          <t>AMR1</t>
        </is>
      </c>
      <c r="N507" s="30" t="inlineStr">
        <is>
          <t>AMR1</t>
        </is>
      </c>
      <c r="O507" s="32" t="n">
        <v>1</v>
      </c>
      <c r="P507" s="32" t="n">
        <v>25</v>
      </c>
      <c r="Q507" s="32" t="n">
        <v>1</v>
      </c>
      <c r="R507" s="31" t="n">
        <v>67.40000000000001</v>
      </c>
      <c r="S507" s="31" t="n">
        <v>67.40000000000001</v>
      </c>
      <c r="T507" s="30" t="inlineStr">
        <is>
          <t>AMR1</t>
        </is>
      </c>
      <c r="U507" s="31" t="n">
        <v>49.9</v>
      </c>
      <c r="V507" s="31" t="n">
        <v>49.9</v>
      </c>
      <c r="W507" s="30" t="inlineStr">
        <is>
          <t>AMR1</t>
        </is>
      </c>
      <c r="X507" s="32" t="n">
        <v>0</v>
      </c>
      <c r="Y507" s="32" t="n">
        <v>0</v>
      </c>
      <c r="Z507" s="31" t="n">
        <v>0</v>
      </c>
      <c r="AA507" s="32" t="n">
        <v>0</v>
      </c>
      <c r="AB507" s="32" t="n">
        <v>0</v>
      </c>
      <c r="AC507" s="32" t="n">
        <v>0</v>
      </c>
      <c r="AD507" s="32" t="n">
        <v>0</v>
      </c>
      <c r="AE507" s="31" t="n">
        <v>0</v>
      </c>
      <c r="AF507" s="32" t="n">
        <v>0</v>
      </c>
      <c r="AG507" s="31" t="n">
        <v>0</v>
      </c>
      <c r="AH507" s="32" t="n">
        <v>71</v>
      </c>
      <c r="AI507" s="31" t="n">
        <v>70.7</v>
      </c>
      <c r="AJ507" s="31" t="n">
        <v>49.4</v>
      </c>
      <c r="AK507" s="31" t="n">
        <v>0</v>
      </c>
      <c r="AL507" s="30" t="inlineStr">
        <is>
          <t>T-0663</t>
        </is>
      </c>
      <c r="AM507" s="30" t="inlineStr">
        <is>
          <t>F-06-03</t>
        </is>
      </c>
      <c r="AN507" s="30" t="inlineStr">
        <is>
          <t>T-0580</t>
        </is>
      </c>
      <c r="AO507" s="30" t="inlineStr">
        <is>
          <t>F-02-01</t>
        </is>
      </c>
    </row>
    <row r="508">
      <c r="A508" s="30" t="inlineStr">
        <is>
          <t>O0507</t>
        </is>
      </c>
      <c r="B508" s="30" t="inlineStr">
        <is>
          <t>F</t>
        </is>
      </c>
      <c r="C508" s="31" t="n">
        <v>7119</v>
      </c>
      <c r="D508" s="31" t="n">
        <v>19010</v>
      </c>
      <c r="E508" s="31" t="n">
        <v>19038.5</v>
      </c>
      <c r="F508" s="31" t="n">
        <v>19054.1</v>
      </c>
      <c r="G508" s="31" t="n">
        <v>19088.3</v>
      </c>
      <c r="H508" s="31" t="n">
        <v>19304.6</v>
      </c>
      <c r="I508" s="31" t="n">
        <v>19318.8</v>
      </c>
      <c r="J508" s="31" t="n">
        <v>19352.1</v>
      </c>
      <c r="K508" s="31" t="n">
        <v>12233.1</v>
      </c>
      <c r="L508" s="31" t="n">
        <v>11891</v>
      </c>
      <c r="M508" s="30" t="inlineStr">
        <is>
          <t>AMR3</t>
        </is>
      </c>
      <c r="N508" s="30" t="inlineStr">
        <is>
          <t>AMR3</t>
        </is>
      </c>
      <c r="O508" s="32" t="n">
        <v>1</v>
      </c>
      <c r="P508" s="32" t="n">
        <v>25</v>
      </c>
      <c r="Q508" s="32" t="n">
        <v>1</v>
      </c>
      <c r="R508" s="31" t="n">
        <v>69.90000000000001</v>
      </c>
      <c r="S508" s="31" t="n">
        <v>69.90000000000001</v>
      </c>
      <c r="T508" s="30" t="inlineStr">
        <is>
          <t>AMR3</t>
        </is>
      </c>
      <c r="U508" s="31" t="n">
        <v>48.2</v>
      </c>
      <c r="V508" s="31" t="n">
        <v>48.2</v>
      </c>
      <c r="W508" s="30" t="inlineStr">
        <is>
          <t>AMR3</t>
        </is>
      </c>
      <c r="X508" s="32" t="n">
        <v>0</v>
      </c>
      <c r="Y508" s="32" t="n">
        <v>0</v>
      </c>
      <c r="Z508" s="31" t="n">
        <v>0</v>
      </c>
      <c r="AA508" s="32" t="n">
        <v>0</v>
      </c>
      <c r="AB508" s="32" t="n">
        <v>0</v>
      </c>
      <c r="AC508" s="32" t="n">
        <v>0</v>
      </c>
      <c r="AD508" s="32" t="n">
        <v>0</v>
      </c>
      <c r="AE508" s="31" t="n">
        <v>0</v>
      </c>
      <c r="AF508" s="32" t="n">
        <v>0</v>
      </c>
      <c r="AG508" s="31" t="n">
        <v>0</v>
      </c>
      <c r="AH508" s="32" t="n">
        <v>72</v>
      </c>
      <c r="AI508" s="31" t="n">
        <v>70.59999999999999</v>
      </c>
      <c r="AJ508" s="31" t="n">
        <v>50.2</v>
      </c>
      <c r="AK508" s="31" t="n">
        <v>5</v>
      </c>
      <c r="AL508" s="30" t="inlineStr">
        <is>
          <t>T-0670</t>
        </is>
      </c>
      <c r="AM508" s="30" t="inlineStr">
        <is>
          <t>F-01-02</t>
        </is>
      </c>
      <c r="AN508" s="30" t="inlineStr">
        <is>
          <t>T-0568</t>
        </is>
      </c>
      <c r="AO508" s="30" t="inlineStr">
        <is>
          <t>F-04-01</t>
        </is>
      </c>
    </row>
    <row r="509">
      <c r="A509" s="30" t="inlineStr">
        <is>
          <t>O0508</t>
        </is>
      </c>
      <c r="B509" s="30" t="inlineStr">
        <is>
          <t>E</t>
        </is>
      </c>
      <c r="C509" s="31" t="n">
        <v>7144</v>
      </c>
      <c r="D509" s="31" t="n">
        <v>18331.7</v>
      </c>
      <c r="E509" s="31" t="n">
        <v>18368.2</v>
      </c>
      <c r="F509" s="31" t="n">
        <v>18381</v>
      </c>
      <c r="G509" s="31" t="n">
        <v>18410.3</v>
      </c>
      <c r="H509" s="31" t="n">
        <v>18410.4</v>
      </c>
      <c r="I509" s="31" t="n">
        <v>18418.7</v>
      </c>
      <c r="J509" s="31" t="n">
        <v>18458.9</v>
      </c>
      <c r="K509" s="31" t="n">
        <v>11314.9</v>
      </c>
      <c r="L509" s="31" t="n">
        <v>11187.7</v>
      </c>
      <c r="M509" s="30" t="inlineStr">
        <is>
          <t>AMR2</t>
        </is>
      </c>
      <c r="N509" s="30" t="inlineStr">
        <is>
          <t>AMR2</t>
        </is>
      </c>
      <c r="O509" s="32" t="n">
        <v>1</v>
      </c>
      <c r="P509" s="32" t="n">
        <v>25</v>
      </c>
      <c r="Q509" s="32" t="n">
        <v>1</v>
      </c>
      <c r="R509" s="31" t="n">
        <v>62.1</v>
      </c>
      <c r="S509" s="31" t="n">
        <v>62.1</v>
      </c>
      <c r="T509" s="30" t="inlineStr">
        <is>
          <t>AMR2</t>
        </is>
      </c>
      <c r="U509" s="31" t="n">
        <v>46.1</v>
      </c>
      <c r="V509" s="31" t="n">
        <v>46.1</v>
      </c>
      <c r="W509" s="30" t="inlineStr">
        <is>
          <t>AMR2</t>
        </is>
      </c>
      <c r="X509" s="32" t="n">
        <v>0</v>
      </c>
      <c r="Y509" s="32" t="n">
        <v>0</v>
      </c>
      <c r="Z509" s="31" t="n">
        <v>0</v>
      </c>
      <c r="AA509" s="32" t="n">
        <v>0</v>
      </c>
      <c r="AB509" s="32" t="n">
        <v>0</v>
      </c>
      <c r="AC509" s="32" t="n">
        <v>0</v>
      </c>
      <c r="AD509" s="32" t="n">
        <v>1</v>
      </c>
      <c r="AE509" s="31" t="n">
        <v>3</v>
      </c>
      <c r="AF509" s="32" t="n">
        <v>1</v>
      </c>
      <c r="AG509" s="31" t="n">
        <v>8</v>
      </c>
      <c r="AH509" s="32" t="n">
        <v>68</v>
      </c>
      <c r="AI509" s="31" t="n">
        <v>67.09999999999999</v>
      </c>
      <c r="AJ509" s="31" t="n">
        <v>44</v>
      </c>
      <c r="AK509" s="31" t="n">
        <v>16</v>
      </c>
      <c r="AL509" s="30" t="inlineStr">
        <is>
          <t>T-0653</t>
        </is>
      </c>
      <c r="AM509" s="30" t="inlineStr">
        <is>
          <t>E-04-01</t>
        </is>
      </c>
      <c r="AN509" s="30" t="inlineStr">
        <is>
          <t>T-0475</t>
        </is>
      </c>
      <c r="AO509" s="30" t="inlineStr">
        <is>
          <t>E-04-02</t>
        </is>
      </c>
    </row>
    <row r="510">
      <c r="A510" s="30" t="inlineStr">
        <is>
          <t>O0509</t>
        </is>
      </c>
      <c r="B510" s="30" t="inlineStr">
        <is>
          <t>A</t>
        </is>
      </c>
      <c r="C510" s="31" t="n">
        <v>7168.8</v>
      </c>
      <c r="D510" s="31" t="n">
        <v>18528.9</v>
      </c>
      <c r="E510" s="31" t="n">
        <v>18552.4</v>
      </c>
      <c r="F510" s="31" t="n">
        <v>18564</v>
      </c>
      <c r="G510" s="31" t="n">
        <v>18593.9</v>
      </c>
      <c r="H510" s="31" t="n">
        <v>19798</v>
      </c>
      <c r="I510" s="31" t="n">
        <v>19813.5</v>
      </c>
      <c r="J510" s="31" t="n">
        <v>19848.8</v>
      </c>
      <c r="K510" s="31" t="n">
        <v>12680</v>
      </c>
      <c r="L510" s="31" t="n">
        <v>11360.1</v>
      </c>
      <c r="M510" s="30" t="inlineStr">
        <is>
          <t>AMR1</t>
        </is>
      </c>
      <c r="N510" s="30" t="inlineStr">
        <is>
          <t>AMR1</t>
        </is>
      </c>
      <c r="O510" s="32" t="n">
        <v>1</v>
      </c>
      <c r="P510" s="32" t="n">
        <v>25</v>
      </c>
      <c r="Q510" s="32" t="n">
        <v>1</v>
      </c>
      <c r="R510" s="31" t="n">
        <v>63.1</v>
      </c>
      <c r="S510" s="31" t="n">
        <v>63.1</v>
      </c>
      <c r="T510" s="30" t="inlineStr">
        <is>
          <t>AMR1</t>
        </is>
      </c>
      <c r="U510" s="31" t="n">
        <v>51.4</v>
      </c>
      <c r="V510" s="31" t="n">
        <v>51.4</v>
      </c>
      <c r="W510" s="30" t="inlineStr">
        <is>
          <t>AMR1</t>
        </is>
      </c>
      <c r="X510" s="32" t="n">
        <v>0</v>
      </c>
      <c r="Y510" s="32" t="n">
        <v>0</v>
      </c>
      <c r="Z510" s="31" t="n">
        <v>0</v>
      </c>
      <c r="AA510" s="32" t="n">
        <v>0</v>
      </c>
      <c r="AB510" s="32" t="n">
        <v>0</v>
      </c>
      <c r="AC510" s="32" t="n">
        <v>0</v>
      </c>
      <c r="AD510" s="32" t="n">
        <v>0</v>
      </c>
      <c r="AE510" s="31" t="n">
        <v>0</v>
      </c>
      <c r="AF510" s="32" t="n">
        <v>0</v>
      </c>
      <c r="AG510" s="31" t="n">
        <v>0</v>
      </c>
      <c r="AH510" s="32" t="n">
        <v>70</v>
      </c>
      <c r="AI510" s="31" t="n">
        <v>68.7</v>
      </c>
      <c r="AJ510" s="31" t="n">
        <v>47.1</v>
      </c>
      <c r="AK510" s="31" t="n">
        <v>0</v>
      </c>
      <c r="AL510" s="30" t="inlineStr">
        <is>
          <t>T-0657</t>
        </is>
      </c>
      <c r="AM510" s="30" t="inlineStr">
        <is>
          <t>A-05-03</t>
        </is>
      </c>
      <c r="AN510" s="30" t="inlineStr">
        <is>
          <t>T-0464</t>
        </is>
      </c>
      <c r="AO510" s="30" t="inlineStr">
        <is>
          <t>A-03-02</t>
        </is>
      </c>
    </row>
    <row r="511">
      <c r="A511" s="30" t="inlineStr">
        <is>
          <t>O0510</t>
        </is>
      </c>
      <c r="B511" s="30" t="inlineStr">
        <is>
          <t>G</t>
        </is>
      </c>
      <c r="C511" s="31" t="n">
        <v>7190.5</v>
      </c>
      <c r="D511" s="31" t="n">
        <v>18430.2</v>
      </c>
      <c r="E511" s="31" t="n">
        <v>18463.7</v>
      </c>
      <c r="F511" s="31" t="n">
        <v>18477.8</v>
      </c>
      <c r="G511" s="31" t="n">
        <v>18501.9</v>
      </c>
      <c r="H511" s="31" t="n">
        <v>18713.7</v>
      </c>
      <c r="I511" s="31" t="n">
        <v>18730.6</v>
      </c>
      <c r="J511" s="31" t="n">
        <v>18757.4</v>
      </c>
      <c r="K511" s="31" t="n">
        <v>11566.9</v>
      </c>
      <c r="L511" s="31" t="n">
        <v>11239.7</v>
      </c>
      <c r="M511" s="30" t="inlineStr">
        <is>
          <t>AMR3</t>
        </is>
      </c>
      <c r="N511" s="30" t="inlineStr">
        <is>
          <t>AMR1</t>
        </is>
      </c>
      <c r="O511" s="32" t="n">
        <v>1</v>
      </c>
      <c r="P511" s="32" t="n">
        <v>25</v>
      </c>
      <c r="Q511" s="32" t="n">
        <v>4</v>
      </c>
      <c r="R511" s="31" t="n">
        <v>59.1</v>
      </c>
      <c r="S511" s="31" t="n">
        <v>59.1</v>
      </c>
      <c r="T511" s="30" t="inlineStr">
        <is>
          <t>AMR3</t>
        </is>
      </c>
      <c r="U511" s="31" t="n">
        <v>43.8</v>
      </c>
      <c r="V511" s="31" t="n">
        <v>43.8</v>
      </c>
      <c r="W511" s="30" t="inlineStr">
        <is>
          <t>AMR1</t>
        </is>
      </c>
      <c r="X511" s="32" t="n">
        <v>0</v>
      </c>
      <c r="Y511" s="32" t="n">
        <v>0</v>
      </c>
      <c r="Z511" s="31" t="n">
        <v>0</v>
      </c>
      <c r="AA511" s="32" t="n">
        <v>0</v>
      </c>
      <c r="AB511" s="32" t="n">
        <v>0</v>
      </c>
      <c r="AC511" s="32" t="n">
        <v>0</v>
      </c>
      <c r="AD511" s="32" t="n">
        <v>0</v>
      </c>
      <c r="AE511" s="31" t="n">
        <v>0</v>
      </c>
      <c r="AF511" s="32" t="n">
        <v>1</v>
      </c>
      <c r="AG511" s="31" t="n">
        <v>5</v>
      </c>
      <c r="AH511" s="32" t="n">
        <v>62</v>
      </c>
      <c r="AI511" s="31" t="n">
        <v>63.1</v>
      </c>
      <c r="AJ511" s="31" t="n">
        <v>42.3</v>
      </c>
      <c r="AK511" s="31" t="n">
        <v>10</v>
      </c>
      <c r="AL511" s="30" t="inlineStr">
        <is>
          <t>T-0655</t>
        </is>
      </c>
      <c r="AM511" s="30" t="inlineStr">
        <is>
          <t>G-03-02</t>
        </is>
      </c>
      <c r="AN511" s="30" t="inlineStr">
        <is>
          <t>T-0471</t>
        </is>
      </c>
      <c r="AO511" s="30" t="inlineStr">
        <is>
          <t>G-02-02</t>
        </is>
      </c>
    </row>
    <row r="512">
      <c r="A512" s="30" t="inlineStr">
        <is>
          <t>O0511</t>
        </is>
      </c>
      <c r="B512" s="30" t="inlineStr">
        <is>
          <t>C</t>
        </is>
      </c>
      <c r="C512" s="31" t="n">
        <v>7210.6</v>
      </c>
      <c r="D512" s="31" t="n">
        <v>18459</v>
      </c>
      <c r="E512" s="31" t="n">
        <v>18487.5</v>
      </c>
      <c r="F512" s="31" t="n">
        <v>18500.4</v>
      </c>
      <c r="G512" s="31" t="n">
        <v>18524.7</v>
      </c>
      <c r="H512" s="31" t="n">
        <v>18524.8</v>
      </c>
      <c r="I512" s="31" t="n">
        <v>18535.8</v>
      </c>
      <c r="J512" s="31" t="n">
        <v>18565.1</v>
      </c>
      <c r="K512" s="31" t="n">
        <v>11354.5</v>
      </c>
      <c r="L512" s="31" t="n">
        <v>11248.4</v>
      </c>
      <c r="M512" s="30" t="inlineStr">
        <is>
          <t>AMR2</t>
        </is>
      </c>
      <c r="N512" s="30" t="inlineStr">
        <is>
          <t>AMR2</t>
        </is>
      </c>
      <c r="O512" s="32" t="n">
        <v>1</v>
      </c>
      <c r="P512" s="32" t="n">
        <v>25</v>
      </c>
      <c r="Q512" s="32" t="n">
        <v>0</v>
      </c>
      <c r="R512" s="31" t="n">
        <v>58</v>
      </c>
      <c r="S512" s="31" t="n">
        <v>58</v>
      </c>
      <c r="T512" s="30" t="inlineStr">
        <is>
          <t>AMR2</t>
        </is>
      </c>
      <c r="U512" s="31" t="n">
        <v>35</v>
      </c>
      <c r="V512" s="31" t="n">
        <v>35</v>
      </c>
      <c r="W512" s="30" t="inlineStr">
        <is>
          <t>AMR2</t>
        </is>
      </c>
      <c r="X512" s="32" t="n">
        <v>0</v>
      </c>
      <c r="Y512" s="32" t="n">
        <v>0</v>
      </c>
      <c r="Z512" s="31" t="n">
        <v>0</v>
      </c>
      <c r="AA512" s="32" t="n">
        <v>0</v>
      </c>
      <c r="AB512" s="32" t="n">
        <v>0</v>
      </c>
      <c r="AC512" s="32" t="n">
        <v>0</v>
      </c>
      <c r="AD512" s="32" t="n">
        <v>2</v>
      </c>
      <c r="AE512" s="31" t="n">
        <v>4.6</v>
      </c>
      <c r="AF512" s="32" t="n">
        <v>0</v>
      </c>
      <c r="AG512" s="31" t="n">
        <v>0</v>
      </c>
      <c r="AH512" s="32" t="n">
        <v>54</v>
      </c>
      <c r="AI512" s="31" t="n">
        <v>55.8</v>
      </c>
      <c r="AJ512" s="31" t="n">
        <v>40.6</v>
      </c>
      <c r="AK512" s="31" t="n">
        <v>9.6</v>
      </c>
      <c r="AL512" s="30" t="inlineStr">
        <is>
          <t>T-0656</t>
        </is>
      </c>
      <c r="AM512" s="30" t="inlineStr">
        <is>
          <t>C-03-01</t>
        </is>
      </c>
      <c r="AN512" s="30" t="inlineStr">
        <is>
          <t>T-0511</t>
        </is>
      </c>
      <c r="AO512" s="30" t="inlineStr">
        <is>
          <t>C-06-01</t>
        </is>
      </c>
    </row>
    <row r="513">
      <c r="A513" s="30" t="inlineStr">
        <is>
          <t>O0512</t>
        </is>
      </c>
      <c r="B513" s="30" t="inlineStr">
        <is>
          <t>J</t>
        </is>
      </c>
      <c r="C513" s="31" t="n">
        <v>7227</v>
      </c>
      <c r="D513" s="31" t="n">
        <v>18894.4</v>
      </c>
      <c r="E513" s="31" t="n">
        <v>18917.9</v>
      </c>
      <c r="F513" s="31" t="n">
        <v>18933.7</v>
      </c>
      <c r="G513" s="31" t="n">
        <v>18966.5</v>
      </c>
      <c r="H513" s="31" t="n">
        <v>18966.6</v>
      </c>
      <c r="I513" s="31" t="n">
        <v>18979.6</v>
      </c>
      <c r="J513" s="31" t="n">
        <v>19009.9</v>
      </c>
      <c r="K513" s="31" t="n">
        <v>11782.9</v>
      </c>
      <c r="L513" s="31" t="n">
        <v>11667.4</v>
      </c>
      <c r="M513" s="30" t="inlineStr">
        <is>
          <t>AMR3</t>
        </is>
      </c>
      <c r="N513" s="30" t="inlineStr">
        <is>
          <t>AMR3</t>
        </is>
      </c>
      <c r="O513" s="32" t="n">
        <v>1</v>
      </c>
      <c r="P513" s="32" t="n">
        <v>25</v>
      </c>
      <c r="Q513" s="32" t="n">
        <v>0</v>
      </c>
      <c r="R513" s="31" t="n">
        <v>68.5</v>
      </c>
      <c r="S513" s="31" t="n">
        <v>68.5</v>
      </c>
      <c r="T513" s="30" t="inlineStr">
        <is>
          <t>AMR3</t>
        </is>
      </c>
      <c r="U513" s="31" t="n">
        <v>44</v>
      </c>
      <c r="V513" s="31" t="n">
        <v>44</v>
      </c>
      <c r="W513" s="30" t="inlineStr">
        <is>
          <t>AMR3</t>
        </is>
      </c>
      <c r="X513" s="32" t="n">
        <v>0</v>
      </c>
      <c r="Y513" s="32" t="n">
        <v>0</v>
      </c>
      <c r="Z513" s="31" t="n">
        <v>0</v>
      </c>
      <c r="AA513" s="32" t="n">
        <v>0</v>
      </c>
      <c r="AB513" s="32" t="n">
        <v>0</v>
      </c>
      <c r="AC513" s="32" t="n">
        <v>0</v>
      </c>
      <c r="AD513" s="32" t="n">
        <v>0</v>
      </c>
      <c r="AE513" s="31" t="n">
        <v>0</v>
      </c>
      <c r="AF513" s="32" t="n">
        <v>0</v>
      </c>
      <c r="AG513" s="31" t="n">
        <v>0</v>
      </c>
      <c r="AH513" s="32" t="n">
        <v>66</v>
      </c>
      <c r="AI513" s="31" t="n">
        <v>66.90000000000001</v>
      </c>
      <c r="AJ513" s="31" t="n">
        <v>48.5</v>
      </c>
      <c r="AK513" s="31" t="n">
        <v>0</v>
      </c>
      <c r="AL513" s="30" t="inlineStr">
        <is>
          <t>T-0667</t>
        </is>
      </c>
      <c r="AM513" s="30" t="inlineStr">
        <is>
          <t>J-03-03</t>
        </is>
      </c>
      <c r="AN513" s="30" t="inlineStr">
        <is>
          <t>T-0563</t>
        </is>
      </c>
      <c r="AO513" s="30" t="inlineStr">
        <is>
          <t>J-01-03</t>
        </is>
      </c>
    </row>
    <row r="514">
      <c r="A514" s="30" t="inlineStr">
        <is>
          <t>O0513</t>
        </is>
      </c>
      <c r="B514" s="30" t="inlineStr">
        <is>
          <t>A</t>
        </is>
      </c>
      <c r="C514" s="31" t="n">
        <v>7249.8</v>
      </c>
      <c r="D514" s="31" t="n">
        <v>18915</v>
      </c>
      <c r="E514" s="31" t="n">
        <v>18941.5</v>
      </c>
      <c r="F514" s="31" t="n">
        <v>18957.6</v>
      </c>
      <c r="G514" s="31" t="n">
        <v>18985.6</v>
      </c>
      <c r="H514" s="31" t="n">
        <v>18985.7</v>
      </c>
      <c r="I514" s="31" t="n">
        <v>18995.3</v>
      </c>
      <c r="J514" s="31" t="n">
        <v>19037.5</v>
      </c>
      <c r="K514" s="31" t="n">
        <v>11787.7</v>
      </c>
      <c r="L514" s="31" t="n">
        <v>11665.2</v>
      </c>
      <c r="M514" s="30" t="inlineStr">
        <is>
          <t>AMR2</t>
        </is>
      </c>
      <c r="N514" s="30" t="inlineStr">
        <is>
          <t>AMR2</t>
        </is>
      </c>
      <c r="O514" s="32" t="n">
        <v>1</v>
      </c>
      <c r="P514" s="32" t="n">
        <v>25</v>
      </c>
      <c r="Q514" s="32" t="n">
        <v>1</v>
      </c>
      <c r="R514" s="31" t="n">
        <v>65.7</v>
      </c>
      <c r="S514" s="31" t="n">
        <v>65.7</v>
      </c>
      <c r="T514" s="30" t="inlineStr">
        <is>
          <t>AMR2</t>
        </is>
      </c>
      <c r="U514" s="31" t="n">
        <v>47</v>
      </c>
      <c r="V514" s="31" t="n">
        <v>47</v>
      </c>
      <c r="W514" s="30" t="inlineStr">
        <is>
          <t>AMR2</t>
        </is>
      </c>
      <c r="X514" s="32" t="n">
        <v>0</v>
      </c>
      <c r="Y514" s="32" t="n">
        <v>0</v>
      </c>
      <c r="Z514" s="31" t="n">
        <v>0</v>
      </c>
      <c r="AA514" s="32" t="n">
        <v>0</v>
      </c>
      <c r="AB514" s="32" t="n">
        <v>0</v>
      </c>
      <c r="AC514" s="32" t="n">
        <v>0</v>
      </c>
      <c r="AD514" s="32" t="n">
        <v>1</v>
      </c>
      <c r="AE514" s="31" t="n">
        <v>4</v>
      </c>
      <c r="AF514" s="32" t="n">
        <v>0</v>
      </c>
      <c r="AG514" s="31" t="n">
        <v>0</v>
      </c>
      <c r="AH514" s="32" t="n">
        <v>72</v>
      </c>
      <c r="AI514" s="31" t="n">
        <v>70.09999999999999</v>
      </c>
      <c r="AJ514" s="31" t="n">
        <v>45.3</v>
      </c>
      <c r="AK514" s="31" t="n">
        <v>7</v>
      </c>
      <c r="AL514" s="30" t="inlineStr">
        <is>
          <t>T-0668</t>
        </is>
      </c>
      <c r="AM514" s="30" t="inlineStr">
        <is>
          <t>A-05-01</t>
        </is>
      </c>
      <c r="AN514" s="30" t="inlineStr">
        <is>
          <t>T-0458</t>
        </is>
      </c>
      <c r="AO514" s="30" t="inlineStr">
        <is>
          <t>A-01-02</t>
        </is>
      </c>
    </row>
    <row r="515">
      <c r="A515" s="30" t="inlineStr">
        <is>
          <t>O0514</t>
        </is>
      </c>
      <c r="B515" s="30" t="inlineStr">
        <is>
          <t>F</t>
        </is>
      </c>
      <c r="C515" s="31" t="n">
        <v>7265.5</v>
      </c>
      <c r="D515" s="31" t="n">
        <v>19344.2</v>
      </c>
      <c r="E515" s="31" t="n">
        <v>19356.2</v>
      </c>
      <c r="F515" s="31" t="n">
        <v>19370.9</v>
      </c>
      <c r="G515" s="31" t="n">
        <v>19403.5</v>
      </c>
      <c r="H515" s="31" t="n">
        <v>19403.6</v>
      </c>
      <c r="I515" s="31" t="n">
        <v>19413.9</v>
      </c>
      <c r="J515" s="31" t="n">
        <v>19443.4</v>
      </c>
      <c r="K515" s="31" t="n">
        <v>12177.9</v>
      </c>
      <c r="L515" s="31" t="n">
        <v>12078.7</v>
      </c>
      <c r="M515" s="30" t="inlineStr">
        <is>
          <t>AMR2</t>
        </is>
      </c>
      <c r="N515" s="30" t="inlineStr">
        <is>
          <t>AMR2</t>
        </is>
      </c>
      <c r="O515" s="32" t="n">
        <v>1</v>
      </c>
      <c r="P515" s="32" t="n">
        <v>12</v>
      </c>
      <c r="Q515" s="32" t="n">
        <v>1</v>
      </c>
      <c r="R515" s="31" t="n">
        <v>58.7</v>
      </c>
      <c r="S515" s="31" t="n">
        <v>58.7</v>
      </c>
      <c r="T515" s="30" t="inlineStr">
        <is>
          <t>AMR2</t>
        </is>
      </c>
      <c r="U515" s="31" t="n">
        <v>42</v>
      </c>
      <c r="V515" s="31" t="n">
        <v>42</v>
      </c>
      <c r="W515" s="30" t="inlineStr">
        <is>
          <t>AMR2</t>
        </is>
      </c>
      <c r="X515" s="32" t="n">
        <v>0</v>
      </c>
      <c r="Y515" s="32" t="n">
        <v>0</v>
      </c>
      <c r="Z515" s="31" t="n">
        <v>0</v>
      </c>
      <c r="AA515" s="32" t="n">
        <v>0</v>
      </c>
      <c r="AB515" s="32" t="n">
        <v>0</v>
      </c>
      <c r="AC515" s="32" t="n">
        <v>0</v>
      </c>
      <c r="AD515" s="32" t="n">
        <v>0</v>
      </c>
      <c r="AE515" s="31" t="n">
        <v>0</v>
      </c>
      <c r="AF515" s="32" t="n">
        <v>0</v>
      </c>
      <c r="AG515" s="31" t="n">
        <v>0</v>
      </c>
      <c r="AH515" s="32" t="n">
        <v>55</v>
      </c>
      <c r="AI515" s="31" t="n">
        <v>56</v>
      </c>
      <c r="AJ515" s="31" t="n">
        <v>43.1</v>
      </c>
      <c r="AK515" s="31" t="n">
        <v>0</v>
      </c>
      <c r="AL515" s="30" t="inlineStr">
        <is>
          <t>T-0679</t>
        </is>
      </c>
      <c r="AM515" s="30" t="inlineStr">
        <is>
          <t>F-04-01</t>
        </is>
      </c>
      <c r="AN515" s="30" t="inlineStr">
        <is>
          <t>T-0573</t>
        </is>
      </c>
      <c r="AO515" s="30" t="inlineStr">
        <is>
          <t>F-05-03</t>
        </is>
      </c>
    </row>
    <row r="516">
      <c r="A516" s="30" t="inlineStr">
        <is>
          <t>O0515</t>
        </is>
      </c>
      <c r="B516" s="30" t="inlineStr">
        <is>
          <t>J</t>
        </is>
      </c>
      <c r="C516" s="31" t="n">
        <v>7284.3</v>
      </c>
      <c r="D516" s="31" t="n">
        <v>18565.2</v>
      </c>
      <c r="E516" s="31" t="n">
        <v>18600.7</v>
      </c>
      <c r="F516" s="31" t="n">
        <v>18612.1</v>
      </c>
      <c r="G516" s="31" t="n">
        <v>18640.4</v>
      </c>
      <c r="H516" s="31" t="n">
        <v>19103.5</v>
      </c>
      <c r="I516" s="31" t="n">
        <v>19117.5</v>
      </c>
      <c r="J516" s="31" t="n">
        <v>19155.9</v>
      </c>
      <c r="K516" s="31" t="n">
        <v>11871.6</v>
      </c>
      <c r="L516" s="31" t="n">
        <v>11280.9</v>
      </c>
      <c r="M516" s="30" t="inlineStr">
        <is>
          <t>AMR2</t>
        </is>
      </c>
      <c r="N516" s="30" t="inlineStr">
        <is>
          <t>AMR2</t>
        </is>
      </c>
      <c r="O516" s="32" t="n">
        <v>1</v>
      </c>
      <c r="P516" s="32" t="n">
        <v>25</v>
      </c>
      <c r="Q516" s="32" t="n">
        <v>3</v>
      </c>
      <c r="R516" s="31" t="n">
        <v>61.4</v>
      </c>
      <c r="S516" s="31" t="n">
        <v>61.4</v>
      </c>
      <c r="T516" s="30" t="inlineStr">
        <is>
          <t>AMR2</t>
        </is>
      </c>
      <c r="U516" s="31" t="n">
        <v>47.1</v>
      </c>
      <c r="V516" s="31" t="n">
        <v>47.1</v>
      </c>
      <c r="W516" s="30" t="inlineStr">
        <is>
          <t>AMR2</t>
        </is>
      </c>
      <c r="X516" s="32" t="n">
        <v>0</v>
      </c>
      <c r="Y516" s="32" t="n">
        <v>0</v>
      </c>
      <c r="Z516" s="31" t="n">
        <v>0</v>
      </c>
      <c r="AA516" s="32" t="n">
        <v>0</v>
      </c>
      <c r="AB516" s="32" t="n">
        <v>0</v>
      </c>
      <c r="AC516" s="32" t="n">
        <v>0</v>
      </c>
      <c r="AD516" s="32" t="n">
        <v>1</v>
      </c>
      <c r="AE516" s="31" t="n">
        <v>3</v>
      </c>
      <c r="AF516" s="32" t="n">
        <v>1</v>
      </c>
      <c r="AG516" s="31" t="n">
        <v>7</v>
      </c>
      <c r="AH516" s="32" t="n">
        <v>72</v>
      </c>
      <c r="AI516" s="31" t="n">
        <v>71.2</v>
      </c>
      <c r="AJ516" s="31" t="n">
        <v>41.4</v>
      </c>
      <c r="AK516" s="31" t="n">
        <v>15</v>
      </c>
      <c r="AL516" s="30" t="inlineStr">
        <is>
          <t>T-0659</t>
        </is>
      </c>
      <c r="AM516" s="30" t="inlineStr">
        <is>
          <t>J-02-03</t>
        </is>
      </c>
      <c r="AN516" s="30" t="inlineStr">
        <is>
          <t>T-0566</t>
        </is>
      </c>
      <c r="AO516" s="30" t="inlineStr">
        <is>
          <t>J-06-02</t>
        </is>
      </c>
    </row>
    <row r="517">
      <c r="A517" s="30" t="inlineStr">
        <is>
          <t>O0516</t>
        </is>
      </c>
      <c r="B517" s="30" t="inlineStr">
        <is>
          <t>H</t>
        </is>
      </c>
      <c r="C517" s="31" t="n">
        <v>7305.4</v>
      </c>
      <c r="D517" s="31" t="n">
        <v>18659.9</v>
      </c>
      <c r="E517" s="31" t="n">
        <v>18690.4</v>
      </c>
      <c r="F517" s="31" t="n">
        <v>18702.9</v>
      </c>
      <c r="G517" s="31" t="n">
        <v>18728.3</v>
      </c>
      <c r="H517" s="31" t="n">
        <v>18728.4</v>
      </c>
      <c r="I517" s="31" t="n">
        <v>18741.3</v>
      </c>
      <c r="J517" s="31" t="n">
        <v>18774.5</v>
      </c>
      <c r="K517" s="31" t="n">
        <v>11469.1</v>
      </c>
      <c r="L517" s="31" t="n">
        <v>11354.5</v>
      </c>
      <c r="M517" s="30" t="inlineStr">
        <is>
          <t>AMR3</t>
        </is>
      </c>
      <c r="N517" s="30" t="inlineStr">
        <is>
          <t>AMR3</t>
        </is>
      </c>
      <c r="O517" s="32" t="n">
        <v>1</v>
      </c>
      <c r="P517" s="32" t="n">
        <v>25</v>
      </c>
      <c r="Q517" s="32" t="n">
        <v>0</v>
      </c>
      <c r="R517" s="31" t="n">
        <v>58.8</v>
      </c>
      <c r="S517" s="31" t="n">
        <v>58.8</v>
      </c>
      <c r="T517" s="30" t="inlineStr">
        <is>
          <t>AMR3</t>
        </is>
      </c>
      <c r="U517" s="31" t="n">
        <v>38.3</v>
      </c>
      <c r="V517" s="31" t="n">
        <v>38.3</v>
      </c>
      <c r="W517" s="30" t="inlineStr">
        <is>
          <t>AMR3</t>
        </is>
      </c>
      <c r="X517" s="32" t="n">
        <v>0</v>
      </c>
      <c r="Y517" s="32" t="n">
        <v>0</v>
      </c>
      <c r="Z517" s="31" t="n">
        <v>0</v>
      </c>
      <c r="AA517" s="32" t="n">
        <v>0</v>
      </c>
      <c r="AB517" s="32" t="n">
        <v>0</v>
      </c>
      <c r="AC517" s="32" t="n">
        <v>0</v>
      </c>
      <c r="AD517" s="32" t="n">
        <v>1</v>
      </c>
      <c r="AE517" s="31" t="n">
        <v>7</v>
      </c>
      <c r="AF517" s="32" t="n">
        <v>2</v>
      </c>
      <c r="AG517" s="31" t="n">
        <v>4</v>
      </c>
      <c r="AH517" s="32" t="n">
        <v>54</v>
      </c>
      <c r="AI517" s="31" t="n">
        <v>56.3</v>
      </c>
      <c r="AJ517" s="31" t="n">
        <v>44.2</v>
      </c>
      <c r="AK517" s="31" t="n">
        <v>14</v>
      </c>
      <c r="AL517" s="30" t="inlineStr">
        <is>
          <t>T-0661</t>
        </is>
      </c>
      <c r="AM517" s="30" t="inlineStr">
        <is>
          <t>H-03-02</t>
        </is>
      </c>
      <c r="AN517" s="30" t="inlineStr">
        <is>
          <t>T-0525</t>
        </is>
      </c>
      <c r="AO517" s="30" t="inlineStr">
        <is>
          <t>H-04-03</t>
        </is>
      </c>
    </row>
    <row r="518">
      <c r="A518" s="30" t="inlineStr">
        <is>
          <t>O0517</t>
        </is>
      </c>
      <c r="B518" s="30" t="inlineStr">
        <is>
          <t>B</t>
        </is>
      </c>
      <c r="C518" s="31" t="n">
        <v>7324.1</v>
      </c>
      <c r="D518" s="31" t="n">
        <v>18688.8</v>
      </c>
      <c r="E518" s="31" t="n">
        <v>18714.3</v>
      </c>
      <c r="F518" s="31" t="n">
        <v>18726.7</v>
      </c>
      <c r="G518" s="31" t="n">
        <v>18748.5</v>
      </c>
      <c r="H518" s="31" t="n">
        <v>18748.6</v>
      </c>
      <c r="I518" s="31" t="n">
        <v>18758.6</v>
      </c>
      <c r="J518" s="31" t="n">
        <v>18795</v>
      </c>
      <c r="K518" s="31" t="n">
        <v>11470.9</v>
      </c>
      <c r="L518" s="31" t="n">
        <v>11364.7</v>
      </c>
      <c r="M518" s="30" t="inlineStr">
        <is>
          <t>AMR2</t>
        </is>
      </c>
      <c r="N518" s="30" t="inlineStr">
        <is>
          <t>AMR2</t>
        </is>
      </c>
      <c r="O518" s="32" t="n">
        <v>1</v>
      </c>
      <c r="P518" s="32" t="n">
        <v>25</v>
      </c>
      <c r="Q518" s="32" t="n">
        <v>2</v>
      </c>
      <c r="R518" s="31" t="n">
        <v>56.6</v>
      </c>
      <c r="S518" s="31" t="n">
        <v>56.6</v>
      </c>
      <c r="T518" s="30" t="inlineStr">
        <is>
          <t>AMR2</t>
        </is>
      </c>
      <c r="U518" s="31" t="n">
        <v>39.5</v>
      </c>
      <c r="V518" s="31" t="n">
        <v>39.5</v>
      </c>
      <c r="W518" s="30" t="inlineStr">
        <is>
          <t>AMR2</t>
        </is>
      </c>
      <c r="X518" s="32" t="n">
        <v>0</v>
      </c>
      <c r="Y518" s="32" t="n">
        <v>0</v>
      </c>
      <c r="Z518" s="31" t="n">
        <v>0</v>
      </c>
      <c r="AA518" s="32" t="n">
        <v>0</v>
      </c>
      <c r="AB518" s="32" t="n">
        <v>0</v>
      </c>
      <c r="AC518" s="32" t="n">
        <v>0</v>
      </c>
      <c r="AD518" s="32" t="n">
        <v>2</v>
      </c>
      <c r="AE518" s="31" t="n">
        <v>6.6</v>
      </c>
      <c r="AF518" s="32" t="n">
        <v>0</v>
      </c>
      <c r="AG518" s="31" t="n">
        <v>0</v>
      </c>
      <c r="AH518" s="32" t="n">
        <v>58</v>
      </c>
      <c r="AI518" s="31" t="n">
        <v>58.9</v>
      </c>
      <c r="AJ518" s="31" t="n">
        <v>38.6</v>
      </c>
      <c r="AK518" s="31" t="n">
        <v>8.6</v>
      </c>
      <c r="AL518" s="30" t="inlineStr">
        <is>
          <t>T-0662</t>
        </is>
      </c>
      <c r="AM518" s="30" t="inlineStr">
        <is>
          <t>B-06-02</t>
        </is>
      </c>
      <c r="AN518" s="30" t="inlineStr">
        <is>
          <t>T-0490</t>
        </is>
      </c>
      <c r="AO518" s="30" t="inlineStr">
        <is>
          <t>B-03-03</t>
        </is>
      </c>
    </row>
    <row r="519">
      <c r="A519" s="30" t="inlineStr">
        <is>
          <t>O0518</t>
        </is>
      </c>
      <c r="B519" s="30" t="inlineStr">
        <is>
          <t>F</t>
        </is>
      </c>
      <c r="C519" s="31" t="n">
        <v>7340.5</v>
      </c>
      <c r="D519" s="31" t="n">
        <v>18870</v>
      </c>
      <c r="E519" s="31" t="n">
        <v>18893.5</v>
      </c>
      <c r="F519" s="31" t="n">
        <v>18909</v>
      </c>
      <c r="G519" s="31" t="n">
        <v>18939.9</v>
      </c>
      <c r="H519" s="31" t="n">
        <v>19088.4</v>
      </c>
      <c r="I519" s="31" t="n">
        <v>19096.9</v>
      </c>
      <c r="J519" s="31" t="n">
        <v>19131.9</v>
      </c>
      <c r="K519" s="31" t="n">
        <v>11791.4</v>
      </c>
      <c r="L519" s="31" t="n">
        <v>11529.5</v>
      </c>
      <c r="M519" s="30" t="inlineStr">
        <is>
          <t>AMR1</t>
        </is>
      </c>
      <c r="N519" s="30" t="inlineStr">
        <is>
          <t>AMR3</t>
        </is>
      </c>
      <c r="O519" s="32" t="n">
        <v>1</v>
      </c>
      <c r="P519" s="32" t="n">
        <v>25</v>
      </c>
      <c r="Q519" s="32" t="n">
        <v>1</v>
      </c>
      <c r="R519" s="31" t="n">
        <v>68.09999999999999</v>
      </c>
      <c r="S519" s="31" t="n">
        <v>68.09999999999999</v>
      </c>
      <c r="T519" s="30" t="inlineStr">
        <is>
          <t>AMR1</t>
        </is>
      </c>
      <c r="U519" s="31" t="n">
        <v>44.1</v>
      </c>
      <c r="V519" s="31" t="n">
        <v>44.1</v>
      </c>
      <c r="W519" s="30" t="inlineStr">
        <is>
          <t>AMR3</t>
        </is>
      </c>
      <c r="X519" s="32" t="n">
        <v>0</v>
      </c>
      <c r="Y519" s="32" t="n">
        <v>0</v>
      </c>
      <c r="Z519" s="31" t="n">
        <v>0</v>
      </c>
      <c r="AA519" s="32" t="n">
        <v>0</v>
      </c>
      <c r="AB519" s="32" t="n">
        <v>0</v>
      </c>
      <c r="AC519" s="32" t="n">
        <v>0</v>
      </c>
      <c r="AD519" s="32" t="n">
        <v>0</v>
      </c>
      <c r="AE519" s="31" t="n">
        <v>0</v>
      </c>
      <c r="AF519" s="32" t="n">
        <v>0</v>
      </c>
      <c r="AG519" s="31" t="n">
        <v>0</v>
      </c>
      <c r="AH519" s="32" t="n">
        <v>70</v>
      </c>
      <c r="AI519" s="31" t="n">
        <v>69.09999999999999</v>
      </c>
      <c r="AJ519" s="31" t="n">
        <v>44.3</v>
      </c>
      <c r="AK519" s="31" t="n">
        <v>0</v>
      </c>
      <c r="AL519" s="30" t="inlineStr">
        <is>
          <t>T-0666</t>
        </is>
      </c>
      <c r="AM519" s="30" t="inlineStr">
        <is>
          <t>F-04-03</t>
        </is>
      </c>
      <c r="AN519" s="30" t="inlineStr">
        <is>
          <t>T-0552</t>
        </is>
      </c>
      <c r="AO519" s="30" t="inlineStr">
        <is>
          <t>F-01-03</t>
        </is>
      </c>
    </row>
    <row r="520">
      <c r="A520" s="30" t="inlineStr">
        <is>
          <t>O0519</t>
        </is>
      </c>
      <c r="B520" s="30" t="inlineStr">
        <is>
          <t>E</t>
        </is>
      </c>
      <c r="C520" s="31" t="n">
        <v>7358.6</v>
      </c>
      <c r="D520" s="31" t="n">
        <v>19371.7</v>
      </c>
      <c r="E520" s="31" t="n">
        <v>19404.2</v>
      </c>
      <c r="F520" s="31" t="n">
        <v>19419.5</v>
      </c>
      <c r="G520" s="31" t="n">
        <v>19448.9</v>
      </c>
      <c r="H520" s="31" t="n">
        <v>19449</v>
      </c>
      <c r="I520" s="31" t="n">
        <v>19461.5</v>
      </c>
      <c r="J520" s="31" t="n">
        <v>19494</v>
      </c>
      <c r="K520" s="31" t="n">
        <v>12135.4</v>
      </c>
      <c r="L520" s="31" t="n">
        <v>12013.1</v>
      </c>
      <c r="M520" s="30" t="inlineStr">
        <is>
          <t>AMR1</t>
        </is>
      </c>
      <c r="N520" s="30" t="inlineStr">
        <is>
          <t>AMR1</t>
        </is>
      </c>
      <c r="O520" s="32" t="n">
        <v>1</v>
      </c>
      <c r="P520" s="32" t="n">
        <v>25</v>
      </c>
      <c r="Q520" s="32" t="n">
        <v>1</v>
      </c>
      <c r="R520" s="31" t="n">
        <v>64.7</v>
      </c>
      <c r="S520" s="31" t="n">
        <v>64.7</v>
      </c>
      <c r="T520" s="30" t="inlineStr">
        <is>
          <t>AMR1</t>
        </is>
      </c>
      <c r="U520" s="31" t="n">
        <v>45.7</v>
      </c>
      <c r="V520" s="31" t="n">
        <v>45.7</v>
      </c>
      <c r="W520" s="30" t="inlineStr">
        <is>
          <t>AMR1</t>
        </is>
      </c>
      <c r="X520" s="32" t="n">
        <v>0</v>
      </c>
      <c r="Y520" s="32" t="n">
        <v>0</v>
      </c>
      <c r="Z520" s="31" t="n">
        <v>0</v>
      </c>
      <c r="AA520" s="32" t="n">
        <v>0</v>
      </c>
      <c r="AB520" s="32" t="n">
        <v>0</v>
      </c>
      <c r="AC520" s="32" t="n">
        <v>0</v>
      </c>
      <c r="AD520" s="32" t="n">
        <v>0</v>
      </c>
      <c r="AE520" s="31" t="n">
        <v>0</v>
      </c>
      <c r="AF520" s="32" t="n">
        <v>1</v>
      </c>
      <c r="AG520" s="31" t="n">
        <v>4</v>
      </c>
      <c r="AH520" s="32" t="n">
        <v>68</v>
      </c>
      <c r="AI520" s="31" t="n">
        <v>67</v>
      </c>
      <c r="AJ520" s="31" t="n">
        <v>46.2</v>
      </c>
      <c r="AK520" s="31" t="n">
        <v>9</v>
      </c>
      <c r="AL520" s="30" t="inlineStr">
        <is>
          <t>T-0681</t>
        </is>
      </c>
      <c r="AM520" s="30" t="inlineStr">
        <is>
          <t>E-05-01</t>
        </is>
      </c>
      <c r="AN520" s="30" t="inlineStr">
        <is>
          <t>T-0487</t>
        </is>
      </c>
      <c r="AO520" s="30" t="inlineStr">
        <is>
          <t>E-02-02</t>
        </is>
      </c>
    </row>
    <row r="521">
      <c r="A521" s="30" t="inlineStr">
        <is>
          <t>O0520</t>
        </is>
      </c>
      <c r="B521" s="30" t="inlineStr">
        <is>
          <t>A</t>
        </is>
      </c>
      <c r="C521" s="31" t="n">
        <v>7383.2</v>
      </c>
      <c r="D521" s="31" t="n">
        <v>18774.6</v>
      </c>
      <c r="E521" s="31" t="n">
        <v>18805.1</v>
      </c>
      <c r="F521" s="31" t="n">
        <v>18818.7</v>
      </c>
      <c r="G521" s="31" t="n">
        <v>18846.5</v>
      </c>
      <c r="H521" s="31" t="n">
        <v>18846.6</v>
      </c>
      <c r="I521" s="31" t="n">
        <v>18859.9</v>
      </c>
      <c r="J521" s="31" t="n">
        <v>18894.3</v>
      </c>
      <c r="K521" s="31" t="n">
        <v>11511.1</v>
      </c>
      <c r="L521" s="31" t="n">
        <v>11391.4</v>
      </c>
      <c r="M521" s="30" t="inlineStr">
        <is>
          <t>AMR3</t>
        </is>
      </c>
      <c r="N521" s="30" t="inlineStr">
        <is>
          <t>AMR3</t>
        </is>
      </c>
      <c r="O521" s="32" t="n">
        <v>1</v>
      </c>
      <c r="P521" s="32" t="n">
        <v>25</v>
      </c>
      <c r="Q521" s="32" t="n">
        <v>0</v>
      </c>
      <c r="R521" s="31" t="n">
        <v>62.2</v>
      </c>
      <c r="S521" s="31" t="n">
        <v>62.2</v>
      </c>
      <c r="T521" s="30" t="inlineStr">
        <is>
          <t>AMR3</t>
        </is>
      </c>
      <c r="U521" s="31" t="n">
        <v>48.4</v>
      </c>
      <c r="V521" s="31" t="n">
        <v>48.4</v>
      </c>
      <c r="W521" s="30" t="inlineStr">
        <is>
          <t>AMR3</t>
        </is>
      </c>
      <c r="X521" s="32" t="n">
        <v>0</v>
      </c>
      <c r="Y521" s="32" t="n">
        <v>0</v>
      </c>
      <c r="Z521" s="31" t="n">
        <v>0</v>
      </c>
      <c r="AA521" s="32" t="n">
        <v>0</v>
      </c>
      <c r="AB521" s="32" t="n">
        <v>0</v>
      </c>
      <c r="AC521" s="32" t="n">
        <v>0</v>
      </c>
      <c r="AD521" s="32" t="n">
        <v>0</v>
      </c>
      <c r="AE521" s="31" t="n">
        <v>0</v>
      </c>
      <c r="AF521" s="32" t="n">
        <v>1</v>
      </c>
      <c r="AG521" s="31" t="n">
        <v>2</v>
      </c>
      <c r="AH521" s="32" t="n">
        <v>70</v>
      </c>
      <c r="AI521" s="31" t="n">
        <v>68.7</v>
      </c>
      <c r="AJ521" s="31" t="n">
        <v>43.9</v>
      </c>
      <c r="AK521" s="31" t="n">
        <v>7</v>
      </c>
      <c r="AL521" s="30" t="inlineStr">
        <is>
          <t>T-0664</t>
        </is>
      </c>
      <c r="AM521" s="30" t="inlineStr">
        <is>
          <t>A-03-01</t>
        </is>
      </c>
      <c r="AN521" s="30" t="inlineStr">
        <is>
          <t>T-0430</t>
        </is>
      </c>
      <c r="AO521" s="30" t="inlineStr">
        <is>
          <t>A-05-01</t>
        </is>
      </c>
    </row>
    <row r="522">
      <c r="A522" s="30" t="inlineStr">
        <is>
          <t>O0521</t>
        </is>
      </c>
      <c r="B522" s="30" t="inlineStr">
        <is>
          <t>G</t>
        </is>
      </c>
      <c r="C522" s="31" t="n">
        <v>7403.2</v>
      </c>
      <c r="D522" s="31" t="n">
        <v>18795.1</v>
      </c>
      <c r="E522" s="31" t="n">
        <v>18829.6</v>
      </c>
      <c r="F522" s="31" t="n">
        <v>18840.1</v>
      </c>
      <c r="G522" s="31" t="n">
        <v>18866.8</v>
      </c>
      <c r="H522" s="31" t="n">
        <v>18866.9</v>
      </c>
      <c r="I522" s="31" t="n">
        <v>18878.9</v>
      </c>
      <c r="J522" s="31" t="n">
        <v>18914.9</v>
      </c>
      <c r="K522" s="31" t="n">
        <v>11511.7</v>
      </c>
      <c r="L522" s="31" t="n">
        <v>11391.9</v>
      </c>
      <c r="M522" s="30" t="inlineStr">
        <is>
          <t>AMR2</t>
        </is>
      </c>
      <c r="N522" s="30" t="inlineStr">
        <is>
          <t>AMR2</t>
        </is>
      </c>
      <c r="O522" s="32" t="n">
        <v>1</v>
      </c>
      <c r="P522" s="32" t="n">
        <v>25</v>
      </c>
      <c r="Q522" s="32" t="n">
        <v>1</v>
      </c>
      <c r="R522" s="31" t="n">
        <v>57.3</v>
      </c>
      <c r="S522" s="31" t="n">
        <v>57.3</v>
      </c>
      <c r="T522" s="30" t="inlineStr">
        <is>
          <t>AMR2</t>
        </is>
      </c>
      <c r="U522" s="31" t="n">
        <v>43.6</v>
      </c>
      <c r="V522" s="31" t="n">
        <v>43.6</v>
      </c>
      <c r="W522" s="30" t="inlineStr">
        <is>
          <t>AMR2</t>
        </is>
      </c>
      <c r="X522" s="32" t="n">
        <v>0</v>
      </c>
      <c r="Y522" s="32" t="n">
        <v>0</v>
      </c>
      <c r="Z522" s="31" t="n">
        <v>0</v>
      </c>
      <c r="AA522" s="32" t="n">
        <v>0</v>
      </c>
      <c r="AB522" s="32" t="n">
        <v>0</v>
      </c>
      <c r="AC522" s="32" t="n">
        <v>0</v>
      </c>
      <c r="AD522" s="32" t="n">
        <v>1</v>
      </c>
      <c r="AE522" s="31" t="n">
        <v>4</v>
      </c>
      <c r="AF522" s="32" t="n">
        <v>1</v>
      </c>
      <c r="AG522" s="31" t="n">
        <v>6</v>
      </c>
      <c r="AH522" s="32" t="n">
        <v>60</v>
      </c>
      <c r="AI522" s="31" t="n">
        <v>61.1</v>
      </c>
      <c r="AJ522" s="31" t="n">
        <v>43.6</v>
      </c>
      <c r="AK522" s="31" t="n">
        <v>15</v>
      </c>
      <c r="AL522" s="30" t="inlineStr">
        <is>
          <t>T-0665</t>
        </is>
      </c>
      <c r="AM522" s="30" t="inlineStr">
        <is>
          <t>G-02-02</t>
        </is>
      </c>
      <c r="AN522" s="30" t="inlineStr">
        <is>
          <t>T-0486</t>
        </is>
      </c>
      <c r="AO522" s="30" t="inlineStr">
        <is>
          <t>G-02-01</t>
        </is>
      </c>
    </row>
    <row r="523">
      <c r="A523" s="30" t="inlineStr">
        <is>
          <t>O0522</t>
        </is>
      </c>
      <c r="B523" s="30" t="inlineStr">
        <is>
          <t>E</t>
        </is>
      </c>
      <c r="C523" s="31" t="n">
        <v>7419.4</v>
      </c>
      <c r="D523" s="31" t="n">
        <v>19037.6</v>
      </c>
      <c r="E523" s="31" t="n">
        <v>19062.1</v>
      </c>
      <c r="F523" s="31" t="n">
        <v>19075.1</v>
      </c>
      <c r="G523" s="31" t="n">
        <v>19103.4</v>
      </c>
      <c r="H523" s="31" t="n">
        <v>20373.2</v>
      </c>
      <c r="I523" s="31" t="n">
        <v>20384.7</v>
      </c>
      <c r="J523" s="31" t="n">
        <v>20419.9</v>
      </c>
      <c r="K523" s="31" t="n">
        <v>13000.5</v>
      </c>
      <c r="L523" s="31" t="n">
        <v>11618.2</v>
      </c>
      <c r="M523" s="30" t="inlineStr">
        <is>
          <t>AMR2</t>
        </is>
      </c>
      <c r="N523" s="30" t="inlineStr">
        <is>
          <t>AMR3</t>
        </is>
      </c>
      <c r="O523" s="32" t="n">
        <v>1</v>
      </c>
      <c r="P523" s="32" t="n">
        <v>25</v>
      </c>
      <c r="Q523" s="32" t="n">
        <v>1</v>
      </c>
      <c r="R523" s="31" t="n">
        <v>62.9</v>
      </c>
      <c r="S523" s="31" t="n">
        <v>62.9</v>
      </c>
      <c r="T523" s="30" t="inlineStr">
        <is>
          <t>AMR2</t>
        </is>
      </c>
      <c r="U523" s="31" t="n">
        <v>49.4</v>
      </c>
      <c r="V523" s="31" t="n">
        <v>49.4</v>
      </c>
      <c r="W523" s="30" t="inlineStr">
        <is>
          <t>AMR3</t>
        </is>
      </c>
      <c r="X523" s="32" t="n">
        <v>0</v>
      </c>
      <c r="Y523" s="32" t="n">
        <v>0</v>
      </c>
      <c r="Z523" s="31" t="n">
        <v>0</v>
      </c>
      <c r="AA523" s="32" t="n">
        <v>0</v>
      </c>
      <c r="AB523" s="32" t="n">
        <v>0</v>
      </c>
      <c r="AC523" s="32" t="n">
        <v>0</v>
      </c>
      <c r="AD523" s="32" t="n">
        <v>0</v>
      </c>
      <c r="AE523" s="31" t="n">
        <v>0</v>
      </c>
      <c r="AF523" s="32" t="n">
        <v>0</v>
      </c>
      <c r="AG523" s="31" t="n">
        <v>0</v>
      </c>
      <c r="AH523" s="32" t="n">
        <v>64</v>
      </c>
      <c r="AI523" s="31" t="n">
        <v>63.4</v>
      </c>
      <c r="AJ523" s="31" t="n">
        <v>48.1</v>
      </c>
      <c r="AK523" s="31" t="n">
        <v>1</v>
      </c>
      <c r="AL523" s="30" t="inlineStr">
        <is>
          <t>T-0671</t>
        </is>
      </c>
      <c r="AM523" s="30" t="inlineStr">
        <is>
          <t>E-01-02</t>
        </is>
      </c>
      <c r="AN523" s="30" t="inlineStr">
        <is>
          <t>T-0522</t>
        </is>
      </c>
      <c r="AO523" s="30" t="inlineStr">
        <is>
          <t>E-02-03</t>
        </is>
      </c>
    </row>
    <row r="524">
      <c r="A524" s="30" t="inlineStr">
        <is>
          <t>O0523</t>
        </is>
      </c>
      <c r="B524" s="30" t="inlineStr">
        <is>
          <t>J</t>
        </is>
      </c>
      <c r="C524" s="31" t="n">
        <v>7438.9</v>
      </c>
      <c r="D524" s="31" t="n">
        <v>20195.3</v>
      </c>
      <c r="E524" s="31" t="n">
        <v>20213.5</v>
      </c>
      <c r="F524" s="31" t="n">
        <v>20229.3</v>
      </c>
      <c r="G524" s="31" t="n">
        <v>20263</v>
      </c>
      <c r="H524" s="31" t="n">
        <v>20263.1</v>
      </c>
      <c r="I524" s="31" t="n">
        <v>20273.4</v>
      </c>
      <c r="J524" s="31" t="n">
        <v>20305.7</v>
      </c>
      <c r="K524" s="31" t="n">
        <v>12866.8</v>
      </c>
      <c r="L524" s="31" t="n">
        <v>12756.4</v>
      </c>
      <c r="M524" s="30" t="inlineStr">
        <is>
          <t>AMR3</t>
        </is>
      </c>
      <c r="N524" s="30" t="inlineStr">
        <is>
          <t>AMR3</t>
        </is>
      </c>
      <c r="O524" s="32" t="n">
        <v>1</v>
      </c>
      <c r="P524" s="32" t="n">
        <v>20</v>
      </c>
      <c r="Q524" s="32" t="n">
        <v>1</v>
      </c>
      <c r="R524" s="31" t="n">
        <v>66.59999999999999</v>
      </c>
      <c r="S524" s="31" t="n">
        <v>66.59999999999999</v>
      </c>
      <c r="T524" s="30" t="inlineStr">
        <is>
          <t>AMR3</t>
        </is>
      </c>
      <c r="U524" s="31" t="n">
        <v>43.3</v>
      </c>
      <c r="V524" s="31" t="n">
        <v>43.3</v>
      </c>
      <c r="W524" s="30" t="inlineStr">
        <is>
          <t>AMR3</t>
        </is>
      </c>
      <c r="X524" s="32" t="n">
        <v>0</v>
      </c>
      <c r="Y524" s="32" t="n">
        <v>0</v>
      </c>
      <c r="Z524" s="31" t="n">
        <v>0</v>
      </c>
      <c r="AA524" s="32" t="n">
        <v>0</v>
      </c>
      <c r="AB524" s="32" t="n">
        <v>0</v>
      </c>
      <c r="AC524" s="32" t="n">
        <v>0</v>
      </c>
      <c r="AD524" s="32" t="n">
        <v>0</v>
      </c>
      <c r="AE524" s="31" t="n">
        <v>0</v>
      </c>
      <c r="AF524" s="32" t="n">
        <v>0</v>
      </c>
      <c r="AG524" s="31" t="n">
        <v>0</v>
      </c>
      <c r="AH524" s="32" t="n">
        <v>63</v>
      </c>
      <c r="AI524" s="31" t="n">
        <v>62.2</v>
      </c>
      <c r="AJ524" s="31" t="n">
        <v>48.1</v>
      </c>
      <c r="AK524" s="31" t="n">
        <v>0</v>
      </c>
      <c r="AL524" s="30" t="inlineStr">
        <is>
          <t>T-0702</t>
        </is>
      </c>
      <c r="AM524" s="30" t="inlineStr">
        <is>
          <t>J-04-03</t>
        </is>
      </c>
      <c r="AN524" s="30" t="inlineStr">
        <is>
          <t>T-0572</t>
        </is>
      </c>
      <c r="AO524" s="30" t="inlineStr">
        <is>
          <t>J-01-01</t>
        </is>
      </c>
    </row>
    <row r="525">
      <c r="A525" s="30" t="inlineStr">
        <is>
          <t>O0524</t>
        </is>
      </c>
      <c r="B525" s="30" t="inlineStr">
        <is>
          <t>H</t>
        </is>
      </c>
      <c r="C525" s="31" t="n">
        <v>7460.8</v>
      </c>
      <c r="D525" s="31" t="n">
        <v>18991.5</v>
      </c>
      <c r="E525" s="31" t="n">
        <v>19015</v>
      </c>
      <c r="F525" s="31" t="n">
        <v>19030.8</v>
      </c>
      <c r="G525" s="31" t="n">
        <v>19057</v>
      </c>
      <c r="H525" s="31" t="n">
        <v>19057.1</v>
      </c>
      <c r="I525" s="31" t="n">
        <v>19072.8</v>
      </c>
      <c r="J525" s="31" t="n">
        <v>19099.2</v>
      </c>
      <c r="K525" s="31" t="n">
        <v>11638.4</v>
      </c>
      <c r="L525" s="31" t="n">
        <v>11530.7</v>
      </c>
      <c r="M525" s="30" t="inlineStr">
        <is>
          <t>AMR1</t>
        </is>
      </c>
      <c r="N525" s="30" t="inlineStr">
        <is>
          <t>AMR1</t>
        </is>
      </c>
      <c r="O525" s="32" t="n">
        <v>1</v>
      </c>
      <c r="P525" s="32" t="n">
        <v>25</v>
      </c>
      <c r="Q525" s="32" t="n">
        <v>2</v>
      </c>
      <c r="R525" s="31" t="n">
        <v>64.5</v>
      </c>
      <c r="S525" s="31" t="n">
        <v>64.5</v>
      </c>
      <c r="T525" s="30" t="inlineStr">
        <is>
          <t>AMR1</t>
        </is>
      </c>
      <c r="U525" s="31" t="n">
        <v>41.3</v>
      </c>
      <c r="V525" s="31" t="n">
        <v>41.3</v>
      </c>
      <c r="W525" s="30" t="inlineStr">
        <is>
          <t>AMR1</t>
        </is>
      </c>
      <c r="X525" s="32" t="n">
        <v>0</v>
      </c>
      <c r="Y525" s="32" t="n">
        <v>0</v>
      </c>
      <c r="Z525" s="31" t="n">
        <v>0</v>
      </c>
      <c r="AA525" s="32" t="n">
        <v>0</v>
      </c>
      <c r="AB525" s="32" t="n">
        <v>0</v>
      </c>
      <c r="AC525" s="32" t="n">
        <v>0</v>
      </c>
      <c r="AD525" s="32" t="n">
        <v>0</v>
      </c>
      <c r="AE525" s="31" t="n">
        <v>0</v>
      </c>
      <c r="AF525" s="32" t="n">
        <v>0</v>
      </c>
      <c r="AG525" s="31" t="n">
        <v>0</v>
      </c>
      <c r="AH525" s="32" t="n">
        <v>54</v>
      </c>
      <c r="AI525" s="31" t="n">
        <v>56.1</v>
      </c>
      <c r="AJ525" s="31" t="n">
        <v>51.5</v>
      </c>
      <c r="AK525" s="31" t="n">
        <v>0</v>
      </c>
      <c r="AL525" s="30" t="inlineStr">
        <is>
          <t>T-0669</t>
        </is>
      </c>
      <c r="AM525" s="30" t="inlineStr">
        <is>
          <t>H-06-02</t>
        </is>
      </c>
      <c r="AN525" s="30" t="inlineStr">
        <is>
          <t>T-0535</t>
        </is>
      </c>
      <c r="AO525" s="30" t="inlineStr">
        <is>
          <t>H-01-01</t>
        </is>
      </c>
    </row>
    <row r="526">
      <c r="A526" s="30" t="inlineStr">
        <is>
          <t>O0525</t>
        </is>
      </c>
      <c r="B526" s="30" t="inlineStr">
        <is>
          <t>B</t>
        </is>
      </c>
      <c r="C526" s="31" t="n">
        <v>7477</v>
      </c>
      <c r="D526" s="31" t="n">
        <v>19258.8</v>
      </c>
      <c r="E526" s="31" t="n">
        <v>19282.3</v>
      </c>
      <c r="F526" s="31" t="n">
        <v>19294.2</v>
      </c>
      <c r="G526" s="31" t="n">
        <v>19319.1</v>
      </c>
      <c r="H526" s="31" t="n">
        <v>19319.2</v>
      </c>
      <c r="I526" s="31" t="n">
        <v>19333.8</v>
      </c>
      <c r="J526" s="31" t="n">
        <v>19371.6</v>
      </c>
      <c r="K526" s="31" t="n">
        <v>11894.6</v>
      </c>
      <c r="L526" s="31" t="n">
        <v>11781.8</v>
      </c>
      <c r="M526" s="30" t="inlineStr">
        <is>
          <t>AMR1</t>
        </is>
      </c>
      <c r="N526" s="30" t="inlineStr">
        <is>
          <t>AMR1</t>
        </is>
      </c>
      <c r="O526" s="32" t="n">
        <v>1</v>
      </c>
      <c r="P526" s="32" t="n">
        <v>25</v>
      </c>
      <c r="Q526" s="32" t="n">
        <v>0</v>
      </c>
      <c r="R526" s="31" t="n">
        <v>57.6</v>
      </c>
      <c r="S526" s="31" t="n">
        <v>57.6</v>
      </c>
      <c r="T526" s="30" t="inlineStr">
        <is>
          <t>AMR1</t>
        </is>
      </c>
      <c r="U526" s="31" t="n">
        <v>43.6</v>
      </c>
      <c r="V526" s="31" t="n">
        <v>43.6</v>
      </c>
      <c r="W526" s="30" t="inlineStr">
        <is>
          <t>AMR1</t>
        </is>
      </c>
      <c r="X526" s="32" t="n">
        <v>0</v>
      </c>
      <c r="Y526" s="32" t="n">
        <v>0</v>
      </c>
      <c r="Z526" s="31" t="n">
        <v>0</v>
      </c>
      <c r="AA526" s="32" t="n">
        <v>0</v>
      </c>
      <c r="AB526" s="32" t="n">
        <v>0</v>
      </c>
      <c r="AC526" s="32" t="n">
        <v>0</v>
      </c>
      <c r="AD526" s="32" t="n">
        <v>2</v>
      </c>
      <c r="AE526" s="31" t="n">
        <v>8.6</v>
      </c>
      <c r="AF526" s="32" t="n">
        <v>1</v>
      </c>
      <c r="AG526" s="31" t="n">
        <v>1</v>
      </c>
      <c r="AH526" s="32" t="n">
        <v>58</v>
      </c>
      <c r="AI526" s="31" t="n">
        <v>59</v>
      </c>
      <c r="AJ526" s="31" t="n">
        <v>45.1</v>
      </c>
      <c r="AK526" s="31" t="n">
        <v>8.6</v>
      </c>
      <c r="AL526" s="30" t="inlineStr">
        <is>
          <t>T-0677</t>
        </is>
      </c>
      <c r="AM526" s="30" t="inlineStr">
        <is>
          <t>B-03-03</t>
        </is>
      </c>
      <c r="AN526" s="30" t="inlineStr">
        <is>
          <t>T-0495</t>
        </is>
      </c>
      <c r="AO526" s="30" t="inlineStr">
        <is>
          <t>B-06-01</t>
        </is>
      </c>
    </row>
    <row r="527">
      <c r="A527" s="30" t="inlineStr">
        <is>
          <t>O0526</t>
        </is>
      </c>
      <c r="B527" s="30" t="inlineStr">
        <is>
          <t>H</t>
        </is>
      </c>
      <c r="C527" s="31" t="n">
        <v>7493.8</v>
      </c>
      <c r="D527" s="31" t="n">
        <v>19132</v>
      </c>
      <c r="E527" s="31" t="n">
        <v>19155.5</v>
      </c>
      <c r="F527" s="31" t="n">
        <v>19170.7</v>
      </c>
      <c r="G527" s="31" t="n">
        <v>19198.4</v>
      </c>
      <c r="H527" s="31" t="n">
        <v>19198.5</v>
      </c>
      <c r="I527" s="31" t="n">
        <v>19209.8</v>
      </c>
      <c r="J527" s="31" t="n">
        <v>19233.7</v>
      </c>
      <c r="K527" s="31" t="n">
        <v>11739.9</v>
      </c>
      <c r="L527" s="31" t="n">
        <v>11638.2</v>
      </c>
      <c r="M527" s="30" t="inlineStr">
        <is>
          <t>AMR3</t>
        </is>
      </c>
      <c r="N527" s="30" t="inlineStr">
        <is>
          <t>AMR3</t>
        </is>
      </c>
      <c r="O527" s="32" t="n">
        <v>1</v>
      </c>
      <c r="P527" s="32" t="n">
        <v>25</v>
      </c>
      <c r="Q527" s="32" t="n">
        <v>1</v>
      </c>
      <c r="R527" s="31" t="n">
        <v>64.59999999999999</v>
      </c>
      <c r="S527" s="31" t="n">
        <v>64.59999999999999</v>
      </c>
      <c r="T527" s="30" t="inlineStr">
        <is>
          <t>AMR3</t>
        </is>
      </c>
      <c r="U527" s="31" t="n">
        <v>36.4</v>
      </c>
      <c r="V527" s="31" t="n">
        <v>36.4</v>
      </c>
      <c r="W527" s="30" t="inlineStr">
        <is>
          <t>AMR3</t>
        </is>
      </c>
      <c r="X527" s="32" t="n">
        <v>0</v>
      </c>
      <c r="Y527" s="32" t="n">
        <v>0</v>
      </c>
      <c r="Z527" s="31" t="n">
        <v>0</v>
      </c>
      <c r="AA527" s="32" t="n">
        <v>0</v>
      </c>
      <c r="AB527" s="32" t="n">
        <v>0</v>
      </c>
      <c r="AC527" s="32" t="n">
        <v>0</v>
      </c>
      <c r="AD527" s="32" t="n">
        <v>0</v>
      </c>
      <c r="AE527" s="31" t="n">
        <v>0</v>
      </c>
      <c r="AF527" s="32" t="n">
        <v>0</v>
      </c>
      <c r="AG527" s="31" t="n">
        <v>0</v>
      </c>
      <c r="AH527" s="32" t="n">
        <v>52</v>
      </c>
      <c r="AI527" s="31" t="n">
        <v>54.2</v>
      </c>
      <c r="AJ527" s="31" t="n">
        <v>47.4</v>
      </c>
      <c r="AK527" s="31" t="n">
        <v>0</v>
      </c>
      <c r="AL527" s="30" t="inlineStr">
        <is>
          <t>T-0673</t>
        </is>
      </c>
      <c r="AM527" s="30" t="inlineStr">
        <is>
          <t>H-01-01</t>
        </is>
      </c>
      <c r="AN527" s="30" t="inlineStr">
        <is>
          <t>T-0539</t>
        </is>
      </c>
      <c r="AO527" s="30" t="inlineStr">
        <is>
          <t>H-01-03</t>
        </is>
      </c>
    </row>
    <row r="528">
      <c r="A528" s="30" t="inlineStr">
        <is>
          <t>O0527</t>
        </is>
      </c>
      <c r="B528" s="30" t="inlineStr">
        <is>
          <t>F</t>
        </is>
      </c>
      <c r="C528" s="31" t="n">
        <v>7516.9</v>
      </c>
      <c r="D528" s="31" t="n">
        <v>19233.8</v>
      </c>
      <c r="E528" s="31" t="n">
        <v>19257.3</v>
      </c>
      <c r="F528" s="31" t="n">
        <v>19269.8</v>
      </c>
      <c r="G528" s="31" t="n">
        <v>19304.5</v>
      </c>
      <c r="H528" s="31" t="n">
        <v>20114.4</v>
      </c>
      <c r="I528" s="31" t="n">
        <v>20127.4</v>
      </c>
      <c r="J528" s="31" t="n">
        <v>20169.3</v>
      </c>
      <c r="K528" s="31" t="n">
        <v>12652.4</v>
      </c>
      <c r="L528" s="31" t="n">
        <v>11716.9</v>
      </c>
      <c r="M528" s="30" t="inlineStr">
        <is>
          <t>AMR3</t>
        </is>
      </c>
      <c r="N528" s="30" t="inlineStr">
        <is>
          <t>AMR1</t>
        </is>
      </c>
      <c r="O528" s="32" t="n">
        <v>1</v>
      </c>
      <c r="P528" s="32" t="n">
        <v>25</v>
      </c>
      <c r="Q528" s="32" t="n">
        <v>1</v>
      </c>
      <c r="R528" s="31" t="n">
        <v>67.3</v>
      </c>
      <c r="S528" s="31" t="n">
        <v>67.3</v>
      </c>
      <c r="T528" s="30" t="inlineStr">
        <is>
          <t>AMR3</t>
        </is>
      </c>
      <c r="U528" s="31" t="n">
        <v>48.8</v>
      </c>
      <c r="V528" s="31" t="n">
        <v>48.8</v>
      </c>
      <c r="W528" s="30" t="inlineStr">
        <is>
          <t>AMR1</t>
        </is>
      </c>
      <c r="X528" s="32" t="n">
        <v>0</v>
      </c>
      <c r="Y528" s="32" t="n">
        <v>0</v>
      </c>
      <c r="Z528" s="31" t="n">
        <v>0</v>
      </c>
      <c r="AA528" s="32" t="n">
        <v>0</v>
      </c>
      <c r="AB528" s="32" t="n">
        <v>0</v>
      </c>
      <c r="AC528" s="32" t="n">
        <v>0</v>
      </c>
      <c r="AD528" s="32" t="n">
        <v>1</v>
      </c>
      <c r="AE528" s="31" t="n">
        <v>6.7</v>
      </c>
      <c r="AF528" s="32" t="n">
        <v>1</v>
      </c>
      <c r="AG528" s="31" t="n">
        <v>1.7</v>
      </c>
      <c r="AH528" s="32" t="n">
        <v>72</v>
      </c>
      <c r="AI528" s="31" t="n">
        <v>70.7</v>
      </c>
      <c r="AJ528" s="31" t="n">
        <v>48.2</v>
      </c>
      <c r="AK528" s="31" t="n">
        <v>6.7</v>
      </c>
      <c r="AL528" s="30" t="inlineStr">
        <is>
          <t>T-0676</t>
        </is>
      </c>
      <c r="AM528" s="30" t="inlineStr">
        <is>
          <t>F-01-03</t>
        </is>
      </c>
      <c r="AN528" s="30" t="inlineStr">
        <is>
          <t>T-0583</t>
        </is>
      </c>
      <c r="AO528" s="30" t="inlineStr">
        <is>
          <t>F-03-01</t>
        </is>
      </c>
    </row>
    <row r="529">
      <c r="A529" s="30" t="inlineStr">
        <is>
          <t>O0528</t>
        </is>
      </c>
      <c r="B529" s="30" t="inlineStr">
        <is>
          <t>B</t>
        </is>
      </c>
      <c r="C529" s="31" t="n">
        <v>7535.3</v>
      </c>
      <c r="D529" s="31" t="n">
        <v>19099.3</v>
      </c>
      <c r="E529" s="31" t="n">
        <v>19122.8</v>
      </c>
      <c r="F529" s="31" t="n">
        <v>19134.9</v>
      </c>
      <c r="G529" s="31" t="n">
        <v>19158.4</v>
      </c>
      <c r="H529" s="31" t="n">
        <v>20579.4</v>
      </c>
      <c r="I529" s="31" t="n">
        <v>20611.2</v>
      </c>
      <c r="J529" s="31" t="n">
        <v>20645.3</v>
      </c>
      <c r="K529" s="31" t="n">
        <v>13110</v>
      </c>
      <c r="L529" s="31" t="n">
        <v>11564</v>
      </c>
      <c r="M529" s="30" t="inlineStr">
        <is>
          <t>AMR1</t>
        </is>
      </c>
      <c r="N529" s="30" t="inlineStr">
        <is>
          <t>AMR3</t>
        </is>
      </c>
      <c r="O529" s="32" t="n">
        <v>1</v>
      </c>
      <c r="P529" s="32" t="n">
        <v>25</v>
      </c>
      <c r="Q529" s="32" t="n">
        <v>18</v>
      </c>
      <c r="R529" s="31" t="n">
        <v>55.6</v>
      </c>
      <c r="S529" s="31" t="n">
        <v>54.9</v>
      </c>
      <c r="T529" s="30" t="inlineStr">
        <is>
          <t>AMR2</t>
        </is>
      </c>
      <c r="U529" s="31" t="n">
        <v>63.3</v>
      </c>
      <c r="V529" s="31" t="n">
        <v>63.3</v>
      </c>
      <c r="W529" s="30" t="inlineStr">
        <is>
          <t>AMR3</t>
        </is>
      </c>
      <c r="X529" s="32" t="n">
        <v>1</v>
      </c>
      <c r="Y529" s="32" t="n">
        <v>7</v>
      </c>
      <c r="Z529" s="31" t="n">
        <v>0.7</v>
      </c>
      <c r="AA529" s="32" t="n">
        <v>0</v>
      </c>
      <c r="AB529" s="32" t="n">
        <v>0</v>
      </c>
      <c r="AC529" s="32" t="n">
        <v>0</v>
      </c>
      <c r="AD529" s="32" t="n">
        <v>0</v>
      </c>
      <c r="AE529" s="31" t="n">
        <v>0</v>
      </c>
      <c r="AF529" s="32" t="n">
        <v>0</v>
      </c>
      <c r="AG529" s="31" t="n">
        <v>0</v>
      </c>
      <c r="AH529" s="32" t="n">
        <v>79</v>
      </c>
      <c r="AI529" s="31" t="n">
        <v>79.2</v>
      </c>
      <c r="AJ529" s="31" t="n">
        <v>45.8</v>
      </c>
      <c r="AK529" s="31" t="n">
        <v>0</v>
      </c>
      <c r="AL529" s="30" t="inlineStr">
        <is>
          <t>T-0672</t>
        </is>
      </c>
      <c r="AM529" s="30" t="inlineStr">
        <is>
          <t>B-02-03</t>
        </is>
      </c>
      <c r="AN529" s="30" t="inlineStr">
        <is>
          <t>T-0543</t>
        </is>
      </c>
      <c r="AO529" s="30" t="inlineStr">
        <is>
          <t>B-02-01</t>
        </is>
      </c>
    </row>
    <row r="530">
      <c r="A530" s="30" t="inlineStr">
        <is>
          <t>O0529</t>
        </is>
      </c>
      <c r="B530" s="30" t="inlineStr">
        <is>
          <t>E</t>
        </is>
      </c>
      <c r="C530" s="31" t="n">
        <v>7555.8</v>
      </c>
      <c r="D530" s="31" t="n">
        <v>19156</v>
      </c>
      <c r="E530" s="31" t="n">
        <v>19190</v>
      </c>
      <c r="F530" s="31" t="n">
        <v>19204.8</v>
      </c>
      <c r="G530" s="31" t="n">
        <v>19231.1</v>
      </c>
      <c r="H530" s="31" t="n">
        <v>19231.2</v>
      </c>
      <c r="I530" s="31" t="n">
        <v>19243.9</v>
      </c>
      <c r="J530" s="31" t="n">
        <v>19279.8</v>
      </c>
      <c r="K530" s="31" t="n">
        <v>11724</v>
      </c>
      <c r="L530" s="31" t="n">
        <v>11600.2</v>
      </c>
      <c r="M530" s="30" t="inlineStr">
        <is>
          <t>AMR2</t>
        </is>
      </c>
      <c r="N530" s="30" t="inlineStr">
        <is>
          <t>AMR2</t>
        </is>
      </c>
      <c r="O530" s="32" t="n">
        <v>1</v>
      </c>
      <c r="P530" s="32" t="n">
        <v>25</v>
      </c>
      <c r="Q530" s="32" t="n">
        <v>1</v>
      </c>
      <c r="R530" s="31" t="n">
        <v>61.1</v>
      </c>
      <c r="S530" s="31" t="n">
        <v>56.1</v>
      </c>
      <c r="T530" s="30" t="inlineStr">
        <is>
          <t>AMR1</t>
        </is>
      </c>
      <c r="U530" s="31" t="n">
        <v>48.2</v>
      </c>
      <c r="V530" s="31" t="n">
        <v>48.2</v>
      </c>
      <c r="W530" s="30" t="inlineStr">
        <is>
          <t>AMR2</t>
        </is>
      </c>
      <c r="X530" s="32" t="n">
        <v>1</v>
      </c>
      <c r="Y530" s="32" t="n">
        <v>9</v>
      </c>
      <c r="Z530" s="31" t="n">
        <v>5</v>
      </c>
      <c r="AA530" s="32" t="n">
        <v>0</v>
      </c>
      <c r="AB530" s="32" t="n">
        <v>0</v>
      </c>
      <c r="AC530" s="32" t="n">
        <v>0</v>
      </c>
      <c r="AD530" s="32" t="n">
        <v>1</v>
      </c>
      <c r="AE530" s="31" t="n">
        <v>1</v>
      </c>
      <c r="AF530" s="32" t="n">
        <v>0</v>
      </c>
      <c r="AG530" s="31" t="n">
        <v>0</v>
      </c>
      <c r="AH530" s="32" t="n">
        <v>72</v>
      </c>
      <c r="AI530" s="31" t="n">
        <v>71.90000000000001</v>
      </c>
      <c r="AJ530" s="31" t="n">
        <v>45.1</v>
      </c>
      <c r="AK530" s="31" t="n">
        <v>6.7</v>
      </c>
      <c r="AL530" s="30" t="inlineStr">
        <is>
          <t>T-0675</t>
        </is>
      </c>
      <c r="AM530" s="30" t="inlineStr">
        <is>
          <t>E-04-02</t>
        </is>
      </c>
      <c r="AN530" s="30" t="inlineStr">
        <is>
          <t>T-0478</t>
        </is>
      </c>
      <c r="AO530" s="30" t="inlineStr">
        <is>
          <t>E-05-01</t>
        </is>
      </c>
    </row>
    <row r="531">
      <c r="A531" s="30" t="inlineStr">
        <is>
          <t>O0530</t>
        </is>
      </c>
      <c r="B531" s="30" t="inlineStr">
        <is>
          <t>C</t>
        </is>
      </c>
      <c r="C531" s="31" t="n">
        <v>7577.9</v>
      </c>
      <c r="D531" s="31" t="n">
        <v>19158.5</v>
      </c>
      <c r="E531" s="31" t="n">
        <v>19173.9</v>
      </c>
      <c r="F531" s="31" t="n">
        <v>19190.1</v>
      </c>
      <c r="G531" s="31" t="n">
        <v>19214.1</v>
      </c>
      <c r="H531" s="31" t="n">
        <v>19846.1</v>
      </c>
      <c r="I531" s="31" t="n">
        <v>19860.5</v>
      </c>
      <c r="J531" s="31" t="n">
        <v>19888.7</v>
      </c>
      <c r="K531" s="31" t="n">
        <v>12310.8</v>
      </c>
      <c r="L531" s="31" t="n">
        <v>11580.6</v>
      </c>
      <c r="M531" s="30" t="inlineStr">
        <is>
          <t>AMR1</t>
        </is>
      </c>
      <c r="N531" s="30" t="inlineStr">
        <is>
          <t>AMR3</t>
        </is>
      </c>
      <c r="O531" s="32" t="n">
        <v>1</v>
      </c>
      <c r="P531" s="32" t="n">
        <v>16</v>
      </c>
      <c r="Q531" s="32" t="n">
        <v>1</v>
      </c>
      <c r="R531" s="31" t="n">
        <v>55.1</v>
      </c>
      <c r="S531" s="31" t="n">
        <v>55.1</v>
      </c>
      <c r="T531" s="30" t="inlineStr">
        <is>
          <t>AMR1</t>
        </is>
      </c>
      <c r="U531" s="31" t="n">
        <v>42.7</v>
      </c>
      <c r="V531" s="31" t="n">
        <v>42.7</v>
      </c>
      <c r="W531" s="30" t="inlineStr">
        <is>
          <t>AMR3</t>
        </is>
      </c>
      <c r="X531" s="32" t="n">
        <v>0</v>
      </c>
      <c r="Y531" s="32" t="n">
        <v>0</v>
      </c>
      <c r="Z531" s="31" t="n">
        <v>0</v>
      </c>
      <c r="AA531" s="32" t="n">
        <v>0</v>
      </c>
      <c r="AB531" s="32" t="n">
        <v>0</v>
      </c>
      <c r="AC531" s="32" t="n">
        <v>0</v>
      </c>
      <c r="AD531" s="32" t="n">
        <v>0</v>
      </c>
      <c r="AE531" s="31" t="n">
        <v>0</v>
      </c>
      <c r="AF531" s="32" t="n">
        <v>0</v>
      </c>
      <c r="AG531" s="31" t="n">
        <v>0</v>
      </c>
      <c r="AH531" s="32" t="n">
        <v>44</v>
      </c>
      <c r="AI531" s="31" t="n">
        <v>46</v>
      </c>
      <c r="AJ531" s="31" t="n">
        <v>52.2</v>
      </c>
      <c r="AK531" s="31" t="n">
        <v>0</v>
      </c>
      <c r="AL531" s="30" t="inlineStr">
        <is>
          <t>T-0674</t>
        </is>
      </c>
      <c r="AM531" s="30" t="inlineStr">
        <is>
          <t>C-06-01</t>
        </is>
      </c>
      <c r="AN531" s="30" t="inlineStr">
        <is>
          <t>T-0528</t>
        </is>
      </c>
      <c r="AO531" s="30" t="inlineStr">
        <is>
          <t>C-03-02</t>
        </is>
      </c>
    </row>
    <row r="532">
      <c r="A532" s="30" t="inlineStr">
        <is>
          <t>O0531</t>
        </is>
      </c>
      <c r="B532" s="30" t="inlineStr">
        <is>
          <t>B</t>
        </is>
      </c>
      <c r="C532" s="31" t="n">
        <v>7598</v>
      </c>
      <c r="D532" s="31" t="n">
        <v>19626.4</v>
      </c>
      <c r="E532" s="31" t="n">
        <v>19649.9</v>
      </c>
      <c r="F532" s="31" t="n">
        <v>19664.7</v>
      </c>
      <c r="G532" s="31" t="n">
        <v>19688.2</v>
      </c>
      <c r="H532" s="31" t="n">
        <v>19688.3</v>
      </c>
      <c r="I532" s="31" t="n">
        <v>19698.7</v>
      </c>
      <c r="J532" s="31" t="n">
        <v>19727</v>
      </c>
      <c r="K532" s="31" t="n">
        <v>12129</v>
      </c>
      <c r="L532" s="31" t="n">
        <v>12028.4</v>
      </c>
      <c r="M532" s="30" t="inlineStr">
        <is>
          <t>AMR1</t>
        </is>
      </c>
      <c r="N532" s="30" t="inlineStr">
        <is>
          <t>AMR1</t>
        </is>
      </c>
      <c r="O532" s="32" t="n">
        <v>1</v>
      </c>
      <c r="P532" s="32" t="n">
        <v>25</v>
      </c>
      <c r="Q532" s="32" t="n">
        <v>2</v>
      </c>
      <c r="R532" s="31" t="n">
        <v>60.7</v>
      </c>
      <c r="S532" s="31" t="n">
        <v>60.7</v>
      </c>
      <c r="T532" s="30" t="inlineStr">
        <is>
          <t>AMR1</t>
        </is>
      </c>
      <c r="U532" s="31" t="n">
        <v>39.9</v>
      </c>
      <c r="V532" s="31" t="n">
        <v>39.9</v>
      </c>
      <c r="W532" s="30" t="inlineStr">
        <is>
          <t>AMR1</t>
        </is>
      </c>
      <c r="X532" s="32" t="n">
        <v>0</v>
      </c>
      <c r="Y532" s="32" t="n">
        <v>0</v>
      </c>
      <c r="Z532" s="31" t="n">
        <v>0</v>
      </c>
      <c r="AA532" s="32" t="n">
        <v>0</v>
      </c>
      <c r="AB532" s="32" t="n">
        <v>0</v>
      </c>
      <c r="AC532" s="32" t="n">
        <v>0</v>
      </c>
      <c r="AD532" s="32" t="n">
        <v>0</v>
      </c>
      <c r="AE532" s="31" t="n">
        <v>0</v>
      </c>
      <c r="AF532" s="32" t="n">
        <v>0</v>
      </c>
      <c r="AG532" s="31" t="n">
        <v>0</v>
      </c>
      <c r="AH532" s="32" t="n">
        <v>56</v>
      </c>
      <c r="AI532" s="31" t="n">
        <v>57.4</v>
      </c>
      <c r="AJ532" s="31" t="n">
        <v>43.1</v>
      </c>
      <c r="AK532" s="31" t="n">
        <v>0</v>
      </c>
      <c r="AL532" s="30" t="inlineStr">
        <is>
          <t>T-0687</t>
        </is>
      </c>
      <c r="AM532" s="30" t="inlineStr">
        <is>
          <t>B-06-03</t>
        </is>
      </c>
      <c r="AN532" s="30" t="inlineStr">
        <is>
          <t>T-0497</t>
        </is>
      </c>
      <c r="AO532" s="30" t="inlineStr">
        <is>
          <t>B-04-03</t>
        </is>
      </c>
    </row>
    <row r="533">
      <c r="A533" s="30" t="inlineStr">
        <is>
          <t>O0532</t>
        </is>
      </c>
      <c r="B533" s="30" t="inlineStr">
        <is>
          <t>D</t>
        </is>
      </c>
      <c r="C533" s="31" t="n">
        <v>7620.9</v>
      </c>
      <c r="D533" s="31" t="n">
        <v>19279.9</v>
      </c>
      <c r="E533" s="31" t="n">
        <v>19306.4</v>
      </c>
      <c r="F533" s="31" t="n">
        <v>19322.1</v>
      </c>
      <c r="G533" s="31" t="n">
        <v>19344.1</v>
      </c>
      <c r="H533" s="31" t="n">
        <v>19815.2</v>
      </c>
      <c r="I533" s="31" t="n">
        <v>19825.1</v>
      </c>
      <c r="J533" s="31" t="n">
        <v>19866.1</v>
      </c>
      <c r="K533" s="31" t="n">
        <v>12245.2</v>
      </c>
      <c r="L533" s="31" t="n">
        <v>11659</v>
      </c>
      <c r="M533" s="30" t="inlineStr">
        <is>
          <t>AMR2</t>
        </is>
      </c>
      <c r="N533" s="30" t="inlineStr">
        <is>
          <t>AMR2</t>
        </is>
      </c>
      <c r="O533" s="32" t="n">
        <v>1</v>
      </c>
      <c r="P533" s="32" t="n">
        <v>25</v>
      </c>
      <c r="Q533" s="32" t="n">
        <v>0</v>
      </c>
      <c r="R533" s="31" t="n">
        <v>59.3</v>
      </c>
      <c r="S533" s="31" t="n">
        <v>59.3</v>
      </c>
      <c r="T533" s="30" t="inlineStr">
        <is>
          <t>AMR2</t>
        </is>
      </c>
      <c r="U533" s="31" t="n">
        <v>38.6</v>
      </c>
      <c r="V533" s="31" t="n">
        <v>38.6</v>
      </c>
      <c r="W533" s="30" t="inlineStr">
        <is>
          <t>AMR2</t>
        </is>
      </c>
      <c r="X533" s="32" t="n">
        <v>0</v>
      </c>
      <c r="Y533" s="32" t="n">
        <v>0</v>
      </c>
      <c r="Z533" s="31" t="n">
        <v>0</v>
      </c>
      <c r="AA533" s="32" t="n">
        <v>0</v>
      </c>
      <c r="AB533" s="32" t="n">
        <v>0</v>
      </c>
      <c r="AC533" s="32" t="n">
        <v>0</v>
      </c>
      <c r="AD533" s="32" t="n">
        <v>1</v>
      </c>
      <c r="AE533" s="31" t="n">
        <v>12</v>
      </c>
      <c r="AF533" s="32" t="n">
        <v>1</v>
      </c>
      <c r="AG533" s="31" t="n">
        <v>7</v>
      </c>
      <c r="AH533" s="32" t="n">
        <v>53</v>
      </c>
      <c r="AI533" s="31" t="n">
        <v>55.1</v>
      </c>
      <c r="AJ533" s="31" t="n">
        <v>45</v>
      </c>
      <c r="AK533" s="31" t="n">
        <v>15</v>
      </c>
      <c r="AL533" s="30" t="inlineStr">
        <is>
          <t>T-0678</t>
        </is>
      </c>
      <c r="AM533" s="30" t="inlineStr">
        <is>
          <t>D-02-02</t>
        </is>
      </c>
      <c r="AN533" s="30" t="inlineStr">
        <is>
          <t>T-0472</t>
        </is>
      </c>
      <c r="AO533" s="30" t="inlineStr">
        <is>
          <t>D-03-02</t>
        </is>
      </c>
    </row>
    <row r="534">
      <c r="A534" s="30" t="inlineStr">
        <is>
          <t>O0533</t>
        </is>
      </c>
      <c r="B534" s="30" t="inlineStr">
        <is>
          <t>I</t>
        </is>
      </c>
      <c r="C534" s="31" t="n">
        <v>7636.1</v>
      </c>
      <c r="D534" s="31" t="n">
        <v>19352.2</v>
      </c>
      <c r="E534" s="31" t="n">
        <v>19379.7</v>
      </c>
      <c r="F534" s="31" t="n">
        <v>19391.4</v>
      </c>
      <c r="G534" s="31" t="n">
        <v>19417.7</v>
      </c>
      <c r="H534" s="31" t="n">
        <v>19417.8</v>
      </c>
      <c r="I534" s="31" t="n">
        <v>19429.2</v>
      </c>
      <c r="J534" s="31" t="n">
        <v>19465.5</v>
      </c>
      <c r="K534" s="31" t="n">
        <v>11829.4</v>
      </c>
      <c r="L534" s="31" t="n">
        <v>11716.1</v>
      </c>
      <c r="M534" s="30" t="inlineStr">
        <is>
          <t>AMR3</t>
        </is>
      </c>
      <c r="N534" s="30" t="inlineStr">
        <is>
          <t>AMR3</t>
        </is>
      </c>
      <c r="O534" s="32" t="n">
        <v>1</v>
      </c>
      <c r="P534" s="32" t="n">
        <v>25</v>
      </c>
      <c r="Q534" s="32" t="n">
        <v>1</v>
      </c>
      <c r="R534" s="31" t="n">
        <v>58.1</v>
      </c>
      <c r="S534" s="31" t="n">
        <v>58.1</v>
      </c>
      <c r="T534" s="30" t="inlineStr">
        <is>
          <t>AMR3</t>
        </is>
      </c>
      <c r="U534" s="31" t="n">
        <v>40.3</v>
      </c>
      <c r="V534" s="31" t="n">
        <v>40.3</v>
      </c>
      <c r="W534" s="30" t="inlineStr">
        <is>
          <t>AMR3</t>
        </is>
      </c>
      <c r="X534" s="32" t="n">
        <v>0</v>
      </c>
      <c r="Y534" s="32" t="n">
        <v>0</v>
      </c>
      <c r="Z534" s="31" t="n">
        <v>0</v>
      </c>
      <c r="AA534" s="32" t="n">
        <v>0</v>
      </c>
      <c r="AB534" s="32" t="n">
        <v>0</v>
      </c>
      <c r="AC534" s="32" t="n">
        <v>0</v>
      </c>
      <c r="AD534" s="32" t="n">
        <v>1</v>
      </c>
      <c r="AE534" s="31" t="n">
        <v>7</v>
      </c>
      <c r="AF534" s="32" t="n">
        <v>1</v>
      </c>
      <c r="AG534" s="31" t="n">
        <v>2</v>
      </c>
      <c r="AH534" s="32" t="n">
        <v>56</v>
      </c>
      <c r="AI534" s="31" t="n">
        <v>57.9</v>
      </c>
      <c r="AJ534" s="31" t="n">
        <v>44.3</v>
      </c>
      <c r="AK534" s="31" t="n">
        <v>11</v>
      </c>
      <c r="AL534" s="30" t="inlineStr">
        <is>
          <t>T-0680</t>
        </is>
      </c>
      <c r="AM534" s="30" t="inlineStr">
        <is>
          <t>I-04-02</t>
        </is>
      </c>
      <c r="AN534" s="30" t="inlineStr">
        <is>
          <t>T-0531</t>
        </is>
      </c>
      <c r="AO534" s="30" t="inlineStr">
        <is>
          <t>I-04-03</t>
        </is>
      </c>
    </row>
    <row r="535">
      <c r="A535" s="30" t="inlineStr">
        <is>
          <t>O0534</t>
        </is>
      </c>
      <c r="B535" s="30" t="inlineStr">
        <is>
          <t>I</t>
        </is>
      </c>
      <c r="C535" s="31" t="n">
        <v>7654.8</v>
      </c>
      <c r="D535" s="31" t="n">
        <v>19504.9</v>
      </c>
      <c r="E535" s="31" t="n">
        <v>19541.3</v>
      </c>
      <c r="F535" s="31" t="n">
        <v>19553.2</v>
      </c>
      <c r="G535" s="31" t="n">
        <v>19581.5</v>
      </c>
      <c r="H535" s="31" t="n">
        <v>19581.6</v>
      </c>
      <c r="I535" s="31" t="n">
        <v>19592.2</v>
      </c>
      <c r="J535" s="31" t="n">
        <v>19641.6</v>
      </c>
      <c r="K535" s="31" t="n">
        <v>11986.8</v>
      </c>
      <c r="L535" s="31" t="n">
        <v>11850.1</v>
      </c>
      <c r="M535" s="30" t="inlineStr">
        <is>
          <t>AMR2</t>
        </is>
      </c>
      <c r="N535" s="30" t="inlineStr">
        <is>
          <t>AMR2</t>
        </is>
      </c>
      <c r="O535" s="32" t="n">
        <v>1</v>
      </c>
      <c r="P535" s="32" t="n">
        <v>13</v>
      </c>
      <c r="Q535" s="32" t="n">
        <v>1</v>
      </c>
      <c r="R535" s="31" t="n">
        <v>50.7</v>
      </c>
      <c r="S535" s="31" t="n">
        <v>50.7</v>
      </c>
      <c r="T535" s="30" t="inlineStr">
        <is>
          <t>AMR2</t>
        </is>
      </c>
      <c r="U535" s="31" t="n">
        <v>36.1</v>
      </c>
      <c r="V535" s="31" t="n">
        <v>36.1</v>
      </c>
      <c r="W535" s="30" t="inlineStr">
        <is>
          <t>AMR2</t>
        </is>
      </c>
      <c r="X535" s="32" t="n">
        <v>0</v>
      </c>
      <c r="Y535" s="32" t="n">
        <v>0</v>
      </c>
      <c r="Z535" s="31" t="n">
        <v>0</v>
      </c>
      <c r="AA535" s="32" t="n">
        <v>0</v>
      </c>
      <c r="AB535" s="32" t="n">
        <v>0</v>
      </c>
      <c r="AC535" s="32" t="n">
        <v>0</v>
      </c>
      <c r="AD535" s="32" t="n">
        <v>1</v>
      </c>
      <c r="AE535" s="31" t="n">
        <v>21</v>
      </c>
      <c r="AF535" s="32" t="n">
        <v>3</v>
      </c>
      <c r="AG535" s="31" t="n">
        <v>24.3</v>
      </c>
      <c r="AH535" s="32" t="n">
        <v>48</v>
      </c>
      <c r="AI535" s="31" t="n">
        <v>55</v>
      </c>
      <c r="AJ535" s="31" t="n">
        <v>42.3</v>
      </c>
      <c r="AK535" s="31" t="n">
        <v>39.3</v>
      </c>
      <c r="AL535" s="30" t="inlineStr">
        <is>
          <t>T-0685</t>
        </is>
      </c>
      <c r="AM535" s="30" t="inlineStr">
        <is>
          <t>I-05-02</t>
        </is>
      </c>
      <c r="AN535" s="30" t="inlineStr">
        <is>
          <t>T-0537</t>
        </is>
      </c>
      <c r="AO535" s="30" t="inlineStr">
        <is>
          <t>I-06-02</t>
        </is>
      </c>
    </row>
    <row r="536">
      <c r="A536" s="30" t="inlineStr">
        <is>
          <t>O0535</t>
        </is>
      </c>
      <c r="B536" s="30" t="inlineStr">
        <is>
          <t>B</t>
        </is>
      </c>
      <c r="C536" s="31" t="n">
        <v>7676</v>
      </c>
      <c r="D536" s="31" t="n">
        <v>19443.5</v>
      </c>
      <c r="E536" s="31" t="n">
        <v>19467</v>
      </c>
      <c r="F536" s="31" t="n">
        <v>19481</v>
      </c>
      <c r="G536" s="31" t="n">
        <v>19504.8</v>
      </c>
      <c r="H536" s="31" t="n">
        <v>19918.3</v>
      </c>
      <c r="I536" s="31" t="n">
        <v>19947.7</v>
      </c>
      <c r="J536" s="31" t="n">
        <v>19981.4</v>
      </c>
      <c r="K536" s="31" t="n">
        <v>12305.4</v>
      </c>
      <c r="L536" s="31" t="n">
        <v>11767.5</v>
      </c>
      <c r="M536" s="30" t="inlineStr">
        <is>
          <t>AMR2</t>
        </is>
      </c>
      <c r="N536" s="30" t="inlineStr">
        <is>
          <t>AMR2</t>
        </is>
      </c>
      <c r="O536" s="32" t="n">
        <v>1</v>
      </c>
      <c r="P536" s="32" t="n">
        <v>25</v>
      </c>
      <c r="Q536" s="32" t="n">
        <v>18</v>
      </c>
      <c r="R536" s="31" t="n">
        <v>60.2</v>
      </c>
      <c r="S536" s="31" t="n">
        <v>60.2</v>
      </c>
      <c r="T536" s="30" t="inlineStr">
        <is>
          <t>AMR2</t>
        </is>
      </c>
      <c r="U536" s="31" t="n">
        <v>60.5</v>
      </c>
      <c r="V536" s="31" t="n">
        <v>60.5</v>
      </c>
      <c r="W536" s="30" t="inlineStr">
        <is>
          <t>AMR2</t>
        </is>
      </c>
      <c r="X536" s="32" t="n">
        <v>0</v>
      </c>
      <c r="Y536" s="32" t="n">
        <v>0</v>
      </c>
      <c r="Z536" s="31" t="n">
        <v>0</v>
      </c>
      <c r="AA536" s="32" t="n">
        <v>0</v>
      </c>
      <c r="AB536" s="32" t="n">
        <v>0</v>
      </c>
      <c r="AC536" s="32" t="n">
        <v>0</v>
      </c>
      <c r="AD536" s="32" t="n">
        <v>0</v>
      </c>
      <c r="AE536" s="31" t="n">
        <v>0</v>
      </c>
      <c r="AF536" s="32" t="n">
        <v>0</v>
      </c>
      <c r="AG536" s="31" t="n">
        <v>0</v>
      </c>
      <c r="AH536" s="32" t="n">
        <v>76</v>
      </c>
      <c r="AI536" s="31" t="n">
        <v>76.8</v>
      </c>
      <c r="AJ536" s="31" t="n">
        <v>47.6</v>
      </c>
      <c r="AK536" s="31" t="n">
        <v>0</v>
      </c>
      <c r="AL536" s="30" t="inlineStr">
        <is>
          <t>T-0682</t>
        </is>
      </c>
      <c r="AM536" s="30" t="inlineStr">
        <is>
          <t>B-06-01</t>
        </is>
      </c>
      <c r="AN536" s="30" t="inlineStr">
        <is>
          <t>T-0530</t>
        </is>
      </c>
      <c r="AO536" s="30" t="inlineStr">
        <is>
          <t>B-01-01</t>
        </is>
      </c>
    </row>
    <row r="537">
      <c r="A537" s="30" t="inlineStr">
        <is>
          <t>O0536</t>
        </is>
      </c>
      <c r="B537" s="30" t="inlineStr">
        <is>
          <t>H</t>
        </is>
      </c>
      <c r="C537" s="31" t="n">
        <v>7694.1</v>
      </c>
      <c r="D537" s="31" t="n">
        <v>19465.6</v>
      </c>
      <c r="E537" s="31" t="n">
        <v>19491.1</v>
      </c>
      <c r="F537" s="31" t="n">
        <v>19507.1</v>
      </c>
      <c r="G537" s="31" t="n">
        <v>19529</v>
      </c>
      <c r="H537" s="31" t="n">
        <v>19529.1</v>
      </c>
      <c r="I537" s="31" t="n">
        <v>19541.6</v>
      </c>
      <c r="J537" s="31" t="n">
        <v>19564.4</v>
      </c>
      <c r="K537" s="31" t="n">
        <v>11870.3</v>
      </c>
      <c r="L537" s="31" t="n">
        <v>11771.5</v>
      </c>
      <c r="M537" s="30" t="inlineStr">
        <is>
          <t>AMR3</t>
        </is>
      </c>
      <c r="N537" s="30" t="inlineStr">
        <is>
          <t>AMR3</t>
        </is>
      </c>
      <c r="O537" s="32" t="n">
        <v>1</v>
      </c>
      <c r="P537" s="32" t="n">
        <v>25</v>
      </c>
      <c r="Q537" s="32" t="n">
        <v>1</v>
      </c>
      <c r="R537" s="31" t="n">
        <v>59.6</v>
      </c>
      <c r="S537" s="31" t="n">
        <v>59.6</v>
      </c>
      <c r="T537" s="30" t="inlineStr">
        <is>
          <t>AMR3</t>
        </is>
      </c>
      <c r="U537" s="31" t="n">
        <v>36.5</v>
      </c>
      <c r="V537" s="31" t="n">
        <v>36.5</v>
      </c>
      <c r="W537" s="30" t="inlineStr">
        <is>
          <t>AMR3</t>
        </is>
      </c>
      <c r="X537" s="32" t="n">
        <v>0</v>
      </c>
      <c r="Y537" s="32" t="n">
        <v>0</v>
      </c>
      <c r="Z537" s="31" t="n">
        <v>0</v>
      </c>
      <c r="AA537" s="32" t="n">
        <v>0</v>
      </c>
      <c r="AB537" s="32" t="n">
        <v>0</v>
      </c>
      <c r="AC537" s="32" t="n">
        <v>0</v>
      </c>
      <c r="AD537" s="32" t="n">
        <v>0</v>
      </c>
      <c r="AE537" s="31" t="n">
        <v>0</v>
      </c>
      <c r="AF537" s="32" t="n">
        <v>0</v>
      </c>
      <c r="AG537" s="31" t="n">
        <v>0</v>
      </c>
      <c r="AH537" s="32" t="n">
        <v>52</v>
      </c>
      <c r="AI537" s="31" t="n">
        <v>54.2</v>
      </c>
      <c r="AJ537" s="31" t="n">
        <v>42.5</v>
      </c>
      <c r="AK537" s="31" t="n">
        <v>2</v>
      </c>
      <c r="AL537" s="30" t="inlineStr">
        <is>
          <t>T-0683</t>
        </is>
      </c>
      <c r="AM537" s="30" t="inlineStr">
        <is>
          <t>H-01-03</t>
        </is>
      </c>
      <c r="AN537" s="30" t="inlineStr">
        <is>
          <t>T-0541</t>
        </is>
      </c>
      <c r="AO537" s="30" t="inlineStr">
        <is>
          <t>H-02-03</t>
        </is>
      </c>
    </row>
    <row r="538">
      <c r="A538" s="30" t="inlineStr">
        <is>
          <t>O0537</t>
        </is>
      </c>
      <c r="B538" s="30" t="inlineStr">
        <is>
          <t>G</t>
        </is>
      </c>
      <c r="C538" s="31" t="n">
        <v>7713.1</v>
      </c>
      <c r="D538" s="31" t="n">
        <v>19668.4</v>
      </c>
      <c r="E538" s="31" t="n">
        <v>19697.9</v>
      </c>
      <c r="F538" s="31" t="n">
        <v>19713.4</v>
      </c>
      <c r="G538" s="31" t="n">
        <v>19742.5</v>
      </c>
      <c r="H538" s="31" t="n">
        <v>19742.6</v>
      </c>
      <c r="I538" s="31" t="n">
        <v>19757.7</v>
      </c>
      <c r="J538" s="31" t="n">
        <v>19783</v>
      </c>
      <c r="K538" s="31" t="n">
        <v>12069.9</v>
      </c>
      <c r="L538" s="31" t="n">
        <v>11955.3</v>
      </c>
      <c r="M538" s="30" t="inlineStr">
        <is>
          <t>AMR3</t>
        </is>
      </c>
      <c r="N538" s="30" t="inlineStr">
        <is>
          <t>AMR3</t>
        </is>
      </c>
      <c r="O538" s="32" t="n">
        <v>1</v>
      </c>
      <c r="P538" s="32" t="n">
        <v>25</v>
      </c>
      <c r="Q538" s="32" t="n">
        <v>1</v>
      </c>
      <c r="R538" s="31" t="n">
        <v>64.7</v>
      </c>
      <c r="S538" s="31" t="n">
        <v>64.7</v>
      </c>
      <c r="T538" s="30" t="inlineStr">
        <is>
          <t>AMR3</t>
        </is>
      </c>
      <c r="U538" s="31" t="n">
        <v>40.1</v>
      </c>
      <c r="V538" s="31" t="n">
        <v>40.1</v>
      </c>
      <c r="W538" s="30" t="inlineStr">
        <is>
          <t>AMR3</t>
        </is>
      </c>
      <c r="X538" s="32" t="n">
        <v>0</v>
      </c>
      <c r="Y538" s="32" t="n">
        <v>0</v>
      </c>
      <c r="Z538" s="31" t="n">
        <v>0</v>
      </c>
      <c r="AA538" s="32" t="n">
        <v>0</v>
      </c>
      <c r="AB538" s="32" t="n">
        <v>0</v>
      </c>
      <c r="AC538" s="32" t="n">
        <v>0</v>
      </c>
      <c r="AD538" s="32" t="n">
        <v>0</v>
      </c>
      <c r="AE538" s="31" t="n">
        <v>0</v>
      </c>
      <c r="AF538" s="32" t="n">
        <v>1</v>
      </c>
      <c r="AG538" s="31" t="n">
        <v>1</v>
      </c>
      <c r="AH538" s="32" t="n">
        <v>60</v>
      </c>
      <c r="AI538" s="31" t="n">
        <v>61</v>
      </c>
      <c r="AJ538" s="31" t="n">
        <v>47.5</v>
      </c>
      <c r="AK538" s="31" t="n">
        <v>6</v>
      </c>
      <c r="AL538" s="30" t="inlineStr">
        <is>
          <t>T-0689</t>
        </is>
      </c>
      <c r="AM538" s="30" t="inlineStr">
        <is>
          <t>G-02-01</t>
        </is>
      </c>
      <c r="AN538" s="30" t="inlineStr">
        <is>
          <t>T-0498</t>
        </is>
      </c>
      <c r="AO538" s="30" t="inlineStr">
        <is>
          <t>G-05-02</t>
        </is>
      </c>
    </row>
    <row r="539">
      <c r="A539" s="30" t="inlineStr">
        <is>
          <t>O0538</t>
        </is>
      </c>
      <c r="B539" s="30" t="inlineStr">
        <is>
          <t>F</t>
        </is>
      </c>
      <c r="C539" s="31" t="n">
        <v>7728.9</v>
      </c>
      <c r="D539" s="31" t="n">
        <v>19494.1</v>
      </c>
      <c r="E539" s="31" t="n">
        <v>19517.6</v>
      </c>
      <c r="F539" s="31" t="n">
        <v>19545.3</v>
      </c>
      <c r="G539" s="31" t="n">
        <v>19574.5</v>
      </c>
      <c r="H539" s="31" t="n">
        <v>20631.9</v>
      </c>
      <c r="I539" s="31" t="n">
        <v>20645.5</v>
      </c>
      <c r="J539" s="31" t="n">
        <v>20682.2</v>
      </c>
      <c r="K539" s="31" t="n">
        <v>12953.3</v>
      </c>
      <c r="L539" s="31" t="n">
        <v>11765.2</v>
      </c>
      <c r="M539" s="30" t="inlineStr">
        <is>
          <t>AMR1</t>
        </is>
      </c>
      <c r="N539" s="30" t="inlineStr">
        <is>
          <t>AMR1</t>
        </is>
      </c>
      <c r="O539" s="32" t="n">
        <v>1</v>
      </c>
      <c r="P539" s="32" t="n">
        <v>25</v>
      </c>
      <c r="Q539" s="32" t="n">
        <v>0</v>
      </c>
      <c r="R539" s="31" t="n">
        <v>67.3</v>
      </c>
      <c r="S539" s="31" t="n">
        <v>67.3</v>
      </c>
      <c r="T539" s="30" t="inlineStr">
        <is>
          <t>AMR1</t>
        </is>
      </c>
      <c r="U539" s="31" t="n">
        <v>48.5</v>
      </c>
      <c r="V539" s="31" t="n">
        <v>48.5</v>
      </c>
      <c r="W539" s="30" t="inlineStr">
        <is>
          <t>AMR1</t>
        </is>
      </c>
      <c r="X539" s="32" t="n">
        <v>0</v>
      </c>
      <c r="Y539" s="32" t="n">
        <v>0</v>
      </c>
      <c r="Z539" s="31" t="n">
        <v>0</v>
      </c>
      <c r="AA539" s="32" t="n">
        <v>0</v>
      </c>
      <c r="AB539" s="32" t="n">
        <v>0</v>
      </c>
      <c r="AC539" s="32" t="n">
        <v>0</v>
      </c>
      <c r="AD539" s="32" t="n">
        <v>4</v>
      </c>
      <c r="AE539" s="31" t="n">
        <v>8.5</v>
      </c>
      <c r="AF539" s="32" t="n">
        <v>1</v>
      </c>
      <c r="AG539" s="31" t="n">
        <v>2.3</v>
      </c>
      <c r="AH539" s="32" t="n">
        <v>73</v>
      </c>
      <c r="AI539" s="31" t="n">
        <v>73.3</v>
      </c>
      <c r="AJ539" s="31" t="n">
        <v>48.6</v>
      </c>
      <c r="AK539" s="31" t="n">
        <v>8.800000000000001</v>
      </c>
      <c r="AL539" s="30" t="inlineStr">
        <is>
          <t>T-0684</t>
        </is>
      </c>
      <c r="AM539" s="30" t="inlineStr">
        <is>
          <t>F-05-03</t>
        </is>
      </c>
      <c r="AN539" s="30" t="inlineStr">
        <is>
          <t>T-0606</t>
        </is>
      </c>
      <c r="AO539" s="30" t="inlineStr">
        <is>
          <t>F-01-01</t>
        </is>
      </c>
    </row>
    <row r="540">
      <c r="A540" s="30" t="inlineStr">
        <is>
          <t>O0539</t>
        </is>
      </c>
      <c r="B540" s="30" t="inlineStr">
        <is>
          <t>H</t>
        </is>
      </c>
      <c r="C540" s="31" t="n">
        <v>7744.6</v>
      </c>
      <c r="D540" s="31" t="n">
        <v>19564.5</v>
      </c>
      <c r="E540" s="31" t="n">
        <v>19588</v>
      </c>
      <c r="F540" s="31" t="n">
        <v>19598.9</v>
      </c>
      <c r="G540" s="31" t="n">
        <v>19625.4</v>
      </c>
      <c r="H540" s="31" t="n">
        <v>19625.5</v>
      </c>
      <c r="I540" s="31" t="n">
        <v>19641.1</v>
      </c>
      <c r="J540" s="31" t="n">
        <v>19668.3</v>
      </c>
      <c r="K540" s="31" t="n">
        <v>11923.7</v>
      </c>
      <c r="L540" s="31" t="n">
        <v>11819.9</v>
      </c>
      <c r="M540" s="30" t="inlineStr">
        <is>
          <t>AMR3</t>
        </is>
      </c>
      <c r="N540" s="30" t="inlineStr">
        <is>
          <t>AMR3</t>
        </is>
      </c>
      <c r="O540" s="32" t="n">
        <v>1</v>
      </c>
      <c r="P540" s="32" t="n">
        <v>25</v>
      </c>
      <c r="Q540" s="32" t="n">
        <v>1</v>
      </c>
      <c r="R540" s="31" t="n">
        <v>59.1</v>
      </c>
      <c r="S540" s="31" t="n">
        <v>59.1</v>
      </c>
      <c r="T540" s="30" t="inlineStr">
        <is>
          <t>AMR3</t>
        </is>
      </c>
      <c r="U540" s="31" t="n">
        <v>42.1</v>
      </c>
      <c r="V540" s="31" t="n">
        <v>42.1</v>
      </c>
      <c r="W540" s="30" t="inlineStr">
        <is>
          <t>AMR3</t>
        </is>
      </c>
      <c r="X540" s="32" t="n">
        <v>0</v>
      </c>
      <c r="Y540" s="32" t="n">
        <v>0</v>
      </c>
      <c r="Z540" s="31" t="n">
        <v>0</v>
      </c>
      <c r="AA540" s="32" t="n">
        <v>0</v>
      </c>
      <c r="AB540" s="32" t="n">
        <v>0</v>
      </c>
      <c r="AC540" s="32" t="n">
        <v>0</v>
      </c>
      <c r="AD540" s="32" t="n">
        <v>0</v>
      </c>
      <c r="AE540" s="31" t="n">
        <v>0</v>
      </c>
      <c r="AF540" s="32" t="n">
        <v>0</v>
      </c>
      <c r="AG540" s="31" t="n">
        <v>0</v>
      </c>
      <c r="AH540" s="32" t="n">
        <v>54</v>
      </c>
      <c r="AI540" s="31" t="n">
        <v>56.1</v>
      </c>
      <c r="AJ540" s="31" t="n">
        <v>47.6</v>
      </c>
      <c r="AK540" s="31" t="n">
        <v>0</v>
      </c>
      <c r="AL540" s="30" t="inlineStr">
        <is>
          <t>T-0686</t>
        </is>
      </c>
      <c r="AM540" s="30" t="inlineStr">
        <is>
          <t>H-02-03</t>
        </is>
      </c>
      <c r="AN540" s="30" t="inlineStr">
        <is>
          <t>T-0550</t>
        </is>
      </c>
      <c r="AO540" s="30" t="inlineStr">
        <is>
          <t>H-06-01</t>
        </is>
      </c>
    </row>
    <row r="541">
      <c r="A541" s="30" t="inlineStr">
        <is>
          <t>O0540</t>
        </is>
      </c>
      <c r="B541" s="30" t="inlineStr">
        <is>
          <t>C</t>
        </is>
      </c>
      <c r="C541" s="31" t="n">
        <v>7764.8</v>
      </c>
      <c r="D541" s="31" t="n">
        <v>19783.1</v>
      </c>
      <c r="E541" s="31" t="n">
        <v>19806.6</v>
      </c>
      <c r="F541" s="31" t="n">
        <v>19821.7</v>
      </c>
      <c r="G541" s="31" t="n">
        <v>19846</v>
      </c>
      <c r="H541" s="31" t="n">
        <v>19866.2</v>
      </c>
      <c r="I541" s="31" t="n">
        <v>19892</v>
      </c>
      <c r="J541" s="31" t="n">
        <v>19918.2</v>
      </c>
      <c r="K541" s="31" t="n">
        <v>12153.4</v>
      </c>
      <c r="L541" s="31" t="n">
        <v>12018.3</v>
      </c>
      <c r="M541" s="30" t="inlineStr">
        <is>
          <t>AMR3</t>
        </is>
      </c>
      <c r="N541" s="30" t="inlineStr">
        <is>
          <t>AMR2</t>
        </is>
      </c>
      <c r="O541" s="32" t="n">
        <v>1</v>
      </c>
      <c r="P541" s="32" t="n">
        <v>25</v>
      </c>
      <c r="Q541" s="32" t="n">
        <v>16</v>
      </c>
      <c r="R541" s="31" t="n">
        <v>61</v>
      </c>
      <c r="S541" s="31" t="n">
        <v>61</v>
      </c>
      <c r="T541" s="30" t="inlineStr">
        <is>
          <t>AMR3</t>
        </is>
      </c>
      <c r="U541" s="31" t="n">
        <v>52.4</v>
      </c>
      <c r="V541" s="31" t="n">
        <v>52.4</v>
      </c>
      <c r="W541" s="30" t="inlineStr">
        <is>
          <t>AMR2</t>
        </is>
      </c>
      <c r="X541" s="32" t="n">
        <v>0</v>
      </c>
      <c r="Y541" s="32" t="n">
        <v>0</v>
      </c>
      <c r="Z541" s="31" t="n">
        <v>0</v>
      </c>
      <c r="AA541" s="32" t="n">
        <v>0</v>
      </c>
      <c r="AB541" s="32" t="n">
        <v>0</v>
      </c>
      <c r="AC541" s="32" t="n">
        <v>0</v>
      </c>
      <c r="AD541" s="32" t="n">
        <v>0</v>
      </c>
      <c r="AE541" s="31" t="n">
        <v>0</v>
      </c>
      <c r="AF541" s="32" t="n">
        <v>0</v>
      </c>
      <c r="AG541" s="31" t="n">
        <v>0</v>
      </c>
      <c r="AH541" s="32" t="n">
        <v>67</v>
      </c>
      <c r="AI541" s="31" t="n">
        <v>69.5</v>
      </c>
      <c r="AJ541" s="31" t="n">
        <v>45.4</v>
      </c>
      <c r="AK541" s="31" t="n">
        <v>0</v>
      </c>
      <c r="AL541" s="30" t="inlineStr">
        <is>
          <t>T-0692</t>
        </is>
      </c>
      <c r="AM541" s="30" t="inlineStr">
        <is>
          <t>C-02-02</t>
        </is>
      </c>
      <c r="AN541" s="30" t="inlineStr">
        <is>
          <t>T-0534</t>
        </is>
      </c>
      <c r="AO541" s="30" t="inlineStr">
        <is>
          <t>C-02-01</t>
        </is>
      </c>
    </row>
    <row r="542">
      <c r="A542" s="30" t="inlineStr">
        <is>
          <t>O0541</t>
        </is>
      </c>
      <c r="B542" s="30" t="inlineStr">
        <is>
          <t>C</t>
        </is>
      </c>
      <c r="C542" s="31" t="n">
        <v>7786.2</v>
      </c>
      <c r="D542" s="31" t="n">
        <v>19641.7</v>
      </c>
      <c r="E542" s="31" t="n">
        <v>19674.2</v>
      </c>
      <c r="F542" s="31" t="n">
        <v>19686.9</v>
      </c>
      <c r="G542" s="31" t="n">
        <v>19710.8</v>
      </c>
      <c r="H542" s="31" t="n">
        <v>19710.9</v>
      </c>
      <c r="I542" s="31" t="n">
        <v>19720.4</v>
      </c>
      <c r="J542" s="31" t="n">
        <v>19747</v>
      </c>
      <c r="K542" s="31" t="n">
        <v>11960.8</v>
      </c>
      <c r="L542" s="31" t="n">
        <v>11855.5</v>
      </c>
      <c r="M542" s="30" t="inlineStr">
        <is>
          <t>AMR2</t>
        </is>
      </c>
      <c r="N542" s="30" t="inlineStr">
        <is>
          <t>AMR2</t>
        </is>
      </c>
      <c r="O542" s="32" t="n">
        <v>1</v>
      </c>
      <c r="P542" s="32" t="n">
        <v>25</v>
      </c>
      <c r="Q542" s="32" t="n">
        <v>1</v>
      </c>
      <c r="R542" s="31" t="n">
        <v>58.2</v>
      </c>
      <c r="S542" s="31" t="n">
        <v>58.2</v>
      </c>
      <c r="T542" s="30" t="inlineStr">
        <is>
          <t>AMR2</t>
        </is>
      </c>
      <c r="U542" s="31" t="n">
        <v>36.9</v>
      </c>
      <c r="V542" s="31" t="n">
        <v>36.9</v>
      </c>
      <c r="W542" s="30" t="inlineStr">
        <is>
          <t>AMR2</t>
        </is>
      </c>
      <c r="X542" s="32" t="n">
        <v>0</v>
      </c>
      <c r="Y542" s="32" t="n">
        <v>0</v>
      </c>
      <c r="Z542" s="31" t="n">
        <v>0</v>
      </c>
      <c r="AA542" s="32" t="n">
        <v>0</v>
      </c>
      <c r="AB542" s="32" t="n">
        <v>0</v>
      </c>
      <c r="AC542" s="32" t="n">
        <v>0</v>
      </c>
      <c r="AD542" s="32" t="n">
        <v>0</v>
      </c>
      <c r="AE542" s="31" t="n">
        <v>0</v>
      </c>
      <c r="AF542" s="32" t="n">
        <v>1</v>
      </c>
      <c r="AG542" s="31" t="n">
        <v>4</v>
      </c>
      <c r="AH542" s="32" t="n">
        <v>52</v>
      </c>
      <c r="AI542" s="31" t="n">
        <v>54.2</v>
      </c>
      <c r="AJ542" s="31" t="n">
        <v>42</v>
      </c>
      <c r="AK542" s="31" t="n">
        <v>9</v>
      </c>
      <c r="AL542" s="30" t="inlineStr">
        <is>
          <t>T-0688</t>
        </is>
      </c>
      <c r="AM542" s="30" t="inlineStr">
        <is>
          <t>C-01-02</t>
        </is>
      </c>
      <c r="AN542" s="30" t="inlineStr">
        <is>
          <t>T-0523</t>
        </is>
      </c>
      <c r="AO542" s="30" t="inlineStr">
        <is>
          <t>C-02-02</t>
        </is>
      </c>
    </row>
    <row r="543">
      <c r="A543" s="30" t="inlineStr">
        <is>
          <t>O0542</t>
        </is>
      </c>
      <c r="B543" s="30" t="inlineStr">
        <is>
          <t>A</t>
        </is>
      </c>
      <c r="C543" s="31" t="n">
        <v>7805.5</v>
      </c>
      <c r="D543" s="31" t="n">
        <v>19727.1</v>
      </c>
      <c r="E543" s="31" t="n">
        <v>19750.6</v>
      </c>
      <c r="F543" s="31" t="n">
        <v>19766.7</v>
      </c>
      <c r="G543" s="31" t="n">
        <v>19797.9</v>
      </c>
      <c r="H543" s="31" t="n">
        <v>21856.3</v>
      </c>
      <c r="I543" s="31" t="n">
        <v>21871.6</v>
      </c>
      <c r="J543" s="31" t="n">
        <v>21907</v>
      </c>
      <c r="K543" s="31" t="n">
        <v>14101.5</v>
      </c>
      <c r="L543" s="31" t="n">
        <v>11921.6</v>
      </c>
      <c r="M543" s="30" t="inlineStr">
        <is>
          <t>AMR1</t>
        </is>
      </c>
      <c r="N543" s="30" t="inlineStr">
        <is>
          <t>AMR1</t>
        </is>
      </c>
      <c r="O543" s="32" t="n">
        <v>1</v>
      </c>
      <c r="P543" s="32" t="n">
        <v>25</v>
      </c>
      <c r="Q543" s="32" t="n">
        <v>1</v>
      </c>
      <c r="R543" s="31" t="n">
        <v>67.3</v>
      </c>
      <c r="S543" s="31" t="n">
        <v>67.3</v>
      </c>
      <c r="T543" s="30" t="inlineStr">
        <is>
          <t>AMR1</t>
        </is>
      </c>
      <c r="U543" s="31" t="n">
        <v>51.5</v>
      </c>
      <c r="V543" s="31" t="n">
        <v>51.5</v>
      </c>
      <c r="W543" s="30" t="inlineStr">
        <is>
          <t>AMR1</t>
        </is>
      </c>
      <c r="X543" s="32" t="n">
        <v>0</v>
      </c>
      <c r="Y543" s="32" t="n">
        <v>0</v>
      </c>
      <c r="Z543" s="31" t="n">
        <v>0</v>
      </c>
      <c r="AA543" s="32" t="n">
        <v>0</v>
      </c>
      <c r="AB543" s="32" t="n">
        <v>0</v>
      </c>
      <c r="AC543" s="32" t="n">
        <v>0</v>
      </c>
      <c r="AD543" s="32" t="n">
        <v>0</v>
      </c>
      <c r="AE543" s="31" t="n">
        <v>0</v>
      </c>
      <c r="AF543" s="32" t="n">
        <v>0</v>
      </c>
      <c r="AG543" s="31" t="n">
        <v>0</v>
      </c>
      <c r="AH543" s="32" t="n">
        <v>72</v>
      </c>
      <c r="AI543" s="31" t="n">
        <v>70.09999999999999</v>
      </c>
      <c r="AJ543" s="31" t="n">
        <v>51.4</v>
      </c>
      <c r="AK543" s="31" t="n">
        <v>0</v>
      </c>
      <c r="AL543" s="30" t="inlineStr">
        <is>
          <t>T-0690</t>
        </is>
      </c>
      <c r="AM543" s="30" t="inlineStr">
        <is>
          <t>A-01-02</t>
        </is>
      </c>
      <c r="AN543" s="30" t="inlineStr">
        <is>
          <t>T-0601</t>
        </is>
      </c>
      <c r="AO543" s="30" t="inlineStr">
        <is>
          <t>A-06-02</t>
        </is>
      </c>
    </row>
    <row r="544">
      <c r="A544" s="30" t="inlineStr">
        <is>
          <t>O0543</t>
        </is>
      </c>
      <c r="B544" s="30" t="inlineStr">
        <is>
          <t>E</t>
        </is>
      </c>
      <c r="C544" s="31" t="n">
        <v>7825.7</v>
      </c>
      <c r="D544" s="31" t="n">
        <v>20149</v>
      </c>
      <c r="E544" s="31" t="n">
        <v>20176.5</v>
      </c>
      <c r="F544" s="31" t="n">
        <v>20192.8</v>
      </c>
      <c r="G544" s="31" t="n">
        <v>20223.9</v>
      </c>
      <c r="H544" s="31" t="n">
        <v>20224</v>
      </c>
      <c r="I544" s="31" t="n">
        <v>20234.3</v>
      </c>
      <c r="J544" s="31" t="n">
        <v>20267.1</v>
      </c>
      <c r="K544" s="31" t="n">
        <v>12441.4</v>
      </c>
      <c r="L544" s="31" t="n">
        <v>12323.3</v>
      </c>
      <c r="M544" s="30" t="inlineStr">
        <is>
          <t>AMR2</t>
        </is>
      </c>
      <c r="N544" s="30" t="inlineStr">
        <is>
          <t>AMR2</t>
        </is>
      </c>
      <c r="O544" s="32" t="n">
        <v>1</v>
      </c>
      <c r="P544" s="32" t="n">
        <v>25</v>
      </c>
      <c r="Q544" s="32" t="n">
        <v>1</v>
      </c>
      <c r="R544" s="31" t="n">
        <v>67.40000000000001</v>
      </c>
      <c r="S544" s="31" t="n">
        <v>67.40000000000001</v>
      </c>
      <c r="T544" s="30" t="inlineStr">
        <is>
          <t>AMR2</t>
        </is>
      </c>
      <c r="U544" s="31" t="n">
        <v>43.8</v>
      </c>
      <c r="V544" s="31" t="n">
        <v>43.8</v>
      </c>
      <c r="W544" s="30" t="inlineStr">
        <is>
          <t>AMR2</t>
        </is>
      </c>
      <c r="X544" s="32" t="n">
        <v>0</v>
      </c>
      <c r="Y544" s="32" t="n">
        <v>0</v>
      </c>
      <c r="Z544" s="31" t="n">
        <v>0</v>
      </c>
      <c r="AA544" s="32" t="n">
        <v>0</v>
      </c>
      <c r="AB544" s="32" t="n">
        <v>0</v>
      </c>
      <c r="AC544" s="32" t="n">
        <v>0</v>
      </c>
      <c r="AD544" s="32" t="n">
        <v>0</v>
      </c>
      <c r="AE544" s="31" t="n">
        <v>0</v>
      </c>
      <c r="AF544" s="32" t="n">
        <v>0</v>
      </c>
      <c r="AG544" s="31" t="n">
        <v>0</v>
      </c>
      <c r="AH544" s="32" t="n">
        <v>68</v>
      </c>
      <c r="AI544" s="31" t="n">
        <v>67</v>
      </c>
      <c r="AJ544" s="31" t="n">
        <v>47</v>
      </c>
      <c r="AK544" s="31" t="n">
        <v>4</v>
      </c>
      <c r="AL544" s="30" t="inlineStr">
        <is>
          <t>T-0701</t>
        </is>
      </c>
      <c r="AM544" s="30" t="inlineStr">
        <is>
          <t>E-05-02</t>
        </is>
      </c>
      <c r="AN544" s="30" t="inlineStr">
        <is>
          <t>T-0517</t>
        </is>
      </c>
      <c r="AO544" s="30" t="inlineStr">
        <is>
          <t>E-01-03</t>
        </is>
      </c>
    </row>
    <row r="545">
      <c r="A545" s="30" t="inlineStr">
        <is>
          <t>O0544</t>
        </is>
      </c>
      <c r="B545" s="30" t="inlineStr">
        <is>
          <t>D</t>
        </is>
      </c>
      <c r="C545" s="31" t="n">
        <v>7842.3</v>
      </c>
      <c r="D545" s="31" t="n">
        <v>19747.1</v>
      </c>
      <c r="E545" s="31" t="n">
        <v>19774.6</v>
      </c>
      <c r="F545" s="31" t="n">
        <v>19790.5</v>
      </c>
      <c r="G545" s="31" t="n">
        <v>19815.1</v>
      </c>
      <c r="H545" s="31" t="n">
        <v>20095.2</v>
      </c>
      <c r="I545" s="31" t="n">
        <v>20108.3</v>
      </c>
      <c r="J545" s="31" t="n">
        <v>20148.9</v>
      </c>
      <c r="K545" s="31" t="n">
        <v>12306.6</v>
      </c>
      <c r="L545" s="31" t="n">
        <v>11904.8</v>
      </c>
      <c r="M545" s="30" t="inlineStr">
        <is>
          <t>AMR2</t>
        </is>
      </c>
      <c r="N545" s="30" t="inlineStr">
        <is>
          <t>AMR2</t>
        </is>
      </c>
      <c r="O545" s="32" t="n">
        <v>1</v>
      </c>
      <c r="P545" s="32" t="n">
        <v>25</v>
      </c>
      <c r="Q545" s="32" t="n">
        <v>3</v>
      </c>
      <c r="R545" s="31" t="n">
        <v>61.3</v>
      </c>
      <c r="S545" s="31" t="n">
        <v>61.3</v>
      </c>
      <c r="T545" s="30" t="inlineStr">
        <is>
          <t>AMR2</t>
        </is>
      </c>
      <c r="U545" s="31" t="n">
        <v>44.3</v>
      </c>
      <c r="V545" s="31" t="n">
        <v>44.3</v>
      </c>
      <c r="W545" s="30" t="inlineStr">
        <is>
          <t>AMR2</t>
        </is>
      </c>
      <c r="X545" s="32" t="n">
        <v>0</v>
      </c>
      <c r="Y545" s="32" t="n">
        <v>0</v>
      </c>
      <c r="Z545" s="31" t="n">
        <v>0</v>
      </c>
      <c r="AA545" s="32" t="n">
        <v>0</v>
      </c>
      <c r="AB545" s="32" t="n">
        <v>0</v>
      </c>
      <c r="AC545" s="32" t="n">
        <v>0</v>
      </c>
      <c r="AD545" s="32" t="n">
        <v>1</v>
      </c>
      <c r="AE545" s="31" t="n">
        <v>9</v>
      </c>
      <c r="AF545" s="32" t="n">
        <v>1</v>
      </c>
      <c r="AG545" s="31" t="n">
        <v>4</v>
      </c>
      <c r="AH545" s="32" t="n">
        <v>57</v>
      </c>
      <c r="AI545" s="31" t="n">
        <v>59.1</v>
      </c>
      <c r="AJ545" s="31" t="n">
        <v>49.6</v>
      </c>
      <c r="AK545" s="31" t="n">
        <v>13</v>
      </c>
      <c r="AL545" s="30" t="inlineStr">
        <is>
          <t>T-0691</t>
        </is>
      </c>
      <c r="AM545" s="30" t="inlineStr">
        <is>
          <t>D-03-03</t>
        </is>
      </c>
      <c r="AN545" s="30" t="inlineStr">
        <is>
          <t>T-0477</t>
        </is>
      </c>
      <c r="AO545" s="30" t="inlineStr">
        <is>
          <t>D-04-02</t>
        </is>
      </c>
    </row>
    <row r="546">
      <c r="A546" s="30" t="inlineStr">
        <is>
          <t>O0545</t>
        </is>
      </c>
      <c r="B546" s="30" t="inlineStr">
        <is>
          <t>I</t>
        </is>
      </c>
      <c r="C546" s="31" t="n">
        <v>7866.8</v>
      </c>
      <c r="D546" s="31" t="n">
        <v>19888.8</v>
      </c>
      <c r="E546" s="31" t="n">
        <v>19912.3</v>
      </c>
      <c r="F546" s="31" t="n">
        <v>19923.7</v>
      </c>
      <c r="G546" s="31" t="n">
        <v>19951.7</v>
      </c>
      <c r="H546" s="31" t="n">
        <v>19951.8</v>
      </c>
      <c r="I546" s="31" t="n">
        <v>19964.8</v>
      </c>
      <c r="J546" s="31" t="n">
        <v>20012.9</v>
      </c>
      <c r="K546" s="31" t="n">
        <v>12146.1</v>
      </c>
      <c r="L546" s="31" t="n">
        <v>12022</v>
      </c>
      <c r="M546" s="30" t="inlineStr">
        <is>
          <t>AMR3</t>
        </is>
      </c>
      <c r="N546" s="30" t="inlineStr">
        <is>
          <t>AMR3</t>
        </is>
      </c>
      <c r="O546" s="32" t="n">
        <v>1</v>
      </c>
      <c r="P546" s="32" t="n">
        <v>25</v>
      </c>
      <c r="Q546" s="32" t="n">
        <v>2</v>
      </c>
      <c r="R546" s="31" t="n">
        <v>58.7</v>
      </c>
      <c r="S546" s="31" t="n">
        <v>58.7</v>
      </c>
      <c r="T546" s="30" t="inlineStr">
        <is>
          <t>AMR3</t>
        </is>
      </c>
      <c r="U546" s="31" t="n">
        <v>38.2</v>
      </c>
      <c r="V546" s="31" t="n">
        <v>38.2</v>
      </c>
      <c r="W546" s="30" t="inlineStr">
        <is>
          <t>AMR3</t>
        </is>
      </c>
      <c r="X546" s="32" t="n">
        <v>0</v>
      </c>
      <c r="Y546" s="32" t="n">
        <v>0</v>
      </c>
      <c r="Z546" s="31" t="n">
        <v>0</v>
      </c>
      <c r="AA546" s="32" t="n">
        <v>0</v>
      </c>
      <c r="AB546" s="32" t="n">
        <v>0</v>
      </c>
      <c r="AC546" s="32" t="n">
        <v>0</v>
      </c>
      <c r="AD546" s="32" t="n">
        <v>2</v>
      </c>
      <c r="AE546" s="31" t="n">
        <v>22.1</v>
      </c>
      <c r="AF546" s="32" t="n">
        <v>1</v>
      </c>
      <c r="AG546" s="31" t="n">
        <v>13.1</v>
      </c>
      <c r="AH546" s="32" t="n">
        <v>58</v>
      </c>
      <c r="AI546" s="31" t="n">
        <v>59.8</v>
      </c>
      <c r="AJ546" s="31" t="n">
        <v>42.1</v>
      </c>
      <c r="AK546" s="31" t="n">
        <v>22.1</v>
      </c>
      <c r="AL546" s="30" t="inlineStr">
        <is>
          <t>T-0694</t>
        </is>
      </c>
      <c r="AM546" s="30" t="inlineStr">
        <is>
          <t>I-06-02</t>
        </is>
      </c>
      <c r="AN546" s="30" t="inlineStr">
        <is>
          <t>T-0544</t>
        </is>
      </c>
      <c r="AO546" s="30" t="inlineStr">
        <is>
          <t>I-02-03</t>
        </is>
      </c>
    </row>
    <row r="547">
      <c r="A547" s="30" t="inlineStr">
        <is>
          <t>O0546</t>
        </is>
      </c>
      <c r="B547" s="30" t="inlineStr">
        <is>
          <t>E</t>
        </is>
      </c>
      <c r="C547" s="31" t="n">
        <v>7890.3</v>
      </c>
      <c r="D547" s="31" t="n">
        <v>19848.9</v>
      </c>
      <c r="E547" s="31" t="n">
        <v>19872.4</v>
      </c>
      <c r="F547" s="31" t="n">
        <v>19883.2</v>
      </c>
      <c r="G547" s="31" t="n">
        <v>19909.6</v>
      </c>
      <c r="H547" s="31" t="n">
        <v>19969</v>
      </c>
      <c r="I547" s="31" t="n">
        <v>19980.4</v>
      </c>
      <c r="J547" s="31" t="n">
        <v>20026.8</v>
      </c>
      <c r="K547" s="31" t="n">
        <v>12136.5</v>
      </c>
      <c r="L547" s="31" t="n">
        <v>11958.6</v>
      </c>
      <c r="M547" s="30" t="inlineStr">
        <is>
          <t>AMR1</t>
        </is>
      </c>
      <c r="N547" s="30" t="inlineStr">
        <is>
          <t>AMR1</t>
        </is>
      </c>
      <c r="O547" s="32" t="n">
        <v>1</v>
      </c>
      <c r="P547" s="32" t="n">
        <v>25</v>
      </c>
      <c r="Q547" s="32" t="n">
        <v>2</v>
      </c>
      <c r="R547" s="31" t="n">
        <v>58.8</v>
      </c>
      <c r="S547" s="31" t="n">
        <v>58.8</v>
      </c>
      <c r="T547" s="30" t="inlineStr">
        <is>
          <t>AMR1</t>
        </is>
      </c>
      <c r="U547" s="31" t="n">
        <v>44.9</v>
      </c>
      <c r="V547" s="31" t="n">
        <v>44.9</v>
      </c>
      <c r="W547" s="30" t="inlineStr">
        <is>
          <t>AMR1</t>
        </is>
      </c>
      <c r="X547" s="32" t="n">
        <v>0</v>
      </c>
      <c r="Y547" s="32" t="n">
        <v>0</v>
      </c>
      <c r="Z547" s="31" t="n">
        <v>0</v>
      </c>
      <c r="AA547" s="32" t="n">
        <v>0</v>
      </c>
      <c r="AB547" s="32" t="n">
        <v>0</v>
      </c>
      <c r="AC547" s="32" t="n">
        <v>0</v>
      </c>
      <c r="AD547" s="32" t="n">
        <v>2</v>
      </c>
      <c r="AE547" s="31" t="n">
        <v>3.2</v>
      </c>
      <c r="AF547" s="32" t="n">
        <v>0</v>
      </c>
      <c r="AG547" s="31" t="n">
        <v>0</v>
      </c>
      <c r="AH547" s="32" t="n">
        <v>73</v>
      </c>
      <c r="AI547" s="31" t="n">
        <v>72</v>
      </c>
      <c r="AJ547" s="31" t="n">
        <v>38.8</v>
      </c>
      <c r="AK547" s="31" t="n">
        <v>7.7</v>
      </c>
      <c r="AL547" s="30" t="inlineStr">
        <is>
          <t>T-0693</t>
        </is>
      </c>
      <c r="AM547" s="30" t="inlineStr">
        <is>
          <t>E-02-02</t>
        </is>
      </c>
      <c r="AN547" s="30" t="inlineStr">
        <is>
          <t>T-0513</t>
        </is>
      </c>
      <c r="AO547" s="30" t="inlineStr">
        <is>
          <t>E-05-02</t>
        </is>
      </c>
    </row>
    <row r="548">
      <c r="A548" s="30" t="inlineStr">
        <is>
          <t>O0547</t>
        </is>
      </c>
      <c r="B548" s="30" t="inlineStr">
        <is>
          <t>I</t>
        </is>
      </c>
      <c r="C548" s="31" t="n">
        <v>7911.6</v>
      </c>
      <c r="D548" s="31" t="n">
        <v>20040.2</v>
      </c>
      <c r="E548" s="31" t="n">
        <v>20054.2</v>
      </c>
      <c r="F548" s="31" t="n">
        <v>20069.6</v>
      </c>
      <c r="G548" s="31" t="n">
        <v>20095.1</v>
      </c>
      <c r="H548" s="31" t="n">
        <v>20169.4</v>
      </c>
      <c r="I548" s="31" t="n">
        <v>20197.1</v>
      </c>
      <c r="J548" s="31" t="n">
        <v>20226.1</v>
      </c>
      <c r="K548" s="31" t="n">
        <v>12314.5</v>
      </c>
      <c r="L548" s="31" t="n">
        <v>12128.6</v>
      </c>
      <c r="M548" s="30" t="inlineStr">
        <is>
          <t>AMR2</t>
        </is>
      </c>
      <c r="N548" s="30" t="inlineStr">
        <is>
          <t>AMR1</t>
        </is>
      </c>
      <c r="O548" s="32" t="n">
        <v>1</v>
      </c>
      <c r="P548" s="32" t="n">
        <v>14</v>
      </c>
      <c r="Q548" s="32" t="n">
        <v>14</v>
      </c>
      <c r="R548" s="31" t="n">
        <v>52.7</v>
      </c>
      <c r="S548" s="31" t="n">
        <v>52.7</v>
      </c>
      <c r="T548" s="30" t="inlineStr">
        <is>
          <t>AMR2</t>
        </is>
      </c>
      <c r="U548" s="31" t="n">
        <v>55.4</v>
      </c>
      <c r="V548" s="31" t="n">
        <v>55.4</v>
      </c>
      <c r="W548" s="30" t="inlineStr">
        <is>
          <t>AMR1</t>
        </is>
      </c>
      <c r="X548" s="32" t="n">
        <v>0</v>
      </c>
      <c r="Y548" s="32" t="n">
        <v>0</v>
      </c>
      <c r="Z548" s="31" t="n">
        <v>0</v>
      </c>
      <c r="AA548" s="32" t="n">
        <v>0</v>
      </c>
      <c r="AB548" s="32" t="n">
        <v>0</v>
      </c>
      <c r="AC548" s="32" t="n">
        <v>0</v>
      </c>
      <c r="AD548" s="32" t="n">
        <v>0</v>
      </c>
      <c r="AE548" s="31" t="n">
        <v>0</v>
      </c>
      <c r="AF548" s="32" t="n">
        <v>0</v>
      </c>
      <c r="AG548" s="31" t="n">
        <v>0</v>
      </c>
      <c r="AH548" s="32" t="n">
        <v>58</v>
      </c>
      <c r="AI548" s="31" t="n">
        <v>61.6</v>
      </c>
      <c r="AJ548" s="31" t="n">
        <v>50</v>
      </c>
      <c r="AK548" s="31" t="n">
        <v>0</v>
      </c>
      <c r="AL548" s="30" t="inlineStr">
        <is>
          <t>T-0698</t>
        </is>
      </c>
      <c r="AM548" s="30" t="inlineStr">
        <is>
          <t>I-04-03</t>
        </is>
      </c>
      <c r="AN548" s="30" t="inlineStr">
        <is>
          <t>T-0548</t>
        </is>
      </c>
      <c r="AO548" s="30" t="inlineStr">
        <is>
          <t>I-03-03</t>
        </is>
      </c>
    </row>
    <row r="549">
      <c r="A549" s="30" t="inlineStr">
        <is>
          <t>O0548</t>
        </is>
      </c>
      <c r="B549" s="30" t="inlineStr">
        <is>
          <t>E</t>
        </is>
      </c>
      <c r="C549" s="31" t="n">
        <v>7927.9</v>
      </c>
      <c r="D549" s="31" t="n">
        <v>19909.7</v>
      </c>
      <c r="E549" s="31" t="n">
        <v>19928.9</v>
      </c>
      <c r="F549" s="31" t="n">
        <v>19941.5</v>
      </c>
      <c r="G549" s="31" t="n">
        <v>19968.9</v>
      </c>
      <c r="H549" s="31" t="n">
        <v>21149.7</v>
      </c>
      <c r="I549" s="31" t="n">
        <v>21161.9</v>
      </c>
      <c r="J549" s="31" t="n">
        <v>21197</v>
      </c>
      <c r="K549" s="31" t="n">
        <v>13269.1</v>
      </c>
      <c r="L549" s="31" t="n">
        <v>11981.8</v>
      </c>
      <c r="M549" s="30" t="inlineStr">
        <is>
          <t>AMR1</t>
        </is>
      </c>
      <c r="N549" s="30" t="inlineStr">
        <is>
          <t>AMR3</t>
        </is>
      </c>
      <c r="O549" s="32" t="n">
        <v>1</v>
      </c>
      <c r="P549" s="32" t="n">
        <v>18</v>
      </c>
      <c r="Q549" s="32" t="n">
        <v>2</v>
      </c>
      <c r="R549" s="31" t="n">
        <v>54.3</v>
      </c>
      <c r="S549" s="31" t="n">
        <v>54.3</v>
      </c>
      <c r="T549" s="30" t="inlineStr">
        <is>
          <t>AMR1</t>
        </is>
      </c>
      <c r="U549" s="31" t="n">
        <v>47.8</v>
      </c>
      <c r="V549" s="31" t="n">
        <v>47.8</v>
      </c>
      <c r="W549" s="30" t="inlineStr">
        <is>
          <t>AMR3</t>
        </is>
      </c>
      <c r="X549" s="32" t="n">
        <v>0</v>
      </c>
      <c r="Y549" s="32" t="n">
        <v>0</v>
      </c>
      <c r="Z549" s="31" t="n">
        <v>0</v>
      </c>
      <c r="AA549" s="32" t="n">
        <v>0</v>
      </c>
      <c r="AB549" s="32" t="n">
        <v>0</v>
      </c>
      <c r="AC549" s="32" t="n">
        <v>0</v>
      </c>
      <c r="AD549" s="32" t="n">
        <v>0</v>
      </c>
      <c r="AE549" s="31" t="n">
        <v>0</v>
      </c>
      <c r="AF549" s="32" t="n">
        <v>0</v>
      </c>
      <c r="AG549" s="31" t="n">
        <v>0</v>
      </c>
      <c r="AH549" s="32" t="n">
        <v>63</v>
      </c>
      <c r="AI549" s="31" t="n">
        <v>61.4</v>
      </c>
      <c r="AJ549" s="31" t="n">
        <v>42.1</v>
      </c>
      <c r="AK549" s="31" t="n">
        <v>3</v>
      </c>
      <c r="AL549" s="30" t="inlineStr">
        <is>
          <t>T-0695</t>
        </is>
      </c>
      <c r="AM549" s="30" t="inlineStr">
        <is>
          <t>E-06-03</t>
        </is>
      </c>
      <c r="AN549" s="30" t="inlineStr">
        <is>
          <t>T-0567</t>
        </is>
      </c>
      <c r="AO549" s="30" t="inlineStr">
        <is>
          <t>E-04-03</t>
        </is>
      </c>
    </row>
    <row r="550">
      <c r="A550" s="30" t="inlineStr">
        <is>
          <t>O0549</t>
        </is>
      </c>
      <c r="B550" s="30" t="inlineStr">
        <is>
          <t>I</t>
        </is>
      </c>
      <c r="C550" s="31" t="n">
        <v>7948.2</v>
      </c>
      <c r="D550" s="31" t="n">
        <v>19981.5</v>
      </c>
      <c r="E550" s="31" t="n">
        <v>20005</v>
      </c>
      <c r="F550" s="31" t="n">
        <v>20016.2</v>
      </c>
      <c r="G550" s="31" t="n">
        <v>20040.1</v>
      </c>
      <c r="H550" s="31" t="n">
        <v>20332.7</v>
      </c>
      <c r="I550" s="31" t="n">
        <v>20346.4</v>
      </c>
      <c r="J550" s="31" t="n">
        <v>20374.1</v>
      </c>
      <c r="K550" s="31" t="n">
        <v>12425.9</v>
      </c>
      <c r="L550" s="31" t="n">
        <v>12033.3</v>
      </c>
      <c r="M550" s="30" t="inlineStr">
        <is>
          <t>AMR2</t>
        </is>
      </c>
      <c r="N550" s="30" t="inlineStr">
        <is>
          <t>AMR2</t>
        </is>
      </c>
      <c r="O550" s="32" t="n">
        <v>1</v>
      </c>
      <c r="P550" s="32" t="n">
        <v>25</v>
      </c>
      <c r="Q550" s="32" t="n">
        <v>0</v>
      </c>
      <c r="R550" s="31" t="n">
        <v>56.7</v>
      </c>
      <c r="S550" s="31" t="n">
        <v>56.7</v>
      </c>
      <c r="T550" s="30" t="inlineStr">
        <is>
          <t>AMR2</t>
        </is>
      </c>
      <c r="U550" s="31" t="n">
        <v>40.6</v>
      </c>
      <c r="V550" s="31" t="n">
        <v>40.6</v>
      </c>
      <c r="W550" s="30" t="inlineStr">
        <is>
          <t>AMR2</t>
        </is>
      </c>
      <c r="X550" s="32" t="n">
        <v>0</v>
      </c>
      <c r="Y550" s="32" t="n">
        <v>0</v>
      </c>
      <c r="Z550" s="31" t="n">
        <v>0</v>
      </c>
      <c r="AA550" s="32" t="n">
        <v>0</v>
      </c>
      <c r="AB550" s="32" t="n">
        <v>0</v>
      </c>
      <c r="AC550" s="32" t="n">
        <v>0</v>
      </c>
      <c r="AD550" s="32" t="n">
        <v>0</v>
      </c>
      <c r="AE550" s="31" t="n">
        <v>0</v>
      </c>
      <c r="AF550" s="32" t="n">
        <v>0</v>
      </c>
      <c r="AG550" s="31" t="n">
        <v>0</v>
      </c>
      <c r="AH550" s="32" t="n">
        <v>53</v>
      </c>
      <c r="AI550" s="31" t="n">
        <v>56.1</v>
      </c>
      <c r="AJ550" s="31" t="n">
        <v>43.9</v>
      </c>
      <c r="AK550" s="31" t="n">
        <v>0</v>
      </c>
      <c r="AL550" s="30" t="inlineStr">
        <is>
          <t>T-0696</t>
        </is>
      </c>
      <c r="AM550" s="30" t="inlineStr">
        <is>
          <t>I-02-03</t>
        </is>
      </c>
      <c r="AN550" s="30" t="inlineStr">
        <is>
          <t>T-0560</t>
        </is>
      </c>
      <c r="AO550" s="30" t="inlineStr">
        <is>
          <t>I-01-03</t>
        </is>
      </c>
    </row>
    <row r="551">
      <c r="A551" s="30" t="inlineStr">
        <is>
          <t>O0550</t>
        </is>
      </c>
      <c r="B551" s="30" t="inlineStr">
        <is>
          <t>J</t>
        </is>
      </c>
      <c r="C551" s="31" t="n">
        <v>7964.9</v>
      </c>
      <c r="D551" s="31" t="n">
        <v>20128.5</v>
      </c>
      <c r="E551" s="31" t="n">
        <v>20152</v>
      </c>
      <c r="F551" s="31" t="n">
        <v>20164.7</v>
      </c>
      <c r="G551" s="31" t="n">
        <v>20195.2</v>
      </c>
      <c r="H551" s="31" t="n">
        <v>21403.9</v>
      </c>
      <c r="I551" s="31" t="n">
        <v>21419.2</v>
      </c>
      <c r="J551" s="31" t="n">
        <v>21451.8</v>
      </c>
      <c r="K551" s="31" t="n">
        <v>13486.9</v>
      </c>
      <c r="L551" s="31" t="n">
        <v>12163.6</v>
      </c>
      <c r="M551" s="30" t="inlineStr">
        <is>
          <t>AMR3</t>
        </is>
      </c>
      <c r="N551" s="30" t="inlineStr">
        <is>
          <t>AMR1</t>
        </is>
      </c>
      <c r="O551" s="32" t="n">
        <v>1</v>
      </c>
      <c r="P551" s="32" t="n">
        <v>25</v>
      </c>
      <c r="Q551" s="32" t="n">
        <v>0</v>
      </c>
      <c r="R551" s="31" t="n">
        <v>64.90000000000001</v>
      </c>
      <c r="S551" s="31" t="n">
        <v>64.90000000000001</v>
      </c>
      <c r="T551" s="30" t="inlineStr">
        <is>
          <t>AMR3</t>
        </is>
      </c>
      <c r="U551" s="31" t="n">
        <v>46.1</v>
      </c>
      <c r="V551" s="31" t="n">
        <v>46.1</v>
      </c>
      <c r="W551" s="30" t="inlineStr">
        <is>
          <t>AMR1</t>
        </is>
      </c>
      <c r="X551" s="32" t="n">
        <v>0</v>
      </c>
      <c r="Y551" s="32" t="n">
        <v>0</v>
      </c>
      <c r="Z551" s="31" t="n">
        <v>0</v>
      </c>
      <c r="AA551" s="32" t="n">
        <v>0</v>
      </c>
      <c r="AB551" s="32" t="n">
        <v>0</v>
      </c>
      <c r="AC551" s="32" t="n">
        <v>0</v>
      </c>
      <c r="AD551" s="32" t="n">
        <v>0</v>
      </c>
      <c r="AE551" s="31" t="n">
        <v>0</v>
      </c>
      <c r="AF551" s="32" t="n">
        <v>0</v>
      </c>
      <c r="AG551" s="31" t="n">
        <v>0</v>
      </c>
      <c r="AH551" s="32" t="n">
        <v>67</v>
      </c>
      <c r="AI551" s="31" t="n">
        <v>67.59999999999999</v>
      </c>
      <c r="AJ551" s="31" t="n">
        <v>47</v>
      </c>
      <c r="AK551" s="31" t="n">
        <v>0</v>
      </c>
      <c r="AL551" s="30" t="inlineStr">
        <is>
          <t>T-0700</t>
        </is>
      </c>
      <c r="AM551" s="30" t="inlineStr">
        <is>
          <t>J-01-03</t>
        </is>
      </c>
      <c r="AN551" s="30" t="inlineStr">
        <is>
          <t>T-0587</t>
        </is>
      </c>
      <c r="AO551" s="30" t="inlineStr">
        <is>
          <t>J-05-03</t>
        </is>
      </c>
    </row>
    <row r="552">
      <c r="A552" s="30" t="inlineStr">
        <is>
          <t>O0551</t>
        </is>
      </c>
      <c r="B552" s="30" t="inlineStr">
        <is>
          <t>J</t>
        </is>
      </c>
      <c r="C552" s="31" t="n">
        <v>7981.6</v>
      </c>
      <c r="D552" s="31" t="n">
        <v>20013</v>
      </c>
      <c r="E552" s="31" t="n">
        <v>20036.5</v>
      </c>
      <c r="F552" s="31" t="n">
        <v>20051.2</v>
      </c>
      <c r="G552" s="31" t="n">
        <v>20082.5</v>
      </c>
      <c r="H552" s="31" t="n">
        <v>20082.6</v>
      </c>
      <c r="I552" s="31" t="n">
        <v>20096.4</v>
      </c>
      <c r="J552" s="31" t="n">
        <v>20128.4</v>
      </c>
      <c r="K552" s="31" t="n">
        <v>12146.8</v>
      </c>
      <c r="L552" s="31" t="n">
        <v>12031.4</v>
      </c>
      <c r="M552" s="30" t="inlineStr">
        <is>
          <t>AMR3</t>
        </is>
      </c>
      <c r="N552" s="30" t="inlineStr">
        <is>
          <t>AMR3</t>
        </is>
      </c>
      <c r="O552" s="32" t="n">
        <v>1</v>
      </c>
      <c r="P552" s="32" t="n">
        <v>25</v>
      </c>
      <c r="Q552" s="32" t="n">
        <v>2</v>
      </c>
      <c r="R552" s="31" t="n">
        <v>64.3</v>
      </c>
      <c r="S552" s="31" t="n">
        <v>64.3</v>
      </c>
      <c r="T552" s="30" t="inlineStr">
        <is>
          <t>AMR3</t>
        </is>
      </c>
      <c r="U552" s="31" t="n">
        <v>46.3</v>
      </c>
      <c r="V552" s="31" t="n">
        <v>46.3</v>
      </c>
      <c r="W552" s="30" t="inlineStr">
        <is>
          <t>AMR3</t>
        </is>
      </c>
      <c r="X552" s="32" t="n">
        <v>0</v>
      </c>
      <c r="Y552" s="32" t="n">
        <v>0</v>
      </c>
      <c r="Z552" s="31" t="n">
        <v>0</v>
      </c>
      <c r="AA552" s="32" t="n">
        <v>0</v>
      </c>
      <c r="AB552" s="32" t="n">
        <v>0</v>
      </c>
      <c r="AC552" s="32" t="n">
        <v>0</v>
      </c>
      <c r="AD552" s="32" t="n">
        <v>0</v>
      </c>
      <c r="AE552" s="31" t="n">
        <v>0</v>
      </c>
      <c r="AF552" s="32" t="n">
        <v>0</v>
      </c>
      <c r="AG552" s="31" t="n">
        <v>0</v>
      </c>
      <c r="AH552" s="32" t="n">
        <v>70</v>
      </c>
      <c r="AI552" s="31" t="n">
        <v>70.09999999999999</v>
      </c>
      <c r="AJ552" s="31" t="n">
        <v>45.2</v>
      </c>
      <c r="AK552" s="31" t="n">
        <v>0</v>
      </c>
      <c r="AL552" s="30" t="inlineStr">
        <is>
          <t>T-0697</t>
        </is>
      </c>
      <c r="AM552" s="30" t="inlineStr">
        <is>
          <t>J-06-02</t>
        </is>
      </c>
      <c r="AN552" s="30" t="inlineStr">
        <is>
          <t>T-0569</t>
        </is>
      </c>
      <c r="AO552" s="30" t="inlineStr">
        <is>
          <t>J-04-03</t>
        </is>
      </c>
    </row>
    <row r="553">
      <c r="A553" s="30" t="inlineStr">
        <is>
          <t>O0552</t>
        </is>
      </c>
      <c r="B553" s="30" t="inlineStr">
        <is>
          <t>F</t>
        </is>
      </c>
      <c r="C553" s="31" t="n">
        <v>8005.6</v>
      </c>
      <c r="D553" s="31" t="n">
        <v>20026.9</v>
      </c>
      <c r="E553" s="31" t="n">
        <v>20069.6</v>
      </c>
      <c r="F553" s="31" t="n">
        <v>20081.3</v>
      </c>
      <c r="G553" s="31" t="n">
        <v>20114.3</v>
      </c>
      <c r="H553" s="31" t="n">
        <v>20926.2</v>
      </c>
      <c r="I553" s="31" t="n">
        <v>20939.9</v>
      </c>
      <c r="J553" s="31" t="n">
        <v>20971.8</v>
      </c>
      <c r="K553" s="31" t="n">
        <v>12966.2</v>
      </c>
      <c r="L553" s="31" t="n">
        <v>12021.3</v>
      </c>
      <c r="M553" s="30" t="inlineStr">
        <is>
          <t>AMR1</t>
        </is>
      </c>
      <c r="N553" s="30" t="inlineStr">
        <is>
          <t>AMR3</t>
        </is>
      </c>
      <c r="O553" s="32" t="n">
        <v>1</v>
      </c>
      <c r="P553" s="32" t="n">
        <v>25</v>
      </c>
      <c r="Q553" s="32" t="n">
        <v>1</v>
      </c>
      <c r="R553" s="31" t="n">
        <v>64.8</v>
      </c>
      <c r="S553" s="31" t="n">
        <v>64.8</v>
      </c>
      <c r="T553" s="30" t="inlineStr">
        <is>
          <t>AMR1</t>
        </is>
      </c>
      <c r="U553" s="31" t="n">
        <v>47.8</v>
      </c>
      <c r="V553" s="31" t="n">
        <v>47.8</v>
      </c>
      <c r="W553" s="30" t="inlineStr">
        <is>
          <t>AMR3</t>
        </is>
      </c>
      <c r="X553" s="32" t="n">
        <v>0</v>
      </c>
      <c r="Y553" s="32" t="n">
        <v>0</v>
      </c>
      <c r="Z553" s="31" t="n">
        <v>0</v>
      </c>
      <c r="AA553" s="32" t="n">
        <v>0</v>
      </c>
      <c r="AB553" s="32" t="n">
        <v>0</v>
      </c>
      <c r="AC553" s="32" t="n">
        <v>0</v>
      </c>
      <c r="AD553" s="32" t="n">
        <v>0</v>
      </c>
      <c r="AE553" s="31" t="n">
        <v>0</v>
      </c>
      <c r="AF553" s="32" t="n">
        <v>2</v>
      </c>
      <c r="AG553" s="31" t="n">
        <v>9.199999999999999</v>
      </c>
      <c r="AH553" s="32" t="n">
        <v>70</v>
      </c>
      <c r="AI553" s="31" t="n">
        <v>69.09999999999999</v>
      </c>
      <c r="AJ553" s="31" t="n">
        <v>44.7</v>
      </c>
      <c r="AK553" s="31" t="n">
        <v>19.2</v>
      </c>
      <c r="AL553" s="30" t="inlineStr">
        <is>
          <t>T-0699</t>
        </is>
      </c>
      <c r="AM553" s="30" t="inlineStr">
        <is>
          <t>F-02-01</t>
        </is>
      </c>
      <c r="AN553" s="30" t="inlineStr">
        <is>
          <t>T-0613</t>
        </is>
      </c>
      <c r="AO553" s="30" t="inlineStr">
        <is>
          <t>F-06-01</t>
        </is>
      </c>
    </row>
    <row r="554">
      <c r="A554" s="30" t="inlineStr">
        <is>
          <t>O0553</t>
        </is>
      </c>
      <c r="B554" s="30" t="inlineStr">
        <is>
          <t>A</t>
        </is>
      </c>
      <c r="C554" s="31" t="n">
        <v>8021</v>
      </c>
      <c r="D554" s="31" t="n">
        <v>20449.3</v>
      </c>
      <c r="E554" s="31" t="n">
        <v>20472.8</v>
      </c>
      <c r="F554" s="31" t="n">
        <v>20488.6</v>
      </c>
      <c r="G554" s="31" t="n">
        <v>20517.8</v>
      </c>
      <c r="H554" s="31" t="n">
        <v>20517.9</v>
      </c>
      <c r="I554" s="31" t="n">
        <v>20531.8</v>
      </c>
      <c r="J554" s="31" t="n">
        <v>20565.9</v>
      </c>
      <c r="K554" s="31" t="n">
        <v>12544.9</v>
      </c>
      <c r="L554" s="31" t="n">
        <v>12428.3</v>
      </c>
      <c r="M554" s="30" t="inlineStr">
        <is>
          <t>AMR1</t>
        </is>
      </c>
      <c r="N554" s="30" t="inlineStr">
        <is>
          <t>AMR1</t>
        </is>
      </c>
      <c r="O554" s="32" t="n">
        <v>1</v>
      </c>
      <c r="P554" s="32" t="n">
        <v>25</v>
      </c>
      <c r="Q554" s="32" t="n">
        <v>1</v>
      </c>
      <c r="R554" s="31" t="n">
        <v>66.59999999999999</v>
      </c>
      <c r="S554" s="31" t="n">
        <v>66.59999999999999</v>
      </c>
      <c r="T554" s="30" t="inlineStr">
        <is>
          <t>AMR1</t>
        </is>
      </c>
      <c r="U554" s="31" t="n">
        <v>50.2</v>
      </c>
      <c r="V554" s="31" t="n">
        <v>50.2</v>
      </c>
      <c r="W554" s="30" t="inlineStr">
        <is>
          <t>AMR1</t>
        </is>
      </c>
      <c r="X554" s="32" t="n">
        <v>0</v>
      </c>
      <c r="Y554" s="32" t="n">
        <v>0</v>
      </c>
      <c r="Z554" s="31" t="n">
        <v>0</v>
      </c>
      <c r="AA554" s="32" t="n">
        <v>0</v>
      </c>
      <c r="AB554" s="32" t="n">
        <v>0</v>
      </c>
      <c r="AC554" s="32" t="n">
        <v>0</v>
      </c>
      <c r="AD554" s="32" t="n">
        <v>0</v>
      </c>
      <c r="AE554" s="31" t="n">
        <v>0</v>
      </c>
      <c r="AF554" s="32" t="n">
        <v>0</v>
      </c>
      <c r="AG554" s="31" t="n">
        <v>0</v>
      </c>
      <c r="AH554" s="32" t="n">
        <v>68</v>
      </c>
      <c r="AI554" s="31" t="n">
        <v>67.09999999999999</v>
      </c>
      <c r="AJ554" s="31" t="n">
        <v>49.4</v>
      </c>
      <c r="AK554" s="31" t="n">
        <v>0</v>
      </c>
      <c r="AL554" s="30" t="inlineStr">
        <is>
          <t>T-0708</t>
        </is>
      </c>
      <c r="AM554" s="30" t="inlineStr">
        <is>
          <t>A-04-01</t>
        </is>
      </c>
      <c r="AN554" s="30" t="inlineStr">
        <is>
          <t>T-0509</t>
        </is>
      </c>
      <c r="AO554" s="30" t="inlineStr">
        <is>
          <t>A-06-01</t>
        </is>
      </c>
    </row>
    <row r="555">
      <c r="A555" s="30" t="inlineStr">
        <is>
          <t>O0554</t>
        </is>
      </c>
      <c r="B555" s="30" t="inlineStr">
        <is>
          <t>J</t>
        </is>
      </c>
      <c r="C555" s="31" t="n">
        <v>8036.5</v>
      </c>
      <c r="D555" s="31" t="n">
        <v>20488.8</v>
      </c>
      <c r="E555" s="31" t="n">
        <v>20521.3</v>
      </c>
      <c r="F555" s="31" t="n">
        <v>20534.8</v>
      </c>
      <c r="G555" s="31" t="n">
        <v>20566.7</v>
      </c>
      <c r="H555" s="31" t="n">
        <v>20566.8</v>
      </c>
      <c r="I555" s="31" t="n">
        <v>20578.5</v>
      </c>
      <c r="J555" s="31" t="n">
        <v>20613.8</v>
      </c>
      <c r="K555" s="31" t="n">
        <v>12577.3</v>
      </c>
      <c r="L555" s="31" t="n">
        <v>12452.3</v>
      </c>
      <c r="M555" s="30" t="inlineStr">
        <is>
          <t>AMR2</t>
        </is>
      </c>
      <c r="N555" s="30" t="inlineStr">
        <is>
          <t>AMR2</t>
        </is>
      </c>
      <c r="O555" s="32" t="n">
        <v>1</v>
      </c>
      <c r="P555" s="32" t="n">
        <v>25</v>
      </c>
      <c r="Q555" s="32" t="n">
        <v>1</v>
      </c>
      <c r="R555" s="31" t="n">
        <v>67.09999999999999</v>
      </c>
      <c r="S555" s="31" t="n">
        <v>67.09999999999999</v>
      </c>
      <c r="T555" s="30" t="inlineStr">
        <is>
          <t>AMR2</t>
        </is>
      </c>
      <c r="U555" s="31" t="n">
        <v>45.2</v>
      </c>
      <c r="V555" s="31" t="n">
        <v>45.2</v>
      </c>
      <c r="W555" s="30" t="inlineStr">
        <is>
          <t>AMR2</t>
        </is>
      </c>
      <c r="X555" s="32" t="n">
        <v>0</v>
      </c>
      <c r="Y555" s="32" t="n">
        <v>0</v>
      </c>
      <c r="Z555" s="31" t="n">
        <v>0</v>
      </c>
      <c r="AA555" s="32" t="n">
        <v>0</v>
      </c>
      <c r="AB555" s="32" t="n">
        <v>0</v>
      </c>
      <c r="AC555" s="32" t="n">
        <v>0</v>
      </c>
      <c r="AD555" s="32" t="n">
        <v>0</v>
      </c>
      <c r="AE555" s="31" t="n">
        <v>0</v>
      </c>
      <c r="AF555" s="32" t="n">
        <v>1</v>
      </c>
      <c r="AG555" s="31" t="n">
        <v>4</v>
      </c>
      <c r="AH555" s="32" t="n">
        <v>68</v>
      </c>
      <c r="AI555" s="31" t="n">
        <v>68.3</v>
      </c>
      <c r="AJ555" s="31" t="n">
        <v>47.6</v>
      </c>
      <c r="AK555" s="31" t="n">
        <v>9</v>
      </c>
      <c r="AL555" s="30" t="inlineStr">
        <is>
          <t>T-0710</t>
        </is>
      </c>
      <c r="AM555" s="30" t="inlineStr">
        <is>
          <t>J-02-01</t>
        </is>
      </c>
      <c r="AN555" s="30" t="inlineStr">
        <is>
          <t>T-0578</t>
        </is>
      </c>
      <c r="AO555" s="30" t="inlineStr">
        <is>
          <t>J-04-01</t>
        </is>
      </c>
    </row>
    <row r="556">
      <c r="A556" s="30" t="inlineStr">
        <is>
          <t>O0555</t>
        </is>
      </c>
      <c r="B556" s="30" t="inlineStr">
        <is>
          <t>J</t>
        </is>
      </c>
      <c r="C556" s="31" t="n">
        <v>8058</v>
      </c>
      <c r="D556" s="31" t="n">
        <v>20340.6</v>
      </c>
      <c r="E556" s="31" t="n">
        <v>20365.1</v>
      </c>
      <c r="F556" s="31" t="n">
        <v>20377.5</v>
      </c>
      <c r="G556" s="31" t="n">
        <v>20409</v>
      </c>
      <c r="H556" s="31" t="n">
        <v>20409.1</v>
      </c>
      <c r="I556" s="31" t="n">
        <v>20420.8</v>
      </c>
      <c r="J556" s="31" t="n">
        <v>20449.2</v>
      </c>
      <c r="K556" s="31" t="n">
        <v>12391.2</v>
      </c>
      <c r="L556" s="31" t="n">
        <v>12282.6</v>
      </c>
      <c r="M556" s="30" t="inlineStr">
        <is>
          <t>AMR1</t>
        </is>
      </c>
      <c r="N556" s="30" t="inlineStr">
        <is>
          <t>AMR1</t>
        </is>
      </c>
      <c r="O556" s="32" t="n">
        <v>1</v>
      </c>
      <c r="P556" s="32" t="n">
        <v>25</v>
      </c>
      <c r="Q556" s="32" t="n">
        <v>1</v>
      </c>
      <c r="R556" s="31" t="n">
        <v>65.5</v>
      </c>
      <c r="S556" s="31" t="n">
        <v>65.5</v>
      </c>
      <c r="T556" s="30" t="inlineStr">
        <is>
          <t>AMR1</t>
        </is>
      </c>
      <c r="U556" s="31" t="n">
        <v>42.8</v>
      </c>
      <c r="V556" s="31" t="n">
        <v>42.8</v>
      </c>
      <c r="W556" s="30" t="inlineStr">
        <is>
          <t>AMR1</t>
        </is>
      </c>
      <c r="X556" s="32" t="n">
        <v>0</v>
      </c>
      <c r="Y556" s="32" t="n">
        <v>0</v>
      </c>
      <c r="Z556" s="31" t="n">
        <v>0</v>
      </c>
      <c r="AA556" s="32" t="n">
        <v>0</v>
      </c>
      <c r="AB556" s="32" t="n">
        <v>0</v>
      </c>
      <c r="AC556" s="32" t="n">
        <v>0</v>
      </c>
      <c r="AD556" s="32" t="n">
        <v>0</v>
      </c>
      <c r="AE556" s="31" t="n">
        <v>0</v>
      </c>
      <c r="AF556" s="32" t="n">
        <v>0</v>
      </c>
      <c r="AG556" s="31" t="n">
        <v>0</v>
      </c>
      <c r="AH556" s="32" t="n">
        <v>64</v>
      </c>
      <c r="AI556" s="31" t="n">
        <v>63.9</v>
      </c>
      <c r="AJ556" s="31" t="n">
        <v>43.6</v>
      </c>
      <c r="AK556" s="31" t="n">
        <v>1</v>
      </c>
      <c r="AL556" s="30" t="inlineStr">
        <is>
          <t>T-0706</t>
        </is>
      </c>
      <c r="AM556" s="30" t="inlineStr">
        <is>
          <t>J-01-01</t>
        </is>
      </c>
      <c r="AN556" s="30" t="inlineStr">
        <is>
          <t>T-0574</t>
        </is>
      </c>
      <c r="AO556" s="30" t="inlineStr">
        <is>
          <t>J-02-01</t>
        </is>
      </c>
    </row>
    <row r="557">
      <c r="A557" s="30" t="inlineStr">
        <is>
          <t>O0556</t>
        </is>
      </c>
      <c r="B557" s="30" t="inlineStr">
        <is>
          <t>A</t>
        </is>
      </c>
      <c r="C557" s="31" t="n">
        <v>8079.2</v>
      </c>
      <c r="D557" s="31" t="n">
        <v>20226.2</v>
      </c>
      <c r="E557" s="31" t="n">
        <v>20249.7</v>
      </c>
      <c r="F557" s="31" t="n">
        <v>20263.4</v>
      </c>
      <c r="G557" s="31" t="n">
        <v>20293.9</v>
      </c>
      <c r="H557" s="31" t="n">
        <v>20294</v>
      </c>
      <c r="I557" s="31" t="n">
        <v>20304.7</v>
      </c>
      <c r="J557" s="31" t="n">
        <v>20340.5</v>
      </c>
      <c r="K557" s="31" t="n">
        <v>12261.3</v>
      </c>
      <c r="L557" s="31" t="n">
        <v>12147</v>
      </c>
      <c r="M557" s="30" t="inlineStr">
        <is>
          <t>AMR1</t>
        </is>
      </c>
      <c r="N557" s="30" t="inlineStr">
        <is>
          <t>AMR1</t>
        </is>
      </c>
      <c r="O557" s="32" t="n">
        <v>1</v>
      </c>
      <c r="P557" s="32" t="n">
        <v>25</v>
      </c>
      <c r="Q557" s="32" t="n">
        <v>0</v>
      </c>
      <c r="R557" s="31" t="n">
        <v>65</v>
      </c>
      <c r="S557" s="31" t="n">
        <v>65</v>
      </c>
      <c r="T557" s="30" t="inlineStr">
        <is>
          <t>AMR1</t>
        </is>
      </c>
      <c r="U557" s="31" t="n">
        <v>47.2</v>
      </c>
      <c r="V557" s="31" t="n">
        <v>47.2</v>
      </c>
      <c r="W557" s="30" t="inlineStr">
        <is>
          <t>AMR1</t>
        </is>
      </c>
      <c r="X557" s="32" t="n">
        <v>0</v>
      </c>
      <c r="Y557" s="32" t="n">
        <v>0</v>
      </c>
      <c r="Z557" s="31" t="n">
        <v>0</v>
      </c>
      <c r="AA557" s="32" t="n">
        <v>0</v>
      </c>
      <c r="AB557" s="32" t="n">
        <v>0</v>
      </c>
      <c r="AC557" s="32" t="n">
        <v>0</v>
      </c>
      <c r="AD557" s="32" t="n">
        <v>0</v>
      </c>
      <c r="AE557" s="31" t="n">
        <v>0</v>
      </c>
      <c r="AF557" s="32" t="n">
        <v>0</v>
      </c>
      <c r="AG557" s="31" t="n">
        <v>0</v>
      </c>
      <c r="AH557" s="32" t="n">
        <v>70</v>
      </c>
      <c r="AI557" s="31" t="n">
        <v>68.7</v>
      </c>
      <c r="AJ557" s="31" t="n">
        <v>45.5</v>
      </c>
      <c r="AK557" s="31" t="n">
        <v>0</v>
      </c>
      <c r="AL557" s="30" t="inlineStr">
        <is>
          <t>T-0703</t>
        </is>
      </c>
      <c r="AM557" s="30" t="inlineStr">
        <is>
          <t>A-03-02</t>
        </is>
      </c>
      <c r="AN557" s="30" t="inlineStr">
        <is>
          <t>T-0500</t>
        </is>
      </c>
      <c r="AO557" s="30" t="inlineStr">
        <is>
          <t>A-04-01</t>
        </is>
      </c>
    </row>
    <row r="558">
      <c r="A558" s="30" t="inlineStr">
        <is>
          <t>O0557</t>
        </is>
      </c>
      <c r="B558" s="30" t="inlineStr">
        <is>
          <t>I</t>
        </is>
      </c>
      <c r="C558" s="31" t="n">
        <v>8103.1</v>
      </c>
      <c r="D558" s="31" t="n">
        <v>20267.2</v>
      </c>
      <c r="E558" s="31" t="n">
        <v>20290.7</v>
      </c>
      <c r="F558" s="31" t="n">
        <v>20304.4</v>
      </c>
      <c r="G558" s="31" t="n">
        <v>20332.6</v>
      </c>
      <c r="H558" s="31" t="n">
        <v>20420</v>
      </c>
      <c r="I558" s="31" t="n">
        <v>20446.8</v>
      </c>
      <c r="J558" s="31" t="n">
        <v>20470.2</v>
      </c>
      <c r="K558" s="31" t="n">
        <v>12367.1</v>
      </c>
      <c r="L558" s="31" t="n">
        <v>12164.1</v>
      </c>
      <c r="M558" s="30" t="inlineStr">
        <is>
          <t>AMR2</t>
        </is>
      </c>
      <c r="N558" s="30" t="inlineStr">
        <is>
          <t>AMR3</t>
        </is>
      </c>
      <c r="O558" s="32" t="n">
        <v>1</v>
      </c>
      <c r="P558" s="32" t="n">
        <v>25</v>
      </c>
      <c r="Q558" s="32" t="n">
        <v>14</v>
      </c>
      <c r="R558" s="31" t="n">
        <v>62.8</v>
      </c>
      <c r="S558" s="31" t="n">
        <v>62.8</v>
      </c>
      <c r="T558" s="30" t="inlineStr">
        <is>
          <t>AMR2</t>
        </is>
      </c>
      <c r="U558" s="31" t="n">
        <v>50.9</v>
      </c>
      <c r="V558" s="31" t="n">
        <v>50.9</v>
      </c>
      <c r="W558" s="30" t="inlineStr">
        <is>
          <t>AMR3</t>
        </is>
      </c>
      <c r="X558" s="32" t="n">
        <v>0</v>
      </c>
      <c r="Y558" s="32" t="n">
        <v>0</v>
      </c>
      <c r="Z558" s="31" t="n">
        <v>0</v>
      </c>
      <c r="AA558" s="32" t="n">
        <v>0</v>
      </c>
      <c r="AB558" s="32" t="n">
        <v>0</v>
      </c>
      <c r="AC558" s="32" t="n">
        <v>0</v>
      </c>
      <c r="AD558" s="32" t="n">
        <v>0</v>
      </c>
      <c r="AE558" s="31" t="n">
        <v>0</v>
      </c>
      <c r="AF558" s="32" t="n">
        <v>0</v>
      </c>
      <c r="AG558" s="31" t="n">
        <v>0</v>
      </c>
      <c r="AH558" s="32" t="n">
        <v>66</v>
      </c>
      <c r="AI558" s="31" t="n">
        <v>68.3</v>
      </c>
      <c r="AJ558" s="31" t="n">
        <v>47.3</v>
      </c>
      <c r="AK558" s="31" t="n">
        <v>0</v>
      </c>
      <c r="AL558" s="30" t="inlineStr">
        <is>
          <t>T-0704</t>
        </is>
      </c>
      <c r="AM558" s="30" t="inlineStr">
        <is>
          <t>I-03-03</t>
        </is>
      </c>
      <c r="AN558" s="30" t="inlineStr">
        <is>
          <t>T-0570</t>
        </is>
      </c>
      <c r="AO558" s="30" t="inlineStr">
        <is>
          <t>I-01-01</t>
        </is>
      </c>
    </row>
    <row r="559">
      <c r="A559" s="30" t="inlineStr">
        <is>
          <t>O0558</t>
        </is>
      </c>
      <c r="B559" s="30" t="inlineStr">
        <is>
          <t>E</t>
        </is>
      </c>
      <c r="C559" s="31" t="n">
        <v>8124.5</v>
      </c>
      <c r="D559" s="31" t="n">
        <v>20305.8</v>
      </c>
      <c r="E559" s="31" t="n">
        <v>20329.3</v>
      </c>
      <c r="F559" s="31" t="n">
        <v>20344</v>
      </c>
      <c r="G559" s="31" t="n">
        <v>20373.1</v>
      </c>
      <c r="H559" s="31" t="n">
        <v>20790.2</v>
      </c>
      <c r="I559" s="31" t="n">
        <v>20799.4</v>
      </c>
      <c r="J559" s="31" t="n">
        <v>20830.3</v>
      </c>
      <c r="K559" s="31" t="n">
        <v>12705.8</v>
      </c>
      <c r="L559" s="31" t="n">
        <v>12181.3</v>
      </c>
      <c r="M559" s="30" t="inlineStr">
        <is>
          <t>AMR3</t>
        </is>
      </c>
      <c r="N559" s="30" t="inlineStr">
        <is>
          <t>AMR2</t>
        </is>
      </c>
      <c r="O559" s="32" t="n">
        <v>1</v>
      </c>
      <c r="P559" s="32" t="n">
        <v>25</v>
      </c>
      <c r="Q559" s="32" t="n">
        <v>1</v>
      </c>
      <c r="R559" s="31" t="n">
        <v>65.40000000000001</v>
      </c>
      <c r="S559" s="31" t="n">
        <v>65.40000000000001</v>
      </c>
      <c r="T559" s="30" t="inlineStr">
        <is>
          <t>AMR3</t>
        </is>
      </c>
      <c r="U559" s="31" t="n">
        <v>40.8</v>
      </c>
      <c r="V559" s="31" t="n">
        <v>40.8</v>
      </c>
      <c r="W559" s="30" t="inlineStr">
        <is>
          <t>AMR2</t>
        </is>
      </c>
      <c r="X559" s="32" t="n">
        <v>0</v>
      </c>
      <c r="Y559" s="32" t="n">
        <v>0</v>
      </c>
      <c r="Z559" s="31" t="n">
        <v>0</v>
      </c>
      <c r="AA559" s="32" t="n">
        <v>0</v>
      </c>
      <c r="AB559" s="32" t="n">
        <v>0</v>
      </c>
      <c r="AC559" s="32" t="n">
        <v>0</v>
      </c>
      <c r="AD559" s="32" t="n">
        <v>0</v>
      </c>
      <c r="AE559" s="31" t="n">
        <v>0</v>
      </c>
      <c r="AF559" s="32" t="n">
        <v>0</v>
      </c>
      <c r="AG559" s="31" t="n">
        <v>0</v>
      </c>
      <c r="AH559" s="32" t="n">
        <v>66</v>
      </c>
      <c r="AI559" s="31" t="n">
        <v>65.40000000000001</v>
      </c>
      <c r="AJ559" s="31" t="n">
        <v>42</v>
      </c>
      <c r="AK559" s="31" t="n">
        <v>0</v>
      </c>
      <c r="AL559" s="30" t="inlineStr">
        <is>
          <t>T-0705</t>
        </is>
      </c>
      <c r="AM559" s="30" t="inlineStr">
        <is>
          <t>E-01-03</t>
        </is>
      </c>
      <c r="AN559" s="30" t="inlineStr">
        <is>
          <t>T-0554</t>
        </is>
      </c>
      <c r="AO559" s="30" t="inlineStr">
        <is>
          <t>E-03-03</t>
        </is>
      </c>
    </row>
    <row r="560">
      <c r="A560" s="30" t="inlineStr">
        <is>
          <t>O0559</t>
        </is>
      </c>
      <c r="B560" s="30" t="inlineStr">
        <is>
          <t>G</t>
        </is>
      </c>
      <c r="C560" s="31" t="n">
        <v>8141.9</v>
      </c>
      <c r="D560" s="31" t="n">
        <v>20374.2</v>
      </c>
      <c r="E560" s="31" t="n">
        <v>20397.7</v>
      </c>
      <c r="F560" s="31" t="n">
        <v>20412.2</v>
      </c>
      <c r="G560" s="31" t="n">
        <v>20439.6</v>
      </c>
      <c r="H560" s="31" t="n">
        <v>20439.7</v>
      </c>
      <c r="I560" s="31" t="n">
        <v>20454.9</v>
      </c>
      <c r="J560" s="31" t="n">
        <v>20488.7</v>
      </c>
      <c r="K560" s="31" t="n">
        <v>12346.8</v>
      </c>
      <c r="L560" s="31" t="n">
        <v>12232.3</v>
      </c>
      <c r="M560" s="30" t="inlineStr">
        <is>
          <t>AMR2</t>
        </is>
      </c>
      <c r="N560" s="30" t="inlineStr">
        <is>
          <t>AMR2</t>
        </is>
      </c>
      <c r="O560" s="32" t="n">
        <v>1</v>
      </c>
      <c r="P560" s="32" t="n">
        <v>25</v>
      </c>
      <c r="Q560" s="32" t="n">
        <v>1</v>
      </c>
      <c r="R560" s="31" t="n">
        <v>63.6</v>
      </c>
      <c r="S560" s="31" t="n">
        <v>63.6</v>
      </c>
      <c r="T560" s="30" t="inlineStr">
        <is>
          <t>AMR2</t>
        </is>
      </c>
      <c r="U560" s="31" t="n">
        <v>43.2</v>
      </c>
      <c r="V560" s="31" t="n">
        <v>43.2</v>
      </c>
      <c r="W560" s="30" t="inlineStr">
        <is>
          <t>AMR2</t>
        </is>
      </c>
      <c r="X560" s="32" t="n">
        <v>0</v>
      </c>
      <c r="Y560" s="32" t="n">
        <v>0</v>
      </c>
      <c r="Z560" s="31" t="n">
        <v>0</v>
      </c>
      <c r="AA560" s="32" t="n">
        <v>0</v>
      </c>
      <c r="AB560" s="32" t="n">
        <v>0</v>
      </c>
      <c r="AC560" s="32" t="n">
        <v>0</v>
      </c>
      <c r="AD560" s="32" t="n">
        <v>1</v>
      </c>
      <c r="AE560" s="31" t="n">
        <v>7</v>
      </c>
      <c r="AF560" s="32" t="n">
        <v>1</v>
      </c>
      <c r="AG560" s="31" t="n">
        <v>2</v>
      </c>
      <c r="AH560" s="32" t="n">
        <v>56</v>
      </c>
      <c r="AI560" s="31" t="n">
        <v>57.9</v>
      </c>
      <c r="AJ560" s="31" t="n">
        <v>49.5</v>
      </c>
      <c r="AK560" s="31" t="n">
        <v>7</v>
      </c>
      <c r="AL560" s="30" t="inlineStr">
        <is>
          <t>T-0707</t>
        </is>
      </c>
      <c r="AM560" s="30" t="inlineStr">
        <is>
          <t>G-04-02</t>
        </is>
      </c>
      <c r="AN560" s="30" t="inlineStr">
        <is>
          <t>T-0501</t>
        </is>
      </c>
      <c r="AO560" s="30" t="inlineStr">
        <is>
          <t>G-06-02</t>
        </is>
      </c>
    </row>
    <row r="561">
      <c r="A561" s="30" t="inlineStr">
        <is>
          <t>O0560</t>
        </is>
      </c>
      <c r="B561" s="30" t="inlineStr">
        <is>
          <t>A</t>
        </is>
      </c>
      <c r="C561" s="31" t="n">
        <v>8161.5</v>
      </c>
      <c r="D561" s="31" t="n">
        <v>20613.9</v>
      </c>
      <c r="E561" s="31" t="n">
        <v>20637.4</v>
      </c>
      <c r="F561" s="31" t="n">
        <v>20653.6</v>
      </c>
      <c r="G561" s="31" t="n">
        <v>20682</v>
      </c>
      <c r="H561" s="31" t="n">
        <v>20682.1</v>
      </c>
      <c r="I561" s="31" t="n">
        <v>20692.6</v>
      </c>
      <c r="J561" s="31" t="n">
        <v>20725</v>
      </c>
      <c r="K561" s="31" t="n">
        <v>12563.5</v>
      </c>
      <c r="L561" s="31" t="n">
        <v>12452.4</v>
      </c>
      <c r="M561" s="30" t="inlineStr">
        <is>
          <t>AMR2</t>
        </is>
      </c>
      <c r="N561" s="30" t="inlineStr">
        <is>
          <t>AMR2</t>
        </is>
      </c>
      <c r="O561" s="32" t="n">
        <v>1</v>
      </c>
      <c r="P561" s="32" t="n">
        <v>25</v>
      </c>
      <c r="Q561" s="32" t="n">
        <v>2</v>
      </c>
      <c r="R561" s="31" t="n">
        <v>67</v>
      </c>
      <c r="S561" s="31" t="n">
        <v>67</v>
      </c>
      <c r="T561" s="30" t="inlineStr">
        <is>
          <t>AMR2</t>
        </is>
      </c>
      <c r="U561" s="31" t="n">
        <v>45.1</v>
      </c>
      <c r="V561" s="31" t="n">
        <v>45.1</v>
      </c>
      <c r="W561" s="30" t="inlineStr">
        <is>
          <t>AMR2</t>
        </is>
      </c>
      <c r="X561" s="32" t="n">
        <v>0</v>
      </c>
      <c r="Y561" s="32" t="n">
        <v>0</v>
      </c>
      <c r="Z561" s="31" t="n">
        <v>0</v>
      </c>
      <c r="AA561" s="32" t="n">
        <v>0</v>
      </c>
      <c r="AB561" s="32" t="n">
        <v>0</v>
      </c>
      <c r="AC561" s="32" t="n">
        <v>0</v>
      </c>
      <c r="AD561" s="32" t="n">
        <v>0</v>
      </c>
      <c r="AE561" s="31" t="n">
        <v>0</v>
      </c>
      <c r="AF561" s="32" t="n">
        <v>0</v>
      </c>
      <c r="AG561" s="31" t="n">
        <v>0</v>
      </c>
      <c r="AH561" s="32" t="n">
        <v>68</v>
      </c>
      <c r="AI561" s="31" t="n">
        <v>67</v>
      </c>
      <c r="AJ561" s="31" t="n">
        <v>44</v>
      </c>
      <c r="AK561" s="31" t="n">
        <v>0</v>
      </c>
      <c r="AL561" s="30" t="inlineStr">
        <is>
          <t>T-0712</t>
        </is>
      </c>
      <c r="AM561" s="30" t="inlineStr">
        <is>
          <t>A-06-01</t>
        </is>
      </c>
      <c r="AN561" s="30" t="inlineStr">
        <is>
          <t>T-0533</t>
        </is>
      </c>
      <c r="AO561" s="30" t="inlineStr">
        <is>
          <t>A-05-02</t>
        </is>
      </c>
    </row>
    <row r="562">
      <c r="A562" s="30" t="inlineStr">
        <is>
          <t>O0561</t>
        </is>
      </c>
      <c r="B562" s="30" t="inlineStr">
        <is>
          <t>H</t>
        </is>
      </c>
      <c r="C562" s="31" t="n">
        <v>8180.9</v>
      </c>
      <c r="D562" s="31" t="n">
        <v>20470.3</v>
      </c>
      <c r="E562" s="31" t="n">
        <v>20496.8</v>
      </c>
      <c r="F562" s="31" t="n">
        <v>20508.6</v>
      </c>
      <c r="G562" s="31" t="n">
        <v>20533.9</v>
      </c>
      <c r="H562" s="31" t="n">
        <v>20534</v>
      </c>
      <c r="I562" s="31" t="n">
        <v>20550</v>
      </c>
      <c r="J562" s="31" t="n">
        <v>20579.3</v>
      </c>
      <c r="K562" s="31" t="n">
        <v>12398.4</v>
      </c>
      <c r="L562" s="31" t="n">
        <v>12289.4</v>
      </c>
      <c r="M562" s="30" t="inlineStr">
        <is>
          <t>AMR3</t>
        </is>
      </c>
      <c r="N562" s="30" t="inlineStr">
        <is>
          <t>AMR3</t>
        </is>
      </c>
      <c r="O562" s="32" t="n">
        <v>1</v>
      </c>
      <c r="P562" s="32" t="n">
        <v>25</v>
      </c>
      <c r="Q562" s="32" t="n">
        <v>2</v>
      </c>
      <c r="R562" s="31" t="n">
        <v>59.6</v>
      </c>
      <c r="S562" s="31" t="n">
        <v>59.6</v>
      </c>
      <c r="T562" s="30" t="inlineStr">
        <is>
          <t>AMR3</t>
        </is>
      </c>
      <c r="U562" s="31" t="n">
        <v>38.9</v>
      </c>
      <c r="V562" s="31" t="n">
        <v>38.9</v>
      </c>
      <c r="W562" s="30" t="inlineStr">
        <is>
          <t>AMR3</t>
        </is>
      </c>
      <c r="X562" s="32" t="n">
        <v>0</v>
      </c>
      <c r="Y562" s="32" t="n">
        <v>0</v>
      </c>
      <c r="Z562" s="31" t="n">
        <v>0</v>
      </c>
      <c r="AA562" s="32" t="n">
        <v>0</v>
      </c>
      <c r="AB562" s="32" t="n">
        <v>0</v>
      </c>
      <c r="AC562" s="32" t="n">
        <v>0</v>
      </c>
      <c r="AD562" s="32" t="n">
        <v>2</v>
      </c>
      <c r="AE562" s="31" t="n">
        <v>5.6</v>
      </c>
      <c r="AF562" s="32" t="n">
        <v>0</v>
      </c>
      <c r="AG562" s="31" t="n">
        <v>0</v>
      </c>
      <c r="AH562" s="32" t="n">
        <v>54</v>
      </c>
      <c r="AI562" s="31" t="n">
        <v>56.1</v>
      </c>
      <c r="AJ562" s="31" t="n">
        <v>44.2</v>
      </c>
      <c r="AK562" s="31" t="n">
        <v>8.6</v>
      </c>
      <c r="AL562" s="30" t="inlineStr">
        <is>
          <t>T-0709</t>
        </is>
      </c>
      <c r="AM562" s="30" t="inlineStr">
        <is>
          <t>H-06-01</t>
        </is>
      </c>
      <c r="AN562" s="30" t="inlineStr">
        <is>
          <t>T-0553</t>
        </is>
      </c>
      <c r="AO562" s="30" t="inlineStr">
        <is>
          <t>H-01-02</t>
        </is>
      </c>
    </row>
    <row r="563">
      <c r="A563" s="30" t="inlineStr">
        <is>
          <t>O0562</t>
        </is>
      </c>
      <c r="B563" s="30" t="inlineStr">
        <is>
          <t>J</t>
        </is>
      </c>
      <c r="C563" s="31" t="n">
        <v>8197.9</v>
      </c>
      <c r="D563" s="31" t="n">
        <v>20682.3</v>
      </c>
      <c r="E563" s="31" t="n">
        <v>20705.8</v>
      </c>
      <c r="F563" s="31" t="n">
        <v>20721</v>
      </c>
      <c r="G563" s="31" t="n">
        <v>20751.3</v>
      </c>
      <c r="H563" s="31" t="n">
        <v>20751.4</v>
      </c>
      <c r="I563" s="31" t="n">
        <v>20762.9</v>
      </c>
      <c r="J563" s="31" t="n">
        <v>20794</v>
      </c>
      <c r="K563" s="31" t="n">
        <v>12596.1</v>
      </c>
      <c r="L563" s="31" t="n">
        <v>12484.4</v>
      </c>
      <c r="M563" s="30" t="inlineStr">
        <is>
          <t>AMR1</t>
        </is>
      </c>
      <c r="N563" s="30" t="inlineStr">
        <is>
          <t>AMR1</t>
        </is>
      </c>
      <c r="O563" s="32" t="n">
        <v>1</v>
      </c>
      <c r="P563" s="32" t="n">
        <v>25</v>
      </c>
      <c r="Q563" s="32" t="n">
        <v>1</v>
      </c>
      <c r="R563" s="31" t="n">
        <v>65.59999999999999</v>
      </c>
      <c r="S563" s="31" t="n">
        <v>65.59999999999999</v>
      </c>
      <c r="T563" s="30" t="inlineStr">
        <is>
          <t>AMR1</t>
        </is>
      </c>
      <c r="U563" s="31" t="n">
        <v>43.2</v>
      </c>
      <c r="V563" s="31" t="n">
        <v>43.2</v>
      </c>
      <c r="W563" s="30" t="inlineStr">
        <is>
          <t>AMR1</t>
        </is>
      </c>
      <c r="X563" s="32" t="n">
        <v>0</v>
      </c>
      <c r="Y563" s="32" t="n">
        <v>0</v>
      </c>
      <c r="Z563" s="31" t="n">
        <v>0</v>
      </c>
      <c r="AA563" s="32" t="n">
        <v>0</v>
      </c>
      <c r="AB563" s="32" t="n">
        <v>0</v>
      </c>
      <c r="AC563" s="32" t="n">
        <v>0</v>
      </c>
      <c r="AD563" s="32" t="n">
        <v>0</v>
      </c>
      <c r="AE563" s="31" t="n">
        <v>0</v>
      </c>
      <c r="AF563" s="32" t="n">
        <v>0</v>
      </c>
      <c r="AG563" s="31" t="n">
        <v>0</v>
      </c>
      <c r="AH563" s="32" t="n">
        <v>68</v>
      </c>
      <c r="AI563" s="31" t="n">
        <v>67.5</v>
      </c>
      <c r="AJ563" s="31" t="n">
        <v>44.1</v>
      </c>
      <c r="AK563" s="31" t="n">
        <v>0</v>
      </c>
      <c r="AL563" s="30" t="inlineStr">
        <is>
          <t>T-0714</t>
        </is>
      </c>
      <c r="AM563" s="30" t="inlineStr">
        <is>
          <t>J-04-01</t>
        </is>
      </c>
      <c r="AN563" s="30" t="inlineStr">
        <is>
          <t>T-0582</t>
        </is>
      </c>
      <c r="AO563" s="30" t="inlineStr">
        <is>
          <t>J-03-01</t>
        </is>
      </c>
    </row>
    <row r="564">
      <c r="A564" s="30" t="inlineStr">
        <is>
          <t>O0563</t>
        </is>
      </c>
      <c r="B564" s="30" t="inlineStr">
        <is>
          <t>F</t>
        </is>
      </c>
      <c r="C564" s="31" t="n">
        <v>8216</v>
      </c>
      <c r="D564" s="31" t="n">
        <v>20748.3</v>
      </c>
      <c r="E564" s="31" t="n">
        <v>20772.8</v>
      </c>
      <c r="F564" s="31" t="n">
        <v>20786.1</v>
      </c>
      <c r="G564" s="31" t="n">
        <v>20816.5</v>
      </c>
      <c r="H564" s="31" t="n">
        <v>20816.6</v>
      </c>
      <c r="I564" s="31" t="n">
        <v>20830.5</v>
      </c>
      <c r="J564" s="31" t="n">
        <v>20860.7</v>
      </c>
      <c r="K564" s="31" t="n">
        <v>12644.7</v>
      </c>
      <c r="L564" s="31" t="n">
        <v>12532.3</v>
      </c>
      <c r="M564" s="30" t="inlineStr">
        <is>
          <t>AMR3</t>
        </is>
      </c>
      <c r="N564" s="30" t="inlineStr">
        <is>
          <t>AMR3</t>
        </is>
      </c>
      <c r="O564" s="32" t="n">
        <v>1</v>
      </c>
      <c r="P564" s="32" t="n">
        <v>25</v>
      </c>
      <c r="Q564" s="32" t="n">
        <v>1</v>
      </c>
      <c r="R564" s="31" t="n">
        <v>63.8</v>
      </c>
      <c r="S564" s="31" t="n">
        <v>63.8</v>
      </c>
      <c r="T564" s="30" t="inlineStr">
        <is>
          <t>AMR3</t>
        </is>
      </c>
      <c r="U564" s="31" t="n">
        <v>44.8</v>
      </c>
      <c r="V564" s="31" t="n">
        <v>44.8</v>
      </c>
      <c r="W564" s="30" t="inlineStr">
        <is>
          <t>AMR3</t>
        </is>
      </c>
      <c r="X564" s="32" t="n">
        <v>0</v>
      </c>
      <c r="Y564" s="32" t="n">
        <v>0</v>
      </c>
      <c r="Z564" s="31" t="n">
        <v>0</v>
      </c>
      <c r="AA564" s="32" t="n">
        <v>0</v>
      </c>
      <c r="AB564" s="32" t="n">
        <v>0</v>
      </c>
      <c r="AC564" s="32" t="n">
        <v>0</v>
      </c>
      <c r="AD564" s="32" t="n">
        <v>0</v>
      </c>
      <c r="AE564" s="31" t="n">
        <v>0</v>
      </c>
      <c r="AF564" s="32" t="n">
        <v>0</v>
      </c>
      <c r="AG564" s="31" t="n">
        <v>0</v>
      </c>
      <c r="AH564" s="32" t="n">
        <v>72</v>
      </c>
      <c r="AI564" s="31" t="n">
        <v>70.59999999999999</v>
      </c>
      <c r="AJ564" s="31" t="n">
        <v>40.7</v>
      </c>
      <c r="AK564" s="31" t="n">
        <v>1</v>
      </c>
      <c r="AL564" s="30" t="inlineStr">
        <is>
          <t>T-0716</t>
        </is>
      </c>
      <c r="AM564" s="30" t="inlineStr">
        <is>
          <t>F-01-01</t>
        </is>
      </c>
      <c r="AN564" s="30" t="inlineStr">
        <is>
          <t>T-0608</t>
        </is>
      </c>
      <c r="AO564" s="30" t="inlineStr">
        <is>
          <t>F-05-01</t>
        </is>
      </c>
    </row>
    <row r="565">
      <c r="A565" s="30" t="inlineStr">
        <is>
          <t>O0564</t>
        </is>
      </c>
      <c r="B565" s="30" t="inlineStr">
        <is>
          <t>F</t>
        </is>
      </c>
      <c r="C565" s="31" t="n">
        <v>8240.9</v>
      </c>
      <c r="D565" s="31" t="n">
        <v>21311.6</v>
      </c>
      <c r="E565" s="31" t="n">
        <v>21335.1</v>
      </c>
      <c r="F565" s="31" t="n">
        <v>21348.6</v>
      </c>
      <c r="G565" s="31" t="n">
        <v>21382.3</v>
      </c>
      <c r="H565" s="31" t="n">
        <v>22465.2</v>
      </c>
      <c r="I565" s="31" t="n">
        <v>22479.1</v>
      </c>
      <c r="J565" s="31" t="n">
        <v>22520.1</v>
      </c>
      <c r="K565" s="31" t="n">
        <v>14279.2</v>
      </c>
      <c r="L565" s="31" t="n">
        <v>13070.7</v>
      </c>
      <c r="M565" s="30" t="inlineStr">
        <is>
          <t>AMR3</t>
        </is>
      </c>
      <c r="N565" s="30" t="inlineStr">
        <is>
          <t>AMR2</t>
        </is>
      </c>
      <c r="O565" s="32" t="n">
        <v>1</v>
      </c>
      <c r="P565" s="32" t="n">
        <v>25</v>
      </c>
      <c r="Q565" s="32" t="n">
        <v>1</v>
      </c>
      <c r="R565" s="31" t="n">
        <v>67.3</v>
      </c>
      <c r="S565" s="31" t="n">
        <v>67.3</v>
      </c>
      <c r="T565" s="30" t="inlineStr">
        <is>
          <t>AMR3</t>
        </is>
      </c>
      <c r="U565" s="31" t="n">
        <v>49.6</v>
      </c>
      <c r="V565" s="31" t="n">
        <v>49.6</v>
      </c>
      <c r="W565" s="30" t="inlineStr">
        <is>
          <t>AMR2</t>
        </is>
      </c>
      <c r="X565" s="32" t="n">
        <v>0</v>
      </c>
      <c r="Y565" s="32" t="n">
        <v>0</v>
      </c>
      <c r="Z565" s="31" t="n">
        <v>0</v>
      </c>
      <c r="AA565" s="32" t="n">
        <v>0</v>
      </c>
      <c r="AB565" s="32" t="n">
        <v>0</v>
      </c>
      <c r="AC565" s="32" t="n">
        <v>0</v>
      </c>
      <c r="AD565" s="32" t="n">
        <v>1</v>
      </c>
      <c r="AE565" s="31" t="n">
        <v>5</v>
      </c>
      <c r="AF565" s="32" t="n">
        <v>0</v>
      </c>
      <c r="AG565" s="31" t="n">
        <v>0</v>
      </c>
      <c r="AH565" s="32" t="n">
        <v>72</v>
      </c>
      <c r="AI565" s="31" t="n">
        <v>71.59999999999999</v>
      </c>
      <c r="AJ565" s="31" t="n">
        <v>49</v>
      </c>
      <c r="AK565" s="31" t="n">
        <v>5</v>
      </c>
      <c r="AL565" s="30" t="inlineStr">
        <is>
          <t>T-0731</t>
        </is>
      </c>
      <c r="AM565" s="30" t="inlineStr">
        <is>
          <t>F-02-02</t>
        </is>
      </c>
      <c r="AN565" s="30" t="inlineStr">
        <is>
          <t>T-0654</t>
        </is>
      </c>
      <c r="AO565" s="30" t="inlineStr">
        <is>
          <t>F-03-03</t>
        </is>
      </c>
    </row>
    <row r="566">
      <c r="A566" s="30" t="inlineStr">
        <is>
          <t>O0565</t>
        </is>
      </c>
      <c r="B566" s="30" t="inlineStr">
        <is>
          <t>F</t>
        </is>
      </c>
      <c r="C566" s="31" t="n">
        <v>8257.200000000001</v>
      </c>
      <c r="D566" s="31" t="n">
        <v>20566</v>
      </c>
      <c r="E566" s="31" t="n">
        <v>20589.5</v>
      </c>
      <c r="F566" s="31" t="n">
        <v>20601.8</v>
      </c>
      <c r="G566" s="31" t="n">
        <v>20631.8</v>
      </c>
      <c r="H566" s="31" t="n">
        <v>21382.4</v>
      </c>
      <c r="I566" s="31" t="n">
        <v>21396.6</v>
      </c>
      <c r="J566" s="31" t="n">
        <v>21430.5</v>
      </c>
      <c r="K566" s="31" t="n">
        <v>13173.3</v>
      </c>
      <c r="L566" s="31" t="n">
        <v>12308.8</v>
      </c>
      <c r="M566" s="30" t="inlineStr">
        <is>
          <t>AMR1</t>
        </is>
      </c>
      <c r="N566" s="30" t="inlineStr">
        <is>
          <t>AMR3</t>
        </is>
      </c>
      <c r="O566" s="32" t="n">
        <v>1</v>
      </c>
      <c r="P566" s="32" t="n">
        <v>25</v>
      </c>
      <c r="Q566" s="32" t="n">
        <v>1</v>
      </c>
      <c r="R566" s="31" t="n">
        <v>63.2</v>
      </c>
      <c r="S566" s="31" t="n">
        <v>61.1</v>
      </c>
      <c r="T566" s="30" t="inlineStr">
        <is>
          <t>AMR2</t>
        </is>
      </c>
      <c r="U566" s="31" t="n">
        <v>48.7</v>
      </c>
      <c r="V566" s="31" t="n">
        <v>48.7</v>
      </c>
      <c r="W566" s="30" t="inlineStr">
        <is>
          <t>AMR3</t>
        </is>
      </c>
      <c r="X566" s="32" t="n">
        <v>1</v>
      </c>
      <c r="Y566" s="32" t="n">
        <v>5</v>
      </c>
      <c r="Z566" s="31" t="n">
        <v>2.1</v>
      </c>
      <c r="AA566" s="32" t="n">
        <v>0</v>
      </c>
      <c r="AB566" s="32" t="n">
        <v>0</v>
      </c>
      <c r="AC566" s="32" t="n">
        <v>0</v>
      </c>
      <c r="AD566" s="32" t="n">
        <v>0</v>
      </c>
      <c r="AE566" s="31" t="n">
        <v>0</v>
      </c>
      <c r="AF566" s="32" t="n">
        <v>0</v>
      </c>
      <c r="AG566" s="31" t="n">
        <v>0</v>
      </c>
      <c r="AH566" s="32" t="n">
        <v>71</v>
      </c>
      <c r="AI566" s="31" t="n">
        <v>69.90000000000001</v>
      </c>
      <c r="AJ566" s="31" t="n">
        <v>44</v>
      </c>
      <c r="AK566" s="31" t="n">
        <v>0</v>
      </c>
      <c r="AL566" s="30" t="inlineStr">
        <is>
          <t>T-0711</t>
        </is>
      </c>
      <c r="AM566" s="30" t="inlineStr">
        <is>
          <t>F-03-01</t>
        </is>
      </c>
      <c r="AN566" s="30" t="inlineStr">
        <is>
          <t>T-0626</t>
        </is>
      </c>
      <c r="AO566" s="30" t="inlineStr">
        <is>
          <t>F-03-02</t>
        </is>
      </c>
    </row>
    <row r="567">
      <c r="A567" s="30" t="inlineStr">
        <is>
          <t>O0566</t>
        </is>
      </c>
      <c r="B567" s="30" t="inlineStr">
        <is>
          <t>F</t>
        </is>
      </c>
      <c r="C567" s="31" t="n">
        <v>8277.799999999999</v>
      </c>
      <c r="D567" s="31" t="n">
        <v>20860.8</v>
      </c>
      <c r="E567" s="31" t="n">
        <v>20884.3</v>
      </c>
      <c r="F567" s="31" t="n">
        <v>20894.7</v>
      </c>
      <c r="G567" s="31" t="n">
        <v>20926.1</v>
      </c>
      <c r="H567" s="31" t="n">
        <v>22236.9</v>
      </c>
      <c r="I567" s="31" t="n">
        <v>22252.3</v>
      </c>
      <c r="J567" s="31" t="n">
        <v>22285.6</v>
      </c>
      <c r="K567" s="31" t="n">
        <v>14007.8</v>
      </c>
      <c r="L567" s="31" t="n">
        <v>12583</v>
      </c>
      <c r="M567" s="30" t="inlineStr">
        <is>
          <t>AMR3</t>
        </is>
      </c>
      <c r="N567" s="30" t="inlineStr">
        <is>
          <t>AMR2</t>
        </is>
      </c>
      <c r="O567" s="32" t="n">
        <v>1</v>
      </c>
      <c r="P567" s="32" t="n">
        <v>25</v>
      </c>
      <c r="Q567" s="32" t="n">
        <v>1</v>
      </c>
      <c r="R567" s="31" t="n">
        <v>63.5</v>
      </c>
      <c r="S567" s="31" t="n">
        <v>63.5</v>
      </c>
      <c r="T567" s="30" t="inlineStr">
        <is>
          <t>AMR3</t>
        </is>
      </c>
      <c r="U567" s="31" t="n">
        <v>49.4</v>
      </c>
      <c r="V567" s="31" t="n">
        <v>49.4</v>
      </c>
      <c r="W567" s="30" t="inlineStr">
        <is>
          <t>AMR2</t>
        </is>
      </c>
      <c r="X567" s="32" t="n">
        <v>0</v>
      </c>
      <c r="Y567" s="32" t="n">
        <v>0</v>
      </c>
      <c r="Z567" s="31" t="n">
        <v>0</v>
      </c>
      <c r="AA567" s="32" t="n">
        <v>0</v>
      </c>
      <c r="AB567" s="32" t="n">
        <v>0</v>
      </c>
      <c r="AC567" s="32" t="n">
        <v>0</v>
      </c>
      <c r="AD567" s="32" t="n">
        <v>0</v>
      </c>
      <c r="AE567" s="31" t="n">
        <v>0</v>
      </c>
      <c r="AF567" s="32" t="n">
        <v>0</v>
      </c>
      <c r="AG567" s="31" t="n">
        <v>0</v>
      </c>
      <c r="AH567" s="32" t="n">
        <v>70</v>
      </c>
      <c r="AI567" s="31" t="n">
        <v>69</v>
      </c>
      <c r="AJ567" s="31" t="n">
        <v>45</v>
      </c>
      <c r="AK567" s="31" t="n">
        <v>0</v>
      </c>
      <c r="AL567" s="30" t="inlineStr">
        <is>
          <t>T-0719</t>
        </is>
      </c>
      <c r="AM567" s="30" t="inlineStr">
        <is>
          <t>F-05-01</t>
        </is>
      </c>
      <c r="AN567" s="30" t="inlineStr">
        <is>
          <t>T-0651</t>
        </is>
      </c>
      <c r="AO567" s="30" t="inlineStr">
        <is>
          <t>F-04-02</t>
        </is>
      </c>
    </row>
    <row r="568">
      <c r="A568" s="30" t="inlineStr">
        <is>
          <t>O0567</t>
        </is>
      </c>
      <c r="B568" s="30" t="inlineStr">
        <is>
          <t>E</t>
        </is>
      </c>
      <c r="C568" s="31" t="n">
        <v>8297.5</v>
      </c>
      <c r="D568" s="31" t="n">
        <v>20725.1</v>
      </c>
      <c r="E568" s="31" t="n">
        <v>20748.6</v>
      </c>
      <c r="F568" s="31" t="n">
        <v>20761.7</v>
      </c>
      <c r="G568" s="31" t="n">
        <v>20790.1</v>
      </c>
      <c r="H568" s="31" t="n">
        <v>23206.2</v>
      </c>
      <c r="I568" s="31" t="n">
        <v>23220.6</v>
      </c>
      <c r="J568" s="31" t="n">
        <v>23256.7</v>
      </c>
      <c r="K568" s="31" t="n">
        <v>14959.2</v>
      </c>
      <c r="L568" s="31" t="n">
        <v>12427.6</v>
      </c>
      <c r="M568" s="30" t="inlineStr">
        <is>
          <t>AMR2</t>
        </is>
      </c>
      <c r="N568" s="30" t="inlineStr">
        <is>
          <t>AMR3</t>
        </is>
      </c>
      <c r="O568" s="32" t="n">
        <v>1</v>
      </c>
      <c r="P568" s="32" t="n">
        <v>25</v>
      </c>
      <c r="Q568" s="32" t="n">
        <v>0</v>
      </c>
      <c r="R568" s="31" t="n">
        <v>63.1</v>
      </c>
      <c r="S568" s="31" t="n">
        <v>63.1</v>
      </c>
      <c r="T568" s="30" t="inlineStr">
        <is>
          <t>AMR2</t>
        </is>
      </c>
      <c r="U568" s="31" t="n">
        <v>49.7</v>
      </c>
      <c r="V568" s="31" t="n">
        <v>49.7</v>
      </c>
      <c r="W568" s="30" t="inlineStr">
        <is>
          <t>AMR3</t>
        </is>
      </c>
      <c r="X568" s="32" t="n">
        <v>0</v>
      </c>
      <c r="Y568" s="32" t="n">
        <v>0</v>
      </c>
      <c r="Z568" s="31" t="n">
        <v>0</v>
      </c>
      <c r="AA568" s="32" t="n">
        <v>0</v>
      </c>
      <c r="AB568" s="32" t="n">
        <v>0</v>
      </c>
      <c r="AC568" s="32" t="n">
        <v>0</v>
      </c>
      <c r="AD568" s="32" t="n">
        <v>0</v>
      </c>
      <c r="AE568" s="31" t="n">
        <v>0</v>
      </c>
      <c r="AF568" s="32" t="n">
        <v>0</v>
      </c>
      <c r="AG568" s="31" t="n">
        <v>0</v>
      </c>
      <c r="AH568" s="32" t="n">
        <v>67</v>
      </c>
      <c r="AI568" s="31" t="n">
        <v>66.2</v>
      </c>
      <c r="AJ568" s="31" t="n">
        <v>49.3</v>
      </c>
      <c r="AK568" s="31" t="n">
        <v>0</v>
      </c>
      <c r="AL568" s="30" t="inlineStr">
        <is>
          <t>T-0715</t>
        </is>
      </c>
      <c r="AM568" s="30" t="inlineStr">
        <is>
          <t>E-02-03</t>
        </is>
      </c>
      <c r="AN568" s="30" t="inlineStr">
        <is>
          <t>T-0653</t>
        </is>
      </c>
      <c r="AO568" s="30" t="inlineStr">
        <is>
          <t>E-04-01</t>
        </is>
      </c>
    </row>
    <row r="569">
      <c r="A569" s="30" t="inlineStr">
        <is>
          <t>O0568</t>
        </is>
      </c>
      <c r="B569" s="30" t="inlineStr">
        <is>
          <t>B</t>
        </is>
      </c>
      <c r="C569" s="31" t="n">
        <v>8315</v>
      </c>
      <c r="D569" s="31" t="n">
        <v>20645.4</v>
      </c>
      <c r="E569" s="31" t="n">
        <v>20668.9</v>
      </c>
      <c r="F569" s="31" t="n">
        <v>20682.5</v>
      </c>
      <c r="G569" s="31" t="n">
        <v>20708.8</v>
      </c>
      <c r="H569" s="31" t="n">
        <v>20708.9</v>
      </c>
      <c r="I569" s="31" t="n">
        <v>20720.1</v>
      </c>
      <c r="J569" s="31" t="n">
        <v>20748.2</v>
      </c>
      <c r="K569" s="31" t="n">
        <v>12433.2</v>
      </c>
      <c r="L569" s="31" t="n">
        <v>12330.4</v>
      </c>
      <c r="M569" s="30" t="inlineStr">
        <is>
          <t>AMR3</t>
        </is>
      </c>
      <c r="N569" s="30" t="inlineStr">
        <is>
          <t>AMR3</t>
        </is>
      </c>
      <c r="O569" s="32" t="n">
        <v>1</v>
      </c>
      <c r="P569" s="32" t="n">
        <v>25</v>
      </c>
      <c r="Q569" s="32" t="n">
        <v>1</v>
      </c>
      <c r="R569" s="31" t="n">
        <v>59.9</v>
      </c>
      <c r="S569" s="31" t="n">
        <v>59.9</v>
      </c>
      <c r="T569" s="30" t="inlineStr">
        <is>
          <t>AMR3</t>
        </is>
      </c>
      <c r="U569" s="31" t="n">
        <v>39</v>
      </c>
      <c r="V569" s="31" t="n">
        <v>39</v>
      </c>
      <c r="W569" s="30" t="inlineStr">
        <is>
          <t>AMR3</t>
        </is>
      </c>
      <c r="X569" s="32" t="n">
        <v>0</v>
      </c>
      <c r="Y569" s="32" t="n">
        <v>0</v>
      </c>
      <c r="Z569" s="31" t="n">
        <v>0</v>
      </c>
      <c r="AA569" s="32" t="n">
        <v>0</v>
      </c>
      <c r="AB569" s="32" t="n">
        <v>0</v>
      </c>
      <c r="AC569" s="32" t="n">
        <v>0</v>
      </c>
      <c r="AD569" s="32" t="n">
        <v>0</v>
      </c>
      <c r="AE569" s="31" t="n">
        <v>0</v>
      </c>
      <c r="AF569" s="32" t="n">
        <v>0</v>
      </c>
      <c r="AG569" s="31" t="n">
        <v>0</v>
      </c>
      <c r="AH569" s="32" t="n">
        <v>60</v>
      </c>
      <c r="AI569" s="31" t="n">
        <v>60.6</v>
      </c>
      <c r="AJ569" s="31" t="n">
        <v>42.1</v>
      </c>
      <c r="AK569" s="31" t="n">
        <v>0</v>
      </c>
      <c r="AL569" s="30" t="inlineStr">
        <is>
          <t>T-0713</t>
        </is>
      </c>
      <c r="AM569" s="30" t="inlineStr">
        <is>
          <t>B-01-01</t>
        </is>
      </c>
      <c r="AN569" s="30" t="inlineStr">
        <is>
          <t>T-0549</t>
        </is>
      </c>
      <c r="AO569" s="30" t="inlineStr">
        <is>
          <t>B-04-01</t>
        </is>
      </c>
    </row>
    <row r="570">
      <c r="A570" s="30" t="inlineStr">
        <is>
          <t>O0569</t>
        </is>
      </c>
      <c r="B570" s="30" t="inlineStr">
        <is>
          <t>G</t>
        </is>
      </c>
      <c r="C570" s="31" t="n">
        <v>8332.9</v>
      </c>
      <c r="D570" s="31" t="n">
        <v>20830.4</v>
      </c>
      <c r="E570" s="31" t="n">
        <v>20853.9</v>
      </c>
      <c r="F570" s="31" t="n">
        <v>20868.8</v>
      </c>
      <c r="G570" s="31" t="n">
        <v>20892.9</v>
      </c>
      <c r="H570" s="31" t="n">
        <v>20893</v>
      </c>
      <c r="I570" s="31" t="n">
        <v>20903.8</v>
      </c>
      <c r="J570" s="31" t="n">
        <v>20933.4</v>
      </c>
      <c r="K570" s="31" t="n">
        <v>12600.5</v>
      </c>
      <c r="L570" s="31" t="n">
        <v>12497.5</v>
      </c>
      <c r="M570" s="30" t="inlineStr">
        <is>
          <t>AMR2</t>
        </is>
      </c>
      <c r="N570" s="30" t="inlineStr">
        <is>
          <t>AMR2</t>
        </is>
      </c>
      <c r="O570" s="32" t="n">
        <v>1</v>
      </c>
      <c r="P570" s="32" t="n">
        <v>25</v>
      </c>
      <c r="Q570" s="32" t="n">
        <v>1</v>
      </c>
      <c r="R570" s="31" t="n">
        <v>60.7</v>
      </c>
      <c r="S570" s="31" t="n">
        <v>60.7</v>
      </c>
      <c r="T570" s="30" t="inlineStr">
        <is>
          <t>AMR2</t>
        </is>
      </c>
      <c r="U570" s="31" t="n">
        <v>37.6</v>
      </c>
      <c r="V570" s="31" t="n">
        <v>37.6</v>
      </c>
      <c r="W570" s="30" t="inlineStr">
        <is>
          <t>AMR2</t>
        </is>
      </c>
      <c r="X570" s="32" t="n">
        <v>0</v>
      </c>
      <c r="Y570" s="32" t="n">
        <v>0</v>
      </c>
      <c r="Z570" s="31" t="n">
        <v>0</v>
      </c>
      <c r="AA570" s="32" t="n">
        <v>0</v>
      </c>
      <c r="AB570" s="32" t="n">
        <v>0</v>
      </c>
      <c r="AC570" s="32" t="n">
        <v>0</v>
      </c>
      <c r="AD570" s="32" t="n">
        <v>0</v>
      </c>
      <c r="AE570" s="31" t="n">
        <v>0</v>
      </c>
      <c r="AF570" s="32" t="n">
        <v>0</v>
      </c>
      <c r="AG570" s="31" t="n">
        <v>0</v>
      </c>
      <c r="AH570" s="32" t="n">
        <v>60</v>
      </c>
      <c r="AI570" s="31" t="n">
        <v>61.9</v>
      </c>
      <c r="AJ570" s="31" t="n">
        <v>41</v>
      </c>
      <c r="AK570" s="31" t="n">
        <v>0</v>
      </c>
      <c r="AL570" s="30" t="inlineStr">
        <is>
          <t>T-0718</t>
        </is>
      </c>
      <c r="AM570" s="30" t="inlineStr">
        <is>
          <t>G-05-02</t>
        </is>
      </c>
      <c r="AN570" s="30" t="inlineStr">
        <is>
          <t>T-0527</t>
        </is>
      </c>
      <c r="AO570" s="30" t="inlineStr">
        <is>
          <t>G-01-03</t>
        </is>
      </c>
    </row>
    <row r="571">
      <c r="A571" s="30" t="inlineStr">
        <is>
          <t>O0570</t>
        </is>
      </c>
      <c r="B571" s="30" t="inlineStr">
        <is>
          <t>C</t>
        </is>
      </c>
      <c r="C571" s="31" t="n">
        <v>8352.1</v>
      </c>
      <c r="D571" s="31" t="n">
        <v>20794.1</v>
      </c>
      <c r="E571" s="31" t="n">
        <v>20817.6</v>
      </c>
      <c r="F571" s="31" t="n">
        <v>20830.2</v>
      </c>
      <c r="G571" s="31" t="n">
        <v>20853</v>
      </c>
      <c r="H571" s="31" t="n">
        <v>20853.1</v>
      </c>
      <c r="I571" s="31" t="n">
        <v>20863.2</v>
      </c>
      <c r="J571" s="31" t="n">
        <v>20887.9</v>
      </c>
      <c r="K571" s="31" t="n">
        <v>12535.8</v>
      </c>
      <c r="L571" s="31" t="n">
        <v>12442</v>
      </c>
      <c r="M571" s="30" t="inlineStr">
        <is>
          <t>AMR1</t>
        </is>
      </c>
      <c r="N571" s="30" t="inlineStr">
        <is>
          <t>AMR1</t>
        </is>
      </c>
      <c r="O571" s="32" t="n">
        <v>1</v>
      </c>
      <c r="P571" s="32" t="n">
        <v>25</v>
      </c>
      <c r="Q571" s="32" t="n">
        <v>1</v>
      </c>
      <c r="R571" s="31" t="n">
        <v>57</v>
      </c>
      <c r="S571" s="31" t="n">
        <v>57</v>
      </c>
      <c r="T571" s="30" t="inlineStr">
        <is>
          <t>AMR1</t>
        </is>
      </c>
      <c r="U571" s="31" t="n">
        <v>35</v>
      </c>
      <c r="V571" s="31" t="n">
        <v>35</v>
      </c>
      <c r="W571" s="30" t="inlineStr">
        <is>
          <t>AMR1</t>
        </is>
      </c>
      <c r="X571" s="32" t="n">
        <v>0</v>
      </c>
      <c r="Y571" s="32" t="n">
        <v>0</v>
      </c>
      <c r="Z571" s="31" t="n">
        <v>0</v>
      </c>
      <c r="AA571" s="32" t="n">
        <v>0</v>
      </c>
      <c r="AB571" s="32" t="n">
        <v>0</v>
      </c>
      <c r="AC571" s="32" t="n">
        <v>0</v>
      </c>
      <c r="AD571" s="32" t="n">
        <v>0</v>
      </c>
      <c r="AE571" s="31" t="n">
        <v>0</v>
      </c>
      <c r="AF571" s="32" t="n">
        <v>0</v>
      </c>
      <c r="AG571" s="31" t="n">
        <v>0</v>
      </c>
      <c r="AH571" s="32" t="n">
        <v>54</v>
      </c>
      <c r="AI571" s="31" t="n">
        <v>54.8</v>
      </c>
      <c r="AJ571" s="31" t="n">
        <v>38.9</v>
      </c>
      <c r="AK571" s="31" t="n">
        <v>0</v>
      </c>
      <c r="AL571" s="30" t="inlineStr">
        <is>
          <t>T-0717</t>
        </is>
      </c>
      <c r="AM571" s="30" t="inlineStr">
        <is>
          <t>C-02-01</t>
        </is>
      </c>
      <c r="AN571" s="30" t="inlineStr">
        <is>
          <t>T-0564</t>
        </is>
      </c>
      <c r="AO571" s="30" t="inlineStr">
        <is>
          <t>C-04-02</t>
        </is>
      </c>
    </row>
    <row r="572">
      <c r="A572" s="30" t="inlineStr">
        <is>
          <t>O0571</t>
        </is>
      </c>
      <c r="B572" s="30" t="inlineStr">
        <is>
          <t>F</t>
        </is>
      </c>
      <c r="C572" s="31" t="n">
        <v>8376.4</v>
      </c>
      <c r="D572" s="31" t="n">
        <v>21197.1</v>
      </c>
      <c r="E572" s="31" t="n">
        <v>21220.6</v>
      </c>
      <c r="F572" s="31" t="n">
        <v>21235.6</v>
      </c>
      <c r="G572" s="31" t="n">
        <v>21264.4</v>
      </c>
      <c r="H572" s="31" t="n">
        <v>21264.5</v>
      </c>
      <c r="I572" s="31" t="n">
        <v>21276.6</v>
      </c>
      <c r="J572" s="31" t="n">
        <v>21311.5</v>
      </c>
      <c r="K572" s="31" t="n">
        <v>12935.1</v>
      </c>
      <c r="L572" s="31" t="n">
        <v>12820.7</v>
      </c>
      <c r="M572" s="30" t="inlineStr">
        <is>
          <t>AMR3</t>
        </is>
      </c>
      <c r="N572" s="30" t="inlineStr">
        <is>
          <t>AMR3</t>
        </is>
      </c>
      <c r="O572" s="32" t="n">
        <v>1</v>
      </c>
      <c r="P572" s="32" t="n">
        <v>25</v>
      </c>
      <c r="Q572" s="32" t="n">
        <v>2</v>
      </c>
      <c r="R572" s="31" t="n">
        <v>66.3</v>
      </c>
      <c r="S572" s="31" t="n">
        <v>61</v>
      </c>
      <c r="T572" s="30" t="inlineStr">
        <is>
          <t>AMR2</t>
        </is>
      </c>
      <c r="U572" s="31" t="n">
        <v>45.2</v>
      </c>
      <c r="V572" s="31" t="n">
        <v>45.2</v>
      </c>
      <c r="W572" s="30" t="inlineStr">
        <is>
          <t>AMR3</t>
        </is>
      </c>
      <c r="X572" s="32" t="n">
        <v>1</v>
      </c>
      <c r="Y572" s="32" t="n">
        <v>7</v>
      </c>
      <c r="Z572" s="31" t="n">
        <v>5.3</v>
      </c>
      <c r="AA572" s="32" t="n">
        <v>0</v>
      </c>
      <c r="AB572" s="32" t="n">
        <v>0</v>
      </c>
      <c r="AC572" s="32" t="n">
        <v>0</v>
      </c>
      <c r="AD572" s="32" t="n">
        <v>0</v>
      </c>
      <c r="AE572" s="31" t="n">
        <v>0</v>
      </c>
      <c r="AF572" s="32" t="n">
        <v>0</v>
      </c>
      <c r="AG572" s="31" t="n">
        <v>0</v>
      </c>
      <c r="AH572" s="32" t="n">
        <v>72</v>
      </c>
      <c r="AI572" s="31" t="n">
        <v>71.40000000000001</v>
      </c>
      <c r="AJ572" s="31" t="n">
        <v>42.9</v>
      </c>
      <c r="AK572" s="31" t="n">
        <v>0</v>
      </c>
      <c r="AL572" s="30" t="inlineStr">
        <is>
          <t>T-0728</t>
        </is>
      </c>
      <c r="AM572" s="30" t="inlineStr">
        <is>
          <t>F-06-01</t>
        </is>
      </c>
      <c r="AN572" s="30" t="inlineStr">
        <is>
          <t>T-0620</t>
        </is>
      </c>
      <c r="AO572" s="30" t="inlineStr">
        <is>
          <t>F-02-02</t>
        </is>
      </c>
    </row>
    <row r="573">
      <c r="A573" s="30" t="inlineStr">
        <is>
          <t>O0572</t>
        </is>
      </c>
      <c r="B573" s="30" t="inlineStr">
        <is>
          <t>H</t>
        </is>
      </c>
      <c r="C573" s="31" t="n">
        <v>8399</v>
      </c>
      <c r="D573" s="31" t="n">
        <v>20888</v>
      </c>
      <c r="E573" s="31" t="n">
        <v>20911.5</v>
      </c>
      <c r="F573" s="31" t="n">
        <v>20923.7</v>
      </c>
      <c r="G573" s="31" t="n">
        <v>20951.3</v>
      </c>
      <c r="H573" s="31" t="n">
        <v>20951.4</v>
      </c>
      <c r="I573" s="31" t="n">
        <v>20964</v>
      </c>
      <c r="J573" s="31" t="n">
        <v>20989.1</v>
      </c>
      <c r="K573" s="31" t="n">
        <v>12590.1</v>
      </c>
      <c r="L573" s="31" t="n">
        <v>12489</v>
      </c>
      <c r="M573" s="30" t="inlineStr">
        <is>
          <t>AMR1</t>
        </is>
      </c>
      <c r="N573" s="30" t="inlineStr">
        <is>
          <t>AMR1</t>
        </is>
      </c>
      <c r="O573" s="32" t="n">
        <v>1</v>
      </c>
      <c r="P573" s="32" t="n">
        <v>25</v>
      </c>
      <c r="Q573" s="32" t="n">
        <v>1</v>
      </c>
      <c r="R573" s="31" t="n">
        <v>61.5</v>
      </c>
      <c r="S573" s="31" t="n">
        <v>59.6</v>
      </c>
      <c r="T573" s="30" t="inlineStr">
        <is>
          <t>AMR2</t>
        </is>
      </c>
      <c r="U573" s="31" t="n">
        <v>38.9</v>
      </c>
      <c r="V573" s="31" t="n">
        <v>38.9</v>
      </c>
      <c r="W573" s="30" t="inlineStr">
        <is>
          <t>AMR1</t>
        </is>
      </c>
      <c r="X573" s="32" t="n">
        <v>1</v>
      </c>
      <c r="Y573" s="32" t="n">
        <v>9</v>
      </c>
      <c r="Z573" s="31" t="n">
        <v>1.9</v>
      </c>
      <c r="AA573" s="32" t="n">
        <v>0</v>
      </c>
      <c r="AB573" s="32" t="n">
        <v>0</v>
      </c>
      <c r="AC573" s="32" t="n">
        <v>0</v>
      </c>
      <c r="AD573" s="32" t="n">
        <v>0</v>
      </c>
      <c r="AE573" s="31" t="n">
        <v>0</v>
      </c>
      <c r="AF573" s="32" t="n">
        <v>0</v>
      </c>
      <c r="AG573" s="31" t="n">
        <v>0</v>
      </c>
      <c r="AH573" s="32" t="n">
        <v>52</v>
      </c>
      <c r="AI573" s="31" t="n">
        <v>54.2</v>
      </c>
      <c r="AJ573" s="31" t="n">
        <v>46.8</v>
      </c>
      <c r="AK573" s="31" t="n">
        <v>0</v>
      </c>
      <c r="AL573" s="30" t="inlineStr">
        <is>
          <t>T-0720</t>
        </is>
      </c>
      <c r="AM573" s="30" t="inlineStr">
        <is>
          <t>H-01-02</t>
        </is>
      </c>
      <c r="AN573" s="30" t="inlineStr">
        <is>
          <t>T-0556</t>
        </is>
      </c>
      <c r="AO573" s="30" t="inlineStr">
        <is>
          <t>H-02-01</t>
        </is>
      </c>
    </row>
    <row r="574">
      <c r="A574" s="30" t="inlineStr">
        <is>
          <t>O0573</t>
        </is>
      </c>
      <c r="B574" s="30" t="inlineStr">
        <is>
          <t>E</t>
        </is>
      </c>
      <c r="C574" s="31" t="n">
        <v>8418.700000000001</v>
      </c>
      <c r="D574" s="31" t="n">
        <v>21080.2</v>
      </c>
      <c r="E574" s="31" t="n">
        <v>21103.7</v>
      </c>
      <c r="F574" s="31" t="n">
        <v>21117.9</v>
      </c>
      <c r="G574" s="31" t="n">
        <v>21149.6</v>
      </c>
      <c r="H574" s="31" t="n">
        <v>21559.2</v>
      </c>
      <c r="I574" s="31" t="n">
        <v>21574</v>
      </c>
      <c r="J574" s="31" t="n">
        <v>21622.8</v>
      </c>
      <c r="K574" s="31" t="n">
        <v>13204.1</v>
      </c>
      <c r="L574" s="31" t="n">
        <v>12661.5</v>
      </c>
      <c r="M574" s="30" t="inlineStr">
        <is>
          <t>AMR3</t>
        </is>
      </c>
      <c r="N574" s="30" t="inlineStr">
        <is>
          <t>AMR2</t>
        </is>
      </c>
      <c r="O574" s="32" t="n">
        <v>1</v>
      </c>
      <c r="P574" s="32" t="n">
        <v>25</v>
      </c>
      <c r="Q574" s="32" t="n">
        <v>1</v>
      </c>
      <c r="R574" s="31" t="n">
        <v>65.09999999999999</v>
      </c>
      <c r="S574" s="31" t="n">
        <v>65.09999999999999</v>
      </c>
      <c r="T574" s="30" t="inlineStr">
        <is>
          <t>AMR3</t>
        </is>
      </c>
      <c r="U574" s="31" t="n">
        <v>45.3</v>
      </c>
      <c r="V574" s="31" t="n">
        <v>45.3</v>
      </c>
      <c r="W574" s="30" t="inlineStr">
        <is>
          <t>AMR2</t>
        </is>
      </c>
      <c r="X574" s="32" t="n">
        <v>0</v>
      </c>
      <c r="Y574" s="32" t="n">
        <v>0</v>
      </c>
      <c r="Z574" s="31" t="n">
        <v>0</v>
      </c>
      <c r="AA574" s="32" t="n">
        <v>0</v>
      </c>
      <c r="AB574" s="32" t="n">
        <v>0</v>
      </c>
      <c r="AC574" s="32" t="n">
        <v>0</v>
      </c>
      <c r="AD574" s="32" t="n">
        <v>1</v>
      </c>
      <c r="AE574" s="31" t="n">
        <v>16</v>
      </c>
      <c r="AF574" s="32" t="n">
        <v>1</v>
      </c>
      <c r="AG574" s="31" t="n">
        <v>11</v>
      </c>
      <c r="AH574" s="32" t="n">
        <v>73</v>
      </c>
      <c r="AI574" s="31" t="n">
        <v>70.8</v>
      </c>
      <c r="AJ574" s="31" t="n">
        <v>46.2</v>
      </c>
      <c r="AK574" s="31" t="n">
        <v>16</v>
      </c>
      <c r="AL574" s="30" t="inlineStr">
        <is>
          <t>T-0725</t>
        </is>
      </c>
      <c r="AM574" s="30" t="inlineStr">
        <is>
          <t>E-06-02</t>
        </is>
      </c>
      <c r="AN574" s="30" t="inlineStr">
        <is>
          <t>T-0591</t>
        </is>
      </c>
      <c r="AO574" s="30" t="inlineStr">
        <is>
          <t>E-06-01</t>
        </is>
      </c>
    </row>
    <row r="575">
      <c r="A575" s="30" t="inlineStr">
        <is>
          <t>O0574</t>
        </is>
      </c>
      <c r="B575" s="30" t="inlineStr">
        <is>
          <t>G</t>
        </is>
      </c>
      <c r="C575" s="31" t="n">
        <v>8433.9</v>
      </c>
      <c r="D575" s="31" t="n">
        <v>20971.9</v>
      </c>
      <c r="E575" s="31" t="n">
        <v>20995.4</v>
      </c>
      <c r="F575" s="31" t="n">
        <v>21009.5</v>
      </c>
      <c r="G575" s="31" t="n">
        <v>21035.9</v>
      </c>
      <c r="H575" s="31" t="n">
        <v>21036</v>
      </c>
      <c r="I575" s="31" t="n">
        <v>21050</v>
      </c>
      <c r="J575" s="31" t="n">
        <v>21080.1</v>
      </c>
      <c r="K575" s="31" t="n">
        <v>12646.2</v>
      </c>
      <c r="L575" s="31" t="n">
        <v>12538</v>
      </c>
      <c r="M575" s="30" t="inlineStr">
        <is>
          <t>AMR3</t>
        </is>
      </c>
      <c r="N575" s="30" t="inlineStr">
        <is>
          <t>AMR3</t>
        </is>
      </c>
      <c r="O575" s="32" t="n">
        <v>1</v>
      </c>
      <c r="P575" s="32" t="n">
        <v>25</v>
      </c>
      <c r="Q575" s="32" t="n">
        <v>2</v>
      </c>
      <c r="R575" s="31" t="n">
        <v>63</v>
      </c>
      <c r="S575" s="31" t="n">
        <v>63</v>
      </c>
      <c r="T575" s="30" t="inlineStr">
        <is>
          <t>AMR3</t>
        </is>
      </c>
      <c r="U575" s="31" t="n">
        <v>41.3</v>
      </c>
      <c r="V575" s="31" t="n">
        <v>41.3</v>
      </c>
      <c r="W575" s="30" t="inlineStr">
        <is>
          <t>AMR3</t>
        </is>
      </c>
      <c r="X575" s="32" t="n">
        <v>0</v>
      </c>
      <c r="Y575" s="32" t="n">
        <v>0</v>
      </c>
      <c r="Z575" s="31" t="n">
        <v>0</v>
      </c>
      <c r="AA575" s="32" t="n">
        <v>0</v>
      </c>
      <c r="AB575" s="32" t="n">
        <v>0</v>
      </c>
      <c r="AC575" s="32" t="n">
        <v>0</v>
      </c>
      <c r="AD575" s="32" t="n">
        <v>0</v>
      </c>
      <c r="AE575" s="31" t="n">
        <v>0</v>
      </c>
      <c r="AF575" s="32" t="n">
        <v>0</v>
      </c>
      <c r="AG575" s="31" t="n">
        <v>0</v>
      </c>
      <c r="AH575" s="32" t="n">
        <v>60</v>
      </c>
      <c r="AI575" s="31" t="n">
        <v>61.8</v>
      </c>
      <c r="AJ575" s="31" t="n">
        <v>46.3</v>
      </c>
      <c r="AK575" s="31" t="n">
        <v>0</v>
      </c>
      <c r="AL575" s="30" t="inlineStr">
        <is>
          <t>T-0722</t>
        </is>
      </c>
      <c r="AM575" s="30" t="inlineStr">
        <is>
          <t>G-06-02</t>
        </is>
      </c>
      <c r="AN575" s="30" t="inlineStr">
        <is>
          <t>T-0540</t>
        </is>
      </c>
      <c r="AO575" s="30" t="inlineStr">
        <is>
          <t>G-02-03</t>
        </is>
      </c>
    </row>
    <row r="576">
      <c r="A576" s="30" t="inlineStr">
        <is>
          <t>O0575</t>
        </is>
      </c>
      <c r="B576" s="30" t="inlineStr">
        <is>
          <t>D</t>
        </is>
      </c>
      <c r="C576" s="31" t="n">
        <v>8453.5</v>
      </c>
      <c r="D576" s="31" t="n">
        <v>20933.5</v>
      </c>
      <c r="E576" s="31" t="n">
        <v>20957</v>
      </c>
      <c r="F576" s="31" t="n">
        <v>20968.9</v>
      </c>
      <c r="G576" s="31" t="n">
        <v>20989.9</v>
      </c>
      <c r="H576" s="31" t="n">
        <v>20990</v>
      </c>
      <c r="I576" s="31" t="n">
        <v>21002.1</v>
      </c>
      <c r="J576" s="31" t="n">
        <v>21029.8</v>
      </c>
      <c r="K576" s="31" t="n">
        <v>12576.3</v>
      </c>
      <c r="L576" s="31" t="n">
        <v>12480</v>
      </c>
      <c r="M576" s="30" t="inlineStr">
        <is>
          <t>AMR2</t>
        </is>
      </c>
      <c r="N576" s="30" t="inlineStr">
        <is>
          <t>AMR2</t>
        </is>
      </c>
      <c r="O576" s="32" t="n">
        <v>1</v>
      </c>
      <c r="P576" s="32" t="n">
        <v>25</v>
      </c>
      <c r="Q576" s="32" t="n">
        <v>0</v>
      </c>
      <c r="R576" s="31" t="n">
        <v>53.7</v>
      </c>
      <c r="S576" s="31" t="n">
        <v>53.7</v>
      </c>
      <c r="T576" s="30" t="inlineStr">
        <is>
          <t>AMR2</t>
        </is>
      </c>
      <c r="U576" s="31" t="n">
        <v>39</v>
      </c>
      <c r="V576" s="31" t="n">
        <v>39</v>
      </c>
      <c r="W576" s="30" t="inlineStr">
        <is>
          <t>AMR2</t>
        </is>
      </c>
      <c r="X576" s="32" t="n">
        <v>0</v>
      </c>
      <c r="Y576" s="32" t="n">
        <v>0</v>
      </c>
      <c r="Z576" s="31" t="n">
        <v>0</v>
      </c>
      <c r="AA576" s="32" t="n">
        <v>0</v>
      </c>
      <c r="AB576" s="32" t="n">
        <v>0</v>
      </c>
      <c r="AC576" s="32" t="n">
        <v>0</v>
      </c>
      <c r="AD576" s="32" t="n">
        <v>0</v>
      </c>
      <c r="AE576" s="31" t="n">
        <v>0</v>
      </c>
      <c r="AF576" s="32" t="n">
        <v>0</v>
      </c>
      <c r="AG576" s="31" t="n">
        <v>0</v>
      </c>
      <c r="AH576" s="32" t="n">
        <v>54</v>
      </c>
      <c r="AI576" s="31" t="n">
        <v>56.4</v>
      </c>
      <c r="AJ576" s="31" t="n">
        <v>39.8</v>
      </c>
      <c r="AK576" s="31" t="n">
        <v>0</v>
      </c>
      <c r="AL576" s="30" t="inlineStr">
        <is>
          <t>T-0721</t>
        </is>
      </c>
      <c r="AM576" s="30" t="inlineStr">
        <is>
          <t>D-03-02</t>
        </is>
      </c>
      <c r="AN576" s="30" t="inlineStr">
        <is>
          <t>T-0481</t>
        </is>
      </c>
      <c r="AO576" s="30" t="inlineStr">
        <is>
          <t>D-01-03</t>
        </is>
      </c>
    </row>
    <row r="577">
      <c r="A577" s="30" t="inlineStr">
        <is>
          <t>O0576</t>
        </is>
      </c>
      <c r="B577" s="30" t="inlineStr">
        <is>
          <t>A</t>
        </is>
      </c>
      <c r="C577" s="31" t="n">
        <v>8474.299999999999</v>
      </c>
      <c r="D577" s="31" t="n">
        <v>21105.4</v>
      </c>
      <c r="E577" s="31" t="n">
        <v>21128.9</v>
      </c>
      <c r="F577" s="31" t="n">
        <v>21143.7</v>
      </c>
      <c r="G577" s="31" t="n">
        <v>21172.6</v>
      </c>
      <c r="H577" s="31" t="n">
        <v>21172.7</v>
      </c>
      <c r="I577" s="31" t="n">
        <v>21182.5</v>
      </c>
      <c r="J577" s="31" t="n">
        <v>21222.9</v>
      </c>
      <c r="K577" s="31" t="n">
        <v>12748.6</v>
      </c>
      <c r="L577" s="31" t="n">
        <v>12631.1</v>
      </c>
      <c r="M577" s="30" t="inlineStr">
        <is>
          <t>AMR1</t>
        </is>
      </c>
      <c r="N577" s="30" t="inlineStr">
        <is>
          <t>AMR1</t>
        </is>
      </c>
      <c r="O577" s="32" t="n">
        <v>1</v>
      </c>
      <c r="P577" s="32" t="n">
        <v>25</v>
      </c>
      <c r="Q577" s="32" t="n">
        <v>1</v>
      </c>
      <c r="R577" s="31" t="n">
        <v>65.3</v>
      </c>
      <c r="S577" s="31" t="n">
        <v>65.3</v>
      </c>
      <c r="T577" s="30" t="inlineStr">
        <is>
          <t>AMR1</t>
        </is>
      </c>
      <c r="U577" s="31" t="n">
        <v>46.4</v>
      </c>
      <c r="V577" s="31" t="n">
        <v>46.4</v>
      </c>
      <c r="W577" s="30" t="inlineStr">
        <is>
          <t>AMR1</t>
        </is>
      </c>
      <c r="X577" s="32" t="n">
        <v>0</v>
      </c>
      <c r="Y577" s="32" t="n">
        <v>0</v>
      </c>
      <c r="Z577" s="31" t="n">
        <v>0</v>
      </c>
      <c r="AA577" s="32" t="n">
        <v>0</v>
      </c>
      <c r="AB577" s="32" t="n">
        <v>0</v>
      </c>
      <c r="AC577" s="32" t="n">
        <v>0</v>
      </c>
      <c r="AD577" s="32" t="n">
        <v>1</v>
      </c>
      <c r="AE577" s="31" t="n">
        <v>3</v>
      </c>
      <c r="AF577" s="32" t="n">
        <v>0</v>
      </c>
      <c r="AG577" s="31" t="n">
        <v>0</v>
      </c>
      <c r="AH577" s="32" t="n">
        <v>72</v>
      </c>
      <c r="AI577" s="31" t="n">
        <v>70.09999999999999</v>
      </c>
      <c r="AJ577" s="31" t="n">
        <v>44.3</v>
      </c>
      <c r="AK577" s="31" t="n">
        <v>3</v>
      </c>
      <c r="AL577" s="30" t="inlineStr">
        <is>
          <t>T-0726</t>
        </is>
      </c>
      <c r="AM577" s="30" t="inlineStr">
        <is>
          <t>A-05-02</t>
        </is>
      </c>
      <c r="AN577" s="30" t="inlineStr">
        <is>
          <t>T-0559</t>
        </is>
      </c>
      <c r="AO577" s="30" t="inlineStr">
        <is>
          <t>A-02-02</t>
        </is>
      </c>
    </row>
    <row r="578">
      <c r="A578" s="30" t="inlineStr">
        <is>
          <t>O0577</t>
        </is>
      </c>
      <c r="B578" s="30" t="inlineStr">
        <is>
          <t>J</t>
        </is>
      </c>
      <c r="C578" s="31" t="n">
        <v>8492.1</v>
      </c>
      <c r="D578" s="31" t="n">
        <v>21329.8</v>
      </c>
      <c r="E578" s="31" t="n">
        <v>21359.3</v>
      </c>
      <c r="F578" s="31" t="n">
        <v>21372.4</v>
      </c>
      <c r="G578" s="31" t="n">
        <v>21403.8</v>
      </c>
      <c r="H578" s="31" t="n">
        <v>22353.7</v>
      </c>
      <c r="I578" s="31" t="n">
        <v>22364.4</v>
      </c>
      <c r="J578" s="31" t="n">
        <v>22398.8</v>
      </c>
      <c r="K578" s="31" t="n">
        <v>13906.7</v>
      </c>
      <c r="L578" s="31" t="n">
        <v>12837.7</v>
      </c>
      <c r="M578" s="30" t="inlineStr">
        <is>
          <t>AMR1</t>
        </is>
      </c>
      <c r="N578" s="30" t="inlineStr">
        <is>
          <t>AMR2</t>
        </is>
      </c>
      <c r="O578" s="32" t="n">
        <v>1</v>
      </c>
      <c r="P578" s="32" t="n">
        <v>25</v>
      </c>
      <c r="Q578" s="32" t="n">
        <v>1</v>
      </c>
      <c r="R578" s="31" t="n">
        <v>65.40000000000001</v>
      </c>
      <c r="S578" s="31" t="n">
        <v>65.40000000000001</v>
      </c>
      <c r="T578" s="30" t="inlineStr">
        <is>
          <t>AMR1</t>
        </is>
      </c>
      <c r="U578" s="31" t="n">
        <v>44.8</v>
      </c>
      <c r="V578" s="31" t="n">
        <v>44.8</v>
      </c>
      <c r="W578" s="30" t="inlineStr">
        <is>
          <t>AMR2</t>
        </is>
      </c>
      <c r="X578" s="32" t="n">
        <v>0</v>
      </c>
      <c r="Y578" s="32" t="n">
        <v>0</v>
      </c>
      <c r="Z578" s="31" t="n">
        <v>0</v>
      </c>
      <c r="AA578" s="32" t="n">
        <v>0</v>
      </c>
      <c r="AB578" s="32" t="n">
        <v>0</v>
      </c>
      <c r="AC578" s="32" t="n">
        <v>0</v>
      </c>
      <c r="AD578" s="32" t="n">
        <v>0</v>
      </c>
      <c r="AE578" s="31" t="n">
        <v>0</v>
      </c>
      <c r="AF578" s="32" t="n">
        <v>1</v>
      </c>
      <c r="AG578" s="31" t="n">
        <v>1</v>
      </c>
      <c r="AH578" s="32" t="n">
        <v>67</v>
      </c>
      <c r="AI578" s="31" t="n">
        <v>67.59999999999999</v>
      </c>
      <c r="AJ578" s="31" t="n">
        <v>45.5</v>
      </c>
      <c r="AK578" s="31" t="n">
        <v>6</v>
      </c>
      <c r="AL578" s="30" t="inlineStr">
        <is>
          <t>T-0732</t>
        </is>
      </c>
      <c r="AM578" s="30" t="inlineStr">
        <is>
          <t>J-03-01</t>
        </is>
      </c>
      <c r="AN578" s="30" t="inlineStr">
        <is>
          <t>T-0625</t>
        </is>
      </c>
      <c r="AO578" s="30" t="inlineStr">
        <is>
          <t>J-03-02</t>
        </is>
      </c>
    </row>
    <row r="579">
      <c r="A579" s="30" t="inlineStr">
        <is>
          <t>O0578</t>
        </is>
      </c>
      <c r="B579" s="30" t="inlineStr">
        <is>
          <t>E</t>
        </is>
      </c>
      <c r="C579" s="31" t="n">
        <v>8513.9</v>
      </c>
      <c r="D579" s="31" t="n">
        <v>20989.2</v>
      </c>
      <c r="E579" s="31" t="n">
        <v>21019.7</v>
      </c>
      <c r="F579" s="31" t="n">
        <v>21032.5</v>
      </c>
      <c r="G579" s="31" t="n">
        <v>21061.2</v>
      </c>
      <c r="H579" s="31" t="n">
        <v>21061.3</v>
      </c>
      <c r="I579" s="31" t="n">
        <v>21070.8</v>
      </c>
      <c r="J579" s="31" t="n">
        <v>21105.3</v>
      </c>
      <c r="K579" s="31" t="n">
        <v>12591.4</v>
      </c>
      <c r="L579" s="31" t="n">
        <v>12475.3</v>
      </c>
      <c r="M579" s="30" t="inlineStr">
        <is>
          <t>AMR1</t>
        </is>
      </c>
      <c r="N579" s="30" t="inlineStr">
        <is>
          <t>AMR1</t>
        </is>
      </c>
      <c r="O579" s="32" t="n">
        <v>1</v>
      </c>
      <c r="P579" s="32" t="n">
        <v>25</v>
      </c>
      <c r="Q579" s="32" t="n">
        <v>0</v>
      </c>
      <c r="R579" s="31" t="n">
        <v>62.3</v>
      </c>
      <c r="S579" s="31" t="n">
        <v>53.5</v>
      </c>
      <c r="T579" s="30" t="inlineStr">
        <is>
          <t>AMR2</t>
        </is>
      </c>
      <c r="U579" s="31" t="n">
        <v>41.7</v>
      </c>
      <c r="V579" s="31" t="n">
        <v>41.7</v>
      </c>
      <c r="W579" s="30" t="inlineStr">
        <is>
          <t>AMR1</t>
        </is>
      </c>
      <c r="X579" s="32" t="n">
        <v>1</v>
      </c>
      <c r="Y579" s="32" t="n">
        <v>12</v>
      </c>
      <c r="Z579" s="31" t="n">
        <v>8.800000000000001</v>
      </c>
      <c r="AA579" s="32" t="n">
        <v>0</v>
      </c>
      <c r="AB579" s="32" t="n">
        <v>0</v>
      </c>
      <c r="AC579" s="32" t="n">
        <v>0</v>
      </c>
      <c r="AD579" s="32" t="n">
        <v>0</v>
      </c>
      <c r="AE579" s="31" t="n">
        <v>0</v>
      </c>
      <c r="AF579" s="32" t="n">
        <v>1</v>
      </c>
      <c r="AG579" s="31" t="n">
        <v>2</v>
      </c>
      <c r="AH579" s="32" t="n">
        <v>70</v>
      </c>
      <c r="AI579" s="31" t="n">
        <v>68.5</v>
      </c>
      <c r="AJ579" s="31" t="n">
        <v>40.5</v>
      </c>
      <c r="AK579" s="31" t="n">
        <v>7</v>
      </c>
      <c r="AL579" s="30" t="inlineStr">
        <is>
          <t>T-0723</t>
        </is>
      </c>
      <c r="AM579" s="30" t="inlineStr">
        <is>
          <t>E-03-03</t>
        </is>
      </c>
      <c r="AN579" s="30" t="inlineStr">
        <is>
          <t>T-0557</t>
        </is>
      </c>
      <c r="AO579" s="30" t="inlineStr">
        <is>
          <t>E-06-02</t>
        </is>
      </c>
    </row>
    <row r="580">
      <c r="A580" s="30" t="inlineStr">
        <is>
          <t>O0579</t>
        </is>
      </c>
      <c r="B580" s="30" t="inlineStr">
        <is>
          <t>B</t>
        </is>
      </c>
      <c r="C580" s="31" t="n">
        <v>8529</v>
      </c>
      <c r="D580" s="31" t="n">
        <v>21029.9</v>
      </c>
      <c r="E580" s="31" t="n">
        <v>21053.4</v>
      </c>
      <c r="F580" s="31" t="n">
        <v>21067.5</v>
      </c>
      <c r="G580" s="31" t="n">
        <v>21090.5</v>
      </c>
      <c r="H580" s="31" t="n">
        <v>21090.6</v>
      </c>
      <c r="I580" s="31" t="n">
        <v>21105.6</v>
      </c>
      <c r="J580" s="31" t="n">
        <v>21135.5</v>
      </c>
      <c r="K580" s="31" t="n">
        <v>12606.5</v>
      </c>
      <c r="L580" s="31" t="n">
        <v>12500.9</v>
      </c>
      <c r="M580" s="30" t="inlineStr">
        <is>
          <t>AMR2</t>
        </is>
      </c>
      <c r="N580" s="30" t="inlineStr">
        <is>
          <t>AMR2</t>
        </is>
      </c>
      <c r="O580" s="32" t="n">
        <v>1</v>
      </c>
      <c r="P580" s="32" t="n">
        <v>25</v>
      </c>
      <c r="Q580" s="32" t="n">
        <v>1</v>
      </c>
      <c r="R580" s="31" t="n">
        <v>57.1</v>
      </c>
      <c r="S580" s="31" t="n">
        <v>55.6</v>
      </c>
      <c r="T580" s="30" t="inlineStr">
        <is>
          <t>AMR3</t>
        </is>
      </c>
      <c r="U580" s="31" t="n">
        <v>44.6</v>
      </c>
      <c r="V580" s="31" t="n">
        <v>44.6</v>
      </c>
      <c r="W580" s="30" t="inlineStr">
        <is>
          <t>AMR2</t>
        </is>
      </c>
      <c r="X580" s="32" t="n">
        <v>1</v>
      </c>
      <c r="Y580" s="32" t="n">
        <v>10</v>
      </c>
      <c r="Z580" s="31" t="n">
        <v>1.5</v>
      </c>
      <c r="AA580" s="32" t="n">
        <v>0</v>
      </c>
      <c r="AB580" s="32" t="n">
        <v>0</v>
      </c>
      <c r="AC580" s="32" t="n">
        <v>0</v>
      </c>
      <c r="AD580" s="32" t="n">
        <v>0</v>
      </c>
      <c r="AE580" s="31" t="n">
        <v>0</v>
      </c>
      <c r="AF580" s="32" t="n">
        <v>0</v>
      </c>
      <c r="AG580" s="31" t="n">
        <v>0</v>
      </c>
      <c r="AH580" s="32" t="n">
        <v>60</v>
      </c>
      <c r="AI580" s="31" t="n">
        <v>60.6</v>
      </c>
      <c r="AJ580" s="31" t="n">
        <v>44.9</v>
      </c>
      <c r="AK580" s="31" t="n">
        <v>0</v>
      </c>
      <c r="AL580" s="30" t="inlineStr">
        <is>
          <t>T-0724</t>
        </is>
      </c>
      <c r="AM580" s="30" t="inlineStr">
        <is>
          <t>B-02-01</t>
        </is>
      </c>
      <c r="AN580" s="30" t="inlineStr">
        <is>
          <t>T-0558</t>
        </is>
      </c>
      <c r="AO580" s="30" t="inlineStr">
        <is>
          <t>B-05-01</t>
        </is>
      </c>
    </row>
    <row r="581">
      <c r="A581" s="30" t="inlineStr">
        <is>
          <t>O0580</t>
        </is>
      </c>
      <c r="B581" s="30" t="inlineStr">
        <is>
          <t>E</t>
        </is>
      </c>
      <c r="C581" s="31" t="n">
        <v>8545.299999999999</v>
      </c>
      <c r="D581" s="31" t="n">
        <v>21470.1</v>
      </c>
      <c r="E581" s="31" t="n">
        <v>21502.6</v>
      </c>
      <c r="F581" s="31" t="n">
        <v>21530.5</v>
      </c>
      <c r="G581" s="31" t="n">
        <v>21559.1</v>
      </c>
      <c r="H581" s="31" t="n">
        <v>22372.6</v>
      </c>
      <c r="I581" s="31" t="n">
        <v>22386.9</v>
      </c>
      <c r="J581" s="31" t="n">
        <v>22420.1</v>
      </c>
      <c r="K581" s="31" t="n">
        <v>13874.8</v>
      </c>
      <c r="L581" s="31" t="n">
        <v>12924.8</v>
      </c>
      <c r="M581" s="30" t="inlineStr">
        <is>
          <t>AMR2</t>
        </is>
      </c>
      <c r="N581" s="30" t="inlineStr">
        <is>
          <t>AMR1</t>
        </is>
      </c>
      <c r="O581" s="32" t="n">
        <v>1</v>
      </c>
      <c r="P581" s="32" t="n">
        <v>25</v>
      </c>
      <c r="Q581" s="32" t="n">
        <v>2</v>
      </c>
      <c r="R581" s="31" t="n">
        <v>65.90000000000001</v>
      </c>
      <c r="S581" s="31" t="n">
        <v>65.90000000000001</v>
      </c>
      <c r="T581" s="30" t="inlineStr">
        <is>
          <t>AMR2</t>
        </is>
      </c>
      <c r="U581" s="31" t="n">
        <v>48.2</v>
      </c>
      <c r="V581" s="31" t="n">
        <v>48.2</v>
      </c>
      <c r="W581" s="30" t="inlineStr">
        <is>
          <t>AMR1</t>
        </is>
      </c>
      <c r="X581" s="32" t="n">
        <v>0</v>
      </c>
      <c r="Y581" s="32" t="n">
        <v>0</v>
      </c>
      <c r="Z581" s="31" t="n">
        <v>0</v>
      </c>
      <c r="AA581" s="32" t="n">
        <v>0</v>
      </c>
      <c r="AB581" s="32" t="n">
        <v>0</v>
      </c>
      <c r="AC581" s="32" t="n">
        <v>0</v>
      </c>
      <c r="AD581" s="32" t="n">
        <v>4</v>
      </c>
      <c r="AE581" s="31" t="n">
        <v>8.5</v>
      </c>
      <c r="AF581" s="32" t="n">
        <v>2</v>
      </c>
      <c r="AG581" s="31" t="n">
        <v>6.3</v>
      </c>
      <c r="AH581" s="32" t="n">
        <v>69</v>
      </c>
      <c r="AI581" s="31" t="n">
        <v>69.5</v>
      </c>
      <c r="AJ581" s="31" t="n">
        <v>49.2</v>
      </c>
      <c r="AK581" s="31" t="n">
        <v>17.8</v>
      </c>
      <c r="AL581" s="30" t="inlineStr">
        <is>
          <t>T-0736</t>
        </is>
      </c>
      <c r="AM581" s="30" t="inlineStr">
        <is>
          <t>E-02-01</t>
        </is>
      </c>
      <c r="AN581" s="30" t="inlineStr">
        <is>
          <t>T-0598</t>
        </is>
      </c>
      <c r="AO581" s="30" t="inlineStr">
        <is>
          <t>E-01-01</t>
        </is>
      </c>
    </row>
    <row r="582">
      <c r="A582" s="30" t="inlineStr">
        <is>
          <t>O0581</t>
        </is>
      </c>
      <c r="B582" s="30" t="inlineStr">
        <is>
          <t>G</t>
        </is>
      </c>
      <c r="C582" s="31" t="n">
        <v>8564</v>
      </c>
      <c r="D582" s="31" t="n">
        <v>21135.6</v>
      </c>
      <c r="E582" s="31" t="n">
        <v>21159.1</v>
      </c>
      <c r="F582" s="31" t="n">
        <v>21172.1</v>
      </c>
      <c r="G582" s="31" t="n">
        <v>21197.2</v>
      </c>
      <c r="H582" s="31" t="n">
        <v>21197.3</v>
      </c>
      <c r="I582" s="31" t="n">
        <v>21210.1</v>
      </c>
      <c r="J582" s="31" t="n">
        <v>21238.6</v>
      </c>
      <c r="K582" s="31" t="n">
        <v>12674.6</v>
      </c>
      <c r="L582" s="31" t="n">
        <v>12571.6</v>
      </c>
      <c r="M582" s="30" t="inlineStr">
        <is>
          <t>AMR2</t>
        </is>
      </c>
      <c r="N582" s="30" t="inlineStr">
        <is>
          <t>AMR2</t>
        </is>
      </c>
      <c r="O582" s="32" t="n">
        <v>1</v>
      </c>
      <c r="P582" s="32" t="n">
        <v>25</v>
      </c>
      <c r="Q582" s="32" t="n">
        <v>1</v>
      </c>
      <c r="R582" s="31" t="n">
        <v>58.2</v>
      </c>
      <c r="S582" s="31" t="n">
        <v>58.2</v>
      </c>
      <c r="T582" s="30" t="inlineStr">
        <is>
          <t>AMR2</t>
        </is>
      </c>
      <c r="U582" s="31" t="n">
        <v>39.9</v>
      </c>
      <c r="V582" s="31" t="n">
        <v>39.9</v>
      </c>
      <c r="W582" s="30" t="inlineStr">
        <is>
          <t>AMR2</t>
        </is>
      </c>
      <c r="X582" s="32" t="n">
        <v>0</v>
      </c>
      <c r="Y582" s="32" t="n">
        <v>0</v>
      </c>
      <c r="Z582" s="31" t="n">
        <v>0</v>
      </c>
      <c r="AA582" s="32" t="n">
        <v>0</v>
      </c>
      <c r="AB582" s="32" t="n">
        <v>0</v>
      </c>
      <c r="AC582" s="32" t="n">
        <v>0</v>
      </c>
      <c r="AD582" s="32" t="n">
        <v>1</v>
      </c>
      <c r="AE582" s="31" t="n">
        <v>1</v>
      </c>
      <c r="AF582" s="32" t="n">
        <v>0</v>
      </c>
      <c r="AG582" s="31" t="n">
        <v>0</v>
      </c>
      <c r="AH582" s="32" t="n">
        <v>60</v>
      </c>
      <c r="AI582" s="31" t="n">
        <v>61.1</v>
      </c>
      <c r="AJ582" s="31" t="n">
        <v>40.8</v>
      </c>
      <c r="AK582" s="31" t="n">
        <v>1</v>
      </c>
      <c r="AL582" s="30" t="inlineStr">
        <is>
          <t>T-0727</t>
        </is>
      </c>
      <c r="AM582" s="30" t="inlineStr">
        <is>
          <t>G-01-03</t>
        </is>
      </c>
      <c r="AN582" s="30" t="inlineStr">
        <is>
          <t>T-0576</t>
        </is>
      </c>
      <c r="AO582" s="30" t="inlineStr">
        <is>
          <t>G-03-03</t>
        </is>
      </c>
    </row>
    <row r="583">
      <c r="A583" s="30" t="inlineStr">
        <is>
          <t>O0582</t>
        </is>
      </c>
      <c r="B583" s="30" t="inlineStr">
        <is>
          <t>A</t>
        </is>
      </c>
      <c r="C583" s="31" t="n">
        <v>8579.4</v>
      </c>
      <c r="D583" s="31" t="n">
        <v>21622.9</v>
      </c>
      <c r="E583" s="31" t="n">
        <v>21647.4</v>
      </c>
      <c r="F583" s="31" t="n">
        <v>21662.3</v>
      </c>
      <c r="G583" s="31" t="n">
        <v>21693.8</v>
      </c>
      <c r="H583" s="31" t="n">
        <v>21693.9</v>
      </c>
      <c r="I583" s="31" t="n">
        <v>21703.7</v>
      </c>
      <c r="J583" s="31" t="n">
        <v>21737.6</v>
      </c>
      <c r="K583" s="31" t="n">
        <v>13158.2</v>
      </c>
      <c r="L583" s="31" t="n">
        <v>13043.5</v>
      </c>
      <c r="M583" s="30" t="inlineStr">
        <is>
          <t>AMR2</t>
        </is>
      </c>
      <c r="N583" s="30" t="inlineStr">
        <is>
          <t>AMR2</t>
        </is>
      </c>
      <c r="O583" s="32" t="n">
        <v>1</v>
      </c>
      <c r="P583" s="32" t="n">
        <v>25</v>
      </c>
      <c r="Q583" s="32" t="n">
        <v>1</v>
      </c>
      <c r="R583" s="31" t="n">
        <v>68</v>
      </c>
      <c r="S583" s="31" t="n">
        <v>68</v>
      </c>
      <c r="T583" s="30" t="inlineStr">
        <is>
          <t>AMR2</t>
        </is>
      </c>
      <c r="U583" s="31" t="n">
        <v>42.9</v>
      </c>
      <c r="V583" s="31" t="n">
        <v>42.9</v>
      </c>
      <c r="W583" s="30" t="inlineStr">
        <is>
          <t>AMR2</t>
        </is>
      </c>
      <c r="X583" s="32" t="n">
        <v>0</v>
      </c>
      <c r="Y583" s="32" t="n">
        <v>0</v>
      </c>
      <c r="Z583" s="31" t="n">
        <v>0</v>
      </c>
      <c r="AA583" s="32" t="n">
        <v>0</v>
      </c>
      <c r="AB583" s="32" t="n">
        <v>0</v>
      </c>
      <c r="AC583" s="32" t="n">
        <v>0</v>
      </c>
      <c r="AD583" s="32" t="n">
        <v>0</v>
      </c>
      <c r="AE583" s="31" t="n">
        <v>0</v>
      </c>
      <c r="AF583" s="32" t="n">
        <v>0</v>
      </c>
      <c r="AG583" s="31" t="n">
        <v>0</v>
      </c>
      <c r="AH583" s="32" t="n">
        <v>72</v>
      </c>
      <c r="AI583" s="31" t="n">
        <v>70.09999999999999</v>
      </c>
      <c r="AJ583" s="31" t="n">
        <v>43.5</v>
      </c>
      <c r="AK583" s="31" t="n">
        <v>1</v>
      </c>
      <c r="AL583" s="30" t="inlineStr">
        <is>
          <t>T-0740</t>
        </is>
      </c>
      <c r="AM583" s="30" t="inlineStr">
        <is>
          <t>A-04-02</t>
        </is>
      </c>
      <c r="AN583" s="30" t="inlineStr">
        <is>
          <t>T-0595</t>
        </is>
      </c>
      <c r="AO583" s="30" t="inlineStr">
        <is>
          <t>A-01-01</t>
        </is>
      </c>
    </row>
    <row r="584">
      <c r="A584" s="30" t="inlineStr">
        <is>
          <t>O0583</t>
        </is>
      </c>
      <c r="B584" s="30" t="inlineStr">
        <is>
          <t>E</t>
        </is>
      </c>
      <c r="C584" s="31" t="n">
        <v>8598</v>
      </c>
      <c r="D584" s="31" t="n">
        <v>21223</v>
      </c>
      <c r="E584" s="31" t="n">
        <v>21246.5</v>
      </c>
      <c r="F584" s="31" t="n">
        <v>21259.6</v>
      </c>
      <c r="G584" s="31" t="n">
        <v>21286</v>
      </c>
      <c r="H584" s="31" t="n">
        <v>21286.1</v>
      </c>
      <c r="I584" s="31" t="n">
        <v>21297.8</v>
      </c>
      <c r="J584" s="31" t="n">
        <v>21329.7</v>
      </c>
      <c r="K584" s="31" t="n">
        <v>12731.7</v>
      </c>
      <c r="L584" s="31" t="n">
        <v>12625</v>
      </c>
      <c r="M584" s="30" t="inlineStr">
        <is>
          <t>AMR1</t>
        </is>
      </c>
      <c r="N584" s="30" t="inlineStr">
        <is>
          <t>AMR1</t>
        </is>
      </c>
      <c r="O584" s="32" t="n">
        <v>1</v>
      </c>
      <c r="P584" s="32" t="n">
        <v>25</v>
      </c>
      <c r="Q584" s="32" t="n">
        <v>1</v>
      </c>
      <c r="R584" s="31" t="n">
        <v>59.5</v>
      </c>
      <c r="S584" s="31" t="n">
        <v>59.5</v>
      </c>
      <c r="T584" s="30" t="inlineStr">
        <is>
          <t>AMR1</t>
        </is>
      </c>
      <c r="U584" s="31" t="n">
        <v>42.3</v>
      </c>
      <c r="V584" s="31" t="n">
        <v>42.3</v>
      </c>
      <c r="W584" s="30" t="inlineStr">
        <is>
          <t>AMR1</t>
        </is>
      </c>
      <c r="X584" s="32" t="n">
        <v>0</v>
      </c>
      <c r="Y584" s="32" t="n">
        <v>0</v>
      </c>
      <c r="Z584" s="31" t="n">
        <v>0</v>
      </c>
      <c r="AA584" s="32" t="n">
        <v>0</v>
      </c>
      <c r="AB584" s="32" t="n">
        <v>0</v>
      </c>
      <c r="AC584" s="32" t="n">
        <v>0</v>
      </c>
      <c r="AD584" s="32" t="n">
        <v>1</v>
      </c>
      <c r="AE584" s="31" t="n">
        <v>2</v>
      </c>
      <c r="AF584" s="32" t="n">
        <v>0</v>
      </c>
      <c r="AG584" s="31" t="n">
        <v>0</v>
      </c>
      <c r="AH584" s="32" t="n">
        <v>68</v>
      </c>
      <c r="AI584" s="31" t="n">
        <v>67</v>
      </c>
      <c r="AJ584" s="31" t="n">
        <v>37.6</v>
      </c>
      <c r="AK584" s="31" t="n">
        <v>2</v>
      </c>
      <c r="AL584" s="30" t="inlineStr">
        <is>
          <t>T-0729</t>
        </is>
      </c>
      <c r="AM584" s="30" t="inlineStr">
        <is>
          <t>E-04-03</t>
        </is>
      </c>
      <c r="AN584" s="30" t="inlineStr">
        <is>
          <t>T-0571</t>
        </is>
      </c>
      <c r="AO584" s="30" t="inlineStr">
        <is>
          <t>E-02-01</t>
        </is>
      </c>
    </row>
    <row r="585">
      <c r="A585" s="30" t="inlineStr">
        <is>
          <t>O0584</t>
        </is>
      </c>
      <c r="B585" s="30" t="inlineStr">
        <is>
          <t>H</t>
        </is>
      </c>
      <c r="C585" s="31" t="n">
        <v>8616.9</v>
      </c>
      <c r="D585" s="31" t="n">
        <v>21238.7</v>
      </c>
      <c r="E585" s="31" t="n">
        <v>21270.2</v>
      </c>
      <c r="F585" s="31" t="n">
        <v>21286.4</v>
      </c>
      <c r="G585" s="31" t="n">
        <v>21310.4</v>
      </c>
      <c r="H585" s="31" t="n">
        <v>21310.5</v>
      </c>
      <c r="I585" s="31" t="n">
        <v>21324.7</v>
      </c>
      <c r="J585" s="31" t="n">
        <v>21348.2</v>
      </c>
      <c r="K585" s="31" t="n">
        <v>12731.3</v>
      </c>
      <c r="L585" s="31" t="n">
        <v>12621.8</v>
      </c>
      <c r="M585" s="30" t="inlineStr">
        <is>
          <t>AMR2</t>
        </is>
      </c>
      <c r="N585" s="30" t="inlineStr">
        <is>
          <t>AMR2</t>
        </is>
      </c>
      <c r="O585" s="32" t="n">
        <v>1</v>
      </c>
      <c r="P585" s="32" t="n">
        <v>25</v>
      </c>
      <c r="Q585" s="32" t="n">
        <v>1</v>
      </c>
      <c r="R585" s="31" t="n">
        <v>61.9</v>
      </c>
      <c r="S585" s="31" t="n">
        <v>61.9</v>
      </c>
      <c r="T585" s="30" t="inlineStr">
        <is>
          <t>AMR2</t>
        </is>
      </c>
      <c r="U585" s="31" t="n">
        <v>36.8</v>
      </c>
      <c r="V585" s="31" t="n">
        <v>36.8</v>
      </c>
      <c r="W585" s="30" t="inlineStr">
        <is>
          <t>AMR2</t>
        </is>
      </c>
      <c r="X585" s="32" t="n">
        <v>0</v>
      </c>
      <c r="Y585" s="32" t="n">
        <v>0</v>
      </c>
      <c r="Z585" s="31" t="n">
        <v>0</v>
      </c>
      <c r="AA585" s="32" t="n">
        <v>0</v>
      </c>
      <c r="AB585" s="32" t="n">
        <v>0</v>
      </c>
      <c r="AC585" s="32" t="n">
        <v>0</v>
      </c>
      <c r="AD585" s="32" t="n">
        <v>0</v>
      </c>
      <c r="AE585" s="31" t="n">
        <v>0</v>
      </c>
      <c r="AF585" s="32" t="n">
        <v>1</v>
      </c>
      <c r="AG585" s="31" t="n">
        <v>3</v>
      </c>
      <c r="AH585" s="32" t="n">
        <v>54</v>
      </c>
      <c r="AI585" s="31" t="n">
        <v>56.3</v>
      </c>
      <c r="AJ585" s="31" t="n">
        <v>45.1</v>
      </c>
      <c r="AK585" s="31" t="n">
        <v>8</v>
      </c>
      <c r="AL585" s="30" t="inlineStr">
        <is>
          <t>T-0730</t>
        </is>
      </c>
      <c r="AM585" s="30" t="inlineStr">
        <is>
          <t>H-02-01</t>
        </is>
      </c>
      <c r="AN585" s="30" t="inlineStr">
        <is>
          <t>T-0565</t>
        </is>
      </c>
      <c r="AO585" s="30" t="inlineStr">
        <is>
          <t>H-03-03</t>
        </is>
      </c>
    </row>
    <row r="586">
      <c r="A586" s="30" t="inlineStr">
        <is>
          <t>O0585</t>
        </is>
      </c>
      <c r="B586" s="30" t="inlineStr">
        <is>
          <t>J</t>
        </is>
      </c>
      <c r="C586" s="31" t="n">
        <v>8634.700000000001</v>
      </c>
      <c r="D586" s="31" t="n">
        <v>21899.6</v>
      </c>
      <c r="E586" s="31" t="n">
        <v>21913.6</v>
      </c>
      <c r="F586" s="31" t="n">
        <v>21926.7</v>
      </c>
      <c r="G586" s="31" t="n">
        <v>21958.4</v>
      </c>
      <c r="H586" s="31" t="n">
        <v>21958.5</v>
      </c>
      <c r="I586" s="31" t="n">
        <v>21970.5</v>
      </c>
      <c r="J586" s="31" t="n">
        <v>22002.8</v>
      </c>
      <c r="K586" s="31" t="n">
        <v>13368.1</v>
      </c>
      <c r="L586" s="31" t="n">
        <v>13264.9</v>
      </c>
      <c r="M586" s="30" t="inlineStr">
        <is>
          <t>AMR3</t>
        </is>
      </c>
      <c r="N586" s="30" t="inlineStr">
        <is>
          <t>AMR3</t>
        </is>
      </c>
      <c r="O586" s="32" t="n">
        <v>1</v>
      </c>
      <c r="P586" s="32" t="n">
        <v>14</v>
      </c>
      <c r="Q586" s="32" t="n">
        <v>1</v>
      </c>
      <c r="R586" s="31" t="n">
        <v>57.6</v>
      </c>
      <c r="S586" s="31" t="n">
        <v>57.6</v>
      </c>
      <c r="T586" s="30" t="inlineStr">
        <is>
          <t>AMR3</t>
        </is>
      </c>
      <c r="U586" s="31" t="n">
        <v>42.5</v>
      </c>
      <c r="V586" s="31" t="n">
        <v>42.5</v>
      </c>
      <c r="W586" s="30" t="inlineStr">
        <is>
          <t>AMR3</t>
        </is>
      </c>
      <c r="X586" s="32" t="n">
        <v>0</v>
      </c>
      <c r="Y586" s="32" t="n">
        <v>0</v>
      </c>
      <c r="Z586" s="31" t="n">
        <v>0</v>
      </c>
      <c r="AA586" s="32" t="n">
        <v>0</v>
      </c>
      <c r="AB586" s="32" t="n">
        <v>0</v>
      </c>
      <c r="AC586" s="32" t="n">
        <v>0</v>
      </c>
      <c r="AD586" s="32" t="n">
        <v>0</v>
      </c>
      <c r="AE586" s="31" t="n">
        <v>0</v>
      </c>
      <c r="AF586" s="32" t="n">
        <v>0</v>
      </c>
      <c r="AG586" s="31" t="n">
        <v>0</v>
      </c>
      <c r="AH586" s="32" t="n">
        <v>57</v>
      </c>
      <c r="AI586" s="31" t="n">
        <v>58.8</v>
      </c>
      <c r="AJ586" s="31" t="n">
        <v>44.3</v>
      </c>
      <c r="AK586" s="31" t="n">
        <v>0</v>
      </c>
      <c r="AL586" s="30" t="inlineStr">
        <is>
          <t>T-0746</t>
        </is>
      </c>
      <c r="AM586" s="30" t="inlineStr">
        <is>
          <t>J-01-02</t>
        </is>
      </c>
      <c r="AN586" s="30" t="inlineStr">
        <is>
          <t>T-0599</t>
        </is>
      </c>
      <c r="AO586" s="30" t="inlineStr">
        <is>
          <t>J-05-01</t>
        </is>
      </c>
    </row>
    <row r="587">
      <c r="A587" s="30" t="inlineStr">
        <is>
          <t>O0586</t>
        </is>
      </c>
      <c r="B587" s="30" t="inlineStr">
        <is>
          <t>C</t>
        </is>
      </c>
      <c r="C587" s="31" t="n">
        <v>8655.799999999999</v>
      </c>
      <c r="D587" s="31" t="n">
        <v>21430.6</v>
      </c>
      <c r="E587" s="31" t="n">
        <v>21454.1</v>
      </c>
      <c r="F587" s="31" t="n">
        <v>21470.2</v>
      </c>
      <c r="G587" s="31" t="n">
        <v>21494</v>
      </c>
      <c r="H587" s="31" t="n">
        <v>21664.1</v>
      </c>
      <c r="I587" s="31" t="n">
        <v>21682.3</v>
      </c>
      <c r="J587" s="31" t="n">
        <v>21709.5</v>
      </c>
      <c r="K587" s="31" t="n">
        <v>13053.7</v>
      </c>
      <c r="L587" s="31" t="n">
        <v>12774.8</v>
      </c>
      <c r="M587" s="30" t="inlineStr">
        <is>
          <t>AMR3</t>
        </is>
      </c>
      <c r="N587" s="30" t="inlineStr">
        <is>
          <t>AMR3</t>
        </is>
      </c>
      <c r="O587" s="32" t="n">
        <v>1</v>
      </c>
      <c r="P587" s="32" t="n">
        <v>25</v>
      </c>
      <c r="Q587" s="32" t="n">
        <v>2</v>
      </c>
      <c r="R587" s="31" t="n">
        <v>61.5</v>
      </c>
      <c r="S587" s="31" t="n">
        <v>61.5</v>
      </c>
      <c r="T587" s="30" t="inlineStr">
        <is>
          <t>AMR3</t>
        </is>
      </c>
      <c r="U587" s="31" t="n">
        <v>43.3</v>
      </c>
      <c r="V587" s="31" t="n">
        <v>43.3</v>
      </c>
      <c r="W587" s="30" t="inlineStr">
        <is>
          <t>AMR3</t>
        </is>
      </c>
      <c r="X587" s="32" t="n">
        <v>0</v>
      </c>
      <c r="Y587" s="32" t="n">
        <v>0</v>
      </c>
      <c r="Z587" s="31" t="n">
        <v>0</v>
      </c>
      <c r="AA587" s="32" t="n">
        <v>0</v>
      </c>
      <c r="AB587" s="32" t="n">
        <v>0</v>
      </c>
      <c r="AC587" s="32" t="n">
        <v>0</v>
      </c>
      <c r="AD587" s="32" t="n">
        <v>0</v>
      </c>
      <c r="AE587" s="31" t="n">
        <v>0</v>
      </c>
      <c r="AF587" s="32" t="n">
        <v>0</v>
      </c>
      <c r="AG587" s="31" t="n">
        <v>0</v>
      </c>
      <c r="AH587" s="32" t="n">
        <v>55</v>
      </c>
      <c r="AI587" s="31" t="n">
        <v>57.8</v>
      </c>
      <c r="AJ587" s="31" t="n">
        <v>51</v>
      </c>
      <c r="AK587" s="31" t="n">
        <v>0</v>
      </c>
      <c r="AL587" s="30" t="inlineStr">
        <is>
          <t>T-0734</t>
        </is>
      </c>
      <c r="AM587" s="30" t="inlineStr">
        <is>
          <t>C-04-02</t>
        </is>
      </c>
      <c r="AN587" s="30" t="inlineStr">
        <is>
          <t>T-0588</t>
        </is>
      </c>
      <c r="AO587" s="30" t="inlineStr">
        <is>
          <t>C-06-02</t>
        </is>
      </c>
    </row>
    <row r="588">
      <c r="A588" s="30" t="inlineStr">
        <is>
          <t>O0587</t>
        </is>
      </c>
      <c r="B588" s="30" t="inlineStr">
        <is>
          <t>F</t>
        </is>
      </c>
      <c r="C588" s="31" t="n">
        <v>8674.799999999999</v>
      </c>
      <c r="D588" s="31" t="n">
        <v>21569.7</v>
      </c>
      <c r="E588" s="31" t="n">
        <v>21593.2</v>
      </c>
      <c r="F588" s="31" t="n">
        <v>21604.1</v>
      </c>
      <c r="G588" s="31" t="n">
        <v>21636.6</v>
      </c>
      <c r="H588" s="31" t="n">
        <v>21636.7</v>
      </c>
      <c r="I588" s="31" t="n">
        <v>21651.8</v>
      </c>
      <c r="J588" s="31" t="n">
        <v>21681.5</v>
      </c>
      <c r="K588" s="31" t="n">
        <v>13006.7</v>
      </c>
      <c r="L588" s="31" t="n">
        <v>12894.9</v>
      </c>
      <c r="M588" s="30" t="inlineStr">
        <is>
          <t>AMR1</t>
        </is>
      </c>
      <c r="N588" s="30" t="inlineStr">
        <is>
          <t>AMR1</t>
        </is>
      </c>
      <c r="O588" s="32" t="n">
        <v>1</v>
      </c>
      <c r="P588" s="32" t="n">
        <v>25</v>
      </c>
      <c r="Q588" s="32" t="n">
        <v>0</v>
      </c>
      <c r="R588" s="31" t="n">
        <v>64.3</v>
      </c>
      <c r="S588" s="31" t="n">
        <v>64.3</v>
      </c>
      <c r="T588" s="30" t="inlineStr">
        <is>
          <t>AMR1</t>
        </is>
      </c>
      <c r="U588" s="31" t="n">
        <v>45.5</v>
      </c>
      <c r="V588" s="31" t="n">
        <v>45.5</v>
      </c>
      <c r="W588" s="30" t="inlineStr">
        <is>
          <t>AMR1</t>
        </is>
      </c>
      <c r="X588" s="32" t="n">
        <v>0</v>
      </c>
      <c r="Y588" s="32" t="n">
        <v>0</v>
      </c>
      <c r="Z588" s="31" t="n">
        <v>0</v>
      </c>
      <c r="AA588" s="32" t="n">
        <v>0</v>
      </c>
      <c r="AB588" s="32" t="n">
        <v>0</v>
      </c>
      <c r="AC588" s="32" t="n">
        <v>0</v>
      </c>
      <c r="AD588" s="32" t="n">
        <v>0</v>
      </c>
      <c r="AE588" s="31" t="n">
        <v>0</v>
      </c>
      <c r="AF588" s="32" t="n">
        <v>0</v>
      </c>
      <c r="AG588" s="31" t="n">
        <v>0</v>
      </c>
      <c r="AH588" s="32" t="n">
        <v>70</v>
      </c>
      <c r="AI588" s="31" t="n">
        <v>69.09999999999999</v>
      </c>
      <c r="AJ588" s="31" t="n">
        <v>42.6</v>
      </c>
      <c r="AK588" s="31" t="n">
        <v>0</v>
      </c>
      <c r="AL588" s="30" t="inlineStr">
        <is>
          <t>T-0738</t>
        </is>
      </c>
      <c r="AM588" s="30" t="inlineStr">
        <is>
          <t>F-03-02</t>
        </is>
      </c>
      <c r="AN588" s="30" t="inlineStr">
        <is>
          <t>T-0634</t>
        </is>
      </c>
      <c r="AO588" s="30" t="inlineStr">
        <is>
          <t>F-05-02</t>
        </is>
      </c>
    </row>
    <row r="589">
      <c r="A589" s="30" t="inlineStr">
        <is>
          <t>O0588</t>
        </is>
      </c>
      <c r="B589" s="30" t="inlineStr">
        <is>
          <t>C</t>
        </is>
      </c>
      <c r="C589" s="31" t="n">
        <v>8699.1</v>
      </c>
      <c r="D589" s="31" t="n">
        <v>21348.3</v>
      </c>
      <c r="E589" s="31" t="n">
        <v>21382.8</v>
      </c>
      <c r="F589" s="31" t="n">
        <v>21393.4</v>
      </c>
      <c r="G589" s="31" t="n">
        <v>21415.5</v>
      </c>
      <c r="H589" s="31" t="n">
        <v>21415.6</v>
      </c>
      <c r="I589" s="31" t="n">
        <v>21427.8</v>
      </c>
      <c r="J589" s="31" t="n">
        <v>21470</v>
      </c>
      <c r="K589" s="31" t="n">
        <v>12770.9</v>
      </c>
      <c r="L589" s="31" t="n">
        <v>12649.2</v>
      </c>
      <c r="M589" s="30" t="inlineStr">
        <is>
          <t>AMR2</t>
        </is>
      </c>
      <c r="N589" s="30" t="inlineStr">
        <is>
          <t>AMR2</t>
        </is>
      </c>
      <c r="O589" s="32" t="n">
        <v>1</v>
      </c>
      <c r="P589" s="32" t="n">
        <v>25</v>
      </c>
      <c r="Q589" s="32" t="n">
        <v>0</v>
      </c>
      <c r="R589" s="31" t="n">
        <v>53.5</v>
      </c>
      <c r="S589" s="31" t="n">
        <v>53.5</v>
      </c>
      <c r="T589" s="30" t="inlineStr">
        <is>
          <t>AMR2</t>
        </is>
      </c>
      <c r="U589" s="31" t="n">
        <v>39.9</v>
      </c>
      <c r="V589" s="31" t="n">
        <v>39.9</v>
      </c>
      <c r="W589" s="30" t="inlineStr">
        <is>
          <t>AMR2</t>
        </is>
      </c>
      <c r="X589" s="32" t="n">
        <v>0</v>
      </c>
      <c r="Y589" s="32" t="n">
        <v>0</v>
      </c>
      <c r="Z589" s="31" t="n">
        <v>0</v>
      </c>
      <c r="AA589" s="32" t="n">
        <v>0</v>
      </c>
      <c r="AB589" s="32" t="n">
        <v>0</v>
      </c>
      <c r="AC589" s="32" t="n">
        <v>0</v>
      </c>
      <c r="AD589" s="32" t="n">
        <v>1</v>
      </c>
      <c r="AE589" s="31" t="n">
        <v>13.7</v>
      </c>
      <c r="AF589" s="32" t="n">
        <v>2</v>
      </c>
      <c r="AG589" s="31" t="n">
        <v>14.7</v>
      </c>
      <c r="AH589" s="32" t="n">
        <v>54</v>
      </c>
      <c r="AI589" s="31" t="n">
        <v>55.9</v>
      </c>
      <c r="AJ589" s="31" t="n">
        <v>41</v>
      </c>
      <c r="AK589" s="31" t="n">
        <v>24.7</v>
      </c>
      <c r="AL589" s="30" t="inlineStr">
        <is>
          <t>T-0733</t>
        </is>
      </c>
      <c r="AM589" s="30" t="inlineStr">
        <is>
          <t>C-03-02</t>
        </is>
      </c>
      <c r="AN589" s="30" t="inlineStr">
        <is>
          <t>T-0581</t>
        </is>
      </c>
      <c r="AO589" s="30" t="inlineStr">
        <is>
          <t>C-05-02</t>
        </is>
      </c>
    </row>
    <row r="590">
      <c r="A590" s="30" t="inlineStr">
        <is>
          <t>O0589</t>
        </is>
      </c>
      <c r="B590" s="30" t="inlineStr">
        <is>
          <t>G</t>
        </is>
      </c>
      <c r="C590" s="31" t="n">
        <v>8720.200000000001</v>
      </c>
      <c r="D590" s="31" t="n">
        <v>21494.1</v>
      </c>
      <c r="E590" s="31" t="n">
        <v>21526.4</v>
      </c>
      <c r="F590" s="31" t="n">
        <v>21537.3</v>
      </c>
      <c r="G590" s="31" t="n">
        <v>21562.6</v>
      </c>
      <c r="H590" s="31" t="n">
        <v>21562.7</v>
      </c>
      <c r="I590" s="31" t="n">
        <v>21573.5</v>
      </c>
      <c r="J590" s="31" t="n">
        <v>21599.5</v>
      </c>
      <c r="K590" s="31" t="n">
        <v>12879.3</v>
      </c>
      <c r="L590" s="31" t="n">
        <v>12773.9</v>
      </c>
      <c r="M590" s="30" t="inlineStr">
        <is>
          <t>AMR3</t>
        </is>
      </c>
      <c r="N590" s="30" t="inlineStr">
        <is>
          <t>AMR3</t>
        </is>
      </c>
      <c r="O590" s="32" t="n">
        <v>1</v>
      </c>
      <c r="P590" s="32" t="n">
        <v>12</v>
      </c>
      <c r="Q590" s="32" t="n">
        <v>1</v>
      </c>
      <c r="R590" s="31" t="n">
        <v>45.4</v>
      </c>
      <c r="S590" s="31" t="n">
        <v>45.4</v>
      </c>
      <c r="T590" s="30" t="inlineStr">
        <is>
          <t>AMR3</t>
        </is>
      </c>
      <c r="U590" s="31" t="n">
        <v>36.5</v>
      </c>
      <c r="V590" s="31" t="n">
        <v>36.5</v>
      </c>
      <c r="W590" s="30" t="inlineStr">
        <is>
          <t>AMR3</t>
        </is>
      </c>
      <c r="X590" s="32" t="n">
        <v>0</v>
      </c>
      <c r="Y590" s="32" t="n">
        <v>0</v>
      </c>
      <c r="Z590" s="31" t="n">
        <v>0</v>
      </c>
      <c r="AA590" s="32" t="n">
        <v>0</v>
      </c>
      <c r="AB590" s="32" t="n">
        <v>0</v>
      </c>
      <c r="AC590" s="32" t="n">
        <v>0</v>
      </c>
      <c r="AD590" s="32" t="n">
        <v>0</v>
      </c>
      <c r="AE590" s="31" t="n">
        <v>0</v>
      </c>
      <c r="AF590" s="32" t="n">
        <v>2</v>
      </c>
      <c r="AG590" s="31" t="n">
        <v>4.3</v>
      </c>
      <c r="AH590" s="32" t="n">
        <v>49</v>
      </c>
      <c r="AI590" s="31" t="n">
        <v>55.5</v>
      </c>
      <c r="AJ590" s="31" t="n">
        <v>35.5</v>
      </c>
      <c r="AK590" s="31" t="n">
        <v>14.3</v>
      </c>
      <c r="AL590" s="30" t="inlineStr">
        <is>
          <t>T-0737</t>
        </is>
      </c>
      <c r="AM590" s="30" t="inlineStr">
        <is>
          <t>G-02-03</t>
        </is>
      </c>
      <c r="AN590" s="30" t="inlineStr">
        <is>
          <t>T-0590</t>
        </is>
      </c>
      <c r="AO590" s="30" t="inlineStr">
        <is>
          <t>G-05-01</t>
        </is>
      </c>
    </row>
    <row r="591">
      <c r="A591" s="30" t="inlineStr">
        <is>
          <t>O0590</t>
        </is>
      </c>
      <c r="B591" s="30" t="inlineStr">
        <is>
          <t>A</t>
        </is>
      </c>
      <c r="C591" s="31" t="n">
        <v>8735.6</v>
      </c>
      <c r="D591" s="31" t="n">
        <v>21451.9</v>
      </c>
      <c r="E591" s="31" t="n">
        <v>21478.4</v>
      </c>
      <c r="F591" s="31" t="n">
        <v>21493.8</v>
      </c>
      <c r="G591" s="31" t="n">
        <v>21524.7</v>
      </c>
      <c r="H591" s="31" t="n">
        <v>21524.8</v>
      </c>
      <c r="I591" s="31" t="n">
        <v>21537.7</v>
      </c>
      <c r="J591" s="31" t="n">
        <v>21569.6</v>
      </c>
      <c r="K591" s="31" t="n">
        <v>12834</v>
      </c>
      <c r="L591" s="31" t="n">
        <v>12716.3</v>
      </c>
      <c r="M591" s="30" t="inlineStr">
        <is>
          <t>AMR1</t>
        </is>
      </c>
      <c r="N591" s="30" t="inlineStr">
        <is>
          <t>AMR1</t>
        </is>
      </c>
      <c r="O591" s="32" t="n">
        <v>1</v>
      </c>
      <c r="P591" s="32" t="n">
        <v>25</v>
      </c>
      <c r="Q591" s="32" t="n">
        <v>1</v>
      </c>
      <c r="R591" s="31" t="n">
        <v>66.3</v>
      </c>
      <c r="S591" s="31" t="n">
        <v>66.3</v>
      </c>
      <c r="T591" s="30" t="inlineStr">
        <is>
          <t>AMR1</t>
        </is>
      </c>
      <c r="U591" s="31" t="n">
        <v>45.5</v>
      </c>
      <c r="V591" s="31" t="n">
        <v>45.5</v>
      </c>
      <c r="W591" s="30" t="inlineStr">
        <is>
          <t>AMR1</t>
        </is>
      </c>
      <c r="X591" s="32" t="n">
        <v>0</v>
      </c>
      <c r="Y591" s="32" t="n">
        <v>0</v>
      </c>
      <c r="Z591" s="31" t="n">
        <v>0</v>
      </c>
      <c r="AA591" s="32" t="n">
        <v>0</v>
      </c>
      <c r="AB591" s="32" t="n">
        <v>0</v>
      </c>
      <c r="AC591" s="32" t="n">
        <v>0</v>
      </c>
      <c r="AD591" s="32" t="n">
        <v>0</v>
      </c>
      <c r="AE591" s="31" t="n">
        <v>0</v>
      </c>
      <c r="AF591" s="32" t="n">
        <v>0</v>
      </c>
      <c r="AG591" s="31" t="n">
        <v>0</v>
      </c>
      <c r="AH591" s="32" t="n">
        <v>72</v>
      </c>
      <c r="AI591" s="31" t="n">
        <v>70.2</v>
      </c>
      <c r="AJ591" s="31" t="n">
        <v>44.4</v>
      </c>
      <c r="AK591" s="31" t="n">
        <v>3</v>
      </c>
      <c r="AL591" s="30" t="inlineStr">
        <is>
          <t>T-0735</t>
        </is>
      </c>
      <c r="AM591" s="30" t="inlineStr">
        <is>
          <t>A-02-02</t>
        </is>
      </c>
      <c r="AN591" s="30" t="inlineStr">
        <is>
          <t>T-0562</t>
        </is>
      </c>
      <c r="AO591" s="30" t="inlineStr">
        <is>
          <t>A-04-02</t>
        </is>
      </c>
    </row>
    <row r="592">
      <c r="A592" s="30" t="inlineStr">
        <is>
          <t>O0591</t>
        </is>
      </c>
      <c r="B592" s="30" t="inlineStr">
        <is>
          <t>H</t>
        </is>
      </c>
      <c r="C592" s="31" t="n">
        <v>8757.700000000001</v>
      </c>
      <c r="D592" s="31" t="n">
        <v>21599.6</v>
      </c>
      <c r="E592" s="31" t="n">
        <v>21623.1</v>
      </c>
      <c r="F592" s="31" t="n">
        <v>21637.4</v>
      </c>
      <c r="G592" s="31" t="n">
        <v>21664</v>
      </c>
      <c r="H592" s="31" t="n">
        <v>21737.7</v>
      </c>
      <c r="I592" s="31" t="n">
        <v>21765.6</v>
      </c>
      <c r="J592" s="31" t="n">
        <v>21808.6</v>
      </c>
      <c r="K592" s="31" t="n">
        <v>13050.9</v>
      </c>
      <c r="L592" s="31" t="n">
        <v>12841.9</v>
      </c>
      <c r="M592" s="30" t="inlineStr">
        <is>
          <t>AMR3</t>
        </is>
      </c>
      <c r="N592" s="30" t="inlineStr">
        <is>
          <t>AMR2</t>
        </is>
      </c>
      <c r="O592" s="32" t="n">
        <v>1</v>
      </c>
      <c r="P592" s="32" t="n">
        <v>25</v>
      </c>
      <c r="Q592" s="32" t="n">
        <v>14</v>
      </c>
      <c r="R592" s="31" t="n">
        <v>61.8</v>
      </c>
      <c r="S592" s="31" t="n">
        <v>61.8</v>
      </c>
      <c r="T592" s="30" t="inlineStr">
        <is>
          <t>AMR3</t>
        </is>
      </c>
      <c r="U592" s="31" t="n">
        <v>55.2</v>
      </c>
      <c r="V592" s="31" t="n">
        <v>55.2</v>
      </c>
      <c r="W592" s="30" t="inlineStr">
        <is>
          <t>AMR2</t>
        </is>
      </c>
      <c r="X592" s="32" t="n">
        <v>0</v>
      </c>
      <c r="Y592" s="32" t="n">
        <v>0</v>
      </c>
      <c r="Z592" s="31" t="n">
        <v>0</v>
      </c>
      <c r="AA592" s="32" t="n">
        <v>0</v>
      </c>
      <c r="AB592" s="32" t="n">
        <v>0</v>
      </c>
      <c r="AC592" s="32" t="n">
        <v>0</v>
      </c>
      <c r="AD592" s="32" t="n">
        <v>1</v>
      </c>
      <c r="AE592" s="31" t="n">
        <v>14</v>
      </c>
      <c r="AF592" s="32" t="n">
        <v>1</v>
      </c>
      <c r="AG592" s="31" t="n">
        <v>9</v>
      </c>
      <c r="AH592" s="32" t="n">
        <v>68</v>
      </c>
      <c r="AI592" s="31" t="n">
        <v>70.2</v>
      </c>
      <c r="AJ592" s="31" t="n">
        <v>51.1</v>
      </c>
      <c r="AK592" s="31" t="n">
        <v>14</v>
      </c>
      <c r="AL592" s="30" t="inlineStr">
        <is>
          <t>T-0739</t>
        </is>
      </c>
      <c r="AM592" s="30" t="inlineStr">
        <is>
          <t>H-03-03</t>
        </is>
      </c>
      <c r="AN592" s="30" t="inlineStr">
        <is>
          <t>T-0584</t>
        </is>
      </c>
      <c r="AO592" s="30" t="inlineStr">
        <is>
          <t>H-04-01</t>
        </is>
      </c>
    </row>
    <row r="593">
      <c r="A593" s="30" t="inlineStr">
        <is>
          <t>O0592</t>
        </is>
      </c>
      <c r="B593" s="30" t="inlineStr">
        <is>
          <t>J</t>
        </is>
      </c>
      <c r="C593" s="31" t="n">
        <v>8777.299999999999</v>
      </c>
      <c r="D593" s="31" t="n">
        <v>22002.9</v>
      </c>
      <c r="E593" s="31" t="n">
        <v>22026.4</v>
      </c>
      <c r="F593" s="31" t="n">
        <v>22039.3</v>
      </c>
      <c r="G593" s="31" t="n">
        <v>22071</v>
      </c>
      <c r="H593" s="31" t="n">
        <v>22071.1</v>
      </c>
      <c r="I593" s="31" t="n">
        <v>22085.9</v>
      </c>
      <c r="J593" s="31" t="n">
        <v>22113.1</v>
      </c>
      <c r="K593" s="31" t="n">
        <v>13335.8</v>
      </c>
      <c r="L593" s="31" t="n">
        <v>13225.6</v>
      </c>
      <c r="M593" s="30" t="inlineStr">
        <is>
          <t>AMR3</t>
        </is>
      </c>
      <c r="N593" s="30" t="inlineStr">
        <is>
          <t>AMR3</t>
        </is>
      </c>
      <c r="O593" s="32" t="n">
        <v>1</v>
      </c>
      <c r="P593" s="32" t="n">
        <v>25</v>
      </c>
      <c r="Q593" s="32" t="n">
        <v>1</v>
      </c>
      <c r="R593" s="31" t="n">
        <v>64.7</v>
      </c>
      <c r="S593" s="31" t="n">
        <v>64.7</v>
      </c>
      <c r="T593" s="30" t="inlineStr">
        <is>
          <t>AMR3</t>
        </is>
      </c>
      <c r="U593" s="31" t="n">
        <v>42.7</v>
      </c>
      <c r="V593" s="31" t="n">
        <v>42.7</v>
      </c>
      <c r="W593" s="30" t="inlineStr">
        <is>
          <t>AMR3</t>
        </is>
      </c>
      <c r="X593" s="32" t="n">
        <v>0</v>
      </c>
      <c r="Y593" s="32" t="n">
        <v>0</v>
      </c>
      <c r="Z593" s="31" t="n">
        <v>0</v>
      </c>
      <c r="AA593" s="32" t="n">
        <v>0</v>
      </c>
      <c r="AB593" s="32" t="n">
        <v>0</v>
      </c>
      <c r="AC593" s="32" t="n">
        <v>0</v>
      </c>
      <c r="AD593" s="32" t="n">
        <v>0</v>
      </c>
      <c r="AE593" s="31" t="n">
        <v>0</v>
      </c>
      <c r="AF593" s="32" t="n">
        <v>0</v>
      </c>
      <c r="AG593" s="31" t="n">
        <v>0</v>
      </c>
      <c r="AH593" s="32" t="n">
        <v>68</v>
      </c>
      <c r="AI593" s="31" t="n">
        <v>67.40000000000001</v>
      </c>
      <c r="AJ593" s="31" t="n">
        <v>42.7</v>
      </c>
      <c r="AK593" s="31" t="n">
        <v>0</v>
      </c>
      <c r="AL593" s="30" t="inlineStr">
        <is>
          <t>T-0749</t>
        </is>
      </c>
      <c r="AM593" s="30" t="inlineStr">
        <is>
          <t>J-05-01</t>
        </is>
      </c>
      <c r="AN593" s="30" t="inlineStr">
        <is>
          <t>T-0622</t>
        </is>
      </c>
      <c r="AO593" s="30" t="inlineStr">
        <is>
          <t>J-02-02</t>
        </is>
      </c>
    </row>
    <row r="594">
      <c r="A594" s="30" t="inlineStr">
        <is>
          <t>O0593</t>
        </is>
      </c>
      <c r="B594" s="30" t="inlineStr">
        <is>
          <t>J</t>
        </is>
      </c>
      <c r="C594" s="31" t="n">
        <v>8793.700000000001</v>
      </c>
      <c r="D594" s="31" t="n">
        <v>22910.3</v>
      </c>
      <c r="E594" s="31" t="n">
        <v>22933.8</v>
      </c>
      <c r="F594" s="31" t="n">
        <v>22948.4</v>
      </c>
      <c r="G594" s="31" t="n">
        <v>22981.8</v>
      </c>
      <c r="H594" s="31" t="n">
        <v>25218.3</v>
      </c>
      <c r="I594" s="31" t="n">
        <v>25232.2</v>
      </c>
      <c r="J594" s="31" t="n">
        <v>25265</v>
      </c>
      <c r="K594" s="31" t="n">
        <v>16471.3</v>
      </c>
      <c r="L594" s="31" t="n">
        <v>14116.6</v>
      </c>
      <c r="M594" s="30" t="inlineStr">
        <is>
          <t>AMR3</t>
        </is>
      </c>
      <c r="N594" s="30" t="inlineStr">
        <is>
          <t>AMR2</t>
        </is>
      </c>
      <c r="O594" s="32" t="n">
        <v>1</v>
      </c>
      <c r="P594" s="32" t="n">
        <v>25</v>
      </c>
      <c r="Q594" s="32" t="n">
        <v>2</v>
      </c>
      <c r="R594" s="31" t="n">
        <v>68.09999999999999</v>
      </c>
      <c r="S594" s="31" t="n">
        <v>68.09999999999999</v>
      </c>
      <c r="T594" s="30" t="inlineStr">
        <is>
          <t>AMR3</t>
        </is>
      </c>
      <c r="U594" s="31" t="n">
        <v>47.4</v>
      </c>
      <c r="V594" s="31" t="n">
        <v>47.4</v>
      </c>
      <c r="W594" s="30" t="inlineStr">
        <is>
          <t>AMR2</t>
        </is>
      </c>
      <c r="X594" s="32" t="n">
        <v>0</v>
      </c>
      <c r="Y594" s="32" t="n">
        <v>0</v>
      </c>
      <c r="Z594" s="31" t="n">
        <v>0</v>
      </c>
      <c r="AA594" s="32" t="n">
        <v>0</v>
      </c>
      <c r="AB594" s="32" t="n">
        <v>0</v>
      </c>
      <c r="AC594" s="32" t="n">
        <v>0</v>
      </c>
      <c r="AD594" s="32" t="n">
        <v>0</v>
      </c>
      <c r="AE594" s="31" t="n">
        <v>0</v>
      </c>
      <c r="AF594" s="32" t="n">
        <v>0</v>
      </c>
      <c r="AG594" s="31" t="n">
        <v>0</v>
      </c>
      <c r="AH594" s="32" t="n">
        <v>69</v>
      </c>
      <c r="AI594" s="31" t="n">
        <v>68.09999999999999</v>
      </c>
      <c r="AJ594" s="31" t="n">
        <v>50.1</v>
      </c>
      <c r="AK594" s="31" t="n">
        <v>0</v>
      </c>
      <c r="AL594" s="30" t="inlineStr">
        <is>
          <t>T-0774</t>
        </is>
      </c>
      <c r="AM594" s="30" t="inlineStr">
        <is>
          <t>J-04-02</t>
        </is>
      </c>
      <c r="AN594" s="30" t="inlineStr">
        <is>
          <t>T-0700</t>
        </is>
      </c>
      <c r="AO594" s="30" t="inlineStr">
        <is>
          <t>J-01-03</t>
        </is>
      </c>
    </row>
    <row r="595">
      <c r="A595" s="30" t="inlineStr">
        <is>
          <t>O0594</t>
        </is>
      </c>
      <c r="B595" s="30" t="inlineStr">
        <is>
          <t>J</t>
        </is>
      </c>
      <c r="C595" s="31" t="n">
        <v>8810.299999999999</v>
      </c>
      <c r="D595" s="31" t="n">
        <v>21681.6</v>
      </c>
      <c r="E595" s="31" t="n">
        <v>21705.1</v>
      </c>
      <c r="F595" s="31" t="n">
        <v>21718.7</v>
      </c>
      <c r="G595" s="31" t="n">
        <v>21747</v>
      </c>
      <c r="H595" s="31" t="n">
        <v>21747.1</v>
      </c>
      <c r="I595" s="31" t="n">
        <v>21756.9</v>
      </c>
      <c r="J595" s="31" t="n">
        <v>21789.2</v>
      </c>
      <c r="K595" s="31" t="n">
        <v>12978.9</v>
      </c>
      <c r="L595" s="31" t="n">
        <v>12871.3</v>
      </c>
      <c r="M595" s="30" t="inlineStr">
        <is>
          <t>AMR1</t>
        </is>
      </c>
      <c r="N595" s="30" t="inlineStr">
        <is>
          <t>AMR1</t>
        </is>
      </c>
      <c r="O595" s="32" t="n">
        <v>1</v>
      </c>
      <c r="P595" s="32" t="n">
        <v>25</v>
      </c>
      <c r="Q595" s="32" t="n">
        <v>1</v>
      </c>
      <c r="R595" s="31" t="n">
        <v>62</v>
      </c>
      <c r="S595" s="31" t="n">
        <v>62</v>
      </c>
      <c r="T595" s="30" t="inlineStr">
        <is>
          <t>AMR1</t>
        </is>
      </c>
      <c r="U595" s="31" t="n">
        <v>40.2</v>
      </c>
      <c r="V595" s="31" t="n">
        <v>40.2</v>
      </c>
      <c r="W595" s="30" t="inlineStr">
        <is>
          <t>AMR1</t>
        </is>
      </c>
      <c r="X595" s="32" t="n">
        <v>0</v>
      </c>
      <c r="Y595" s="32" t="n">
        <v>0</v>
      </c>
      <c r="Z595" s="31" t="n">
        <v>0</v>
      </c>
      <c r="AA595" s="32" t="n">
        <v>0</v>
      </c>
      <c r="AB595" s="32" t="n">
        <v>0</v>
      </c>
      <c r="AC595" s="32" t="n">
        <v>0</v>
      </c>
      <c r="AD595" s="32" t="n">
        <v>0</v>
      </c>
      <c r="AE595" s="31" t="n">
        <v>0</v>
      </c>
      <c r="AF595" s="32" t="n">
        <v>0</v>
      </c>
      <c r="AG595" s="31" t="n">
        <v>0</v>
      </c>
      <c r="AH595" s="32" t="n">
        <v>70</v>
      </c>
      <c r="AI595" s="31" t="n">
        <v>70</v>
      </c>
      <c r="AJ595" s="31" t="n">
        <v>37.5</v>
      </c>
      <c r="AK595" s="31" t="n">
        <v>0</v>
      </c>
      <c r="AL595" s="30" t="inlineStr">
        <is>
          <t>T-0741</t>
        </is>
      </c>
      <c r="AM595" s="30" t="inlineStr">
        <is>
          <t>J-05-03</t>
        </is>
      </c>
      <c r="AN595" s="30" t="inlineStr">
        <is>
          <t>T-0594</t>
        </is>
      </c>
      <c r="AO595" s="30" t="inlineStr">
        <is>
          <t>J-06-01</t>
        </is>
      </c>
    </row>
    <row r="596">
      <c r="A596" s="30" t="inlineStr">
        <is>
          <t>O0595</t>
        </is>
      </c>
      <c r="B596" s="30" t="inlineStr">
        <is>
          <t>J</t>
        </is>
      </c>
      <c r="C596" s="31" t="n">
        <v>8833.700000000001</v>
      </c>
      <c r="D596" s="31" t="n">
        <v>21808.7</v>
      </c>
      <c r="E596" s="31" t="n">
        <v>21837.2</v>
      </c>
      <c r="F596" s="31" t="n">
        <v>21849.5</v>
      </c>
      <c r="G596" s="31" t="n">
        <v>21882.4</v>
      </c>
      <c r="H596" s="31" t="n">
        <v>21882.5</v>
      </c>
      <c r="I596" s="31" t="n">
        <v>21893.9</v>
      </c>
      <c r="J596" s="31" t="n">
        <v>21925.1</v>
      </c>
      <c r="K596" s="31" t="n">
        <v>13091.4</v>
      </c>
      <c r="L596" s="31" t="n">
        <v>12975</v>
      </c>
      <c r="M596" s="30" t="inlineStr">
        <is>
          <t>AMR2</t>
        </is>
      </c>
      <c r="N596" s="30" t="inlineStr">
        <is>
          <t>AMR2</t>
        </is>
      </c>
      <c r="O596" s="32" t="n">
        <v>1</v>
      </c>
      <c r="P596" s="32" t="n">
        <v>25</v>
      </c>
      <c r="Q596" s="32" t="n">
        <v>2</v>
      </c>
      <c r="R596" s="31" t="n">
        <v>64.5</v>
      </c>
      <c r="S596" s="31" t="n">
        <v>64.5</v>
      </c>
      <c r="T596" s="30" t="inlineStr">
        <is>
          <t>AMR2</t>
        </is>
      </c>
      <c r="U596" s="31" t="n">
        <v>39.2</v>
      </c>
      <c r="V596" s="31" t="n">
        <v>39.2</v>
      </c>
      <c r="W596" s="30" t="inlineStr">
        <is>
          <t>AMR2</t>
        </is>
      </c>
      <c r="X596" s="32" t="n">
        <v>0</v>
      </c>
      <c r="Y596" s="32" t="n">
        <v>0</v>
      </c>
      <c r="Z596" s="31" t="n">
        <v>0</v>
      </c>
      <c r="AA596" s="32" t="n">
        <v>0</v>
      </c>
      <c r="AB596" s="32" t="n">
        <v>0</v>
      </c>
      <c r="AC596" s="32" t="n">
        <v>0</v>
      </c>
      <c r="AD596" s="32" t="n">
        <v>1</v>
      </c>
      <c r="AE596" s="31" t="n">
        <v>4.1</v>
      </c>
      <c r="AF596" s="32" t="n">
        <v>0</v>
      </c>
      <c r="AG596" s="31" t="n">
        <v>0</v>
      </c>
      <c r="AH596" s="32" t="n">
        <v>70</v>
      </c>
      <c r="AI596" s="31" t="n">
        <v>68.90000000000001</v>
      </c>
      <c r="AJ596" s="31" t="n">
        <v>38.3</v>
      </c>
      <c r="AK596" s="31" t="n">
        <v>9.1</v>
      </c>
      <c r="AL596" s="30" t="inlineStr">
        <is>
          <t>T-0744</t>
        </is>
      </c>
      <c r="AM596" s="30" t="inlineStr">
        <is>
          <t>J-06-01</t>
        </is>
      </c>
      <c r="AN596" s="30" t="inlineStr">
        <is>
          <t>T-0596</t>
        </is>
      </c>
      <c r="AO596" s="30" t="inlineStr">
        <is>
          <t>J-01-02</t>
        </is>
      </c>
    </row>
    <row r="597">
      <c r="A597" s="30" t="inlineStr">
        <is>
          <t>O0596</t>
        </is>
      </c>
      <c r="B597" s="30" t="inlineStr">
        <is>
          <t>I</t>
        </is>
      </c>
      <c r="C597" s="31" t="n">
        <v>8853.799999999999</v>
      </c>
      <c r="D597" s="31" t="n">
        <v>21709.6</v>
      </c>
      <c r="E597" s="31" t="n">
        <v>21733.1</v>
      </c>
      <c r="F597" s="31" t="n">
        <v>21746.2</v>
      </c>
      <c r="G597" s="31" t="n">
        <v>21773.6</v>
      </c>
      <c r="H597" s="31" t="n">
        <v>21773.7</v>
      </c>
      <c r="I597" s="31" t="n">
        <v>21781.9</v>
      </c>
      <c r="J597" s="31" t="n">
        <v>21826.2</v>
      </c>
      <c r="K597" s="31" t="n">
        <v>12972.4</v>
      </c>
      <c r="L597" s="31" t="n">
        <v>12855.8</v>
      </c>
      <c r="M597" s="30" t="inlineStr">
        <is>
          <t>AMR3</t>
        </is>
      </c>
      <c r="N597" s="30" t="inlineStr">
        <is>
          <t>AMR3</t>
        </is>
      </c>
      <c r="O597" s="32" t="n">
        <v>1</v>
      </c>
      <c r="P597" s="32" t="n">
        <v>25</v>
      </c>
      <c r="Q597" s="32" t="n">
        <v>1</v>
      </c>
      <c r="R597" s="31" t="n">
        <v>62.2</v>
      </c>
      <c r="S597" s="31" t="n">
        <v>62.2</v>
      </c>
      <c r="T597" s="30" t="inlineStr">
        <is>
          <t>AMR3</t>
        </is>
      </c>
      <c r="U597" s="31" t="n">
        <v>34.5</v>
      </c>
      <c r="V597" s="31" t="n">
        <v>34.5</v>
      </c>
      <c r="W597" s="30" t="inlineStr">
        <is>
          <t>AMR3</t>
        </is>
      </c>
      <c r="X597" s="32" t="n">
        <v>0</v>
      </c>
      <c r="Y597" s="32" t="n">
        <v>0</v>
      </c>
      <c r="Z597" s="31" t="n">
        <v>0</v>
      </c>
      <c r="AA597" s="32" t="n">
        <v>0</v>
      </c>
      <c r="AB597" s="32" t="n">
        <v>0</v>
      </c>
      <c r="AC597" s="32" t="n">
        <v>0</v>
      </c>
      <c r="AD597" s="32" t="n">
        <v>1</v>
      </c>
      <c r="AE597" s="31" t="n">
        <v>18.2</v>
      </c>
      <c r="AF597" s="32" t="n">
        <v>1</v>
      </c>
      <c r="AG597" s="31" t="n">
        <v>13.2</v>
      </c>
      <c r="AH597" s="32" t="n">
        <v>52</v>
      </c>
      <c r="AI597" s="31" t="n">
        <v>54.2</v>
      </c>
      <c r="AJ597" s="31" t="n">
        <v>42.6</v>
      </c>
      <c r="AK597" s="31" t="n">
        <v>19.7</v>
      </c>
      <c r="AL597" s="30" t="inlineStr">
        <is>
          <t>T-0742</t>
        </is>
      </c>
      <c r="AM597" s="30" t="inlineStr">
        <is>
          <t>I-01-01</t>
        </is>
      </c>
      <c r="AN597" s="30" t="inlineStr">
        <is>
          <t>T-0577</t>
        </is>
      </c>
      <c r="AO597" s="30" t="inlineStr">
        <is>
          <t>I-02-01</t>
        </is>
      </c>
    </row>
    <row r="598">
      <c r="A598" s="30" t="inlineStr">
        <is>
          <t>O0597</t>
        </is>
      </c>
      <c r="B598" s="30" t="inlineStr">
        <is>
          <t>J</t>
        </is>
      </c>
      <c r="C598" s="31" t="n">
        <v>8873.700000000001</v>
      </c>
      <c r="D598" s="31" t="n">
        <v>22285.7</v>
      </c>
      <c r="E598" s="31" t="n">
        <v>22309.2</v>
      </c>
      <c r="F598" s="31" t="n">
        <v>22322.8</v>
      </c>
      <c r="G598" s="31" t="n">
        <v>22353.6</v>
      </c>
      <c r="H598" s="31" t="n">
        <v>22981.9</v>
      </c>
      <c r="I598" s="31" t="n">
        <v>22993.7</v>
      </c>
      <c r="J598" s="31" t="n">
        <v>23042.1</v>
      </c>
      <c r="K598" s="31" t="n">
        <v>14168.4</v>
      </c>
      <c r="L598" s="31" t="n">
        <v>13412</v>
      </c>
      <c r="M598" s="30" t="inlineStr">
        <is>
          <t>AMR2</t>
        </is>
      </c>
      <c r="N598" s="30" t="inlineStr">
        <is>
          <t>AMR3</t>
        </is>
      </c>
      <c r="O598" s="32" t="n">
        <v>1</v>
      </c>
      <c r="P598" s="32" t="n">
        <v>25</v>
      </c>
      <c r="Q598" s="32" t="n">
        <v>1</v>
      </c>
      <c r="R598" s="31" t="n">
        <v>66.09999999999999</v>
      </c>
      <c r="S598" s="31" t="n">
        <v>66.09999999999999</v>
      </c>
      <c r="T598" s="30" t="inlineStr">
        <is>
          <t>AMR2</t>
        </is>
      </c>
      <c r="U598" s="31" t="n">
        <v>45.8</v>
      </c>
      <c r="V598" s="31" t="n">
        <v>45.8</v>
      </c>
      <c r="W598" s="30" t="inlineStr">
        <is>
          <t>AMR3</t>
        </is>
      </c>
      <c r="X598" s="32" t="n">
        <v>0</v>
      </c>
      <c r="Y598" s="32" t="n">
        <v>0</v>
      </c>
      <c r="Z598" s="31" t="n">
        <v>0</v>
      </c>
      <c r="AA598" s="32" t="n">
        <v>0</v>
      </c>
      <c r="AB598" s="32" t="n">
        <v>0</v>
      </c>
      <c r="AC598" s="32" t="n">
        <v>0</v>
      </c>
      <c r="AD598" s="32" t="n">
        <v>1</v>
      </c>
      <c r="AE598" s="31" t="n">
        <v>15</v>
      </c>
      <c r="AF598" s="32" t="n">
        <v>1</v>
      </c>
      <c r="AG598" s="31" t="n">
        <v>10</v>
      </c>
      <c r="AH598" s="32" t="n">
        <v>66</v>
      </c>
      <c r="AI598" s="31" t="n">
        <v>65.90000000000001</v>
      </c>
      <c r="AJ598" s="31" t="n">
        <v>47.2</v>
      </c>
      <c r="AK598" s="31" t="n">
        <v>15</v>
      </c>
      <c r="AL598" s="30" t="inlineStr">
        <is>
          <t>T-0757</t>
        </is>
      </c>
      <c r="AM598" s="30" t="inlineStr">
        <is>
          <t>J-02-02</t>
        </is>
      </c>
      <c r="AN598" s="30" t="inlineStr">
        <is>
          <t>T-0638</t>
        </is>
      </c>
      <c r="AO598" s="30" t="inlineStr">
        <is>
          <t>J-05-02</t>
        </is>
      </c>
    </row>
    <row r="599">
      <c r="A599" s="30" t="inlineStr">
        <is>
          <t>O0598</t>
        </is>
      </c>
      <c r="B599" s="30" t="inlineStr">
        <is>
          <t>A</t>
        </is>
      </c>
      <c r="C599" s="31" t="n">
        <v>8893.4</v>
      </c>
      <c r="D599" s="31" t="n">
        <v>21789.3</v>
      </c>
      <c r="E599" s="31" t="n">
        <v>21812.8</v>
      </c>
      <c r="F599" s="31" t="n">
        <v>21826.2</v>
      </c>
      <c r="G599" s="31" t="n">
        <v>21856.2</v>
      </c>
      <c r="H599" s="31" t="n">
        <v>22826.9</v>
      </c>
      <c r="I599" s="31" t="n">
        <v>22835.4</v>
      </c>
      <c r="J599" s="31" t="n">
        <v>22872.9</v>
      </c>
      <c r="K599" s="31" t="n">
        <v>13979.5</v>
      </c>
      <c r="L599" s="31" t="n">
        <v>12895.9</v>
      </c>
      <c r="M599" s="30" t="inlineStr">
        <is>
          <t>AMR1</t>
        </is>
      </c>
      <c r="N599" s="30" t="inlineStr">
        <is>
          <t>AMR1</t>
        </is>
      </c>
      <c r="O599" s="32" t="n">
        <v>1</v>
      </c>
      <c r="P599" s="32" t="n">
        <v>25</v>
      </c>
      <c r="Q599" s="32" t="n">
        <v>1</v>
      </c>
      <c r="R599" s="31" t="n">
        <v>63.4</v>
      </c>
      <c r="S599" s="31" t="n">
        <v>63.4</v>
      </c>
      <c r="T599" s="30" t="inlineStr">
        <is>
          <t>AMR1</t>
        </is>
      </c>
      <c r="U599" s="31" t="n">
        <v>45.6</v>
      </c>
      <c r="V599" s="31" t="n">
        <v>45.6</v>
      </c>
      <c r="W599" s="30" t="inlineStr">
        <is>
          <t>AMR1</t>
        </is>
      </c>
      <c r="X599" s="32" t="n">
        <v>0</v>
      </c>
      <c r="Y599" s="32" t="n">
        <v>0</v>
      </c>
      <c r="Z599" s="31" t="n">
        <v>0</v>
      </c>
      <c r="AA599" s="32" t="n">
        <v>0</v>
      </c>
      <c r="AB599" s="32" t="n">
        <v>0</v>
      </c>
      <c r="AC599" s="32" t="n">
        <v>0</v>
      </c>
      <c r="AD599" s="32" t="n">
        <v>1</v>
      </c>
      <c r="AE599" s="31" t="n">
        <v>1</v>
      </c>
      <c r="AF599" s="32" t="n">
        <v>0</v>
      </c>
      <c r="AG599" s="31" t="n">
        <v>0</v>
      </c>
      <c r="AH599" s="32" t="n">
        <v>72</v>
      </c>
      <c r="AI599" s="31" t="n">
        <v>70.3</v>
      </c>
      <c r="AJ599" s="31" t="n">
        <v>41.6</v>
      </c>
      <c r="AK599" s="31" t="n">
        <v>1</v>
      </c>
      <c r="AL599" s="30" t="inlineStr">
        <is>
          <t>T-0743</t>
        </is>
      </c>
      <c r="AM599" s="30" t="inlineStr">
        <is>
          <t>A-01-01</t>
        </is>
      </c>
      <c r="AN599" s="30" t="inlineStr">
        <is>
          <t>T-0615</t>
        </is>
      </c>
      <c r="AO599" s="30" t="inlineStr">
        <is>
          <t>A-02-03</t>
        </is>
      </c>
    </row>
    <row r="600">
      <c r="A600" s="30" t="inlineStr">
        <is>
          <t>O0599</t>
        </is>
      </c>
      <c r="B600" s="30" t="inlineStr">
        <is>
          <t>B</t>
        </is>
      </c>
      <c r="C600" s="31" t="n">
        <v>8911.799999999999</v>
      </c>
      <c r="D600" s="31" t="n">
        <v>21826.3</v>
      </c>
      <c r="E600" s="31" t="n">
        <v>21860.8</v>
      </c>
      <c r="F600" s="31" t="n">
        <v>21873.3</v>
      </c>
      <c r="G600" s="31" t="n">
        <v>21899.5</v>
      </c>
      <c r="H600" s="31" t="n">
        <v>22792.4</v>
      </c>
      <c r="I600" s="31" t="n">
        <v>22805.8</v>
      </c>
      <c r="J600" s="31" t="n">
        <v>22835.4</v>
      </c>
      <c r="K600" s="31" t="n">
        <v>13923.6</v>
      </c>
      <c r="L600" s="31" t="n">
        <v>12914.5</v>
      </c>
      <c r="M600" s="30" t="inlineStr">
        <is>
          <t>AMR3</t>
        </is>
      </c>
      <c r="N600" s="30" t="inlineStr">
        <is>
          <t>AMR2</t>
        </is>
      </c>
      <c r="O600" s="32" t="n">
        <v>1</v>
      </c>
      <c r="P600" s="32" t="n">
        <v>25</v>
      </c>
      <c r="Q600" s="32" t="n">
        <v>1</v>
      </c>
      <c r="R600" s="31" t="n">
        <v>60.3</v>
      </c>
      <c r="S600" s="31" t="n">
        <v>60.3</v>
      </c>
      <c r="T600" s="30" t="inlineStr">
        <is>
          <t>AMR3</t>
        </is>
      </c>
      <c r="U600" s="31" t="n">
        <v>42.6</v>
      </c>
      <c r="V600" s="31" t="n">
        <v>42.6</v>
      </c>
      <c r="W600" s="30" t="inlineStr">
        <is>
          <t>AMR2</t>
        </is>
      </c>
      <c r="X600" s="32" t="n">
        <v>0</v>
      </c>
      <c r="Y600" s="32" t="n">
        <v>0</v>
      </c>
      <c r="Z600" s="31" t="n">
        <v>0</v>
      </c>
      <c r="AA600" s="32" t="n">
        <v>0</v>
      </c>
      <c r="AB600" s="32" t="n">
        <v>0</v>
      </c>
      <c r="AC600" s="32" t="n">
        <v>0</v>
      </c>
      <c r="AD600" s="32" t="n">
        <v>0</v>
      </c>
      <c r="AE600" s="31" t="n">
        <v>0</v>
      </c>
      <c r="AF600" s="32" t="n">
        <v>1</v>
      </c>
      <c r="AG600" s="31" t="n">
        <v>6</v>
      </c>
      <c r="AH600" s="32" t="n">
        <v>58</v>
      </c>
      <c r="AI600" s="31" t="n">
        <v>59.1</v>
      </c>
      <c r="AJ600" s="31" t="n">
        <v>46.1</v>
      </c>
      <c r="AK600" s="31" t="n">
        <v>11</v>
      </c>
      <c r="AL600" s="30" t="inlineStr">
        <is>
          <t>T-0745</t>
        </is>
      </c>
      <c r="AM600" s="30" t="inlineStr">
        <is>
          <t>B-04-01</t>
        </is>
      </c>
      <c r="AN600" s="30" t="inlineStr">
        <is>
          <t>T-0585</t>
        </is>
      </c>
      <c r="AO600" s="30" t="inlineStr">
        <is>
          <t>B-02-02</t>
        </is>
      </c>
    </row>
    <row r="601">
      <c r="A601" s="30" t="inlineStr">
        <is>
          <t>O0600</t>
        </is>
      </c>
      <c r="B601" s="30" t="inlineStr">
        <is>
          <t>A</t>
        </is>
      </c>
      <c r="C601" s="31" t="n">
        <v>8932.6</v>
      </c>
      <c r="D601" s="31" t="n">
        <v>21925.2</v>
      </c>
      <c r="E601" s="31" t="n">
        <v>21961.7</v>
      </c>
      <c r="F601" s="31" t="n">
        <v>21976.4</v>
      </c>
      <c r="G601" s="31" t="n">
        <v>22001.7</v>
      </c>
      <c r="H601" s="31" t="n">
        <v>22001.8</v>
      </c>
      <c r="I601" s="31" t="n">
        <v>22012.6</v>
      </c>
      <c r="J601" s="31" t="n">
        <v>22047.2</v>
      </c>
      <c r="K601" s="31" t="n">
        <v>13114.6</v>
      </c>
      <c r="L601" s="31" t="n">
        <v>12992.6</v>
      </c>
      <c r="M601" s="30" t="inlineStr">
        <is>
          <t>AMR2</t>
        </is>
      </c>
      <c r="N601" s="30" t="inlineStr">
        <is>
          <t>AMR2</t>
        </is>
      </c>
      <c r="O601" s="32" t="n">
        <v>1</v>
      </c>
      <c r="P601" s="32" t="n">
        <v>25</v>
      </c>
      <c r="Q601" s="32" t="n">
        <v>2</v>
      </c>
      <c r="R601" s="31" t="n">
        <v>62.4</v>
      </c>
      <c r="S601" s="31" t="n">
        <v>62.4</v>
      </c>
      <c r="T601" s="30" t="inlineStr">
        <is>
          <t>AMR2</t>
        </is>
      </c>
      <c r="U601" s="31" t="n">
        <v>44.6</v>
      </c>
      <c r="V601" s="31" t="n">
        <v>44.6</v>
      </c>
      <c r="W601" s="30" t="inlineStr">
        <is>
          <t>AMR2</t>
        </is>
      </c>
      <c r="X601" s="32" t="n">
        <v>0</v>
      </c>
      <c r="Y601" s="32" t="n">
        <v>0</v>
      </c>
      <c r="Z601" s="31" t="n">
        <v>0</v>
      </c>
      <c r="AA601" s="32" t="n">
        <v>0</v>
      </c>
      <c r="AB601" s="32" t="n">
        <v>0</v>
      </c>
      <c r="AC601" s="32" t="n">
        <v>0</v>
      </c>
      <c r="AD601" s="32" t="n">
        <v>0</v>
      </c>
      <c r="AE601" s="31" t="n">
        <v>0</v>
      </c>
      <c r="AF601" s="32" t="n">
        <v>1</v>
      </c>
      <c r="AG601" s="31" t="n">
        <v>8</v>
      </c>
      <c r="AH601" s="32" t="n">
        <v>72</v>
      </c>
      <c r="AI601" s="31" t="n">
        <v>70</v>
      </c>
      <c r="AJ601" s="31" t="n">
        <v>38.9</v>
      </c>
      <c r="AK601" s="31" t="n">
        <v>13</v>
      </c>
      <c r="AL601" s="30" t="inlineStr">
        <is>
          <t>T-0748</t>
        </is>
      </c>
      <c r="AM601" s="30" t="inlineStr">
        <is>
          <t>A-06-02</t>
        </is>
      </c>
      <c r="AN601" s="30" t="inlineStr">
        <is>
          <t>T-0611</t>
        </is>
      </c>
      <c r="AO601" s="30" t="inlineStr">
        <is>
          <t>A-01-03</t>
        </is>
      </c>
    </row>
    <row r="602">
      <c r="A602" s="30" t="inlineStr">
        <is>
          <t>O0601</t>
        </is>
      </c>
      <c r="B602" s="30" t="inlineStr">
        <is>
          <t>G</t>
        </is>
      </c>
      <c r="C602" s="31" t="n">
        <v>8936.6</v>
      </c>
      <c r="D602" s="31" t="n">
        <v>21907.1</v>
      </c>
      <c r="E602" s="31" t="n">
        <v>21937.6</v>
      </c>
      <c r="F602" s="31" t="n">
        <v>21950.3</v>
      </c>
      <c r="G602" s="31" t="n">
        <v>21974.7</v>
      </c>
      <c r="H602" s="31" t="n">
        <v>21974.8</v>
      </c>
      <c r="I602" s="31" t="n">
        <v>21988.3</v>
      </c>
      <c r="J602" s="31" t="n">
        <v>22017.2</v>
      </c>
      <c r="K602" s="31" t="n">
        <v>13080.6</v>
      </c>
      <c r="L602" s="31" t="n">
        <v>12970.5</v>
      </c>
      <c r="M602" s="30" t="inlineStr">
        <is>
          <t>AMR1</t>
        </is>
      </c>
      <c r="N602" s="30" t="inlineStr">
        <is>
          <t>AMR1</t>
        </is>
      </c>
      <c r="O602" s="32" t="n">
        <v>1</v>
      </c>
      <c r="P602" s="32" t="n">
        <v>25</v>
      </c>
      <c r="Q602" s="32" t="n">
        <v>1</v>
      </c>
      <c r="R602" s="31" t="n">
        <v>58.8</v>
      </c>
      <c r="S602" s="31" t="n">
        <v>58.8</v>
      </c>
      <c r="T602" s="30" t="inlineStr">
        <is>
          <t>AMR1</t>
        </is>
      </c>
      <c r="U602" s="31" t="n">
        <v>39.6</v>
      </c>
      <c r="V602" s="31" t="n">
        <v>39.6</v>
      </c>
      <c r="W602" s="30" t="inlineStr">
        <is>
          <t>AMR1</t>
        </is>
      </c>
      <c r="X602" s="32" t="n">
        <v>0</v>
      </c>
      <c r="Y602" s="32" t="n">
        <v>0</v>
      </c>
      <c r="Z602" s="31" t="n">
        <v>0</v>
      </c>
      <c r="AA602" s="32" t="n">
        <v>0</v>
      </c>
      <c r="AB602" s="32" t="n">
        <v>0</v>
      </c>
      <c r="AC602" s="32" t="n">
        <v>0</v>
      </c>
      <c r="AD602" s="32" t="n">
        <v>1</v>
      </c>
      <c r="AE602" s="31" t="n">
        <v>4</v>
      </c>
      <c r="AF602" s="32" t="n">
        <v>1</v>
      </c>
      <c r="AG602" s="31" t="n">
        <v>2</v>
      </c>
      <c r="AH602" s="32" t="n">
        <v>56</v>
      </c>
      <c r="AI602" s="31" t="n">
        <v>57.9</v>
      </c>
      <c r="AJ602" s="31" t="n">
        <v>41.1</v>
      </c>
      <c r="AK602" s="31" t="n">
        <v>11</v>
      </c>
      <c r="AL602" s="30" t="inlineStr">
        <is>
          <t>T-0747</t>
        </is>
      </c>
      <c r="AM602" s="30" t="inlineStr">
        <is>
          <t>G-05-01</t>
        </is>
      </c>
      <c r="AN602" s="30" t="inlineStr">
        <is>
          <t>T-0597</t>
        </is>
      </c>
      <c r="AO602" s="30" t="inlineStr">
        <is>
          <t>G-04-03</t>
        </is>
      </c>
    </row>
    <row r="603">
      <c r="A603" s="30" t="inlineStr">
        <is>
          <t>O0602</t>
        </is>
      </c>
      <c r="B603" s="30" t="inlineStr">
        <is>
          <t>I</t>
        </is>
      </c>
      <c r="C603" s="31" t="n">
        <v>8940.6</v>
      </c>
      <c r="D603" s="31" t="n">
        <v>22201.8</v>
      </c>
      <c r="E603" s="31" t="n">
        <v>22215.8</v>
      </c>
      <c r="F603" s="31" t="n">
        <v>22230.7</v>
      </c>
      <c r="G603" s="31" t="n">
        <v>22258.2</v>
      </c>
      <c r="H603" s="31" t="n">
        <v>22258.3</v>
      </c>
      <c r="I603" s="31" t="n">
        <v>22268.8</v>
      </c>
      <c r="J603" s="31" t="n">
        <v>22300.2</v>
      </c>
      <c r="K603" s="31" t="n">
        <v>13359.6</v>
      </c>
      <c r="L603" s="31" t="n">
        <v>13261.2</v>
      </c>
      <c r="M603" s="30" t="inlineStr">
        <is>
          <t>AMR1</t>
        </is>
      </c>
      <c r="N603" s="30" t="inlineStr">
        <is>
          <t>AMR1</t>
        </is>
      </c>
      <c r="O603" s="32" t="n">
        <v>1</v>
      </c>
      <c r="P603" s="32" t="n">
        <v>14</v>
      </c>
      <c r="Q603" s="32" t="n">
        <v>1</v>
      </c>
      <c r="R603" s="31" t="n">
        <v>55.8</v>
      </c>
      <c r="S603" s="31" t="n">
        <v>55.8</v>
      </c>
      <c r="T603" s="30" t="inlineStr">
        <is>
          <t>AMR1</t>
        </is>
      </c>
      <c r="U603" s="31" t="n">
        <v>35.6</v>
      </c>
      <c r="V603" s="31" t="n">
        <v>35.6</v>
      </c>
      <c r="W603" s="30" t="inlineStr">
        <is>
          <t>AMR1</t>
        </is>
      </c>
      <c r="X603" s="32" t="n">
        <v>0</v>
      </c>
      <c r="Y603" s="32" t="n">
        <v>0</v>
      </c>
      <c r="Z603" s="31" t="n">
        <v>0</v>
      </c>
      <c r="AA603" s="32" t="n">
        <v>0</v>
      </c>
      <c r="AB603" s="32" t="n">
        <v>0</v>
      </c>
      <c r="AC603" s="32" t="n">
        <v>0</v>
      </c>
      <c r="AD603" s="32" t="n">
        <v>1</v>
      </c>
      <c r="AE603" s="31" t="n">
        <v>5</v>
      </c>
      <c r="AF603" s="32" t="n">
        <v>0</v>
      </c>
      <c r="AG603" s="31" t="n">
        <v>0</v>
      </c>
      <c r="AH603" s="32" t="n">
        <v>43</v>
      </c>
      <c r="AI603" s="31" t="n">
        <v>47.7</v>
      </c>
      <c r="AJ603" s="31" t="n">
        <v>45.6</v>
      </c>
      <c r="AK603" s="31" t="n">
        <v>5</v>
      </c>
      <c r="AL603" s="30" t="inlineStr">
        <is>
          <t>T-0755</t>
        </is>
      </c>
      <c r="AM603" s="30" t="inlineStr">
        <is>
          <t>I-01-03</t>
        </is>
      </c>
      <c r="AN603" s="30" t="inlineStr">
        <is>
          <t>T-0586</t>
        </is>
      </c>
      <c r="AO603" s="30" t="inlineStr">
        <is>
          <t>I-03-01</t>
        </is>
      </c>
    </row>
    <row r="604">
      <c r="A604" s="30" t="inlineStr">
        <is>
          <t>O0603</t>
        </is>
      </c>
      <c r="B604" s="30" t="inlineStr">
        <is>
          <t>F</t>
        </is>
      </c>
      <c r="C604" s="31" t="n">
        <v>8945.700000000001</v>
      </c>
      <c r="D604" s="31" t="n">
        <v>22017.3</v>
      </c>
      <c r="E604" s="31" t="n">
        <v>22050.8</v>
      </c>
      <c r="F604" s="31" t="n">
        <v>22064.9</v>
      </c>
      <c r="G604" s="31" t="n">
        <v>22094.7</v>
      </c>
      <c r="H604" s="31" t="n">
        <v>22094.8</v>
      </c>
      <c r="I604" s="31" t="n">
        <v>22109.8</v>
      </c>
      <c r="J604" s="31" t="n">
        <v>22141.9</v>
      </c>
      <c r="K604" s="31" t="n">
        <v>13196.2</v>
      </c>
      <c r="L604" s="31" t="n">
        <v>13071.6</v>
      </c>
      <c r="M604" s="30" t="inlineStr">
        <is>
          <t>AMR1</t>
        </is>
      </c>
      <c r="N604" s="30" t="inlineStr">
        <is>
          <t>AMR1</t>
        </is>
      </c>
      <c r="O604" s="32" t="n">
        <v>1</v>
      </c>
      <c r="P604" s="32" t="n">
        <v>25</v>
      </c>
      <c r="Q604" s="32" t="n">
        <v>1</v>
      </c>
      <c r="R604" s="31" t="n">
        <v>65.59999999999999</v>
      </c>
      <c r="S604" s="31" t="n">
        <v>65.59999999999999</v>
      </c>
      <c r="T604" s="30" t="inlineStr">
        <is>
          <t>AMR1</t>
        </is>
      </c>
      <c r="U604" s="31" t="n">
        <v>45.3</v>
      </c>
      <c r="V604" s="31" t="n">
        <v>45.3</v>
      </c>
      <c r="W604" s="30" t="inlineStr">
        <is>
          <t>AMR1</t>
        </is>
      </c>
      <c r="X604" s="32" t="n">
        <v>0</v>
      </c>
      <c r="Y604" s="32" t="n">
        <v>0</v>
      </c>
      <c r="Z604" s="31" t="n">
        <v>0</v>
      </c>
      <c r="AA604" s="32" t="n">
        <v>0</v>
      </c>
      <c r="AB604" s="32" t="n">
        <v>0</v>
      </c>
      <c r="AC604" s="32" t="n">
        <v>0</v>
      </c>
      <c r="AD604" s="32" t="n">
        <v>0</v>
      </c>
      <c r="AE604" s="31" t="n">
        <v>0</v>
      </c>
      <c r="AF604" s="32" t="n">
        <v>1</v>
      </c>
      <c r="AG604" s="31" t="n">
        <v>5</v>
      </c>
      <c r="AH604" s="32" t="n">
        <v>72</v>
      </c>
      <c r="AI604" s="31" t="n">
        <v>71.5</v>
      </c>
      <c r="AJ604" s="31" t="n">
        <v>43</v>
      </c>
      <c r="AK604" s="31" t="n">
        <v>10</v>
      </c>
      <c r="AL604" s="30" t="inlineStr">
        <is>
          <t>T-0750</t>
        </is>
      </c>
      <c r="AM604" s="30" t="inlineStr">
        <is>
          <t>F-05-02</t>
        </is>
      </c>
      <c r="AN604" s="30" t="inlineStr">
        <is>
          <t>T-0645</t>
        </is>
      </c>
      <c r="AO604" s="30" t="inlineStr">
        <is>
          <t>F-02-03</t>
        </is>
      </c>
    </row>
    <row r="605">
      <c r="A605" s="30" t="inlineStr">
        <is>
          <t>O0604</t>
        </is>
      </c>
      <c r="B605" s="30" t="inlineStr">
        <is>
          <t>C</t>
        </is>
      </c>
      <c r="C605" s="31" t="n">
        <v>8951.9</v>
      </c>
      <c r="D605" s="31" t="n">
        <v>22047.3</v>
      </c>
      <c r="E605" s="31" t="n">
        <v>22074.8</v>
      </c>
      <c r="F605" s="31" t="n">
        <v>22085.4</v>
      </c>
      <c r="G605" s="31" t="n">
        <v>22105.9</v>
      </c>
      <c r="H605" s="31" t="n">
        <v>22106</v>
      </c>
      <c r="I605" s="31" t="n">
        <v>22120</v>
      </c>
      <c r="J605" s="31" t="n">
        <v>22160.3</v>
      </c>
      <c r="K605" s="31" t="n">
        <v>13208.4</v>
      </c>
      <c r="L605" s="31" t="n">
        <v>13095.4</v>
      </c>
      <c r="M605" s="30" t="inlineStr">
        <is>
          <t>AMR2</t>
        </is>
      </c>
      <c r="N605" s="30" t="inlineStr">
        <is>
          <t>AMR2</t>
        </is>
      </c>
      <c r="O605" s="32" t="n">
        <v>1</v>
      </c>
      <c r="P605" s="32" t="n">
        <v>25</v>
      </c>
      <c r="Q605" s="32" t="n">
        <v>1</v>
      </c>
      <c r="R605" s="31" t="n">
        <v>52.7</v>
      </c>
      <c r="S605" s="31" t="n">
        <v>52.7</v>
      </c>
      <c r="T605" s="30" t="inlineStr">
        <is>
          <t>AMR2</t>
        </is>
      </c>
      <c r="U605" s="31" t="n">
        <v>41.5</v>
      </c>
      <c r="V605" s="31" t="n">
        <v>41.5</v>
      </c>
      <c r="W605" s="30" t="inlineStr">
        <is>
          <t>AMR2</t>
        </is>
      </c>
      <c r="X605" s="32" t="n">
        <v>0</v>
      </c>
      <c r="Y605" s="32" t="n">
        <v>0</v>
      </c>
      <c r="Z605" s="31" t="n">
        <v>0</v>
      </c>
      <c r="AA605" s="32" t="n">
        <v>0</v>
      </c>
      <c r="AB605" s="32" t="n">
        <v>0</v>
      </c>
      <c r="AC605" s="32" t="n">
        <v>0</v>
      </c>
      <c r="AD605" s="32" t="n">
        <v>1</v>
      </c>
      <c r="AE605" s="31" t="n">
        <v>13</v>
      </c>
      <c r="AF605" s="32" t="n">
        <v>1</v>
      </c>
      <c r="AG605" s="31" t="n">
        <v>8</v>
      </c>
      <c r="AH605" s="32" t="n">
        <v>54</v>
      </c>
      <c r="AI605" s="31" t="n">
        <v>54.8</v>
      </c>
      <c r="AJ605" s="31" t="n">
        <v>41.1</v>
      </c>
      <c r="AK605" s="31" t="n">
        <v>17</v>
      </c>
      <c r="AL605" s="30" t="inlineStr">
        <is>
          <t>T-0751</t>
        </is>
      </c>
      <c r="AM605" s="30" t="inlineStr">
        <is>
          <t>C-05-02</t>
        </is>
      </c>
      <c r="AN605" s="30" t="inlineStr">
        <is>
          <t>T-0602</t>
        </is>
      </c>
      <c r="AO605" s="30" t="inlineStr">
        <is>
          <t>C-01-03</t>
        </is>
      </c>
    </row>
    <row r="606">
      <c r="A606" s="30" t="inlineStr">
        <is>
          <t>O0605</t>
        </is>
      </c>
      <c r="B606" s="30" t="inlineStr">
        <is>
          <t>D</t>
        </is>
      </c>
      <c r="C606" s="31" t="n">
        <v>8955</v>
      </c>
      <c r="D606" s="31" t="n">
        <v>22113.2</v>
      </c>
      <c r="E606" s="31" t="n">
        <v>22136.7</v>
      </c>
      <c r="F606" s="31" t="n">
        <v>22148.5</v>
      </c>
      <c r="G606" s="31" t="n">
        <v>22170.9</v>
      </c>
      <c r="H606" s="31" t="n">
        <v>22171</v>
      </c>
      <c r="I606" s="31" t="n">
        <v>22179.5</v>
      </c>
      <c r="J606" s="31" t="n">
        <v>22209.6</v>
      </c>
      <c r="K606" s="31" t="n">
        <v>13254.6</v>
      </c>
      <c r="L606" s="31" t="n">
        <v>13158.2</v>
      </c>
      <c r="M606" s="30" t="inlineStr">
        <is>
          <t>AMR3</t>
        </is>
      </c>
      <c r="N606" s="30" t="inlineStr">
        <is>
          <t>AMR3</t>
        </is>
      </c>
      <c r="O606" s="32" t="n">
        <v>1</v>
      </c>
      <c r="P606" s="32" t="n">
        <v>25</v>
      </c>
      <c r="Q606" s="32" t="n">
        <v>1</v>
      </c>
      <c r="R606" s="31" t="n">
        <v>54.2</v>
      </c>
      <c r="S606" s="31" t="n">
        <v>54.2</v>
      </c>
      <c r="T606" s="30" t="inlineStr">
        <is>
          <t>AMR3</t>
        </is>
      </c>
      <c r="U606" s="31" t="n">
        <v>38.2</v>
      </c>
      <c r="V606" s="31" t="n">
        <v>38.2</v>
      </c>
      <c r="W606" s="30" t="inlineStr">
        <is>
          <t>AMR3</t>
        </is>
      </c>
      <c r="X606" s="32" t="n">
        <v>0</v>
      </c>
      <c r="Y606" s="32" t="n">
        <v>0</v>
      </c>
      <c r="Z606" s="31" t="n">
        <v>0</v>
      </c>
      <c r="AA606" s="32" t="n">
        <v>0</v>
      </c>
      <c r="AB606" s="32" t="n">
        <v>0</v>
      </c>
      <c r="AC606" s="32" t="n">
        <v>0</v>
      </c>
      <c r="AD606" s="32" t="n">
        <v>0</v>
      </c>
      <c r="AE606" s="31" t="n">
        <v>0</v>
      </c>
      <c r="AF606" s="32" t="n">
        <v>0</v>
      </c>
      <c r="AG606" s="31" t="n">
        <v>0</v>
      </c>
      <c r="AH606" s="32" t="n">
        <v>56</v>
      </c>
      <c r="AI606" s="31" t="n">
        <v>57.5</v>
      </c>
      <c r="AJ606" s="31" t="n">
        <v>38.8</v>
      </c>
      <c r="AK606" s="31" t="n">
        <v>0</v>
      </c>
      <c r="AL606" s="30" t="inlineStr">
        <is>
          <t>T-0752</t>
        </is>
      </c>
      <c r="AM606" s="30" t="inlineStr">
        <is>
          <t>D-04-02</t>
        </is>
      </c>
      <c r="AN606" s="30" t="inlineStr">
        <is>
          <t>T-0488</t>
        </is>
      </c>
      <c r="AO606" s="30" t="inlineStr">
        <is>
          <t>D-05-02</t>
        </is>
      </c>
    </row>
    <row r="607">
      <c r="A607" s="30" t="inlineStr">
        <is>
          <t>O0606</t>
        </is>
      </c>
      <c r="B607" s="30" t="inlineStr">
        <is>
          <t>I</t>
        </is>
      </c>
      <c r="C607" s="31" t="n">
        <v>8960.799999999999</v>
      </c>
      <c r="D607" s="31" t="n">
        <v>22142</v>
      </c>
      <c r="E607" s="31" t="n">
        <v>22165.5</v>
      </c>
      <c r="F607" s="31" t="n">
        <v>22176.4</v>
      </c>
      <c r="G607" s="31" t="n">
        <v>22201.7</v>
      </c>
      <c r="H607" s="31" t="n">
        <v>22438.2</v>
      </c>
      <c r="I607" s="31" t="n">
        <v>22466.6</v>
      </c>
      <c r="J607" s="31" t="n">
        <v>22496.3</v>
      </c>
      <c r="K607" s="31" t="n">
        <v>13535.5</v>
      </c>
      <c r="L607" s="31" t="n">
        <v>13181.2</v>
      </c>
      <c r="M607" s="30" t="inlineStr">
        <is>
          <t>AMR1</t>
        </is>
      </c>
      <c r="N607" s="30" t="inlineStr">
        <is>
          <t>AMR3</t>
        </is>
      </c>
      <c r="O607" s="32" t="n">
        <v>1</v>
      </c>
      <c r="P607" s="32" t="n">
        <v>25</v>
      </c>
      <c r="Q607" s="32" t="n">
        <v>14</v>
      </c>
      <c r="R607" s="31" t="n">
        <v>57.9</v>
      </c>
      <c r="S607" s="31" t="n">
        <v>57.9</v>
      </c>
      <c r="T607" s="30" t="inlineStr">
        <is>
          <t>AMR1</t>
        </is>
      </c>
      <c r="U607" s="31" t="n">
        <v>55.3</v>
      </c>
      <c r="V607" s="31" t="n">
        <v>55.3</v>
      </c>
      <c r="W607" s="30" t="inlineStr">
        <is>
          <t>AMR3</t>
        </is>
      </c>
      <c r="X607" s="32" t="n">
        <v>0</v>
      </c>
      <c r="Y607" s="32" t="n">
        <v>0</v>
      </c>
      <c r="Z607" s="31" t="n">
        <v>0</v>
      </c>
      <c r="AA607" s="32" t="n">
        <v>0</v>
      </c>
      <c r="AB607" s="32" t="n">
        <v>0</v>
      </c>
      <c r="AC607" s="32" t="n">
        <v>0</v>
      </c>
      <c r="AD607" s="32" t="n">
        <v>0</v>
      </c>
      <c r="AE607" s="31" t="n">
        <v>0</v>
      </c>
      <c r="AF607" s="32" t="n">
        <v>0</v>
      </c>
      <c r="AG607" s="31" t="n">
        <v>0</v>
      </c>
      <c r="AH607" s="32" t="n">
        <v>69</v>
      </c>
      <c r="AI607" s="31" t="n">
        <v>71</v>
      </c>
      <c r="AJ607" s="31" t="n">
        <v>46.8</v>
      </c>
      <c r="AK607" s="31" t="n">
        <v>0</v>
      </c>
      <c r="AL607" s="30" t="inlineStr">
        <is>
          <t>T-0753</t>
        </is>
      </c>
      <c r="AM607" s="30" t="inlineStr">
        <is>
          <t>I-02-01</t>
        </is>
      </c>
      <c r="AN607" s="30" t="inlineStr">
        <is>
          <t>T-0600</t>
        </is>
      </c>
      <c r="AO607" s="30" t="inlineStr">
        <is>
          <t>I-04-01</t>
        </is>
      </c>
    </row>
    <row r="608">
      <c r="A608" s="30" t="inlineStr">
        <is>
          <t>O0607</t>
        </is>
      </c>
      <c r="B608" s="30" t="inlineStr">
        <is>
          <t>G</t>
        </is>
      </c>
      <c r="C608" s="31" t="n">
        <v>8966.700000000001</v>
      </c>
      <c r="D608" s="31" t="n">
        <v>22209.7</v>
      </c>
      <c r="E608" s="31" t="n">
        <v>22240.2</v>
      </c>
      <c r="F608" s="31" t="n">
        <v>22256</v>
      </c>
      <c r="G608" s="31" t="n">
        <v>22285.2</v>
      </c>
      <c r="H608" s="31" t="n">
        <v>22285.3</v>
      </c>
      <c r="I608" s="31" t="n">
        <v>22296.8</v>
      </c>
      <c r="J608" s="31" t="n">
        <v>22319.7</v>
      </c>
      <c r="K608" s="31" t="n">
        <v>13353</v>
      </c>
      <c r="L608" s="31" t="n">
        <v>13243</v>
      </c>
      <c r="M608" s="30" t="inlineStr">
        <is>
          <t>AMR3</t>
        </is>
      </c>
      <c r="N608" s="30" t="inlineStr">
        <is>
          <t>AMR3</t>
        </is>
      </c>
      <c r="O608" s="32" t="n">
        <v>1</v>
      </c>
      <c r="P608" s="32" t="n">
        <v>25</v>
      </c>
      <c r="Q608" s="32" t="n">
        <v>0</v>
      </c>
      <c r="R608" s="31" t="n">
        <v>65.90000000000001</v>
      </c>
      <c r="S608" s="31" t="n">
        <v>65.90000000000001</v>
      </c>
      <c r="T608" s="30" t="inlineStr">
        <is>
          <t>AMR3</t>
        </is>
      </c>
      <c r="U608" s="31" t="n">
        <v>34.2</v>
      </c>
      <c r="V608" s="31" t="n">
        <v>34.2</v>
      </c>
      <c r="W608" s="30" t="inlineStr">
        <is>
          <t>AMR3</t>
        </is>
      </c>
      <c r="X608" s="32" t="n">
        <v>0</v>
      </c>
      <c r="Y608" s="32" t="n">
        <v>0</v>
      </c>
      <c r="Z608" s="31" t="n">
        <v>0</v>
      </c>
      <c r="AA608" s="32" t="n">
        <v>0</v>
      </c>
      <c r="AB608" s="32" t="n">
        <v>0</v>
      </c>
      <c r="AC608" s="32" t="n">
        <v>0</v>
      </c>
      <c r="AD608" s="32" t="n">
        <v>0</v>
      </c>
      <c r="AE608" s="31" t="n">
        <v>0</v>
      </c>
      <c r="AF608" s="32" t="n">
        <v>1</v>
      </c>
      <c r="AG608" s="31" t="n">
        <v>2</v>
      </c>
      <c r="AH608" s="32" t="n">
        <v>58</v>
      </c>
      <c r="AI608" s="31" t="n">
        <v>59.4</v>
      </c>
      <c r="AJ608" s="31" t="n">
        <v>43.5</v>
      </c>
      <c r="AK608" s="31" t="n">
        <v>7</v>
      </c>
      <c r="AL608" s="30" t="inlineStr">
        <is>
          <t>T-0756</t>
        </is>
      </c>
      <c r="AM608" s="30" t="inlineStr">
        <is>
          <t>G-03-03</t>
        </is>
      </c>
      <c r="AN608" s="30" t="inlineStr">
        <is>
          <t>T-0605</t>
        </is>
      </c>
      <c r="AO608" s="30" t="inlineStr">
        <is>
          <t>G-06-01</t>
        </is>
      </c>
    </row>
    <row r="609">
      <c r="A609" s="30" t="inlineStr">
        <is>
          <t>O0608</t>
        </is>
      </c>
      <c r="B609" s="30" t="inlineStr">
        <is>
          <t>F</t>
        </is>
      </c>
      <c r="C609" s="31" t="n">
        <v>8971.9</v>
      </c>
      <c r="D609" s="31" t="n">
        <v>22160.4</v>
      </c>
      <c r="E609" s="31" t="n">
        <v>22189.9</v>
      </c>
      <c r="F609" s="31" t="n">
        <v>22203.4</v>
      </c>
      <c r="G609" s="31" t="n">
        <v>22236.8</v>
      </c>
      <c r="H609" s="31" t="n">
        <v>23975.8</v>
      </c>
      <c r="I609" s="31" t="n">
        <v>23990.2</v>
      </c>
      <c r="J609" s="31" t="n">
        <v>24024.6</v>
      </c>
      <c r="K609" s="31" t="n">
        <v>15052.7</v>
      </c>
      <c r="L609" s="31" t="n">
        <v>13188.5</v>
      </c>
      <c r="M609" s="30" t="inlineStr">
        <is>
          <t>AMR2</t>
        </is>
      </c>
      <c r="N609" s="30" t="inlineStr">
        <is>
          <t>AMR3</t>
        </is>
      </c>
      <c r="O609" s="32" t="n">
        <v>1</v>
      </c>
      <c r="P609" s="32" t="n">
        <v>25</v>
      </c>
      <c r="Q609" s="32" t="n">
        <v>1</v>
      </c>
      <c r="R609" s="31" t="n">
        <v>67</v>
      </c>
      <c r="S609" s="31" t="n">
        <v>67</v>
      </c>
      <c r="T609" s="30" t="inlineStr">
        <is>
          <t>AMR2</t>
        </is>
      </c>
      <c r="U609" s="31" t="n">
        <v>47</v>
      </c>
      <c r="V609" s="31" t="n">
        <v>47</v>
      </c>
      <c r="W609" s="30" t="inlineStr">
        <is>
          <t>AMR3</t>
        </is>
      </c>
      <c r="X609" s="32" t="n">
        <v>0</v>
      </c>
      <c r="Y609" s="32" t="n">
        <v>0</v>
      </c>
      <c r="Z609" s="31" t="n">
        <v>0</v>
      </c>
      <c r="AA609" s="32" t="n">
        <v>0</v>
      </c>
      <c r="AB609" s="32" t="n">
        <v>0</v>
      </c>
      <c r="AC609" s="32" t="n">
        <v>0</v>
      </c>
      <c r="AD609" s="32" t="n">
        <v>0</v>
      </c>
      <c r="AE609" s="31" t="n">
        <v>0</v>
      </c>
      <c r="AF609" s="32" t="n">
        <v>1</v>
      </c>
      <c r="AG609" s="31" t="n">
        <v>1</v>
      </c>
      <c r="AH609" s="32" t="n">
        <v>74</v>
      </c>
      <c r="AI609" s="31" t="n">
        <v>73.09999999999999</v>
      </c>
      <c r="AJ609" s="31" t="n">
        <v>46.1</v>
      </c>
      <c r="AK609" s="31" t="n">
        <v>6</v>
      </c>
      <c r="AL609" s="30" t="inlineStr">
        <is>
          <t>T-0754</t>
        </is>
      </c>
      <c r="AM609" s="30" t="inlineStr">
        <is>
          <t>F-02-03</t>
        </is>
      </c>
      <c r="AN609" s="30" t="inlineStr">
        <is>
          <t>T-0670</t>
        </is>
      </c>
      <c r="AO609" s="30" t="inlineStr">
        <is>
          <t>F-01-02</t>
        </is>
      </c>
    </row>
    <row r="610">
      <c r="A610" s="30" t="inlineStr">
        <is>
          <t>O0609</t>
        </is>
      </c>
      <c r="B610" s="30" t="inlineStr">
        <is>
          <t>F</t>
        </is>
      </c>
      <c r="C610" s="31" t="n">
        <v>8976.4</v>
      </c>
      <c r="D610" s="31" t="n">
        <v>22398.9</v>
      </c>
      <c r="E610" s="31" t="n">
        <v>22422.4</v>
      </c>
      <c r="F610" s="31" t="n">
        <v>22435.4</v>
      </c>
      <c r="G610" s="31" t="n">
        <v>22465.1</v>
      </c>
      <c r="H610" s="31" t="n">
        <v>23013.4</v>
      </c>
      <c r="I610" s="31" t="n">
        <v>23024.1</v>
      </c>
      <c r="J610" s="31" t="n">
        <v>23063.1</v>
      </c>
      <c r="K610" s="31" t="n">
        <v>14086.7</v>
      </c>
      <c r="L610" s="31" t="n">
        <v>13422.5</v>
      </c>
      <c r="M610" s="30" t="inlineStr">
        <is>
          <t>AMR2</t>
        </is>
      </c>
      <c r="N610" s="30" t="inlineStr">
        <is>
          <t>AMR2</t>
        </is>
      </c>
      <c r="O610" s="32" t="n">
        <v>1</v>
      </c>
      <c r="P610" s="32" t="n">
        <v>25</v>
      </c>
      <c r="Q610" s="32" t="n">
        <v>2</v>
      </c>
      <c r="R610" s="31" t="n">
        <v>64.40000000000001</v>
      </c>
      <c r="S610" s="31" t="n">
        <v>64.40000000000001</v>
      </c>
      <c r="T610" s="30" t="inlineStr">
        <is>
          <t>AMR2</t>
        </is>
      </c>
      <c r="U610" s="31" t="n">
        <v>46.9</v>
      </c>
      <c r="V610" s="31" t="n">
        <v>46.9</v>
      </c>
      <c r="W610" s="30" t="inlineStr">
        <is>
          <t>AMR2</t>
        </is>
      </c>
      <c r="X610" s="32" t="n">
        <v>0</v>
      </c>
      <c r="Y610" s="32" t="n">
        <v>0</v>
      </c>
      <c r="Z610" s="31" t="n">
        <v>0</v>
      </c>
      <c r="AA610" s="32" t="n">
        <v>0</v>
      </c>
      <c r="AB610" s="32" t="n">
        <v>0</v>
      </c>
      <c r="AC610" s="32" t="n">
        <v>0</v>
      </c>
      <c r="AD610" s="32" t="n">
        <v>1</v>
      </c>
      <c r="AE610" s="31" t="n">
        <v>7</v>
      </c>
      <c r="AF610" s="32" t="n">
        <v>1</v>
      </c>
      <c r="AG610" s="31" t="n">
        <v>2</v>
      </c>
      <c r="AH610" s="32" t="n">
        <v>67</v>
      </c>
      <c r="AI610" s="31" t="n">
        <v>66.2</v>
      </c>
      <c r="AJ610" s="31" t="n">
        <v>42.7</v>
      </c>
      <c r="AK610" s="31" t="n">
        <v>7</v>
      </c>
      <c r="AL610" s="30" t="inlineStr">
        <is>
          <t>T-0760</t>
        </is>
      </c>
      <c r="AM610" s="30" t="inlineStr">
        <is>
          <t>F-04-02</t>
        </is>
      </c>
      <c r="AN610" s="30" t="inlineStr">
        <is>
          <t>T-0663</t>
        </is>
      </c>
      <c r="AO610" s="30" t="inlineStr">
        <is>
          <t>F-06-03</t>
        </is>
      </c>
    </row>
    <row r="611">
      <c r="A611" s="30" t="inlineStr">
        <is>
          <t>O0610</t>
        </is>
      </c>
      <c r="B611" s="30" t="inlineStr">
        <is>
          <t>H</t>
        </is>
      </c>
      <c r="C611" s="31" t="n">
        <v>8980.799999999999</v>
      </c>
      <c r="D611" s="31" t="n">
        <v>22319.8</v>
      </c>
      <c r="E611" s="31" t="n">
        <v>22356.3</v>
      </c>
      <c r="F611" s="31" t="n">
        <v>22369.6</v>
      </c>
      <c r="G611" s="31" t="n">
        <v>22394.8</v>
      </c>
      <c r="H611" s="31" t="n">
        <v>22394.9</v>
      </c>
      <c r="I611" s="31" t="n">
        <v>22407.6</v>
      </c>
      <c r="J611" s="31" t="n">
        <v>22438.1</v>
      </c>
      <c r="K611" s="31" t="n">
        <v>13457.3</v>
      </c>
      <c r="L611" s="31" t="n">
        <v>13339</v>
      </c>
      <c r="M611" s="30" t="inlineStr">
        <is>
          <t>AMR3</t>
        </is>
      </c>
      <c r="N611" s="30" t="inlineStr">
        <is>
          <t>AMR3</t>
        </is>
      </c>
      <c r="O611" s="32" t="n">
        <v>1</v>
      </c>
      <c r="P611" s="32" t="n">
        <v>25</v>
      </c>
      <c r="Q611" s="32" t="n">
        <v>1</v>
      </c>
      <c r="R611" s="31" t="n">
        <v>60.2</v>
      </c>
      <c r="S611" s="31" t="n">
        <v>60.2</v>
      </c>
      <c r="T611" s="30" t="inlineStr">
        <is>
          <t>AMR3</t>
        </is>
      </c>
      <c r="U611" s="31" t="n">
        <v>40.3</v>
      </c>
      <c r="V611" s="31" t="n">
        <v>40.3</v>
      </c>
      <c r="W611" s="30" t="inlineStr">
        <is>
          <t>AMR3</t>
        </is>
      </c>
      <c r="X611" s="32" t="n">
        <v>0</v>
      </c>
      <c r="Y611" s="32" t="n">
        <v>0</v>
      </c>
      <c r="Z611" s="31" t="n">
        <v>0</v>
      </c>
      <c r="AA611" s="32" t="n">
        <v>0</v>
      </c>
      <c r="AB611" s="32" t="n">
        <v>0</v>
      </c>
      <c r="AC611" s="32" t="n">
        <v>0</v>
      </c>
      <c r="AD611" s="32" t="n">
        <v>2</v>
      </c>
      <c r="AE611" s="31" t="n">
        <v>3.6</v>
      </c>
      <c r="AF611" s="32" t="n">
        <v>1</v>
      </c>
      <c r="AG611" s="31" t="n">
        <v>8</v>
      </c>
      <c r="AH611" s="32" t="n">
        <v>52</v>
      </c>
      <c r="AI611" s="31" t="n">
        <v>54.7</v>
      </c>
      <c r="AJ611" s="31" t="n">
        <v>46.9</v>
      </c>
      <c r="AK611" s="31" t="n">
        <v>16.6</v>
      </c>
      <c r="AL611" s="30" t="inlineStr">
        <is>
          <t>T-0759</t>
        </is>
      </c>
      <c r="AM611" s="30" t="inlineStr">
        <is>
          <t>H-04-01</t>
        </is>
      </c>
      <c r="AN611" s="30" t="inlineStr">
        <is>
          <t>T-0593</t>
        </is>
      </c>
      <c r="AO611" s="30" t="inlineStr">
        <is>
          <t>H-05-01</t>
        </is>
      </c>
    </row>
    <row r="612">
      <c r="A612" s="30" t="inlineStr">
        <is>
          <t>O0611</t>
        </is>
      </c>
      <c r="B612" s="30" t="inlineStr">
        <is>
          <t>E</t>
        </is>
      </c>
      <c r="C612" s="31" t="n">
        <v>8985.799999999999</v>
      </c>
      <c r="D612" s="31" t="n">
        <v>22300.3</v>
      </c>
      <c r="E612" s="31" t="n">
        <v>22332.8</v>
      </c>
      <c r="F612" s="31" t="n">
        <v>22345.1</v>
      </c>
      <c r="G612" s="31" t="n">
        <v>22372.5</v>
      </c>
      <c r="H612" s="31" t="n">
        <v>24743.2</v>
      </c>
      <c r="I612" s="31" t="n">
        <v>24757.1</v>
      </c>
      <c r="J612" s="31" t="n">
        <v>24793.5</v>
      </c>
      <c r="K612" s="31" t="n">
        <v>15807.7</v>
      </c>
      <c r="L612" s="31" t="n">
        <v>13314.5</v>
      </c>
      <c r="M612" s="30" t="inlineStr">
        <is>
          <t>AMR1</t>
        </is>
      </c>
      <c r="N612" s="30" t="inlineStr">
        <is>
          <t>AMR3</t>
        </is>
      </c>
      <c r="O612" s="32" t="n">
        <v>1</v>
      </c>
      <c r="P612" s="32" t="n">
        <v>25</v>
      </c>
      <c r="Q612" s="32" t="n">
        <v>1</v>
      </c>
      <c r="R612" s="31" t="n">
        <v>58.9</v>
      </c>
      <c r="S612" s="31" t="n">
        <v>58.9</v>
      </c>
      <c r="T612" s="30" t="inlineStr">
        <is>
          <t>AMR1</t>
        </is>
      </c>
      <c r="U612" s="31" t="n">
        <v>49.5</v>
      </c>
      <c r="V612" s="31" t="n">
        <v>49.5</v>
      </c>
      <c r="W612" s="30" t="inlineStr">
        <is>
          <t>AMR3</t>
        </is>
      </c>
      <c r="X612" s="32" t="n">
        <v>0</v>
      </c>
      <c r="Y612" s="32" t="n">
        <v>0</v>
      </c>
      <c r="Z612" s="31" t="n">
        <v>0</v>
      </c>
      <c r="AA612" s="32" t="n">
        <v>0</v>
      </c>
      <c r="AB612" s="32" t="n">
        <v>0</v>
      </c>
      <c r="AC612" s="32" t="n">
        <v>0</v>
      </c>
      <c r="AD612" s="32" t="n">
        <v>0</v>
      </c>
      <c r="AE612" s="31" t="n">
        <v>0</v>
      </c>
      <c r="AF612" s="32" t="n">
        <v>1</v>
      </c>
      <c r="AG612" s="31" t="n">
        <v>4</v>
      </c>
      <c r="AH612" s="32" t="n">
        <v>71</v>
      </c>
      <c r="AI612" s="31" t="n">
        <v>69.3</v>
      </c>
      <c r="AJ612" s="31" t="n">
        <v>44.2</v>
      </c>
      <c r="AK612" s="31" t="n">
        <v>9</v>
      </c>
      <c r="AL612" s="30" t="inlineStr">
        <is>
          <t>T-0758</t>
        </is>
      </c>
      <c r="AM612" s="30" t="inlineStr">
        <is>
          <t>E-06-01</t>
        </is>
      </c>
      <c r="AN612" s="30" t="inlineStr">
        <is>
          <t>T-0681</t>
        </is>
      </c>
      <c r="AO612" s="30" t="inlineStr">
        <is>
          <t>E-05-01</t>
        </is>
      </c>
    </row>
    <row r="613">
      <c r="A613" s="30" t="inlineStr">
        <is>
          <t>O0612</t>
        </is>
      </c>
      <c r="B613" s="30" t="inlineStr">
        <is>
          <t>E</t>
        </is>
      </c>
      <c r="C613" s="31" t="n">
        <v>8989.9</v>
      </c>
      <c r="D613" s="31" t="n">
        <v>22496.4</v>
      </c>
      <c r="E613" s="31" t="n">
        <v>22519.9</v>
      </c>
      <c r="F613" s="31" t="n">
        <v>22530.6</v>
      </c>
      <c r="G613" s="31" t="n">
        <v>22556.7</v>
      </c>
      <c r="H613" s="31" t="n">
        <v>22556.8</v>
      </c>
      <c r="I613" s="31" t="n">
        <v>22568.8</v>
      </c>
      <c r="J613" s="31" t="n">
        <v>22599.6</v>
      </c>
      <c r="K613" s="31" t="n">
        <v>13609.7</v>
      </c>
      <c r="L613" s="31" t="n">
        <v>13506.5</v>
      </c>
      <c r="M613" s="30" t="inlineStr">
        <is>
          <t>AMR3</t>
        </is>
      </c>
      <c r="N613" s="30" t="inlineStr">
        <is>
          <t>AMR3</t>
        </is>
      </c>
      <c r="O613" s="32" t="n">
        <v>1</v>
      </c>
      <c r="P613" s="32" t="n">
        <v>25</v>
      </c>
      <c r="Q613" s="32" t="n">
        <v>1</v>
      </c>
      <c r="R613" s="31" t="n">
        <v>58.4</v>
      </c>
      <c r="S613" s="31" t="n">
        <v>58.4</v>
      </c>
      <c r="T613" s="30" t="inlineStr">
        <is>
          <t>AMR3</t>
        </is>
      </c>
      <c r="U613" s="31" t="n">
        <v>43.5</v>
      </c>
      <c r="V613" s="31" t="n">
        <v>43.5</v>
      </c>
      <c r="W613" s="30" t="inlineStr">
        <is>
          <t>AMR3</t>
        </is>
      </c>
      <c r="X613" s="32" t="n">
        <v>0</v>
      </c>
      <c r="Y613" s="32" t="n">
        <v>0</v>
      </c>
      <c r="Z613" s="31" t="n">
        <v>0</v>
      </c>
      <c r="AA613" s="32" t="n">
        <v>0</v>
      </c>
      <c r="AB613" s="32" t="n">
        <v>0</v>
      </c>
      <c r="AC613" s="32" t="n">
        <v>0</v>
      </c>
      <c r="AD613" s="32" t="n">
        <v>0</v>
      </c>
      <c r="AE613" s="31" t="n">
        <v>0</v>
      </c>
      <c r="AF613" s="32" t="n">
        <v>0</v>
      </c>
      <c r="AG613" s="31" t="n">
        <v>0</v>
      </c>
      <c r="AH613" s="32" t="n">
        <v>66</v>
      </c>
      <c r="AI613" s="31" t="n">
        <v>65.40000000000001</v>
      </c>
      <c r="AJ613" s="31" t="n">
        <v>37.7</v>
      </c>
      <c r="AK613" s="31" t="n">
        <v>0</v>
      </c>
      <c r="AL613" s="30" t="inlineStr">
        <is>
          <t>T-0762</t>
        </is>
      </c>
      <c r="AM613" s="30" t="inlineStr">
        <is>
          <t>E-01-01</t>
        </is>
      </c>
      <c r="AN613" s="30" t="inlineStr">
        <is>
          <t>T-0614</t>
        </is>
      </c>
      <c r="AO613" s="30" t="inlineStr">
        <is>
          <t>E-03-02</t>
        </is>
      </c>
    </row>
    <row r="614">
      <c r="A614" s="30" t="inlineStr">
        <is>
          <t>O0613</t>
        </is>
      </c>
      <c r="B614" s="30" t="inlineStr">
        <is>
          <t>F</t>
        </is>
      </c>
      <c r="C614" s="31" t="n">
        <v>8995.799999999999</v>
      </c>
      <c r="D614" s="31" t="n">
        <v>22531.3</v>
      </c>
      <c r="E614" s="31" t="n">
        <v>22567.8</v>
      </c>
      <c r="F614" s="31" t="n">
        <v>22582.9</v>
      </c>
      <c r="G614" s="31" t="n">
        <v>22614.2</v>
      </c>
      <c r="H614" s="31" t="n">
        <v>22614.3</v>
      </c>
      <c r="I614" s="31" t="n">
        <v>22625.7</v>
      </c>
      <c r="J614" s="31" t="n">
        <v>22656.5</v>
      </c>
      <c r="K614" s="31" t="n">
        <v>13660.7</v>
      </c>
      <c r="L614" s="31" t="n">
        <v>13535.5</v>
      </c>
      <c r="M614" s="30" t="inlineStr">
        <is>
          <t>AMR1</t>
        </is>
      </c>
      <c r="N614" s="30" t="inlineStr">
        <is>
          <t>AMR1</t>
        </is>
      </c>
      <c r="O614" s="32" t="n">
        <v>1</v>
      </c>
      <c r="P614" s="32" t="n">
        <v>25</v>
      </c>
      <c r="Q614" s="32" t="n">
        <v>0</v>
      </c>
      <c r="R614" s="31" t="n">
        <v>67.3</v>
      </c>
      <c r="S614" s="31" t="n">
        <v>67.3</v>
      </c>
      <c r="T614" s="30" t="inlineStr">
        <is>
          <t>AMR1</t>
        </is>
      </c>
      <c r="U614" s="31" t="n">
        <v>43</v>
      </c>
      <c r="V614" s="31" t="n">
        <v>43</v>
      </c>
      <c r="W614" s="30" t="inlineStr">
        <is>
          <t>AMR1</t>
        </is>
      </c>
      <c r="X614" s="32" t="n">
        <v>0</v>
      </c>
      <c r="Y614" s="32" t="n">
        <v>0</v>
      </c>
      <c r="Z614" s="31" t="n">
        <v>0</v>
      </c>
      <c r="AA614" s="32" t="n">
        <v>0</v>
      </c>
      <c r="AB614" s="32" t="n">
        <v>0</v>
      </c>
      <c r="AC614" s="32" t="n">
        <v>0</v>
      </c>
      <c r="AD614" s="32" t="n">
        <v>0</v>
      </c>
      <c r="AE614" s="31" t="n">
        <v>0</v>
      </c>
      <c r="AF614" s="32" t="n">
        <v>1</v>
      </c>
      <c r="AG614" s="31" t="n">
        <v>8</v>
      </c>
      <c r="AH614" s="32" t="n">
        <v>70</v>
      </c>
      <c r="AI614" s="31" t="n">
        <v>69</v>
      </c>
      <c r="AJ614" s="31" t="n">
        <v>43.1</v>
      </c>
      <c r="AK614" s="31" t="n">
        <v>13</v>
      </c>
      <c r="AL614" s="30" t="inlineStr">
        <is>
          <t>T-0764</t>
        </is>
      </c>
      <c r="AM614" s="30" t="inlineStr">
        <is>
          <t>F-03-03</t>
        </is>
      </c>
      <c r="AN614" s="30" t="inlineStr">
        <is>
          <t>T-0660</t>
        </is>
      </c>
      <c r="AO614" s="30" t="inlineStr">
        <is>
          <t>F-06-02</t>
        </is>
      </c>
    </row>
    <row r="615">
      <c r="A615" s="30" t="inlineStr">
        <is>
          <t>O0614</t>
        </is>
      </c>
      <c r="B615" s="30" t="inlineStr">
        <is>
          <t>H</t>
        </is>
      </c>
      <c r="C615" s="31" t="n">
        <v>9000.700000000001</v>
      </c>
      <c r="D615" s="31" t="n">
        <v>22420.2</v>
      </c>
      <c r="E615" s="31" t="n">
        <v>22446.7</v>
      </c>
      <c r="F615" s="31" t="n">
        <v>22459.5</v>
      </c>
      <c r="G615" s="31" t="n">
        <v>22484.9</v>
      </c>
      <c r="H615" s="31" t="n">
        <v>22485</v>
      </c>
      <c r="I615" s="31" t="n">
        <v>22501.2</v>
      </c>
      <c r="J615" s="31" t="n">
        <v>22531.2</v>
      </c>
      <c r="K615" s="31" t="n">
        <v>13530.5</v>
      </c>
      <c r="L615" s="31" t="n">
        <v>13419.5</v>
      </c>
      <c r="M615" s="30" t="inlineStr">
        <is>
          <t>AMR1</t>
        </is>
      </c>
      <c r="N615" s="30" t="inlineStr">
        <is>
          <t>AMR1</t>
        </is>
      </c>
      <c r="O615" s="32" t="n">
        <v>1</v>
      </c>
      <c r="P615" s="32" t="n">
        <v>25</v>
      </c>
      <c r="Q615" s="32" t="n">
        <v>1</v>
      </c>
      <c r="R615" s="31" t="n">
        <v>59.9</v>
      </c>
      <c r="S615" s="31" t="n">
        <v>59.9</v>
      </c>
      <c r="T615" s="30" t="inlineStr">
        <is>
          <t>AMR1</t>
        </is>
      </c>
      <c r="U615" s="31" t="n">
        <v>37.9</v>
      </c>
      <c r="V615" s="31" t="n">
        <v>37.9</v>
      </c>
      <c r="W615" s="30" t="inlineStr">
        <is>
          <t>AMR1</t>
        </is>
      </c>
      <c r="X615" s="32" t="n">
        <v>0</v>
      </c>
      <c r="Y615" s="32" t="n">
        <v>0</v>
      </c>
      <c r="Z615" s="31" t="n">
        <v>0</v>
      </c>
      <c r="AA615" s="32" t="n">
        <v>0</v>
      </c>
      <c r="AB615" s="32" t="n">
        <v>0</v>
      </c>
      <c r="AC615" s="32" t="n">
        <v>0</v>
      </c>
      <c r="AD615" s="32" t="n">
        <v>2</v>
      </c>
      <c r="AE615" s="31" t="n">
        <v>7.5</v>
      </c>
      <c r="AF615" s="32" t="n">
        <v>1</v>
      </c>
      <c r="AG615" s="31" t="n">
        <v>1</v>
      </c>
      <c r="AH615" s="32" t="n">
        <v>54</v>
      </c>
      <c r="AI615" s="31" t="n">
        <v>56.2</v>
      </c>
      <c r="AJ615" s="31" t="n">
        <v>44.2</v>
      </c>
      <c r="AK615" s="31" t="n">
        <v>10.5</v>
      </c>
      <c r="AL615" s="30" t="inlineStr">
        <is>
          <t>T-0761</t>
        </is>
      </c>
      <c r="AM615" s="30" t="inlineStr">
        <is>
          <t>H-05-01</t>
        </is>
      </c>
      <c r="AN615" s="30" t="inlineStr">
        <is>
          <t>T-0617</t>
        </is>
      </c>
      <c r="AO615" s="30" t="inlineStr">
        <is>
          <t>H-02-02</t>
        </is>
      </c>
    </row>
    <row r="616">
      <c r="A616" s="30" t="inlineStr">
        <is>
          <t>O0615</t>
        </is>
      </c>
      <c r="B616" s="30" t="inlineStr">
        <is>
          <t>F</t>
        </is>
      </c>
      <c r="C616" s="31" t="n">
        <v>9004.200000000001</v>
      </c>
      <c r="D616" s="31" t="n">
        <v>23338</v>
      </c>
      <c r="E616" s="31" t="n">
        <v>23361.5</v>
      </c>
      <c r="F616" s="31" t="n">
        <v>23376.5</v>
      </c>
      <c r="G616" s="31" t="n">
        <v>23409.5</v>
      </c>
      <c r="H616" s="31" t="n">
        <v>23409.6</v>
      </c>
      <c r="I616" s="31" t="n">
        <v>23424.2</v>
      </c>
      <c r="J616" s="31" t="n">
        <v>23453.9</v>
      </c>
      <c r="K616" s="31" t="n">
        <v>14449.7</v>
      </c>
      <c r="L616" s="31" t="n">
        <v>14333.8</v>
      </c>
      <c r="M616" s="30" t="inlineStr">
        <is>
          <t>AMR1</t>
        </is>
      </c>
      <c r="N616" s="30" t="inlineStr">
        <is>
          <t>AMR1</t>
        </is>
      </c>
      <c r="O616" s="32" t="n">
        <v>1</v>
      </c>
      <c r="P616" s="32" t="n">
        <v>25</v>
      </c>
      <c r="Q616" s="32" t="n">
        <v>2</v>
      </c>
      <c r="R616" s="31" t="n">
        <v>70.5</v>
      </c>
      <c r="S616" s="31" t="n">
        <v>62.2</v>
      </c>
      <c r="T616" s="30" t="inlineStr">
        <is>
          <t>AMR2</t>
        </is>
      </c>
      <c r="U616" s="31" t="n">
        <v>45.5</v>
      </c>
      <c r="V616" s="31" t="n">
        <v>45.5</v>
      </c>
      <c r="W616" s="30" t="inlineStr">
        <is>
          <t>AMR1</t>
        </is>
      </c>
      <c r="X616" s="32" t="n">
        <v>1</v>
      </c>
      <c r="Y616" s="32" t="n">
        <v>13</v>
      </c>
      <c r="Z616" s="31" t="n">
        <v>8.300000000000001</v>
      </c>
      <c r="AA616" s="32" t="n">
        <v>0</v>
      </c>
      <c r="AB616" s="32" t="n">
        <v>0</v>
      </c>
      <c r="AC616" s="32" t="n">
        <v>0</v>
      </c>
      <c r="AD616" s="32" t="n">
        <v>0</v>
      </c>
      <c r="AE616" s="31" t="n">
        <v>0</v>
      </c>
      <c r="AF616" s="32" t="n">
        <v>0</v>
      </c>
      <c r="AG616" s="31" t="n">
        <v>0</v>
      </c>
      <c r="AH616" s="32" t="n">
        <v>68</v>
      </c>
      <c r="AI616" s="31" t="n">
        <v>68.40000000000001</v>
      </c>
      <c r="AJ616" s="31" t="n">
        <v>47.4</v>
      </c>
      <c r="AK616" s="31" t="n">
        <v>0</v>
      </c>
      <c r="AL616" s="30" t="inlineStr">
        <is>
          <t>T-0786</t>
        </is>
      </c>
      <c r="AM616" s="30" t="inlineStr">
        <is>
          <t>F-06-03</t>
        </is>
      </c>
      <c r="AN616" s="30" t="inlineStr">
        <is>
          <t>T-0666</t>
        </is>
      </c>
      <c r="AO616" s="30" t="inlineStr">
        <is>
          <t>F-04-03</t>
        </is>
      </c>
    </row>
    <row r="617">
      <c r="A617" s="30" t="inlineStr">
        <is>
          <t>O0616</t>
        </is>
      </c>
      <c r="B617" s="30" t="inlineStr">
        <is>
          <t>B</t>
        </is>
      </c>
      <c r="C617" s="31" t="n">
        <v>9010.4</v>
      </c>
      <c r="D617" s="31" t="n">
        <v>22520.2</v>
      </c>
      <c r="E617" s="31" t="n">
        <v>22543.7</v>
      </c>
      <c r="F617" s="31" t="n">
        <v>22555.1</v>
      </c>
      <c r="G617" s="31" t="n">
        <v>22577.8</v>
      </c>
      <c r="H617" s="31" t="n">
        <v>22577.9</v>
      </c>
      <c r="I617" s="31" t="n">
        <v>22591.3</v>
      </c>
      <c r="J617" s="31" t="n">
        <v>22622.7</v>
      </c>
      <c r="K617" s="31" t="n">
        <v>13612.3</v>
      </c>
      <c r="L617" s="31" t="n">
        <v>13509.8</v>
      </c>
      <c r="M617" s="30" t="inlineStr">
        <is>
          <t>AMR2</t>
        </is>
      </c>
      <c r="N617" s="30" t="inlineStr">
        <is>
          <t>AMR2</t>
        </is>
      </c>
      <c r="O617" s="32" t="n">
        <v>1</v>
      </c>
      <c r="P617" s="32" t="n">
        <v>25</v>
      </c>
      <c r="Q617" s="32" t="n">
        <v>1</v>
      </c>
      <c r="R617" s="31" t="n">
        <v>55.7</v>
      </c>
      <c r="S617" s="31" t="n">
        <v>55.7</v>
      </c>
      <c r="T617" s="30" t="inlineStr">
        <is>
          <t>AMR2</t>
        </is>
      </c>
      <c r="U617" s="31" t="n">
        <v>42</v>
      </c>
      <c r="V617" s="31" t="n">
        <v>42</v>
      </c>
      <c r="W617" s="30" t="inlineStr">
        <is>
          <t>AMR2</t>
        </is>
      </c>
      <c r="X617" s="32" t="n">
        <v>0</v>
      </c>
      <c r="Y617" s="32" t="n">
        <v>0</v>
      </c>
      <c r="Z617" s="31" t="n">
        <v>0</v>
      </c>
      <c r="AA617" s="32" t="n">
        <v>0</v>
      </c>
      <c r="AB617" s="32" t="n">
        <v>0</v>
      </c>
      <c r="AC617" s="32" t="n">
        <v>0</v>
      </c>
      <c r="AD617" s="32" t="n">
        <v>1</v>
      </c>
      <c r="AE617" s="31" t="n">
        <v>1</v>
      </c>
      <c r="AF617" s="32" t="n">
        <v>0</v>
      </c>
      <c r="AG617" s="31" t="n">
        <v>0</v>
      </c>
      <c r="AH617" s="32" t="n">
        <v>60</v>
      </c>
      <c r="AI617" s="31" t="n">
        <v>60.5</v>
      </c>
      <c r="AJ617" s="31" t="n">
        <v>40.9</v>
      </c>
      <c r="AK617" s="31" t="n">
        <v>1</v>
      </c>
      <c r="AL617" s="30" t="inlineStr">
        <is>
          <t>T-0763</t>
        </is>
      </c>
      <c r="AM617" s="30" t="inlineStr">
        <is>
          <t>B-05-01</t>
        </is>
      </c>
      <c r="AN617" s="30" t="inlineStr">
        <is>
          <t>T-0575</t>
        </is>
      </c>
      <c r="AO617" s="30" t="inlineStr">
        <is>
          <t>B-01-02</t>
        </is>
      </c>
    </row>
    <row r="618">
      <c r="A618" s="30" t="inlineStr">
        <is>
          <t>O0617</t>
        </is>
      </c>
      <c r="B618" s="30" t="inlineStr">
        <is>
          <t>A</t>
        </is>
      </c>
      <c r="C618" s="31" t="n">
        <v>9013.6</v>
      </c>
      <c r="D618" s="31" t="n">
        <v>22760.2</v>
      </c>
      <c r="E618" s="31" t="n">
        <v>22783.7</v>
      </c>
      <c r="F618" s="31" t="n">
        <v>22798.4</v>
      </c>
      <c r="G618" s="31" t="n">
        <v>22826.8</v>
      </c>
      <c r="H618" s="31" t="n">
        <v>24719.2</v>
      </c>
      <c r="I618" s="31" t="n">
        <v>24730.4</v>
      </c>
      <c r="J618" s="31" t="n">
        <v>24769.2</v>
      </c>
      <c r="K618" s="31" t="n">
        <v>15755.6</v>
      </c>
      <c r="L618" s="31" t="n">
        <v>13746.6</v>
      </c>
      <c r="M618" s="30" t="inlineStr">
        <is>
          <t>AMR1</t>
        </is>
      </c>
      <c r="N618" s="30" t="inlineStr">
        <is>
          <t>AMR2</t>
        </is>
      </c>
      <c r="O618" s="32" t="n">
        <v>1</v>
      </c>
      <c r="P618" s="32" t="n">
        <v>25</v>
      </c>
      <c r="Q618" s="32" t="n">
        <v>1</v>
      </c>
      <c r="R618" s="31" t="n">
        <v>63.1</v>
      </c>
      <c r="S618" s="31" t="n">
        <v>63.1</v>
      </c>
      <c r="T618" s="30" t="inlineStr">
        <is>
          <t>AMR1</t>
        </is>
      </c>
      <c r="U618" s="31" t="n">
        <v>49.2</v>
      </c>
      <c r="V618" s="31" t="n">
        <v>49.2</v>
      </c>
      <c r="W618" s="30" t="inlineStr">
        <is>
          <t>AMR2</t>
        </is>
      </c>
      <c r="X618" s="32" t="n">
        <v>0</v>
      </c>
      <c r="Y618" s="32" t="n">
        <v>0</v>
      </c>
      <c r="Z618" s="31" t="n">
        <v>0</v>
      </c>
      <c r="AA618" s="32" t="n">
        <v>0</v>
      </c>
      <c r="AB618" s="32" t="n">
        <v>0</v>
      </c>
      <c r="AC618" s="32" t="n">
        <v>0</v>
      </c>
      <c r="AD618" s="32" t="n">
        <v>0</v>
      </c>
      <c r="AE618" s="31" t="n">
        <v>0</v>
      </c>
      <c r="AF618" s="32" t="n">
        <v>0</v>
      </c>
      <c r="AG618" s="31" t="n">
        <v>0</v>
      </c>
      <c r="AH618" s="32" t="n">
        <v>74</v>
      </c>
      <c r="AI618" s="31" t="n">
        <v>71.7</v>
      </c>
      <c r="AJ618" s="31" t="n">
        <v>44.9</v>
      </c>
      <c r="AK618" s="31" t="n">
        <v>0</v>
      </c>
      <c r="AL618" s="30" t="inlineStr">
        <is>
          <t>T-0770</t>
        </is>
      </c>
      <c r="AM618" s="30" t="inlineStr">
        <is>
          <t>A-01-03</t>
        </is>
      </c>
      <c r="AN618" s="30" t="inlineStr">
        <is>
          <t>T-0690</t>
        </is>
      </c>
      <c r="AO618" s="30" t="inlineStr">
        <is>
          <t>A-01-02</t>
        </is>
      </c>
    </row>
    <row r="619">
      <c r="A619" s="30" t="inlineStr">
        <is>
          <t>O0618</t>
        </is>
      </c>
      <c r="B619" s="30" t="inlineStr">
        <is>
          <t>J</t>
        </is>
      </c>
      <c r="C619" s="31" t="n">
        <v>9020.299999999999</v>
      </c>
      <c r="D619" s="31" t="n">
        <v>22599.7</v>
      </c>
      <c r="E619" s="31" t="n">
        <v>22623.2</v>
      </c>
      <c r="F619" s="31" t="n">
        <v>22634</v>
      </c>
      <c r="G619" s="31" t="n">
        <v>22661.8</v>
      </c>
      <c r="H619" s="31" t="n">
        <v>22661.9</v>
      </c>
      <c r="I619" s="31" t="n">
        <v>22674.3</v>
      </c>
      <c r="J619" s="31" t="n">
        <v>22706.7</v>
      </c>
      <c r="K619" s="31" t="n">
        <v>13686.4</v>
      </c>
      <c r="L619" s="31" t="n">
        <v>13579.4</v>
      </c>
      <c r="M619" s="30" t="inlineStr">
        <is>
          <t>AMR3</t>
        </is>
      </c>
      <c r="N619" s="30" t="inlineStr">
        <is>
          <t>AMR3</t>
        </is>
      </c>
      <c r="O619" s="32" t="n">
        <v>1</v>
      </c>
      <c r="P619" s="32" t="n">
        <v>25</v>
      </c>
      <c r="Q619" s="32" t="n">
        <v>0</v>
      </c>
      <c r="R619" s="31" t="n">
        <v>59.5</v>
      </c>
      <c r="S619" s="31" t="n">
        <v>59.5</v>
      </c>
      <c r="T619" s="30" t="inlineStr">
        <is>
          <t>AMR3</t>
        </is>
      </c>
      <c r="U619" s="31" t="n">
        <v>43</v>
      </c>
      <c r="V619" s="31" t="n">
        <v>43</v>
      </c>
      <c r="W619" s="30" t="inlineStr">
        <is>
          <t>AMR3</t>
        </is>
      </c>
      <c r="X619" s="32" t="n">
        <v>0</v>
      </c>
      <c r="Y619" s="32" t="n">
        <v>0</v>
      </c>
      <c r="Z619" s="31" t="n">
        <v>0</v>
      </c>
      <c r="AA619" s="32" t="n">
        <v>0</v>
      </c>
      <c r="AB619" s="32" t="n">
        <v>0</v>
      </c>
      <c r="AC619" s="32" t="n">
        <v>0</v>
      </c>
      <c r="AD619" s="32" t="n">
        <v>0</v>
      </c>
      <c r="AE619" s="31" t="n">
        <v>0</v>
      </c>
      <c r="AF619" s="32" t="n">
        <v>0</v>
      </c>
      <c r="AG619" s="31" t="n">
        <v>0</v>
      </c>
      <c r="AH619" s="32" t="n">
        <v>68</v>
      </c>
      <c r="AI619" s="31" t="n">
        <v>68.40000000000001</v>
      </c>
      <c r="AJ619" s="31" t="n">
        <v>38.5</v>
      </c>
      <c r="AK619" s="31" t="n">
        <v>0</v>
      </c>
      <c r="AL619" s="30" t="inlineStr">
        <is>
          <t>T-0765</t>
        </is>
      </c>
      <c r="AM619" s="30" t="inlineStr">
        <is>
          <t>J-03-02</t>
        </is>
      </c>
      <c r="AN619" s="30" t="inlineStr">
        <is>
          <t>T-0628</t>
        </is>
      </c>
      <c r="AO619" s="30" t="inlineStr">
        <is>
          <t>J-04-02</t>
        </is>
      </c>
    </row>
    <row r="620">
      <c r="A620" s="30" t="inlineStr">
        <is>
          <t>O0619</t>
        </is>
      </c>
      <c r="B620" s="30" t="inlineStr">
        <is>
          <t>E</t>
        </is>
      </c>
      <c r="C620" s="31" t="n">
        <v>9024.200000000001</v>
      </c>
      <c r="D620" s="31" t="n">
        <v>22622.8</v>
      </c>
      <c r="E620" s="31" t="n">
        <v>22647.3</v>
      </c>
      <c r="F620" s="31" t="n">
        <v>22660.7</v>
      </c>
      <c r="G620" s="31" t="n">
        <v>22686.3</v>
      </c>
      <c r="H620" s="31" t="n">
        <v>22686.4</v>
      </c>
      <c r="I620" s="31" t="n">
        <v>22695.2</v>
      </c>
      <c r="J620" s="31" t="n">
        <v>22731.2</v>
      </c>
      <c r="K620" s="31" t="n">
        <v>13707</v>
      </c>
      <c r="L620" s="31" t="n">
        <v>13598.6</v>
      </c>
      <c r="M620" s="30" t="inlineStr">
        <is>
          <t>AMR2</t>
        </is>
      </c>
      <c r="N620" s="30" t="inlineStr">
        <is>
          <t>AMR2</t>
        </is>
      </c>
      <c r="O620" s="32" t="n">
        <v>1</v>
      </c>
      <c r="P620" s="32" t="n">
        <v>25</v>
      </c>
      <c r="Q620" s="32" t="n">
        <v>0</v>
      </c>
      <c r="R620" s="31" t="n">
        <v>59.8</v>
      </c>
      <c r="S620" s="31" t="n">
        <v>59.8</v>
      </c>
      <c r="T620" s="30" t="inlineStr">
        <is>
          <t>AMR2</t>
        </is>
      </c>
      <c r="U620" s="31" t="n">
        <v>43</v>
      </c>
      <c r="V620" s="31" t="n">
        <v>43</v>
      </c>
      <c r="W620" s="30" t="inlineStr">
        <is>
          <t>AMR2</t>
        </is>
      </c>
      <c r="X620" s="32" t="n">
        <v>0</v>
      </c>
      <c r="Y620" s="32" t="n">
        <v>0</v>
      </c>
      <c r="Z620" s="31" t="n">
        <v>0</v>
      </c>
      <c r="AA620" s="32" t="n">
        <v>0</v>
      </c>
      <c r="AB620" s="32" t="n">
        <v>0</v>
      </c>
      <c r="AC620" s="32" t="n">
        <v>0</v>
      </c>
      <c r="AD620" s="32" t="n">
        <v>1</v>
      </c>
      <c r="AE620" s="31" t="n">
        <v>1</v>
      </c>
      <c r="AF620" s="32" t="n">
        <v>0</v>
      </c>
      <c r="AG620" s="31" t="n">
        <v>0</v>
      </c>
      <c r="AH620" s="32" t="n">
        <v>68</v>
      </c>
      <c r="AI620" s="31" t="n">
        <v>67</v>
      </c>
      <c r="AJ620" s="31" t="n">
        <v>39.3</v>
      </c>
      <c r="AK620" s="31" t="n">
        <v>2</v>
      </c>
      <c r="AL620" s="30" t="inlineStr">
        <is>
          <t>T-0766</t>
        </is>
      </c>
      <c r="AM620" s="30" t="inlineStr">
        <is>
          <t>E-03-02</t>
        </is>
      </c>
      <c r="AN620" s="30" t="inlineStr">
        <is>
          <t>T-0619</t>
        </is>
      </c>
      <c r="AO620" s="30" t="inlineStr">
        <is>
          <t>E-05-03</t>
        </is>
      </c>
    </row>
    <row r="621">
      <c r="A621" s="30" t="inlineStr">
        <is>
          <t>O0620</t>
        </is>
      </c>
      <c r="B621" s="30" t="inlineStr">
        <is>
          <t>D</t>
        </is>
      </c>
      <c r="C621" s="31" t="n">
        <v>9030</v>
      </c>
      <c r="D621" s="31" t="n">
        <v>22656.6</v>
      </c>
      <c r="E621" s="31" t="n">
        <v>22680.1</v>
      </c>
      <c r="F621" s="31" t="n">
        <v>22693.4</v>
      </c>
      <c r="G621" s="31" t="n">
        <v>22716.9</v>
      </c>
      <c r="H621" s="31" t="n">
        <v>22717</v>
      </c>
      <c r="I621" s="31" t="n">
        <v>22728.1</v>
      </c>
      <c r="J621" s="31" t="n">
        <v>22760.1</v>
      </c>
      <c r="K621" s="31" t="n">
        <v>13730.1</v>
      </c>
      <c r="L621" s="31" t="n">
        <v>13626.6</v>
      </c>
      <c r="M621" s="30" t="inlineStr">
        <is>
          <t>AMR1</t>
        </is>
      </c>
      <c r="N621" s="30" t="inlineStr">
        <is>
          <t>AMR1</t>
        </is>
      </c>
      <c r="O621" s="32" t="n">
        <v>1</v>
      </c>
      <c r="P621" s="32" t="n">
        <v>25</v>
      </c>
      <c r="Q621" s="32" t="n">
        <v>1</v>
      </c>
      <c r="R621" s="31" t="n">
        <v>56.8</v>
      </c>
      <c r="S621" s="31" t="n">
        <v>56.8</v>
      </c>
      <c r="T621" s="30" t="inlineStr">
        <is>
          <t>AMR1</t>
        </is>
      </c>
      <c r="U621" s="31" t="n">
        <v>41.2</v>
      </c>
      <c r="V621" s="31" t="n">
        <v>41.2</v>
      </c>
      <c r="W621" s="30" t="inlineStr">
        <is>
          <t>AMR1</t>
        </is>
      </c>
      <c r="X621" s="32" t="n">
        <v>0</v>
      </c>
      <c r="Y621" s="32" t="n">
        <v>0</v>
      </c>
      <c r="Z621" s="31" t="n">
        <v>0</v>
      </c>
      <c r="AA621" s="32" t="n">
        <v>0</v>
      </c>
      <c r="AB621" s="32" t="n">
        <v>0</v>
      </c>
      <c r="AC621" s="32" t="n">
        <v>0</v>
      </c>
      <c r="AD621" s="32" t="n">
        <v>0</v>
      </c>
      <c r="AE621" s="31" t="n">
        <v>0</v>
      </c>
      <c r="AF621" s="32" t="n">
        <v>0</v>
      </c>
      <c r="AG621" s="31" t="n">
        <v>0</v>
      </c>
      <c r="AH621" s="32" t="n">
        <v>58</v>
      </c>
      <c r="AI621" s="31" t="n">
        <v>59</v>
      </c>
      <c r="AJ621" s="31" t="n">
        <v>44.4</v>
      </c>
      <c r="AK621" s="31" t="n">
        <v>0</v>
      </c>
      <c r="AL621" s="30" t="inlineStr">
        <is>
          <t>T-0767</t>
        </is>
      </c>
      <c r="AM621" s="30" t="inlineStr">
        <is>
          <t>D-05-02</t>
        </is>
      </c>
      <c r="AN621" s="30" t="inlineStr">
        <is>
          <t>T-0516</t>
        </is>
      </c>
      <c r="AO621" s="30" t="inlineStr">
        <is>
          <t>D-06-02</t>
        </is>
      </c>
    </row>
    <row r="622">
      <c r="A622" s="30" t="inlineStr">
        <is>
          <t>O0621</t>
        </is>
      </c>
      <c r="B622" s="30" t="inlineStr">
        <is>
          <t>B</t>
        </is>
      </c>
      <c r="C622" s="31" t="n">
        <v>9033.1</v>
      </c>
      <c r="D622" s="31" t="n">
        <v>22809.4</v>
      </c>
      <c r="E622" s="31" t="n">
        <v>22832.9</v>
      </c>
      <c r="F622" s="31" t="n">
        <v>22845.2</v>
      </c>
      <c r="G622" s="31" t="n">
        <v>22870.6</v>
      </c>
      <c r="H622" s="31" t="n">
        <v>22870.7</v>
      </c>
      <c r="I622" s="31" t="n">
        <v>22881.7</v>
      </c>
      <c r="J622" s="31" t="n">
        <v>22910.2</v>
      </c>
      <c r="K622" s="31" t="n">
        <v>13877.1</v>
      </c>
      <c r="L622" s="31" t="n">
        <v>13776.3</v>
      </c>
      <c r="M622" s="30" t="inlineStr">
        <is>
          <t>AMR3</t>
        </is>
      </c>
      <c r="N622" s="30" t="inlineStr">
        <is>
          <t>AMR3</t>
        </is>
      </c>
      <c r="O622" s="32" t="n">
        <v>1</v>
      </c>
      <c r="P622" s="32" t="n">
        <v>25</v>
      </c>
      <c r="Q622" s="32" t="n">
        <v>1</v>
      </c>
      <c r="R622" s="31" t="n">
        <v>57.7</v>
      </c>
      <c r="S622" s="31" t="n">
        <v>57.7</v>
      </c>
      <c r="T622" s="30" t="inlineStr">
        <is>
          <t>AMR3</t>
        </is>
      </c>
      <c r="U622" s="31" t="n">
        <v>39.1</v>
      </c>
      <c r="V622" s="31" t="n">
        <v>39.1</v>
      </c>
      <c r="W622" s="30" t="inlineStr">
        <is>
          <t>AMR3</t>
        </is>
      </c>
      <c r="X622" s="32" t="n">
        <v>0</v>
      </c>
      <c r="Y622" s="32" t="n">
        <v>0</v>
      </c>
      <c r="Z622" s="31" t="n">
        <v>0</v>
      </c>
      <c r="AA622" s="32" t="n">
        <v>0</v>
      </c>
      <c r="AB622" s="32" t="n">
        <v>0</v>
      </c>
      <c r="AC622" s="32" t="n">
        <v>0</v>
      </c>
      <c r="AD622" s="32" t="n">
        <v>0</v>
      </c>
      <c r="AE622" s="31" t="n">
        <v>0</v>
      </c>
      <c r="AF622" s="32" t="n">
        <v>0</v>
      </c>
      <c r="AG622" s="31" t="n">
        <v>0</v>
      </c>
      <c r="AH622" s="32" t="n">
        <v>60</v>
      </c>
      <c r="AI622" s="31" t="n">
        <v>60.7</v>
      </c>
      <c r="AJ622" s="31" t="n">
        <v>40</v>
      </c>
      <c r="AK622" s="31" t="n">
        <v>0</v>
      </c>
      <c r="AL622" s="30" t="inlineStr">
        <is>
          <t>T-0771</t>
        </is>
      </c>
      <c r="AM622" s="30" t="inlineStr">
        <is>
          <t>B-02-02</t>
        </is>
      </c>
      <c r="AN622" s="30" t="inlineStr">
        <is>
          <t>T-0604</t>
        </is>
      </c>
      <c r="AO622" s="30" t="inlineStr">
        <is>
          <t>B-03-02</t>
        </is>
      </c>
    </row>
    <row r="623">
      <c r="A623" s="30" t="inlineStr">
        <is>
          <t>O0622</t>
        </is>
      </c>
      <c r="B623" s="30" t="inlineStr">
        <is>
          <t>H</t>
        </is>
      </c>
      <c r="C623" s="31" t="n">
        <v>9037.1</v>
      </c>
      <c r="D623" s="31" t="n">
        <v>22706.8</v>
      </c>
      <c r="E623" s="31" t="n">
        <v>22730.3</v>
      </c>
      <c r="F623" s="31" t="n">
        <v>22742.5</v>
      </c>
      <c r="G623" s="31" t="n">
        <v>22769.9</v>
      </c>
      <c r="H623" s="31" t="n">
        <v>22770</v>
      </c>
      <c r="I623" s="31" t="n">
        <v>22784.5</v>
      </c>
      <c r="J623" s="31" t="n">
        <v>22809.3</v>
      </c>
      <c r="K623" s="31" t="n">
        <v>13772.2</v>
      </c>
      <c r="L623" s="31" t="n">
        <v>13669.7</v>
      </c>
      <c r="M623" s="30" t="inlineStr">
        <is>
          <t>AMR3</t>
        </is>
      </c>
      <c r="N623" s="30" t="inlineStr">
        <is>
          <t>AMR3</t>
        </is>
      </c>
      <c r="O623" s="32" t="n">
        <v>1</v>
      </c>
      <c r="P623" s="32" t="n">
        <v>25</v>
      </c>
      <c r="Q623" s="32" t="n">
        <v>1</v>
      </c>
      <c r="R623" s="31" t="n">
        <v>59.7</v>
      </c>
      <c r="S623" s="31" t="n">
        <v>59.7</v>
      </c>
      <c r="T623" s="30" t="inlineStr">
        <is>
          <t>AMR3</t>
        </is>
      </c>
      <c r="U623" s="31" t="n">
        <v>38.5</v>
      </c>
      <c r="V623" s="31" t="n">
        <v>38.5</v>
      </c>
      <c r="W623" s="30" t="inlineStr">
        <is>
          <t>AMR3</t>
        </is>
      </c>
      <c r="X623" s="32" t="n">
        <v>0</v>
      </c>
      <c r="Y623" s="32" t="n">
        <v>0</v>
      </c>
      <c r="Z623" s="31" t="n">
        <v>0</v>
      </c>
      <c r="AA623" s="32" t="n">
        <v>0</v>
      </c>
      <c r="AB623" s="32" t="n">
        <v>0</v>
      </c>
      <c r="AC623" s="32" t="n">
        <v>0</v>
      </c>
      <c r="AD623" s="32" t="n">
        <v>0</v>
      </c>
      <c r="AE623" s="31" t="n">
        <v>0</v>
      </c>
      <c r="AF623" s="32" t="n">
        <v>0</v>
      </c>
      <c r="AG623" s="31" t="n">
        <v>0</v>
      </c>
      <c r="AH623" s="32" t="n">
        <v>56</v>
      </c>
      <c r="AI623" s="31" t="n">
        <v>57.8</v>
      </c>
      <c r="AJ623" s="31" t="n">
        <v>44.6</v>
      </c>
      <c r="AK623" s="31" t="n">
        <v>0</v>
      </c>
      <c r="AL623" s="30" t="inlineStr">
        <is>
          <t>T-0768</t>
        </is>
      </c>
      <c r="AM623" s="30" t="inlineStr">
        <is>
          <t>H-02-02</t>
        </is>
      </c>
      <c r="AN623" s="30" t="inlineStr">
        <is>
          <t>T-0630</t>
        </is>
      </c>
      <c r="AO623" s="30" t="inlineStr">
        <is>
          <t>H-04-02</t>
        </is>
      </c>
    </row>
    <row r="624">
      <c r="A624" s="30" t="inlineStr">
        <is>
          <t>O0623</t>
        </is>
      </c>
      <c r="B624" s="30" t="inlineStr">
        <is>
          <t>B</t>
        </is>
      </c>
      <c r="C624" s="31" t="n">
        <v>9042</v>
      </c>
      <c r="D624" s="31" t="n">
        <v>22731.3</v>
      </c>
      <c r="E624" s="31" t="n">
        <v>22754.8</v>
      </c>
      <c r="F624" s="31" t="n">
        <v>22767.3</v>
      </c>
      <c r="G624" s="31" t="n">
        <v>22792.3</v>
      </c>
      <c r="H624" s="31" t="n">
        <v>25328.7</v>
      </c>
      <c r="I624" s="31" t="n">
        <v>25344</v>
      </c>
      <c r="J624" s="31" t="n">
        <v>25375.4</v>
      </c>
      <c r="K624" s="31" t="n">
        <v>16333.4</v>
      </c>
      <c r="L624" s="31" t="n">
        <v>13689.3</v>
      </c>
      <c r="M624" s="30" t="inlineStr">
        <is>
          <t>AMR2</t>
        </is>
      </c>
      <c r="N624" s="30" t="inlineStr">
        <is>
          <t>AMR2</t>
        </is>
      </c>
      <c r="O624" s="32" t="n">
        <v>1</v>
      </c>
      <c r="P624" s="32" t="n">
        <v>25</v>
      </c>
      <c r="Q624" s="32" t="n">
        <v>5</v>
      </c>
      <c r="R624" s="31" t="n">
        <v>57.5</v>
      </c>
      <c r="S624" s="31" t="n">
        <v>57.5</v>
      </c>
      <c r="T624" s="30" t="inlineStr">
        <is>
          <t>AMR2</t>
        </is>
      </c>
      <c r="U624" s="31" t="n">
        <v>46.4</v>
      </c>
      <c r="V624" s="31" t="n">
        <v>46.4</v>
      </c>
      <c r="W624" s="30" t="inlineStr">
        <is>
          <t>AMR2</t>
        </is>
      </c>
      <c r="X624" s="32" t="n">
        <v>0</v>
      </c>
      <c r="Y624" s="32" t="n">
        <v>0</v>
      </c>
      <c r="Z624" s="31" t="n">
        <v>0</v>
      </c>
      <c r="AA624" s="32" t="n">
        <v>0</v>
      </c>
      <c r="AB624" s="32" t="n">
        <v>0</v>
      </c>
      <c r="AC624" s="32" t="n">
        <v>0</v>
      </c>
      <c r="AD624" s="32" t="n">
        <v>0</v>
      </c>
      <c r="AE624" s="31" t="n">
        <v>0</v>
      </c>
      <c r="AF624" s="32" t="n">
        <v>0</v>
      </c>
      <c r="AG624" s="31" t="n">
        <v>0</v>
      </c>
      <c r="AH624" s="32" t="n">
        <v>64</v>
      </c>
      <c r="AI624" s="31" t="n">
        <v>64.59999999999999</v>
      </c>
      <c r="AJ624" s="31" t="n">
        <v>43.1</v>
      </c>
      <c r="AK624" s="31" t="n">
        <v>0</v>
      </c>
      <c r="AL624" s="30" t="inlineStr">
        <is>
          <t>T-0769</t>
        </is>
      </c>
      <c r="AM624" s="30" t="inlineStr">
        <is>
          <t>B-01-02</t>
        </is>
      </c>
      <c r="AN624" s="30" t="inlineStr">
        <is>
          <t>T-0646</t>
        </is>
      </c>
      <c r="AO624" s="30" t="inlineStr">
        <is>
          <t>B-05-02</t>
        </is>
      </c>
    </row>
    <row r="625">
      <c r="A625" s="30" t="inlineStr">
        <is>
          <t>O0624</t>
        </is>
      </c>
      <c r="B625" s="30" t="inlineStr">
        <is>
          <t>B</t>
        </is>
      </c>
      <c r="C625" s="31" t="n">
        <v>9048.799999999999</v>
      </c>
      <c r="D625" s="31" t="n">
        <v>23063.2</v>
      </c>
      <c r="E625" s="31" t="n">
        <v>23089.7</v>
      </c>
      <c r="F625" s="31" t="n">
        <v>23102.8</v>
      </c>
      <c r="G625" s="31" t="n">
        <v>23129.4</v>
      </c>
      <c r="H625" s="31" t="n">
        <v>23129.5</v>
      </c>
      <c r="I625" s="31" t="n">
        <v>23139.5</v>
      </c>
      <c r="J625" s="31" t="n">
        <v>23168.6</v>
      </c>
      <c r="K625" s="31" t="n">
        <v>14119.8</v>
      </c>
      <c r="L625" s="31" t="n">
        <v>14014.4</v>
      </c>
      <c r="M625" s="30" t="inlineStr">
        <is>
          <t>AMR2</t>
        </is>
      </c>
      <c r="N625" s="30" t="inlineStr">
        <is>
          <t>AMR2</t>
        </is>
      </c>
      <c r="O625" s="32" t="n">
        <v>1</v>
      </c>
      <c r="P625" s="32" t="n">
        <v>25</v>
      </c>
      <c r="Q625" s="32" t="n">
        <v>0</v>
      </c>
      <c r="R625" s="31" t="n">
        <v>60.5</v>
      </c>
      <c r="S625" s="31" t="n">
        <v>60.5</v>
      </c>
      <c r="T625" s="30" t="inlineStr">
        <is>
          <t>AMR2</t>
        </is>
      </c>
      <c r="U625" s="31" t="n">
        <v>38.8</v>
      </c>
      <c r="V625" s="31" t="n">
        <v>38.8</v>
      </c>
      <c r="W625" s="30" t="inlineStr">
        <is>
          <t>AMR2</t>
        </is>
      </c>
      <c r="X625" s="32" t="n">
        <v>0</v>
      </c>
      <c r="Y625" s="32" t="n">
        <v>0</v>
      </c>
      <c r="Z625" s="31" t="n">
        <v>0</v>
      </c>
      <c r="AA625" s="32" t="n">
        <v>0</v>
      </c>
      <c r="AB625" s="32" t="n">
        <v>0</v>
      </c>
      <c r="AC625" s="32" t="n">
        <v>0</v>
      </c>
      <c r="AD625" s="32" t="n">
        <v>0</v>
      </c>
      <c r="AE625" s="31" t="n">
        <v>0</v>
      </c>
      <c r="AF625" s="32" t="n">
        <v>0</v>
      </c>
      <c r="AG625" s="31" t="n">
        <v>0</v>
      </c>
      <c r="AH625" s="32" t="n">
        <v>58</v>
      </c>
      <c r="AI625" s="31" t="n">
        <v>59.1</v>
      </c>
      <c r="AJ625" s="31" t="n">
        <v>43.2</v>
      </c>
      <c r="AK625" s="31" t="n">
        <v>3</v>
      </c>
      <c r="AL625" s="30" t="inlineStr">
        <is>
          <t>T-0779</t>
        </is>
      </c>
      <c r="AM625" s="30" t="inlineStr">
        <is>
          <t>B-03-02</t>
        </is>
      </c>
      <c r="AN625" s="30" t="inlineStr">
        <is>
          <t>T-0627</t>
        </is>
      </c>
      <c r="AO625" s="30" t="inlineStr">
        <is>
          <t>B-04-02</t>
        </is>
      </c>
    </row>
    <row r="626">
      <c r="A626" s="30" t="inlineStr">
        <is>
          <t>O0625</t>
        </is>
      </c>
      <c r="B626" s="30" t="inlineStr">
        <is>
          <t>F</t>
        </is>
      </c>
      <c r="C626" s="31" t="n">
        <v>9054.4</v>
      </c>
      <c r="D626" s="31" t="n">
        <v>22945.1</v>
      </c>
      <c r="E626" s="31" t="n">
        <v>22972.6</v>
      </c>
      <c r="F626" s="31" t="n">
        <v>22984.1</v>
      </c>
      <c r="G626" s="31" t="n">
        <v>23013.3</v>
      </c>
      <c r="H626" s="31" t="n">
        <v>25481.4</v>
      </c>
      <c r="I626" s="31" t="n">
        <v>25496.6</v>
      </c>
      <c r="J626" s="31" t="n">
        <v>25533.2</v>
      </c>
      <c r="K626" s="31" t="n">
        <v>16478.8</v>
      </c>
      <c r="L626" s="31" t="n">
        <v>13890.7</v>
      </c>
      <c r="M626" s="30" t="inlineStr">
        <is>
          <t>AMR2</t>
        </is>
      </c>
      <c r="N626" s="30" t="inlineStr">
        <is>
          <t>AMR1</t>
        </is>
      </c>
      <c r="O626" s="32" t="n">
        <v>1</v>
      </c>
      <c r="P626" s="32" t="n">
        <v>25</v>
      </c>
      <c r="Q626" s="32" t="n">
        <v>1</v>
      </c>
      <c r="R626" s="31" t="n">
        <v>63.2</v>
      </c>
      <c r="S626" s="31" t="n">
        <v>63.2</v>
      </c>
      <c r="T626" s="30" t="inlineStr">
        <is>
          <t>AMR2</t>
        </is>
      </c>
      <c r="U626" s="31" t="n">
        <v>50</v>
      </c>
      <c r="V626" s="31" t="n">
        <v>50</v>
      </c>
      <c r="W626" s="30" t="inlineStr">
        <is>
          <t>AMR1</t>
        </is>
      </c>
      <c r="X626" s="32" t="n">
        <v>0</v>
      </c>
      <c r="Y626" s="32" t="n">
        <v>0</v>
      </c>
      <c r="Z626" s="31" t="n">
        <v>0</v>
      </c>
      <c r="AA626" s="32" t="n">
        <v>0</v>
      </c>
      <c r="AB626" s="32" t="n">
        <v>0</v>
      </c>
      <c r="AC626" s="32" t="n">
        <v>0</v>
      </c>
      <c r="AD626" s="32" t="n">
        <v>0</v>
      </c>
      <c r="AE626" s="31" t="n">
        <v>0</v>
      </c>
      <c r="AF626" s="32" t="n">
        <v>0</v>
      </c>
      <c r="AG626" s="31" t="n">
        <v>0</v>
      </c>
      <c r="AH626" s="32" t="n">
        <v>71</v>
      </c>
      <c r="AI626" s="31" t="n">
        <v>70.7</v>
      </c>
      <c r="AJ626" s="31" t="n">
        <v>45.3</v>
      </c>
      <c r="AK626" s="31" t="n">
        <v>4</v>
      </c>
      <c r="AL626" s="30" t="inlineStr">
        <is>
          <t>T-0776</t>
        </is>
      </c>
      <c r="AM626" s="30" t="inlineStr">
        <is>
          <t>F-06-02</t>
        </is>
      </c>
      <c r="AN626" s="30" t="inlineStr">
        <is>
          <t>T-0699</t>
        </is>
      </c>
      <c r="AO626" s="30" t="inlineStr">
        <is>
          <t>F-02-01</t>
        </is>
      </c>
    </row>
    <row r="627">
      <c r="A627" s="30" t="inlineStr">
        <is>
          <t>O0626</t>
        </is>
      </c>
      <c r="B627" s="30" t="inlineStr">
        <is>
          <t>E</t>
        </is>
      </c>
      <c r="C627" s="31" t="n">
        <v>9060</v>
      </c>
      <c r="D627" s="31" t="n">
        <v>22835.5</v>
      </c>
      <c r="E627" s="31" t="n">
        <v>22859</v>
      </c>
      <c r="F627" s="31" t="n">
        <v>22871.2</v>
      </c>
      <c r="G627" s="31" t="n">
        <v>22901.6</v>
      </c>
      <c r="H627" s="31" t="n">
        <v>22901.7</v>
      </c>
      <c r="I627" s="31" t="n">
        <v>22912.8</v>
      </c>
      <c r="J627" s="31" t="n">
        <v>22945</v>
      </c>
      <c r="K627" s="31" t="n">
        <v>13885</v>
      </c>
      <c r="L627" s="31" t="n">
        <v>13775.5</v>
      </c>
      <c r="M627" s="30" t="inlineStr">
        <is>
          <t>AMR2</t>
        </is>
      </c>
      <c r="N627" s="30" t="inlineStr">
        <is>
          <t>AMR2</t>
        </is>
      </c>
      <c r="O627" s="32" t="n">
        <v>1</v>
      </c>
      <c r="P627" s="32" t="n">
        <v>25</v>
      </c>
      <c r="Q627" s="32" t="n">
        <v>1</v>
      </c>
      <c r="R627" s="31" t="n">
        <v>62.6</v>
      </c>
      <c r="S627" s="31" t="n">
        <v>62.6</v>
      </c>
      <c r="T627" s="30" t="inlineStr">
        <is>
          <t>AMR2</t>
        </is>
      </c>
      <c r="U627" s="31" t="n">
        <v>43.9</v>
      </c>
      <c r="V627" s="31" t="n">
        <v>43.9</v>
      </c>
      <c r="W627" s="30" t="inlineStr">
        <is>
          <t>AMR2</t>
        </is>
      </c>
      <c r="X627" s="32" t="n">
        <v>0</v>
      </c>
      <c r="Y627" s="32" t="n">
        <v>0</v>
      </c>
      <c r="Z627" s="31" t="n">
        <v>0</v>
      </c>
      <c r="AA627" s="32" t="n">
        <v>0</v>
      </c>
      <c r="AB627" s="32" t="n">
        <v>0</v>
      </c>
      <c r="AC627" s="32" t="n">
        <v>0</v>
      </c>
      <c r="AD627" s="32" t="n">
        <v>0</v>
      </c>
      <c r="AE627" s="31" t="n">
        <v>0</v>
      </c>
      <c r="AF627" s="32" t="n">
        <v>0</v>
      </c>
      <c r="AG627" s="31" t="n">
        <v>0</v>
      </c>
      <c r="AH627" s="32" t="n">
        <v>68</v>
      </c>
      <c r="AI627" s="31" t="n">
        <v>67.09999999999999</v>
      </c>
      <c r="AJ627" s="31" t="n">
        <v>42.3</v>
      </c>
      <c r="AK627" s="31" t="n">
        <v>0</v>
      </c>
      <c r="AL627" s="30" t="inlineStr">
        <is>
          <t>T-0772</t>
        </is>
      </c>
      <c r="AM627" s="30" t="inlineStr">
        <is>
          <t>E-05-03</t>
        </is>
      </c>
      <c r="AN627" s="30" t="inlineStr">
        <is>
          <t>T-0648</t>
        </is>
      </c>
      <c r="AO627" s="30" t="inlineStr">
        <is>
          <t>E-03-01</t>
        </is>
      </c>
    </row>
    <row r="628">
      <c r="A628" s="30" t="inlineStr">
        <is>
          <t>O0627</t>
        </is>
      </c>
      <c r="B628" s="30" t="inlineStr">
        <is>
          <t>C</t>
        </is>
      </c>
      <c r="C628" s="31" t="n">
        <v>9064.200000000001</v>
      </c>
      <c r="D628" s="31" t="n">
        <v>22873</v>
      </c>
      <c r="E628" s="31" t="n">
        <v>22896.5</v>
      </c>
      <c r="F628" s="31" t="n">
        <v>22907.6</v>
      </c>
      <c r="G628" s="31" t="n">
        <v>22929.9</v>
      </c>
      <c r="H628" s="31" t="n">
        <v>23664.8</v>
      </c>
      <c r="I628" s="31" t="n">
        <v>23683.6</v>
      </c>
      <c r="J628" s="31" t="n">
        <v>23711.8</v>
      </c>
      <c r="K628" s="31" t="n">
        <v>14647.6</v>
      </c>
      <c r="L628" s="31" t="n">
        <v>13808.8</v>
      </c>
      <c r="M628" s="30" t="inlineStr">
        <is>
          <t>AMR1</t>
        </is>
      </c>
      <c r="N628" s="30" t="inlineStr">
        <is>
          <t>AMR2</t>
        </is>
      </c>
      <c r="O628" s="32" t="n">
        <v>1</v>
      </c>
      <c r="P628" s="32" t="n">
        <v>25</v>
      </c>
      <c r="Q628" s="32" t="n">
        <v>5</v>
      </c>
      <c r="R628" s="31" t="n">
        <v>55.8</v>
      </c>
      <c r="S628" s="31" t="n">
        <v>55.8</v>
      </c>
      <c r="T628" s="30" t="inlineStr">
        <is>
          <t>AMR1</t>
        </is>
      </c>
      <c r="U628" s="31" t="n">
        <v>46.7</v>
      </c>
      <c r="V628" s="31" t="n">
        <v>46.7</v>
      </c>
      <c r="W628" s="30" t="inlineStr">
        <is>
          <t>AMR2</t>
        </is>
      </c>
      <c r="X628" s="32" t="n">
        <v>0</v>
      </c>
      <c r="Y628" s="32" t="n">
        <v>0</v>
      </c>
      <c r="Z628" s="31" t="n">
        <v>0</v>
      </c>
      <c r="AA628" s="32" t="n">
        <v>0</v>
      </c>
      <c r="AB628" s="32" t="n">
        <v>0</v>
      </c>
      <c r="AC628" s="32" t="n">
        <v>0</v>
      </c>
      <c r="AD628" s="32" t="n">
        <v>0</v>
      </c>
      <c r="AE628" s="31" t="n">
        <v>0</v>
      </c>
      <c r="AF628" s="32" t="n">
        <v>0</v>
      </c>
      <c r="AG628" s="31" t="n">
        <v>0</v>
      </c>
      <c r="AH628" s="32" t="n">
        <v>57</v>
      </c>
      <c r="AI628" s="31" t="n">
        <v>58.5</v>
      </c>
      <c r="AJ628" s="31" t="n">
        <v>45.4</v>
      </c>
      <c r="AK628" s="31" t="n">
        <v>0</v>
      </c>
      <c r="AL628" s="30" t="inlineStr">
        <is>
          <t>T-0773</t>
        </is>
      </c>
      <c r="AM628" s="30" t="inlineStr">
        <is>
          <t>C-06-02</t>
        </is>
      </c>
      <c r="AN628" s="30" t="inlineStr">
        <is>
          <t>T-0632</t>
        </is>
      </c>
      <c r="AO628" s="30" t="inlineStr">
        <is>
          <t>C-03-03</t>
        </is>
      </c>
    </row>
    <row r="629">
      <c r="A629" s="30" t="inlineStr">
        <is>
          <t>O0628</t>
        </is>
      </c>
      <c r="B629" s="30" t="inlineStr">
        <is>
          <t>C</t>
        </is>
      </c>
      <c r="C629" s="31" t="n">
        <v>9069.5</v>
      </c>
      <c r="D629" s="31" t="n">
        <v>22930</v>
      </c>
      <c r="E629" s="31" t="n">
        <v>22948.4</v>
      </c>
      <c r="F629" s="31" t="n">
        <v>22959.9</v>
      </c>
      <c r="G629" s="31" t="n">
        <v>22982.1</v>
      </c>
      <c r="H629" s="31" t="n">
        <v>22982.2</v>
      </c>
      <c r="I629" s="31" t="n">
        <v>22991.6</v>
      </c>
      <c r="J629" s="31" t="n">
        <v>23018.3</v>
      </c>
      <c r="K629" s="31" t="n">
        <v>13948.8</v>
      </c>
      <c r="L629" s="31" t="n">
        <v>13860.5</v>
      </c>
      <c r="M629" s="30" t="inlineStr">
        <is>
          <t>AMR1</t>
        </is>
      </c>
      <c r="N629" s="30" t="inlineStr">
        <is>
          <t>AMR1</t>
        </is>
      </c>
      <c r="O629" s="32" t="n">
        <v>1</v>
      </c>
      <c r="P629" s="32" t="n">
        <v>11</v>
      </c>
      <c r="Q629" s="32" t="n">
        <v>1</v>
      </c>
      <c r="R629" s="31" t="n">
        <v>43.7</v>
      </c>
      <c r="S629" s="31" t="n">
        <v>43.7</v>
      </c>
      <c r="T629" s="30" t="inlineStr">
        <is>
          <t>AMR1</t>
        </is>
      </c>
      <c r="U629" s="31" t="n">
        <v>37.3</v>
      </c>
      <c r="V629" s="31" t="n">
        <v>37.3</v>
      </c>
      <c r="W629" s="30" t="inlineStr">
        <is>
          <t>AMR1</t>
        </is>
      </c>
      <c r="X629" s="32" t="n">
        <v>0</v>
      </c>
      <c r="Y629" s="32" t="n">
        <v>0</v>
      </c>
      <c r="Z629" s="31" t="n">
        <v>0</v>
      </c>
      <c r="AA629" s="32" t="n">
        <v>0</v>
      </c>
      <c r="AB629" s="32" t="n">
        <v>0</v>
      </c>
      <c r="AC629" s="32" t="n">
        <v>0</v>
      </c>
      <c r="AD629" s="32" t="n">
        <v>0</v>
      </c>
      <c r="AE629" s="31" t="n">
        <v>0</v>
      </c>
      <c r="AF629" s="32" t="n">
        <v>0</v>
      </c>
      <c r="AG629" s="31" t="n">
        <v>0</v>
      </c>
      <c r="AH629" s="32" t="n">
        <v>38</v>
      </c>
      <c r="AI629" s="31" t="n">
        <v>41.6</v>
      </c>
      <c r="AJ629" s="31" t="n">
        <v>39.5</v>
      </c>
      <c r="AK629" s="31" t="n">
        <v>7.1</v>
      </c>
      <c r="AL629" s="30" t="inlineStr">
        <is>
          <t>T-0775</t>
        </is>
      </c>
      <c r="AM629" s="30" t="inlineStr">
        <is>
          <t>C-01-03</t>
        </is>
      </c>
      <c r="AN629" s="30" t="inlineStr">
        <is>
          <t>T-0609</t>
        </is>
      </c>
      <c r="AO629" s="30" t="inlineStr">
        <is>
          <t>C-02-03</t>
        </is>
      </c>
    </row>
    <row r="630">
      <c r="A630" s="30" t="inlineStr">
        <is>
          <t>O0629</t>
        </is>
      </c>
      <c r="B630" s="30" t="inlineStr">
        <is>
          <t>A</t>
        </is>
      </c>
      <c r="C630" s="31" t="n">
        <v>9074.1</v>
      </c>
      <c r="D630" s="31" t="n">
        <v>23224.7</v>
      </c>
      <c r="E630" s="31" t="n">
        <v>23248.2</v>
      </c>
      <c r="F630" s="31" t="n">
        <v>23263.6</v>
      </c>
      <c r="G630" s="31" t="n">
        <v>23291</v>
      </c>
      <c r="H630" s="31" t="n">
        <v>23291.1</v>
      </c>
      <c r="I630" s="31" t="n">
        <v>23302.2</v>
      </c>
      <c r="J630" s="31" t="n">
        <v>23337.9</v>
      </c>
      <c r="K630" s="31" t="n">
        <v>14263.8</v>
      </c>
      <c r="L630" s="31" t="n">
        <v>14150.6</v>
      </c>
      <c r="M630" s="30" t="inlineStr">
        <is>
          <t>AMR1</t>
        </is>
      </c>
      <c r="N630" s="30" t="inlineStr">
        <is>
          <t>AMR1</t>
        </is>
      </c>
      <c r="O630" s="32" t="n">
        <v>1</v>
      </c>
      <c r="P630" s="32" t="n">
        <v>25</v>
      </c>
      <c r="Q630" s="32" t="n">
        <v>1</v>
      </c>
      <c r="R630" s="31" t="n">
        <v>62.8</v>
      </c>
      <c r="S630" s="31" t="n">
        <v>62.8</v>
      </c>
      <c r="T630" s="30" t="inlineStr">
        <is>
          <t>AMR1</t>
        </is>
      </c>
      <c r="U630" s="31" t="n">
        <v>47.4</v>
      </c>
      <c r="V630" s="31" t="n">
        <v>47.4</v>
      </c>
      <c r="W630" s="30" t="inlineStr">
        <is>
          <t>AMR1</t>
        </is>
      </c>
      <c r="X630" s="32" t="n">
        <v>0</v>
      </c>
      <c r="Y630" s="32" t="n">
        <v>0</v>
      </c>
      <c r="Z630" s="31" t="n">
        <v>0</v>
      </c>
      <c r="AA630" s="32" t="n">
        <v>0</v>
      </c>
      <c r="AB630" s="32" t="n">
        <v>0</v>
      </c>
      <c r="AC630" s="32" t="n">
        <v>0</v>
      </c>
      <c r="AD630" s="32" t="n">
        <v>0</v>
      </c>
      <c r="AE630" s="31" t="n">
        <v>0</v>
      </c>
      <c r="AF630" s="32" t="n">
        <v>0</v>
      </c>
      <c r="AG630" s="31" t="n">
        <v>0</v>
      </c>
      <c r="AH630" s="32" t="n">
        <v>72</v>
      </c>
      <c r="AI630" s="31" t="n">
        <v>70.3</v>
      </c>
      <c r="AJ630" s="31" t="n">
        <v>42.8</v>
      </c>
      <c r="AK630" s="31" t="n">
        <v>0</v>
      </c>
      <c r="AL630" s="30" t="inlineStr">
        <is>
          <t>T-0783</t>
        </is>
      </c>
      <c r="AM630" s="30" t="inlineStr">
        <is>
          <t>A-02-03</t>
        </is>
      </c>
      <c r="AN630" s="30" t="inlineStr">
        <is>
          <t>T-0621</t>
        </is>
      </c>
      <c r="AO630" s="30" t="inlineStr">
        <is>
          <t>A-03-03</t>
        </is>
      </c>
    </row>
    <row r="631">
      <c r="A631" s="30" t="inlineStr">
        <is>
          <t>O0630</t>
        </is>
      </c>
      <c r="B631" s="30" t="inlineStr">
        <is>
          <t>H</t>
        </is>
      </c>
      <c r="C631" s="31" t="n">
        <v>9080.299999999999</v>
      </c>
      <c r="D631" s="31" t="n">
        <v>23018.4</v>
      </c>
      <c r="E631" s="31" t="n">
        <v>23041.9</v>
      </c>
      <c r="F631" s="31" t="n">
        <v>23056</v>
      </c>
      <c r="G631" s="31" t="n">
        <v>23078.7</v>
      </c>
      <c r="H631" s="31" t="n">
        <v>23078.8</v>
      </c>
      <c r="I631" s="31" t="n">
        <v>23090.5</v>
      </c>
      <c r="J631" s="31" t="n">
        <v>23115.7</v>
      </c>
      <c r="K631" s="31" t="n">
        <v>14035.4</v>
      </c>
      <c r="L631" s="31" t="n">
        <v>13938.1</v>
      </c>
      <c r="M631" s="30" t="inlineStr">
        <is>
          <t>AMR1</t>
        </is>
      </c>
      <c r="N631" s="30" t="inlineStr">
        <is>
          <t>AMR1</t>
        </is>
      </c>
      <c r="O631" s="32" t="n">
        <v>1</v>
      </c>
      <c r="P631" s="32" t="n">
        <v>25</v>
      </c>
      <c r="Q631" s="32" t="n">
        <v>1</v>
      </c>
      <c r="R631" s="31" t="n">
        <v>58.5</v>
      </c>
      <c r="S631" s="31" t="n">
        <v>58.5</v>
      </c>
      <c r="T631" s="30" t="inlineStr">
        <is>
          <t>AMR1</t>
        </is>
      </c>
      <c r="U631" s="31" t="n">
        <v>37.6</v>
      </c>
      <c r="V631" s="31" t="n">
        <v>37.6</v>
      </c>
      <c r="W631" s="30" t="inlineStr">
        <is>
          <t>AMR1</t>
        </is>
      </c>
      <c r="X631" s="32" t="n">
        <v>0</v>
      </c>
      <c r="Y631" s="32" t="n">
        <v>0</v>
      </c>
      <c r="Z631" s="31" t="n">
        <v>0</v>
      </c>
      <c r="AA631" s="32" t="n">
        <v>0</v>
      </c>
      <c r="AB631" s="32" t="n">
        <v>0</v>
      </c>
      <c r="AC631" s="32" t="n">
        <v>0</v>
      </c>
      <c r="AD631" s="32" t="n">
        <v>0</v>
      </c>
      <c r="AE631" s="31" t="n">
        <v>0</v>
      </c>
      <c r="AF631" s="32" t="n">
        <v>0</v>
      </c>
      <c r="AG631" s="31" t="n">
        <v>0</v>
      </c>
      <c r="AH631" s="32" t="n">
        <v>52</v>
      </c>
      <c r="AI631" s="31" t="n">
        <v>54.7</v>
      </c>
      <c r="AJ631" s="31" t="n">
        <v>42.5</v>
      </c>
      <c r="AK631" s="31" t="n">
        <v>0</v>
      </c>
      <c r="AL631" s="30" t="inlineStr">
        <is>
          <t>T-0777</t>
        </is>
      </c>
      <c r="AM631" s="30" t="inlineStr">
        <is>
          <t>H-04-02</t>
        </is>
      </c>
      <c r="AN631" s="30" t="inlineStr">
        <is>
          <t>T-0637</t>
        </is>
      </c>
      <c r="AO631" s="30" t="inlineStr">
        <is>
          <t>H-05-02</t>
        </is>
      </c>
    </row>
    <row r="632">
      <c r="A632" s="30" t="inlineStr">
        <is>
          <t>O0631</t>
        </is>
      </c>
      <c r="B632" s="30" t="inlineStr">
        <is>
          <t>C</t>
        </is>
      </c>
      <c r="C632" s="31" t="n">
        <v>9083.299999999999</v>
      </c>
      <c r="D632" s="31" t="n">
        <v>23042.2</v>
      </c>
      <c r="E632" s="31" t="n">
        <v>23065.7</v>
      </c>
      <c r="F632" s="31" t="n">
        <v>23080.9</v>
      </c>
      <c r="G632" s="31" t="n">
        <v>23102.9</v>
      </c>
      <c r="H632" s="31" t="n">
        <v>23103</v>
      </c>
      <c r="I632" s="31" t="n">
        <v>23116.3</v>
      </c>
      <c r="J632" s="31" t="n">
        <v>23143.6</v>
      </c>
      <c r="K632" s="31" t="n">
        <v>14060.3</v>
      </c>
      <c r="L632" s="31" t="n">
        <v>13958.9</v>
      </c>
      <c r="M632" s="30" t="inlineStr">
        <is>
          <t>AMR3</t>
        </is>
      </c>
      <c r="N632" s="30" t="inlineStr">
        <is>
          <t>AMR3</t>
        </is>
      </c>
      <c r="O632" s="32" t="n">
        <v>1</v>
      </c>
      <c r="P632" s="32" t="n">
        <v>25</v>
      </c>
      <c r="Q632" s="32" t="n">
        <v>1</v>
      </c>
      <c r="R632" s="31" t="n">
        <v>58.8</v>
      </c>
      <c r="S632" s="31" t="n">
        <v>58.8</v>
      </c>
      <c r="T632" s="30" t="inlineStr">
        <is>
          <t>AMR3</t>
        </is>
      </c>
      <c r="U632" s="31" t="n">
        <v>41.8</v>
      </c>
      <c r="V632" s="31" t="n">
        <v>41.8</v>
      </c>
      <c r="W632" s="30" t="inlineStr">
        <is>
          <t>AMR3</t>
        </is>
      </c>
      <c r="X632" s="32" t="n">
        <v>0</v>
      </c>
      <c r="Y632" s="32" t="n">
        <v>0</v>
      </c>
      <c r="Z632" s="31" t="n">
        <v>0</v>
      </c>
      <c r="AA632" s="32" t="n">
        <v>0</v>
      </c>
      <c r="AB632" s="32" t="n">
        <v>0</v>
      </c>
      <c r="AC632" s="32" t="n">
        <v>0</v>
      </c>
      <c r="AD632" s="32" t="n">
        <v>0</v>
      </c>
      <c r="AE632" s="31" t="n">
        <v>0</v>
      </c>
      <c r="AF632" s="32" t="n">
        <v>0</v>
      </c>
      <c r="AG632" s="31" t="n">
        <v>0</v>
      </c>
      <c r="AH632" s="32" t="n">
        <v>52</v>
      </c>
      <c r="AI632" s="31" t="n">
        <v>53.8</v>
      </c>
      <c r="AJ632" s="31" t="n">
        <v>47.5</v>
      </c>
      <c r="AK632" s="31" t="n">
        <v>0</v>
      </c>
      <c r="AL632" s="30" t="inlineStr">
        <is>
          <t>T-0778</t>
        </is>
      </c>
      <c r="AM632" s="30" t="inlineStr">
        <is>
          <t>C-02-03</t>
        </is>
      </c>
      <c r="AN632" s="30" t="inlineStr">
        <is>
          <t>T-0612</t>
        </is>
      </c>
      <c r="AO632" s="30" t="inlineStr">
        <is>
          <t>C-01-01</t>
        </is>
      </c>
    </row>
    <row r="633">
      <c r="A633" s="30" t="inlineStr">
        <is>
          <t>O0632</t>
        </is>
      </c>
      <c r="B633" s="30" t="inlineStr">
        <is>
          <t>G</t>
        </is>
      </c>
      <c r="C633" s="31" t="n">
        <v>9087.5</v>
      </c>
      <c r="D633" s="31" t="n">
        <v>23115.8</v>
      </c>
      <c r="E633" s="31" t="n">
        <v>23139.3</v>
      </c>
      <c r="F633" s="31" t="n">
        <v>23152.5</v>
      </c>
      <c r="G633" s="31" t="n">
        <v>23178.8</v>
      </c>
      <c r="H633" s="31" t="n">
        <v>23178.9</v>
      </c>
      <c r="I633" s="31" t="n">
        <v>23195</v>
      </c>
      <c r="J633" s="31" t="n">
        <v>23224.6</v>
      </c>
      <c r="K633" s="31" t="n">
        <v>14137.1</v>
      </c>
      <c r="L633" s="31" t="n">
        <v>14028.3</v>
      </c>
      <c r="M633" s="30" t="inlineStr">
        <is>
          <t>AMR1</t>
        </is>
      </c>
      <c r="N633" s="30" t="inlineStr">
        <is>
          <t>AMR1</t>
        </is>
      </c>
      <c r="O633" s="32" t="n">
        <v>1</v>
      </c>
      <c r="P633" s="32" t="n">
        <v>25</v>
      </c>
      <c r="Q633" s="32" t="n">
        <v>2</v>
      </c>
      <c r="R633" s="31" t="n">
        <v>62</v>
      </c>
      <c r="S633" s="31" t="n">
        <v>62</v>
      </c>
      <c r="T633" s="30" t="inlineStr">
        <is>
          <t>AMR1</t>
        </is>
      </c>
      <c r="U633" s="31" t="n">
        <v>42.9</v>
      </c>
      <c r="V633" s="31" t="n">
        <v>42.9</v>
      </c>
      <c r="W633" s="30" t="inlineStr">
        <is>
          <t>AMR1</t>
        </is>
      </c>
      <c r="X633" s="32" t="n">
        <v>0</v>
      </c>
      <c r="Y633" s="32" t="n">
        <v>0</v>
      </c>
      <c r="Z633" s="31" t="n">
        <v>0</v>
      </c>
      <c r="AA633" s="32" t="n">
        <v>0</v>
      </c>
      <c r="AB633" s="32" t="n">
        <v>0</v>
      </c>
      <c r="AC633" s="32" t="n">
        <v>0</v>
      </c>
      <c r="AD633" s="32" t="n">
        <v>0</v>
      </c>
      <c r="AE633" s="31" t="n">
        <v>0</v>
      </c>
      <c r="AF633" s="32" t="n">
        <v>0</v>
      </c>
      <c r="AG633" s="31" t="n">
        <v>0</v>
      </c>
      <c r="AH633" s="32" t="n">
        <v>60</v>
      </c>
      <c r="AI633" s="31" t="n">
        <v>61.8</v>
      </c>
      <c r="AJ633" s="31" t="n">
        <v>46.9</v>
      </c>
      <c r="AK633" s="31" t="n">
        <v>0</v>
      </c>
      <c r="AL633" s="30" t="inlineStr">
        <is>
          <t>T-0780</t>
        </is>
      </c>
      <c r="AM633" s="30" t="inlineStr">
        <is>
          <t>G-06-01</t>
        </is>
      </c>
      <c r="AN633" s="30" t="inlineStr">
        <is>
          <t>T-0610</t>
        </is>
      </c>
      <c r="AO633" s="30" t="inlineStr">
        <is>
          <t>G-01-01</t>
        </is>
      </c>
    </row>
    <row r="634">
      <c r="A634" s="30" t="inlineStr">
        <is>
          <t>O0633</t>
        </is>
      </c>
      <c r="B634" s="30" t="inlineStr">
        <is>
          <t>G</t>
        </is>
      </c>
      <c r="C634" s="31" t="n">
        <v>9092.5</v>
      </c>
      <c r="D634" s="31" t="n">
        <v>23256.8</v>
      </c>
      <c r="E634" s="31" t="n">
        <v>23280.3</v>
      </c>
      <c r="F634" s="31" t="n">
        <v>23295.9</v>
      </c>
      <c r="G634" s="31" t="n">
        <v>23322.5</v>
      </c>
      <c r="H634" s="31" t="n">
        <v>23322.6</v>
      </c>
      <c r="I634" s="31" t="n">
        <v>23333.7</v>
      </c>
      <c r="J634" s="31" t="n">
        <v>23360.8</v>
      </c>
      <c r="K634" s="31" t="n">
        <v>14268.3</v>
      </c>
      <c r="L634" s="31" t="n">
        <v>14164.3</v>
      </c>
      <c r="M634" s="30" t="inlineStr">
        <is>
          <t>AMR3</t>
        </is>
      </c>
      <c r="N634" s="30" t="inlineStr">
        <is>
          <t>AMR3</t>
        </is>
      </c>
      <c r="O634" s="32" t="n">
        <v>1</v>
      </c>
      <c r="P634" s="32" t="n">
        <v>25</v>
      </c>
      <c r="Q634" s="32" t="n">
        <v>1</v>
      </c>
      <c r="R634" s="31" t="n">
        <v>62.3</v>
      </c>
      <c r="S634" s="31" t="n">
        <v>62.3</v>
      </c>
      <c r="T634" s="30" t="inlineStr">
        <is>
          <t>AMR3</t>
        </is>
      </c>
      <c r="U634" s="31" t="n">
        <v>37.8</v>
      </c>
      <c r="V634" s="31" t="n">
        <v>37.8</v>
      </c>
      <c r="W634" s="30" t="inlineStr">
        <is>
          <t>AMR3</t>
        </is>
      </c>
      <c r="X634" s="32" t="n">
        <v>0</v>
      </c>
      <c r="Y634" s="32" t="n">
        <v>0</v>
      </c>
      <c r="Z634" s="31" t="n">
        <v>0</v>
      </c>
      <c r="AA634" s="32" t="n">
        <v>0</v>
      </c>
      <c r="AB634" s="32" t="n">
        <v>0</v>
      </c>
      <c r="AC634" s="32" t="n">
        <v>0</v>
      </c>
      <c r="AD634" s="32" t="n">
        <v>0</v>
      </c>
      <c r="AE634" s="31" t="n">
        <v>0</v>
      </c>
      <c r="AF634" s="32" t="n">
        <v>0</v>
      </c>
      <c r="AG634" s="31" t="n">
        <v>0</v>
      </c>
      <c r="AH634" s="32" t="n">
        <v>60</v>
      </c>
      <c r="AI634" s="31" t="n">
        <v>61.1</v>
      </c>
      <c r="AJ634" s="31" t="n">
        <v>42.8</v>
      </c>
      <c r="AK634" s="31" t="n">
        <v>0</v>
      </c>
      <c r="AL634" s="30" t="inlineStr">
        <is>
          <t>T-0784</t>
        </is>
      </c>
      <c r="AM634" s="30" t="inlineStr">
        <is>
          <t>G-01-01</t>
        </is>
      </c>
      <c r="AN634" s="30" t="inlineStr">
        <is>
          <t>T-0616</t>
        </is>
      </c>
      <c r="AO634" s="30" t="inlineStr">
        <is>
          <t>G-03-01</t>
        </is>
      </c>
    </row>
    <row r="635">
      <c r="A635" s="30" t="inlineStr">
        <is>
          <t>O0634</t>
        </is>
      </c>
      <c r="B635" s="30" t="inlineStr">
        <is>
          <t>E</t>
        </is>
      </c>
      <c r="C635" s="31" t="n">
        <v>9096.5</v>
      </c>
      <c r="D635" s="31" t="n">
        <v>23143.7</v>
      </c>
      <c r="E635" s="31" t="n">
        <v>23167.2</v>
      </c>
      <c r="F635" s="31" t="n">
        <v>23181.1</v>
      </c>
      <c r="G635" s="31" t="n">
        <v>23206.1</v>
      </c>
      <c r="H635" s="31" t="n">
        <v>23516.4</v>
      </c>
      <c r="I635" s="31" t="n">
        <v>23532.5</v>
      </c>
      <c r="J635" s="31" t="n">
        <v>23563.4</v>
      </c>
      <c r="K635" s="31" t="n">
        <v>14466.9</v>
      </c>
      <c r="L635" s="31" t="n">
        <v>14047.2</v>
      </c>
      <c r="M635" s="30" t="inlineStr">
        <is>
          <t>AMR3</t>
        </is>
      </c>
      <c r="N635" s="30" t="inlineStr">
        <is>
          <t>AMR1</t>
        </is>
      </c>
      <c r="O635" s="32" t="n">
        <v>1</v>
      </c>
      <c r="P635" s="32" t="n">
        <v>25</v>
      </c>
      <c r="Q635" s="32" t="n">
        <v>4</v>
      </c>
      <c r="R635" s="31" t="n">
        <v>59.7</v>
      </c>
      <c r="S635" s="31" t="n">
        <v>59.7</v>
      </c>
      <c r="T635" s="30" t="inlineStr">
        <is>
          <t>AMR3</t>
        </is>
      </c>
      <c r="U635" s="31" t="n">
        <v>49.7</v>
      </c>
      <c r="V635" s="31" t="n">
        <v>49.7</v>
      </c>
      <c r="W635" s="30" t="inlineStr">
        <is>
          <t>AMR1</t>
        </is>
      </c>
      <c r="X635" s="32" t="n">
        <v>0</v>
      </c>
      <c r="Y635" s="32" t="n">
        <v>0</v>
      </c>
      <c r="Z635" s="31" t="n">
        <v>0</v>
      </c>
      <c r="AA635" s="32" t="n">
        <v>0</v>
      </c>
      <c r="AB635" s="32" t="n">
        <v>0</v>
      </c>
      <c r="AC635" s="32" t="n">
        <v>0</v>
      </c>
      <c r="AD635" s="32" t="n">
        <v>0</v>
      </c>
      <c r="AE635" s="31" t="n">
        <v>0</v>
      </c>
      <c r="AF635" s="32" t="n">
        <v>0</v>
      </c>
      <c r="AG635" s="31" t="n">
        <v>0</v>
      </c>
      <c r="AH635" s="32" t="n">
        <v>68</v>
      </c>
      <c r="AI635" s="31" t="n">
        <v>67.5</v>
      </c>
      <c r="AJ635" s="31" t="n">
        <v>41.9</v>
      </c>
      <c r="AK635" s="31" t="n">
        <v>0</v>
      </c>
      <c r="AL635" s="30" t="inlineStr">
        <is>
          <t>T-0781</t>
        </is>
      </c>
      <c r="AM635" s="30" t="inlineStr">
        <is>
          <t>E-03-01</t>
        </is>
      </c>
      <c r="AN635" s="30" t="inlineStr">
        <is>
          <t>T-0671</t>
        </is>
      </c>
      <c r="AO635" s="30" t="inlineStr">
        <is>
          <t>E-01-02</t>
        </is>
      </c>
    </row>
    <row r="636">
      <c r="A636" s="30" t="inlineStr">
        <is>
          <t>O0635</t>
        </is>
      </c>
      <c r="B636" s="30" t="inlineStr">
        <is>
          <t>J</t>
        </is>
      </c>
      <c r="C636" s="31" t="n">
        <v>9102.5</v>
      </c>
      <c r="D636" s="31" t="n">
        <v>23168.7</v>
      </c>
      <c r="E636" s="31" t="n">
        <v>23192.2</v>
      </c>
      <c r="F636" s="31" t="n">
        <v>23204.1</v>
      </c>
      <c r="G636" s="31" t="n">
        <v>23233.1</v>
      </c>
      <c r="H636" s="31" t="n">
        <v>23233.2</v>
      </c>
      <c r="I636" s="31" t="n">
        <v>23247.3</v>
      </c>
      <c r="J636" s="31" t="n">
        <v>23274.7</v>
      </c>
      <c r="K636" s="31" t="n">
        <v>14172.2</v>
      </c>
      <c r="L636" s="31" t="n">
        <v>14066.2</v>
      </c>
      <c r="M636" s="30" t="inlineStr">
        <is>
          <t>AMR2</t>
        </is>
      </c>
      <c r="N636" s="30" t="inlineStr">
        <is>
          <t>AMR2</t>
        </is>
      </c>
      <c r="O636" s="32" t="n">
        <v>1</v>
      </c>
      <c r="P636" s="32" t="n">
        <v>25</v>
      </c>
      <c r="Q636" s="32" t="n">
        <v>1</v>
      </c>
      <c r="R636" s="31" t="n">
        <v>60.9</v>
      </c>
      <c r="S636" s="31" t="n">
        <v>60.9</v>
      </c>
      <c r="T636" s="30" t="inlineStr">
        <is>
          <t>AMR2</t>
        </is>
      </c>
      <c r="U636" s="31" t="n">
        <v>42.2</v>
      </c>
      <c r="V636" s="31" t="n">
        <v>42.2</v>
      </c>
      <c r="W636" s="30" t="inlineStr">
        <is>
          <t>AMR2</t>
        </is>
      </c>
      <c r="X636" s="32" t="n">
        <v>0</v>
      </c>
      <c r="Y636" s="32" t="n">
        <v>0</v>
      </c>
      <c r="Z636" s="31" t="n">
        <v>0</v>
      </c>
      <c r="AA636" s="32" t="n">
        <v>0</v>
      </c>
      <c r="AB636" s="32" t="n">
        <v>0</v>
      </c>
      <c r="AC636" s="32" t="n">
        <v>0</v>
      </c>
      <c r="AD636" s="32" t="n">
        <v>0</v>
      </c>
      <c r="AE636" s="31" t="n">
        <v>0</v>
      </c>
      <c r="AF636" s="32" t="n">
        <v>0</v>
      </c>
      <c r="AG636" s="31" t="n">
        <v>0</v>
      </c>
      <c r="AH636" s="32" t="n">
        <v>68</v>
      </c>
      <c r="AI636" s="31" t="n">
        <v>67.5</v>
      </c>
      <c r="AJ636" s="31" t="n">
        <v>38.4</v>
      </c>
      <c r="AK636" s="31" t="n">
        <v>0</v>
      </c>
      <c r="AL636" s="30" t="inlineStr">
        <is>
          <t>T-0782</t>
        </is>
      </c>
      <c r="AM636" s="30" t="inlineStr">
        <is>
          <t>J-05-02</t>
        </is>
      </c>
      <c r="AN636" s="30" t="inlineStr">
        <is>
          <t>T-0659</t>
        </is>
      </c>
      <c r="AO636" s="30" t="inlineStr">
        <is>
          <t>J-02-03</t>
        </is>
      </c>
    </row>
    <row r="637">
      <c r="A637" s="30" t="inlineStr">
        <is>
          <t>O0636</t>
        </is>
      </c>
      <c r="B637" s="30" t="inlineStr">
        <is>
          <t>H</t>
        </is>
      </c>
      <c r="C637" s="31" t="n">
        <v>9105.5</v>
      </c>
      <c r="D637" s="31" t="n">
        <v>23360.9</v>
      </c>
      <c r="E637" s="31" t="n">
        <v>23385.4</v>
      </c>
      <c r="F637" s="31" t="n">
        <v>23396.5</v>
      </c>
      <c r="G637" s="31" t="n">
        <v>23421</v>
      </c>
      <c r="H637" s="31" t="n">
        <v>23421.1</v>
      </c>
      <c r="I637" s="31" t="n">
        <v>23434</v>
      </c>
      <c r="J637" s="31" t="n">
        <v>23474.4</v>
      </c>
      <c r="K637" s="31" t="n">
        <v>14368.9</v>
      </c>
      <c r="L637" s="31" t="n">
        <v>14255.4</v>
      </c>
      <c r="M637" s="30" t="inlineStr">
        <is>
          <t>AMR3</t>
        </is>
      </c>
      <c r="N637" s="30" t="inlineStr">
        <is>
          <t>AMR3</t>
        </is>
      </c>
      <c r="O637" s="32" t="n">
        <v>1</v>
      </c>
      <c r="P637" s="32" t="n">
        <v>25</v>
      </c>
      <c r="Q637" s="32" t="n">
        <v>1</v>
      </c>
      <c r="R637" s="31" t="n">
        <v>57.3</v>
      </c>
      <c r="S637" s="31" t="n">
        <v>57.3</v>
      </c>
      <c r="T637" s="30" t="inlineStr">
        <is>
          <t>AMR3</t>
        </is>
      </c>
      <c r="U637" s="31" t="n">
        <v>40.4</v>
      </c>
      <c r="V637" s="31" t="n">
        <v>40.4</v>
      </c>
      <c r="W637" s="30" t="inlineStr">
        <is>
          <t>AMR3</t>
        </is>
      </c>
      <c r="X637" s="32" t="n">
        <v>0</v>
      </c>
      <c r="Y637" s="32" t="n">
        <v>0</v>
      </c>
      <c r="Z637" s="31" t="n">
        <v>0</v>
      </c>
      <c r="AA637" s="32" t="n">
        <v>0</v>
      </c>
      <c r="AB637" s="32" t="n">
        <v>0</v>
      </c>
      <c r="AC637" s="32" t="n">
        <v>0</v>
      </c>
      <c r="AD637" s="32" t="n">
        <v>1</v>
      </c>
      <c r="AE637" s="31" t="n">
        <v>12</v>
      </c>
      <c r="AF637" s="32" t="n">
        <v>1</v>
      </c>
      <c r="AG637" s="31" t="n">
        <v>7</v>
      </c>
      <c r="AH637" s="32" t="n">
        <v>54</v>
      </c>
      <c r="AI637" s="31" t="n">
        <v>56.3</v>
      </c>
      <c r="AJ637" s="31" t="n">
        <v>44.1</v>
      </c>
      <c r="AK637" s="31" t="n">
        <v>13</v>
      </c>
      <c r="AL637" s="30" t="inlineStr">
        <is>
          <t>T-0787</t>
        </is>
      </c>
      <c r="AM637" s="30" t="inlineStr">
        <is>
          <t>H-05-02</t>
        </is>
      </c>
      <c r="AN637" s="30" t="inlineStr">
        <is>
          <t>T-0640</t>
        </is>
      </c>
      <c r="AO637" s="30" t="inlineStr">
        <is>
          <t>H-03-01</t>
        </is>
      </c>
    </row>
    <row r="638">
      <c r="A638" s="30" t="inlineStr">
        <is>
          <t>O0637</t>
        </is>
      </c>
      <c r="B638" s="30" t="inlineStr">
        <is>
          <t>I</t>
        </is>
      </c>
      <c r="C638" s="31" t="n">
        <v>9111.200000000001</v>
      </c>
      <c r="D638" s="31" t="n">
        <v>23474.5</v>
      </c>
      <c r="E638" s="31" t="n">
        <v>23501</v>
      </c>
      <c r="F638" s="31" t="n">
        <v>23516.3</v>
      </c>
      <c r="G638" s="31" t="n">
        <v>23541.7</v>
      </c>
      <c r="H638" s="31" t="n">
        <v>23563.5</v>
      </c>
      <c r="I638" s="31" t="n">
        <v>23587.6</v>
      </c>
      <c r="J638" s="31" t="n">
        <v>23622.1</v>
      </c>
      <c r="K638" s="31" t="n">
        <v>14510.9</v>
      </c>
      <c r="L638" s="31" t="n">
        <v>14363.3</v>
      </c>
      <c r="M638" s="30" t="inlineStr">
        <is>
          <t>AMR3</t>
        </is>
      </c>
      <c r="N638" s="30" t="inlineStr">
        <is>
          <t>AMR1</t>
        </is>
      </c>
      <c r="O638" s="32" t="n">
        <v>1</v>
      </c>
      <c r="P638" s="32" t="n">
        <v>25</v>
      </c>
      <c r="Q638" s="32" t="n">
        <v>14</v>
      </c>
      <c r="R638" s="31" t="n">
        <v>61.6</v>
      </c>
      <c r="S638" s="31" t="n">
        <v>61.6</v>
      </c>
      <c r="T638" s="30" t="inlineStr">
        <is>
          <t>AMR3</t>
        </is>
      </c>
      <c r="U638" s="31" t="n">
        <v>50.3</v>
      </c>
      <c r="V638" s="31" t="n">
        <v>50.3</v>
      </c>
      <c r="W638" s="30" t="inlineStr">
        <is>
          <t>AMR1</t>
        </is>
      </c>
      <c r="X638" s="32" t="n">
        <v>0</v>
      </c>
      <c r="Y638" s="32" t="n">
        <v>0</v>
      </c>
      <c r="Z638" s="31" t="n">
        <v>0</v>
      </c>
      <c r="AA638" s="32" t="n">
        <v>0</v>
      </c>
      <c r="AB638" s="32" t="n">
        <v>0</v>
      </c>
      <c r="AC638" s="32" t="n">
        <v>0</v>
      </c>
      <c r="AD638" s="32" t="n">
        <v>2</v>
      </c>
      <c r="AE638" s="31" t="n">
        <v>5.5</v>
      </c>
      <c r="AF638" s="32" t="n">
        <v>0</v>
      </c>
      <c r="AG638" s="31" t="n">
        <v>0</v>
      </c>
      <c r="AH638" s="32" t="n">
        <v>70</v>
      </c>
      <c r="AI638" s="31" t="n">
        <v>71.8</v>
      </c>
      <c r="AJ638" s="31" t="n">
        <v>45.5</v>
      </c>
      <c r="AK638" s="31" t="n">
        <v>8.5</v>
      </c>
      <c r="AL638" s="30" t="inlineStr">
        <is>
          <t>T-0790</t>
        </is>
      </c>
      <c r="AM638" s="30" t="inlineStr">
        <is>
          <t>I-03-01</t>
        </is>
      </c>
      <c r="AN638" s="30" t="inlineStr">
        <is>
          <t>T-0603</t>
        </is>
      </c>
      <c r="AO638" s="30" t="inlineStr">
        <is>
          <t>I-05-01</t>
        </is>
      </c>
    </row>
    <row r="639">
      <c r="A639" s="30" t="inlineStr">
        <is>
          <t>O0638</t>
        </is>
      </c>
      <c r="B639" s="30" t="inlineStr">
        <is>
          <t>C</t>
        </is>
      </c>
      <c r="C639" s="31" t="n">
        <v>9116.299999999999</v>
      </c>
      <c r="D639" s="31" t="n">
        <v>23274.8</v>
      </c>
      <c r="E639" s="31" t="n">
        <v>23304.3</v>
      </c>
      <c r="F639" s="31" t="n">
        <v>23318.7</v>
      </c>
      <c r="G639" s="31" t="n">
        <v>23340.5</v>
      </c>
      <c r="H639" s="31" t="n">
        <v>23340.6</v>
      </c>
      <c r="I639" s="31" t="n">
        <v>23354.6</v>
      </c>
      <c r="J639" s="31" t="n">
        <v>23381</v>
      </c>
      <c r="K639" s="31" t="n">
        <v>14264.7</v>
      </c>
      <c r="L639" s="31" t="n">
        <v>14158.5</v>
      </c>
      <c r="M639" s="30" t="inlineStr">
        <is>
          <t>AMR2</t>
        </is>
      </c>
      <c r="N639" s="30" t="inlineStr">
        <is>
          <t>AMR2</t>
        </is>
      </c>
      <c r="O639" s="32" t="n">
        <v>1</v>
      </c>
      <c r="P639" s="32" t="n">
        <v>25</v>
      </c>
      <c r="Q639" s="32" t="n">
        <v>1</v>
      </c>
      <c r="R639" s="31" t="n">
        <v>57.8</v>
      </c>
      <c r="S639" s="31" t="n">
        <v>57.8</v>
      </c>
      <c r="T639" s="30" t="inlineStr">
        <is>
          <t>AMR2</t>
        </is>
      </c>
      <c r="U639" s="31" t="n">
        <v>40.6</v>
      </c>
      <c r="V639" s="31" t="n">
        <v>40.6</v>
      </c>
      <c r="W639" s="30" t="inlineStr">
        <is>
          <t>AMR2</t>
        </is>
      </c>
      <c r="X639" s="32" t="n">
        <v>0</v>
      </c>
      <c r="Y639" s="32" t="n">
        <v>0</v>
      </c>
      <c r="Z639" s="31" t="n">
        <v>0</v>
      </c>
      <c r="AA639" s="32" t="n">
        <v>0</v>
      </c>
      <c r="AB639" s="32" t="n">
        <v>0</v>
      </c>
      <c r="AC639" s="32" t="n">
        <v>0</v>
      </c>
      <c r="AD639" s="32" t="n">
        <v>0</v>
      </c>
      <c r="AE639" s="31" t="n">
        <v>0</v>
      </c>
      <c r="AF639" s="32" t="n">
        <v>1</v>
      </c>
      <c r="AG639" s="31" t="n">
        <v>1</v>
      </c>
      <c r="AH639" s="32" t="n">
        <v>54</v>
      </c>
      <c r="AI639" s="31" t="n">
        <v>54.8</v>
      </c>
      <c r="AJ639" s="31" t="n">
        <v>45.3</v>
      </c>
      <c r="AK639" s="31" t="n">
        <v>6</v>
      </c>
      <c r="AL639" s="30" t="inlineStr">
        <is>
          <t>T-0785</t>
        </is>
      </c>
      <c r="AM639" s="30" t="inlineStr">
        <is>
          <t>C-01-01</t>
        </is>
      </c>
      <c r="AN639" s="30" t="inlineStr">
        <is>
          <t>T-0624</t>
        </is>
      </c>
      <c r="AO639" s="30" t="inlineStr">
        <is>
          <t>C-05-01</t>
        </is>
      </c>
    </row>
    <row r="640">
      <c r="A640" s="30" t="inlineStr">
        <is>
          <t>O0639</t>
        </is>
      </c>
      <c r="B640" s="30" t="inlineStr">
        <is>
          <t>D</t>
        </is>
      </c>
      <c r="C640" s="31" t="n">
        <v>9123.200000000001</v>
      </c>
      <c r="D640" s="31" t="n">
        <v>23454</v>
      </c>
      <c r="E640" s="31" t="n">
        <v>23477.5</v>
      </c>
      <c r="F640" s="31" t="n">
        <v>23493.6</v>
      </c>
      <c r="G640" s="31" t="n">
        <v>23516.3</v>
      </c>
      <c r="H640" s="31" t="n">
        <v>23541.8</v>
      </c>
      <c r="I640" s="31" t="n">
        <v>23555.7</v>
      </c>
      <c r="J640" s="31" t="n">
        <v>23582.7</v>
      </c>
      <c r="K640" s="31" t="n">
        <v>14459.5</v>
      </c>
      <c r="L640" s="31" t="n">
        <v>14330.8</v>
      </c>
      <c r="M640" s="30" t="inlineStr">
        <is>
          <t>AMR1</t>
        </is>
      </c>
      <c r="N640" s="30" t="inlineStr">
        <is>
          <t>AMR3</t>
        </is>
      </c>
      <c r="O640" s="32" t="n">
        <v>1</v>
      </c>
      <c r="P640" s="32" t="n">
        <v>25</v>
      </c>
      <c r="Q640" s="32" t="n">
        <v>2</v>
      </c>
      <c r="R640" s="31" t="n">
        <v>58</v>
      </c>
      <c r="S640" s="31" t="n">
        <v>58</v>
      </c>
      <c r="T640" s="30" t="inlineStr">
        <is>
          <t>AMR1</t>
        </is>
      </c>
      <c r="U640" s="31" t="n">
        <v>39.2</v>
      </c>
      <c r="V640" s="31" t="n">
        <v>39.2</v>
      </c>
      <c r="W640" s="30" t="inlineStr">
        <is>
          <t>AMR3</t>
        </is>
      </c>
      <c r="X640" s="32" t="n">
        <v>0</v>
      </c>
      <c r="Y640" s="32" t="n">
        <v>0</v>
      </c>
      <c r="Z640" s="31" t="n">
        <v>0</v>
      </c>
      <c r="AA640" s="32" t="n">
        <v>0</v>
      </c>
      <c r="AB640" s="32" t="n">
        <v>0</v>
      </c>
      <c r="AC640" s="32" t="n">
        <v>0</v>
      </c>
      <c r="AD640" s="32" t="n">
        <v>0</v>
      </c>
      <c r="AE640" s="31" t="n">
        <v>0</v>
      </c>
      <c r="AF640" s="32" t="n">
        <v>0</v>
      </c>
      <c r="AG640" s="31" t="n">
        <v>0</v>
      </c>
      <c r="AH640" s="32" t="n">
        <v>58</v>
      </c>
      <c r="AI640" s="31" t="n">
        <v>60.3</v>
      </c>
      <c r="AJ640" s="31" t="n">
        <v>42.9</v>
      </c>
      <c r="AK640" s="31" t="n">
        <v>0</v>
      </c>
      <c r="AL640" s="30" t="inlineStr">
        <is>
          <t>T-0789</t>
        </is>
      </c>
      <c r="AM640" s="30" t="inlineStr">
        <is>
          <t>D-06-02</t>
        </is>
      </c>
      <c r="AN640" s="30" t="inlineStr">
        <is>
          <t>T-0521</t>
        </is>
      </c>
      <c r="AO640" s="30" t="inlineStr">
        <is>
          <t>D-02-03</t>
        </is>
      </c>
    </row>
    <row r="641">
      <c r="A641" s="30" t="inlineStr">
        <is>
          <t>O0640</t>
        </is>
      </c>
      <c r="B641" s="30" t="inlineStr">
        <is>
          <t>H</t>
        </is>
      </c>
      <c r="C641" s="31" t="n">
        <v>9127.299999999999</v>
      </c>
      <c r="D641" s="31" t="n">
        <v>23582.8</v>
      </c>
      <c r="E641" s="31" t="n">
        <v>23606.3</v>
      </c>
      <c r="F641" s="31" t="n">
        <v>23618.7</v>
      </c>
      <c r="G641" s="31" t="n">
        <v>23643.6</v>
      </c>
      <c r="H641" s="31" t="n">
        <v>23643.7</v>
      </c>
      <c r="I641" s="31" t="n">
        <v>23654.7</v>
      </c>
      <c r="J641" s="31" t="n">
        <v>23680.6</v>
      </c>
      <c r="K641" s="31" t="n">
        <v>14553.3</v>
      </c>
      <c r="L641" s="31" t="n">
        <v>14455.5</v>
      </c>
      <c r="M641" s="30" t="inlineStr">
        <is>
          <t>AMR3</t>
        </is>
      </c>
      <c r="N641" s="30" t="inlineStr">
        <is>
          <t>AMR3</t>
        </is>
      </c>
      <c r="O641" s="32" t="n">
        <v>1</v>
      </c>
      <c r="P641" s="32" t="n">
        <v>25</v>
      </c>
      <c r="Q641" s="32" t="n">
        <v>1</v>
      </c>
      <c r="R641" s="31" t="n">
        <v>59</v>
      </c>
      <c r="S641" s="31" t="n">
        <v>59</v>
      </c>
      <c r="T641" s="30" t="inlineStr">
        <is>
          <t>AMR3</t>
        </is>
      </c>
      <c r="U641" s="31" t="n">
        <v>36</v>
      </c>
      <c r="V641" s="31" t="n">
        <v>36</v>
      </c>
      <c r="W641" s="30" t="inlineStr">
        <is>
          <t>AMR3</t>
        </is>
      </c>
      <c r="X641" s="32" t="n">
        <v>0</v>
      </c>
      <c r="Y641" s="32" t="n">
        <v>0</v>
      </c>
      <c r="Z641" s="31" t="n">
        <v>0</v>
      </c>
      <c r="AA641" s="32" t="n">
        <v>0</v>
      </c>
      <c r="AB641" s="32" t="n">
        <v>0</v>
      </c>
      <c r="AC641" s="32" t="n">
        <v>0</v>
      </c>
      <c r="AD641" s="32" t="n">
        <v>0</v>
      </c>
      <c r="AE641" s="31" t="n">
        <v>0</v>
      </c>
      <c r="AF641" s="32" t="n">
        <v>0</v>
      </c>
      <c r="AG641" s="31" t="n">
        <v>0</v>
      </c>
      <c r="AH641" s="32" t="n">
        <v>54</v>
      </c>
      <c r="AI641" s="31" t="n">
        <v>56.3</v>
      </c>
      <c r="AJ641" s="31" t="n">
        <v>41.4</v>
      </c>
      <c r="AK641" s="31" t="n">
        <v>0</v>
      </c>
      <c r="AL641" s="30" t="inlineStr">
        <is>
          <t>T-0792</t>
        </is>
      </c>
      <c r="AM641" s="30" t="inlineStr">
        <is>
          <t>H-04-03</t>
        </is>
      </c>
      <c r="AN641" s="30" t="inlineStr">
        <is>
          <t>T-0661</t>
        </is>
      </c>
      <c r="AO641" s="30" t="inlineStr">
        <is>
          <t>H-03-02</t>
        </is>
      </c>
    </row>
    <row r="642">
      <c r="A642" s="30" t="inlineStr">
        <is>
          <t>O0641</t>
        </is>
      </c>
      <c r="B642" s="30" t="inlineStr">
        <is>
          <t>A</t>
        </is>
      </c>
      <c r="C642" s="31" t="n">
        <v>9131.5</v>
      </c>
      <c r="D642" s="31" t="n">
        <v>23381.1</v>
      </c>
      <c r="E642" s="31" t="n">
        <v>23409.6</v>
      </c>
      <c r="F642" s="31" t="n">
        <v>23425.7</v>
      </c>
      <c r="G642" s="31" t="n">
        <v>23457.8</v>
      </c>
      <c r="H642" s="31" t="n">
        <v>23457.9</v>
      </c>
      <c r="I642" s="31" t="n">
        <v>23468.4</v>
      </c>
      <c r="J642" s="31" t="n">
        <v>23501.7</v>
      </c>
      <c r="K642" s="31" t="n">
        <v>14370.2</v>
      </c>
      <c r="L642" s="31" t="n">
        <v>14249.6</v>
      </c>
      <c r="M642" s="30" t="inlineStr">
        <is>
          <t>AMR2</t>
        </is>
      </c>
      <c r="N642" s="30" t="inlineStr">
        <is>
          <t>AMR2</t>
        </is>
      </c>
      <c r="O642" s="32" t="n">
        <v>1</v>
      </c>
      <c r="P642" s="32" t="n">
        <v>25</v>
      </c>
      <c r="Q642" s="32" t="n">
        <v>0</v>
      </c>
      <c r="R642" s="31" t="n">
        <v>69</v>
      </c>
      <c r="S642" s="31" t="n">
        <v>69</v>
      </c>
      <c r="T642" s="30" t="inlineStr">
        <is>
          <t>AMR2</t>
        </is>
      </c>
      <c r="U642" s="31" t="n">
        <v>44.5</v>
      </c>
      <c r="V642" s="31" t="n">
        <v>44.5</v>
      </c>
      <c r="W642" s="30" t="inlineStr">
        <is>
          <t>AMR2</t>
        </is>
      </c>
      <c r="X642" s="32" t="n">
        <v>0</v>
      </c>
      <c r="Y642" s="32" t="n">
        <v>0</v>
      </c>
      <c r="Z642" s="31" t="n">
        <v>0</v>
      </c>
      <c r="AA642" s="32" t="n">
        <v>0</v>
      </c>
      <c r="AB642" s="32" t="n">
        <v>0</v>
      </c>
      <c r="AC642" s="32" t="n">
        <v>0</v>
      </c>
      <c r="AD642" s="32" t="n">
        <v>0</v>
      </c>
      <c r="AE642" s="31" t="n">
        <v>0</v>
      </c>
      <c r="AF642" s="32" t="n">
        <v>0</v>
      </c>
      <c r="AG642" s="31" t="n">
        <v>0</v>
      </c>
      <c r="AH642" s="32" t="n">
        <v>70</v>
      </c>
      <c r="AI642" s="31" t="n">
        <v>68.7</v>
      </c>
      <c r="AJ642" s="31" t="n">
        <v>46.8</v>
      </c>
      <c r="AK642" s="31" t="n">
        <v>5</v>
      </c>
      <c r="AL642" s="30" t="inlineStr">
        <is>
          <t>T-0788</t>
        </is>
      </c>
      <c r="AM642" s="30" t="inlineStr">
        <is>
          <t>A-03-03</t>
        </is>
      </c>
      <c r="AN642" s="30" t="inlineStr">
        <is>
          <t>T-0639</t>
        </is>
      </c>
      <c r="AO642" s="30" t="inlineStr">
        <is>
          <t>A-04-03</t>
        </is>
      </c>
    </row>
    <row r="643">
      <c r="A643" s="30" t="inlineStr">
        <is>
          <t>O0642</t>
        </is>
      </c>
      <c r="B643" s="30" t="inlineStr">
        <is>
          <t>A</t>
        </is>
      </c>
      <c r="C643" s="31" t="n">
        <v>9137.1</v>
      </c>
      <c r="D643" s="31" t="n">
        <v>24370.8</v>
      </c>
      <c r="E643" s="31" t="n">
        <v>24394.3</v>
      </c>
      <c r="F643" s="31" t="n">
        <v>24408.2</v>
      </c>
      <c r="G643" s="31" t="n">
        <v>24437.5</v>
      </c>
      <c r="H643" s="31" t="n">
        <v>24437.6</v>
      </c>
      <c r="I643" s="31" t="n">
        <v>24451.4</v>
      </c>
      <c r="J643" s="31" t="n">
        <v>24485</v>
      </c>
      <c r="K643" s="31" t="n">
        <v>15347.9</v>
      </c>
      <c r="L643" s="31" t="n">
        <v>15233.7</v>
      </c>
      <c r="M643" s="30" t="inlineStr">
        <is>
          <t>AMR2</t>
        </is>
      </c>
      <c r="N643" s="30" t="inlineStr">
        <is>
          <t>AMR2</t>
        </is>
      </c>
      <c r="O643" s="32" t="n">
        <v>1</v>
      </c>
      <c r="P643" s="32" t="n">
        <v>25</v>
      </c>
      <c r="Q643" s="32" t="n">
        <v>1</v>
      </c>
      <c r="R643" s="31" t="n">
        <v>64.8</v>
      </c>
      <c r="S643" s="31" t="n">
        <v>64.8</v>
      </c>
      <c r="T643" s="30" t="inlineStr">
        <is>
          <t>AMR2</t>
        </is>
      </c>
      <c r="U643" s="31" t="n">
        <v>48.1</v>
      </c>
      <c r="V643" s="31" t="n">
        <v>48.1</v>
      </c>
      <c r="W643" s="30" t="inlineStr">
        <is>
          <t>AMR2</t>
        </is>
      </c>
      <c r="X643" s="32" t="n">
        <v>0</v>
      </c>
      <c r="Y643" s="32" t="n">
        <v>0</v>
      </c>
      <c r="Z643" s="31" t="n">
        <v>0</v>
      </c>
      <c r="AA643" s="32" t="n">
        <v>0</v>
      </c>
      <c r="AB643" s="32" t="n">
        <v>0</v>
      </c>
      <c r="AC643" s="32" t="n">
        <v>0</v>
      </c>
      <c r="AD643" s="32" t="n">
        <v>0</v>
      </c>
      <c r="AE643" s="31" t="n">
        <v>0</v>
      </c>
      <c r="AF643" s="32" t="n">
        <v>0</v>
      </c>
      <c r="AG643" s="31" t="n">
        <v>0</v>
      </c>
      <c r="AH643" s="32" t="n">
        <v>70</v>
      </c>
      <c r="AI643" s="31" t="n">
        <v>68.59999999999999</v>
      </c>
      <c r="AJ643" s="31" t="n">
        <v>45.5</v>
      </c>
      <c r="AK643" s="31" t="n">
        <v>0</v>
      </c>
      <c r="AL643" s="30" t="inlineStr">
        <is>
          <t>T-0814</t>
        </is>
      </c>
      <c r="AM643" s="30" t="inlineStr">
        <is>
          <t>A-05-03</t>
        </is>
      </c>
      <c r="AN643" s="30" t="inlineStr">
        <is>
          <t>T-0664</t>
        </is>
      </c>
      <c r="AO643" s="30" t="inlineStr">
        <is>
          <t>A-03-01</t>
        </is>
      </c>
    </row>
    <row r="644">
      <c r="A644" s="30" t="inlineStr">
        <is>
          <t>O0643</t>
        </is>
      </c>
      <c r="B644" s="30" t="inlineStr">
        <is>
          <t>H</t>
        </is>
      </c>
      <c r="C644" s="31" t="n">
        <v>9141.9</v>
      </c>
      <c r="D644" s="31" t="n">
        <v>23501.8</v>
      </c>
      <c r="E644" s="31" t="n">
        <v>23525.3</v>
      </c>
      <c r="F644" s="31" t="n">
        <v>23537.2</v>
      </c>
      <c r="G644" s="31" t="n">
        <v>23562.8</v>
      </c>
      <c r="H644" s="31" t="n">
        <v>23562.9</v>
      </c>
      <c r="I644" s="31" t="n">
        <v>23576.8</v>
      </c>
      <c r="J644" s="31" t="n">
        <v>23604.6</v>
      </c>
      <c r="K644" s="31" t="n">
        <v>14462.7</v>
      </c>
      <c r="L644" s="31" t="n">
        <v>14359.9</v>
      </c>
      <c r="M644" s="30" t="inlineStr">
        <is>
          <t>AMR2</t>
        </is>
      </c>
      <c r="N644" s="30" t="inlineStr">
        <is>
          <t>AMR2</t>
        </is>
      </c>
      <c r="O644" s="32" t="n">
        <v>1</v>
      </c>
      <c r="P644" s="32" t="n">
        <v>25</v>
      </c>
      <c r="Q644" s="32" t="n">
        <v>0</v>
      </c>
      <c r="R644" s="31" t="n">
        <v>58.4</v>
      </c>
      <c r="S644" s="31" t="n">
        <v>58.4</v>
      </c>
      <c r="T644" s="30" t="inlineStr">
        <is>
          <t>AMR2</t>
        </is>
      </c>
      <c r="U644" s="31" t="n">
        <v>40.9</v>
      </c>
      <c r="V644" s="31" t="n">
        <v>40.9</v>
      </c>
      <c r="W644" s="30" t="inlineStr">
        <is>
          <t>AMR2</t>
        </is>
      </c>
      <c r="X644" s="32" t="n">
        <v>0</v>
      </c>
      <c r="Y644" s="32" t="n">
        <v>0</v>
      </c>
      <c r="Z644" s="31" t="n">
        <v>0</v>
      </c>
      <c r="AA644" s="32" t="n">
        <v>0</v>
      </c>
      <c r="AB644" s="32" t="n">
        <v>0</v>
      </c>
      <c r="AC644" s="32" t="n">
        <v>0</v>
      </c>
      <c r="AD644" s="32" t="n">
        <v>0</v>
      </c>
      <c r="AE644" s="31" t="n">
        <v>0</v>
      </c>
      <c r="AF644" s="32" t="n">
        <v>0</v>
      </c>
      <c r="AG644" s="31" t="n">
        <v>0</v>
      </c>
      <c r="AH644" s="32" t="n">
        <v>54</v>
      </c>
      <c r="AI644" s="31" t="n">
        <v>56.3</v>
      </c>
      <c r="AJ644" s="31" t="n">
        <v>46.4</v>
      </c>
      <c r="AK644" s="31" t="n">
        <v>0</v>
      </c>
      <c r="AL644" s="30" t="inlineStr">
        <is>
          <t>T-0791</t>
        </is>
      </c>
      <c r="AM644" s="30" t="inlineStr">
        <is>
          <t>H-03-01</t>
        </is>
      </c>
      <c r="AN644" s="30" t="inlineStr">
        <is>
          <t>T-0643</t>
        </is>
      </c>
      <c r="AO644" s="30" t="inlineStr">
        <is>
          <t>H-05-03</t>
        </is>
      </c>
    </row>
    <row r="645">
      <c r="A645" s="30" t="inlineStr">
        <is>
          <t>O0644</t>
        </is>
      </c>
      <c r="B645" s="30" t="inlineStr">
        <is>
          <t>E</t>
        </is>
      </c>
      <c r="C645" s="31" t="n">
        <v>9145.4</v>
      </c>
      <c r="D645" s="31" t="n">
        <v>23680.7</v>
      </c>
      <c r="E645" s="31" t="n">
        <v>23704.2</v>
      </c>
      <c r="F645" s="31" t="n">
        <v>23717.7</v>
      </c>
      <c r="G645" s="31" t="n">
        <v>23749.2</v>
      </c>
      <c r="H645" s="31" t="n">
        <v>23749.3</v>
      </c>
      <c r="I645" s="31" t="n">
        <v>23758.1</v>
      </c>
      <c r="J645" s="31" t="n">
        <v>23795.6</v>
      </c>
      <c r="K645" s="31" t="n">
        <v>14650.2</v>
      </c>
      <c r="L645" s="31" t="n">
        <v>14535.3</v>
      </c>
      <c r="M645" s="30" t="inlineStr">
        <is>
          <t>AMR3</t>
        </is>
      </c>
      <c r="N645" s="30" t="inlineStr">
        <is>
          <t>AMR3</t>
        </is>
      </c>
      <c r="O645" s="32" t="n">
        <v>1</v>
      </c>
      <c r="P645" s="32" t="n">
        <v>25</v>
      </c>
      <c r="Q645" s="32" t="n">
        <v>1</v>
      </c>
      <c r="R645" s="31" t="n">
        <v>65</v>
      </c>
      <c r="S645" s="31" t="n">
        <v>65</v>
      </c>
      <c r="T645" s="30" t="inlineStr">
        <is>
          <t>AMR3</t>
        </is>
      </c>
      <c r="U645" s="31" t="n">
        <v>46.9</v>
      </c>
      <c r="V645" s="31" t="n">
        <v>46.9</v>
      </c>
      <c r="W645" s="30" t="inlineStr">
        <is>
          <t>AMR3</t>
        </is>
      </c>
      <c r="X645" s="32" t="n">
        <v>0</v>
      </c>
      <c r="Y645" s="32" t="n">
        <v>0</v>
      </c>
      <c r="Z645" s="31" t="n">
        <v>0</v>
      </c>
      <c r="AA645" s="32" t="n">
        <v>0</v>
      </c>
      <c r="AB645" s="32" t="n">
        <v>0</v>
      </c>
      <c r="AC645" s="32" t="n">
        <v>0</v>
      </c>
      <c r="AD645" s="32" t="n">
        <v>0</v>
      </c>
      <c r="AE645" s="31" t="n">
        <v>0</v>
      </c>
      <c r="AF645" s="32" t="n">
        <v>0</v>
      </c>
      <c r="AG645" s="31" t="n">
        <v>0</v>
      </c>
      <c r="AH645" s="32" t="n">
        <v>68</v>
      </c>
      <c r="AI645" s="31" t="n">
        <v>67.09999999999999</v>
      </c>
      <c r="AJ645" s="31" t="n">
        <v>47.7</v>
      </c>
      <c r="AK645" s="31" t="n">
        <v>0</v>
      </c>
      <c r="AL645" s="30" t="inlineStr">
        <is>
          <t>T-0795</t>
        </is>
      </c>
      <c r="AM645" s="30" t="inlineStr">
        <is>
          <t>E-04-01</t>
        </is>
      </c>
      <c r="AN645" s="30" t="inlineStr">
        <is>
          <t>T-0675</t>
        </is>
      </c>
      <c r="AO645" s="30" t="inlineStr">
        <is>
          <t>E-04-02</t>
        </is>
      </c>
    </row>
    <row r="646">
      <c r="A646" s="30" t="inlineStr">
        <is>
          <t>O0645</t>
        </is>
      </c>
      <c r="B646" s="30" t="inlineStr">
        <is>
          <t>D</t>
        </is>
      </c>
      <c r="C646" s="31" t="n">
        <v>9150.9</v>
      </c>
      <c r="D646" s="31" t="n">
        <v>23604.7</v>
      </c>
      <c r="E646" s="31" t="n">
        <v>23630.2</v>
      </c>
      <c r="F646" s="31" t="n">
        <v>23642.2</v>
      </c>
      <c r="G646" s="31" t="n">
        <v>23664.7</v>
      </c>
      <c r="H646" s="31" t="n">
        <v>23825.8</v>
      </c>
      <c r="I646" s="31" t="n">
        <v>23855.7</v>
      </c>
      <c r="J646" s="31" t="n">
        <v>23884.6</v>
      </c>
      <c r="K646" s="31" t="n">
        <v>14733.7</v>
      </c>
      <c r="L646" s="31" t="n">
        <v>14453.8</v>
      </c>
      <c r="M646" s="30" t="inlineStr">
        <is>
          <t>AMR2</t>
        </is>
      </c>
      <c r="N646" s="30" t="inlineStr">
        <is>
          <t>AMR2</t>
        </is>
      </c>
      <c r="O646" s="32" t="n">
        <v>1</v>
      </c>
      <c r="P646" s="32" t="n">
        <v>25</v>
      </c>
      <c r="Q646" s="32" t="n">
        <v>16</v>
      </c>
      <c r="R646" s="31" t="n">
        <v>56.1</v>
      </c>
      <c r="S646" s="31" t="n">
        <v>56.1</v>
      </c>
      <c r="T646" s="30" t="inlineStr">
        <is>
          <t>AMR2</t>
        </is>
      </c>
      <c r="U646" s="31" t="n">
        <v>55.8</v>
      </c>
      <c r="V646" s="31" t="n">
        <v>55.8</v>
      </c>
      <c r="W646" s="30" t="inlineStr">
        <is>
          <t>AMR2</t>
        </is>
      </c>
      <c r="X646" s="32" t="n">
        <v>0</v>
      </c>
      <c r="Y646" s="32" t="n">
        <v>0</v>
      </c>
      <c r="Z646" s="31" t="n">
        <v>0</v>
      </c>
      <c r="AA646" s="32" t="n">
        <v>0</v>
      </c>
      <c r="AB646" s="32" t="n">
        <v>0</v>
      </c>
      <c r="AC646" s="32" t="n">
        <v>0</v>
      </c>
      <c r="AD646" s="32" t="n">
        <v>0</v>
      </c>
      <c r="AE646" s="31" t="n">
        <v>0</v>
      </c>
      <c r="AF646" s="32" t="n">
        <v>0</v>
      </c>
      <c r="AG646" s="31" t="n">
        <v>0</v>
      </c>
      <c r="AH646" s="32" t="n">
        <v>71</v>
      </c>
      <c r="AI646" s="31" t="n">
        <v>73.40000000000001</v>
      </c>
      <c r="AJ646" s="31" t="n">
        <v>43.4</v>
      </c>
      <c r="AK646" s="31" t="n">
        <v>2</v>
      </c>
      <c r="AL646" s="30" t="inlineStr">
        <is>
          <t>T-0793</t>
        </is>
      </c>
      <c r="AM646" s="30" t="inlineStr">
        <is>
          <t>D-01-03</t>
        </is>
      </c>
      <c r="AN646" s="30" t="inlineStr">
        <is>
          <t>T-0532</t>
        </is>
      </c>
      <c r="AO646" s="30" t="inlineStr">
        <is>
          <t>D-04-03</t>
        </is>
      </c>
    </row>
    <row r="647">
      <c r="A647" s="30" t="inlineStr">
        <is>
          <t>O0646</t>
        </is>
      </c>
      <c r="B647" s="30" t="inlineStr">
        <is>
          <t>G</t>
        </is>
      </c>
      <c r="C647" s="31" t="n">
        <v>9154.5</v>
      </c>
      <c r="D647" s="31" t="n">
        <v>23947</v>
      </c>
      <c r="E647" s="31" t="n">
        <v>23982.5</v>
      </c>
      <c r="F647" s="31" t="n">
        <v>23996.9</v>
      </c>
      <c r="G647" s="31" t="n">
        <v>24026.2</v>
      </c>
      <c r="H647" s="31" t="n">
        <v>24026.3</v>
      </c>
      <c r="I647" s="31" t="n">
        <v>24036.4</v>
      </c>
      <c r="J647" s="31" t="n">
        <v>24064.3</v>
      </c>
      <c r="K647" s="31" t="n">
        <v>14909.8</v>
      </c>
      <c r="L647" s="31" t="n">
        <v>14792.5</v>
      </c>
      <c r="M647" s="30" t="inlineStr">
        <is>
          <t>AMR1</t>
        </is>
      </c>
      <c r="N647" s="30" t="inlineStr">
        <is>
          <t>AMR1</t>
        </is>
      </c>
      <c r="O647" s="32" t="n">
        <v>1</v>
      </c>
      <c r="P647" s="32" t="n">
        <v>25</v>
      </c>
      <c r="Q647" s="32" t="n">
        <v>0</v>
      </c>
      <c r="R647" s="31" t="n">
        <v>64.59999999999999</v>
      </c>
      <c r="S647" s="31" t="n">
        <v>64.59999999999999</v>
      </c>
      <c r="T647" s="30" t="inlineStr">
        <is>
          <t>AMR1</t>
        </is>
      </c>
      <c r="U647" s="31" t="n">
        <v>35.2</v>
      </c>
      <c r="V647" s="31" t="n">
        <v>35.2</v>
      </c>
      <c r="W647" s="30" t="inlineStr">
        <is>
          <t>AMR1</t>
        </is>
      </c>
      <c r="X647" s="32" t="n">
        <v>0</v>
      </c>
      <c r="Y647" s="32" t="n">
        <v>0</v>
      </c>
      <c r="Z647" s="31" t="n">
        <v>0</v>
      </c>
      <c r="AA647" s="32" t="n">
        <v>0</v>
      </c>
      <c r="AB647" s="32" t="n">
        <v>0</v>
      </c>
      <c r="AC647" s="32" t="n">
        <v>0</v>
      </c>
      <c r="AD647" s="32" t="n">
        <v>0</v>
      </c>
      <c r="AE647" s="31" t="n">
        <v>0</v>
      </c>
      <c r="AF647" s="32" t="n">
        <v>1</v>
      </c>
      <c r="AG647" s="31" t="n">
        <v>7</v>
      </c>
      <c r="AH647" s="32" t="n">
        <v>60</v>
      </c>
      <c r="AI647" s="31" t="n">
        <v>62</v>
      </c>
      <c r="AJ647" s="31" t="n">
        <v>43.2</v>
      </c>
      <c r="AK647" s="31" t="n">
        <v>12</v>
      </c>
      <c r="AL647" s="30" t="inlineStr">
        <is>
          <t>T-0803</t>
        </is>
      </c>
      <c r="AM647" s="30" t="inlineStr">
        <is>
          <t>G-03-01</t>
        </is>
      </c>
      <c r="AN647" s="30" t="inlineStr">
        <is>
          <t>T-0635</t>
        </is>
      </c>
      <c r="AO647" s="30" t="inlineStr">
        <is>
          <t>G-01-02</t>
        </is>
      </c>
    </row>
    <row r="648">
      <c r="A648" s="30" t="inlineStr">
        <is>
          <t>O0647</t>
        </is>
      </c>
      <c r="B648" s="30" t="inlineStr">
        <is>
          <t>I</t>
        </is>
      </c>
      <c r="C648" s="31" t="n">
        <v>9159.1</v>
      </c>
      <c r="D648" s="31" t="n">
        <v>23622.2</v>
      </c>
      <c r="E648" s="31" t="n">
        <v>23654.7</v>
      </c>
      <c r="F648" s="31" t="n">
        <v>23667.2</v>
      </c>
      <c r="G648" s="31" t="n">
        <v>23695.2</v>
      </c>
      <c r="H648" s="31" t="n">
        <v>23695.3</v>
      </c>
      <c r="I648" s="31" t="n">
        <v>23705.7</v>
      </c>
      <c r="J648" s="31" t="n">
        <v>23736.8</v>
      </c>
      <c r="K648" s="31" t="n">
        <v>14577.7</v>
      </c>
      <c r="L648" s="31" t="n">
        <v>14463.1</v>
      </c>
      <c r="M648" s="30" t="inlineStr">
        <is>
          <t>AMR1</t>
        </is>
      </c>
      <c r="N648" s="30" t="inlineStr">
        <is>
          <t>AMR1</t>
        </is>
      </c>
      <c r="O648" s="32" t="n">
        <v>1</v>
      </c>
      <c r="P648" s="32" t="n">
        <v>25</v>
      </c>
      <c r="Q648" s="32" t="n">
        <v>1</v>
      </c>
      <c r="R648" s="31" t="n">
        <v>60.6</v>
      </c>
      <c r="S648" s="31" t="n">
        <v>60.6</v>
      </c>
      <c r="T648" s="30" t="inlineStr">
        <is>
          <t>AMR1</t>
        </is>
      </c>
      <c r="U648" s="31" t="n">
        <v>38.6</v>
      </c>
      <c r="V648" s="31" t="n">
        <v>38.6</v>
      </c>
      <c r="W648" s="30" t="inlineStr">
        <is>
          <t>AMR1</t>
        </is>
      </c>
      <c r="X648" s="32" t="n">
        <v>0</v>
      </c>
      <c r="Y648" s="32" t="n">
        <v>0</v>
      </c>
      <c r="Z648" s="31" t="n">
        <v>0</v>
      </c>
      <c r="AA648" s="32" t="n">
        <v>0</v>
      </c>
      <c r="AB648" s="32" t="n">
        <v>0</v>
      </c>
      <c r="AC648" s="32" t="n">
        <v>0</v>
      </c>
      <c r="AD648" s="32" t="n">
        <v>0</v>
      </c>
      <c r="AE648" s="31" t="n">
        <v>0</v>
      </c>
      <c r="AF648" s="32" t="n">
        <v>1</v>
      </c>
      <c r="AG648" s="31" t="n">
        <v>4</v>
      </c>
      <c r="AH648" s="32" t="n">
        <v>58</v>
      </c>
      <c r="AI648" s="31" t="n">
        <v>60.4</v>
      </c>
      <c r="AJ648" s="31" t="n">
        <v>45.1</v>
      </c>
      <c r="AK648" s="31" t="n">
        <v>9</v>
      </c>
      <c r="AL648" s="30" t="inlineStr">
        <is>
          <t>T-0794</t>
        </is>
      </c>
      <c r="AM648" s="30" t="inlineStr">
        <is>
          <t>I-04-01</t>
        </is>
      </c>
      <c r="AN648" s="30" t="inlineStr">
        <is>
          <t>T-0607</t>
        </is>
      </c>
      <c r="AO648" s="30" t="inlineStr">
        <is>
          <t>I-06-01</t>
        </is>
      </c>
    </row>
    <row r="649">
      <c r="A649" s="30" t="inlineStr">
        <is>
          <t>O0648</t>
        </is>
      </c>
      <c r="B649" s="30" t="inlineStr">
        <is>
          <t>B</t>
        </is>
      </c>
      <c r="C649" s="31" t="n">
        <v>9165.4</v>
      </c>
      <c r="D649" s="31" t="n">
        <v>23736.9</v>
      </c>
      <c r="E649" s="31" t="n">
        <v>23760.4</v>
      </c>
      <c r="F649" s="31" t="n">
        <v>23773</v>
      </c>
      <c r="G649" s="31" t="n">
        <v>23795.6</v>
      </c>
      <c r="H649" s="31" t="n">
        <v>23795.7</v>
      </c>
      <c r="I649" s="31" t="n">
        <v>23804.9</v>
      </c>
      <c r="J649" s="31" t="n">
        <v>23846.5</v>
      </c>
      <c r="K649" s="31" t="n">
        <v>14681.1</v>
      </c>
      <c r="L649" s="31" t="n">
        <v>14571.5</v>
      </c>
      <c r="M649" s="30" t="inlineStr">
        <is>
          <t>AMR1</t>
        </is>
      </c>
      <c r="N649" s="30" t="inlineStr">
        <is>
          <t>AMR1</t>
        </is>
      </c>
      <c r="O649" s="32" t="n">
        <v>1</v>
      </c>
      <c r="P649" s="32" t="n">
        <v>25</v>
      </c>
      <c r="Q649" s="32" t="n">
        <v>1</v>
      </c>
      <c r="R649" s="31" t="n">
        <v>56.8</v>
      </c>
      <c r="S649" s="31" t="n">
        <v>56.8</v>
      </c>
      <c r="T649" s="30" t="inlineStr">
        <is>
          <t>AMR1</t>
        </is>
      </c>
      <c r="U649" s="31" t="n">
        <v>39</v>
      </c>
      <c r="V649" s="31" t="n">
        <v>39</v>
      </c>
      <c r="W649" s="30" t="inlineStr">
        <is>
          <t>AMR1</t>
        </is>
      </c>
      <c r="X649" s="32" t="n">
        <v>0</v>
      </c>
      <c r="Y649" s="32" t="n">
        <v>0</v>
      </c>
      <c r="Z649" s="31" t="n">
        <v>0</v>
      </c>
      <c r="AA649" s="32" t="n">
        <v>0</v>
      </c>
      <c r="AB649" s="32" t="n">
        <v>0</v>
      </c>
      <c r="AC649" s="32" t="n">
        <v>0</v>
      </c>
      <c r="AD649" s="32" t="n">
        <v>1</v>
      </c>
      <c r="AE649" s="31" t="n">
        <v>13</v>
      </c>
      <c r="AF649" s="32" t="n">
        <v>1</v>
      </c>
      <c r="AG649" s="31" t="n">
        <v>8</v>
      </c>
      <c r="AH649" s="32" t="n">
        <v>56</v>
      </c>
      <c r="AI649" s="31" t="n">
        <v>57.5</v>
      </c>
      <c r="AJ649" s="31" t="n">
        <v>39</v>
      </c>
      <c r="AK649" s="31" t="n">
        <v>13</v>
      </c>
      <c r="AL649" s="30" t="inlineStr">
        <is>
          <t>T-0797</t>
        </is>
      </c>
      <c r="AM649" s="30" t="inlineStr">
        <is>
          <t>B-04-02</t>
        </is>
      </c>
      <c r="AN649" s="30" t="inlineStr">
        <is>
          <t>T-0629</t>
        </is>
      </c>
      <c r="AO649" s="30" t="inlineStr">
        <is>
          <t>B-05-03</t>
        </is>
      </c>
    </row>
    <row r="650">
      <c r="A650" s="30" t="inlineStr">
        <is>
          <t>O0649</t>
        </is>
      </c>
      <c r="B650" s="30" t="inlineStr">
        <is>
          <t>A</t>
        </is>
      </c>
      <c r="C650" s="31" t="n">
        <v>9171.4</v>
      </c>
      <c r="D650" s="31" t="n">
        <v>23711.9</v>
      </c>
      <c r="E650" s="31" t="n">
        <v>23735.4</v>
      </c>
      <c r="F650" s="31" t="n">
        <v>23750.1</v>
      </c>
      <c r="G650" s="31" t="n">
        <v>23777.9</v>
      </c>
      <c r="H650" s="31" t="n">
        <v>23778</v>
      </c>
      <c r="I650" s="31" t="n">
        <v>23792.6</v>
      </c>
      <c r="J650" s="31" t="n">
        <v>23825.7</v>
      </c>
      <c r="K650" s="31" t="n">
        <v>14654.3</v>
      </c>
      <c r="L650" s="31" t="n">
        <v>14540.5</v>
      </c>
      <c r="M650" s="30" t="inlineStr">
        <is>
          <t>AMR2</t>
        </is>
      </c>
      <c r="N650" s="30" t="inlineStr">
        <is>
          <t>AMR2</t>
        </is>
      </c>
      <c r="O650" s="32" t="n">
        <v>1</v>
      </c>
      <c r="P650" s="32" t="n">
        <v>25</v>
      </c>
      <c r="Q650" s="32" t="n">
        <v>1</v>
      </c>
      <c r="R650" s="31" t="n">
        <v>64.09999999999999</v>
      </c>
      <c r="S650" s="31" t="n">
        <v>64.09999999999999</v>
      </c>
      <c r="T650" s="30" t="inlineStr">
        <is>
          <t>AMR2</t>
        </is>
      </c>
      <c r="U650" s="31" t="n">
        <v>46.9</v>
      </c>
      <c r="V650" s="31" t="n">
        <v>46.9</v>
      </c>
      <c r="W650" s="30" t="inlineStr">
        <is>
          <t>AMR2</t>
        </is>
      </c>
      <c r="X650" s="32" t="n">
        <v>0</v>
      </c>
      <c r="Y650" s="32" t="n">
        <v>0</v>
      </c>
      <c r="Z650" s="31" t="n">
        <v>0</v>
      </c>
      <c r="AA650" s="32" t="n">
        <v>0</v>
      </c>
      <c r="AB650" s="32" t="n">
        <v>0</v>
      </c>
      <c r="AC650" s="32" t="n">
        <v>0</v>
      </c>
      <c r="AD650" s="32" t="n">
        <v>0</v>
      </c>
      <c r="AE650" s="31" t="n">
        <v>0</v>
      </c>
      <c r="AF650" s="32" t="n">
        <v>0</v>
      </c>
      <c r="AG650" s="31" t="n">
        <v>0</v>
      </c>
      <c r="AH650" s="32" t="n">
        <v>72</v>
      </c>
      <c r="AI650" s="31" t="n">
        <v>70.09999999999999</v>
      </c>
      <c r="AJ650" s="31" t="n">
        <v>43.6</v>
      </c>
      <c r="AK650" s="31" t="n">
        <v>0</v>
      </c>
      <c r="AL650" s="30" t="inlineStr">
        <is>
          <t>T-0796</t>
        </is>
      </c>
      <c r="AM650" s="30" t="inlineStr">
        <is>
          <t>A-04-03</t>
        </is>
      </c>
      <c r="AN650" s="30" t="inlineStr">
        <is>
          <t>T-0644</t>
        </is>
      </c>
      <c r="AO650" s="30" t="inlineStr">
        <is>
          <t>A-02-01</t>
        </is>
      </c>
    </row>
    <row r="651">
      <c r="A651" s="30" t="inlineStr">
        <is>
          <t>O0650</t>
        </is>
      </c>
      <c r="B651" s="30" t="inlineStr">
        <is>
          <t>C</t>
        </is>
      </c>
      <c r="C651" s="31" t="n">
        <v>9176.5</v>
      </c>
      <c r="D651" s="31" t="n">
        <v>23945.5</v>
      </c>
      <c r="E651" s="31" t="n">
        <v>23958.1</v>
      </c>
      <c r="F651" s="31" t="n">
        <v>23971.7</v>
      </c>
      <c r="G651" s="31" t="n">
        <v>23993.3</v>
      </c>
      <c r="H651" s="31" t="n">
        <v>23993.4</v>
      </c>
      <c r="I651" s="31" t="n">
        <v>24003.5</v>
      </c>
      <c r="J651" s="31" t="n">
        <v>24039.9</v>
      </c>
      <c r="K651" s="31" t="n">
        <v>14863.4</v>
      </c>
      <c r="L651" s="31" t="n">
        <v>14769</v>
      </c>
      <c r="M651" s="30" t="inlineStr">
        <is>
          <t>AMR2</t>
        </is>
      </c>
      <c r="N651" s="30" t="inlineStr">
        <is>
          <t>AMR2</t>
        </is>
      </c>
      <c r="O651" s="32" t="n">
        <v>1</v>
      </c>
      <c r="P651" s="32" t="n">
        <v>12</v>
      </c>
      <c r="Q651" s="32" t="n">
        <v>0</v>
      </c>
      <c r="R651" s="31" t="n">
        <v>45.1</v>
      </c>
      <c r="S651" s="31" t="n">
        <v>45.1</v>
      </c>
      <c r="T651" s="30" t="inlineStr">
        <is>
          <t>AMR2</t>
        </is>
      </c>
      <c r="U651" s="31" t="n">
        <v>35.7</v>
      </c>
      <c r="V651" s="31" t="n">
        <v>35.7</v>
      </c>
      <c r="W651" s="30" t="inlineStr">
        <is>
          <t>AMR2</t>
        </is>
      </c>
      <c r="X651" s="32" t="n">
        <v>0</v>
      </c>
      <c r="Y651" s="32" t="n">
        <v>0</v>
      </c>
      <c r="Z651" s="31" t="n">
        <v>0</v>
      </c>
      <c r="AA651" s="32" t="n">
        <v>0</v>
      </c>
      <c r="AB651" s="32" t="n">
        <v>0</v>
      </c>
      <c r="AC651" s="32" t="n">
        <v>0</v>
      </c>
      <c r="AD651" s="32" t="n">
        <v>1</v>
      </c>
      <c r="AE651" s="31" t="n">
        <v>10</v>
      </c>
      <c r="AF651" s="32" t="n">
        <v>1</v>
      </c>
      <c r="AG651" s="31" t="n">
        <v>5</v>
      </c>
      <c r="AH651" s="32" t="n">
        <v>41</v>
      </c>
      <c r="AI651" s="31" t="n">
        <v>45</v>
      </c>
      <c r="AJ651" s="31" t="n">
        <v>39.3</v>
      </c>
      <c r="AK651" s="31" t="n">
        <v>10</v>
      </c>
      <c r="AL651" s="30" t="inlineStr">
        <is>
          <t>T-0802</t>
        </is>
      </c>
      <c r="AM651" s="30" t="inlineStr">
        <is>
          <t>C-03-03</t>
        </is>
      </c>
      <c r="AN651" s="30" t="inlineStr">
        <is>
          <t>T-0636</t>
        </is>
      </c>
      <c r="AO651" s="30" t="inlineStr">
        <is>
          <t>C-04-03</t>
        </is>
      </c>
    </row>
    <row r="652">
      <c r="A652" s="30" t="inlineStr">
        <is>
          <t>O0651</t>
        </is>
      </c>
      <c r="B652" s="30" t="inlineStr">
        <is>
          <t>B</t>
        </is>
      </c>
      <c r="C652" s="31" t="n">
        <v>9182.799999999999</v>
      </c>
      <c r="D652" s="31" t="n">
        <v>23795.7</v>
      </c>
      <c r="E652" s="31" t="n">
        <v>23819.2</v>
      </c>
      <c r="F652" s="31" t="n">
        <v>23832.3</v>
      </c>
      <c r="G652" s="31" t="n">
        <v>23854.9</v>
      </c>
      <c r="H652" s="31" t="n">
        <v>23855</v>
      </c>
      <c r="I652" s="31" t="n">
        <v>23867.9</v>
      </c>
      <c r="J652" s="31" t="n">
        <v>23903.5</v>
      </c>
      <c r="K652" s="31" t="n">
        <v>14720.7</v>
      </c>
      <c r="L652" s="31" t="n">
        <v>14612.9</v>
      </c>
      <c r="M652" s="30" t="inlineStr">
        <is>
          <t>AMR3</t>
        </is>
      </c>
      <c r="N652" s="30" t="inlineStr">
        <is>
          <t>AMR3</t>
        </is>
      </c>
      <c r="O652" s="32" t="n">
        <v>1</v>
      </c>
      <c r="P652" s="32" t="n">
        <v>25</v>
      </c>
      <c r="Q652" s="32" t="n">
        <v>1</v>
      </c>
      <c r="R652" s="31" t="n">
        <v>57.3</v>
      </c>
      <c r="S652" s="31" t="n">
        <v>57.3</v>
      </c>
      <c r="T652" s="30" t="inlineStr">
        <is>
          <t>AMR3</t>
        </is>
      </c>
      <c r="U652" s="31" t="n">
        <v>39.7</v>
      </c>
      <c r="V652" s="31" t="n">
        <v>39.7</v>
      </c>
      <c r="W652" s="30" t="inlineStr">
        <is>
          <t>AMR3</t>
        </is>
      </c>
      <c r="X652" s="32" t="n">
        <v>0</v>
      </c>
      <c r="Y652" s="32" t="n">
        <v>0</v>
      </c>
      <c r="Z652" s="31" t="n">
        <v>0</v>
      </c>
      <c r="AA652" s="32" t="n">
        <v>0</v>
      </c>
      <c r="AB652" s="32" t="n">
        <v>0</v>
      </c>
      <c r="AC652" s="32" t="n">
        <v>0</v>
      </c>
      <c r="AD652" s="32" t="n">
        <v>1</v>
      </c>
      <c r="AE652" s="31" t="n">
        <v>7</v>
      </c>
      <c r="AF652" s="32" t="n">
        <v>1</v>
      </c>
      <c r="AG652" s="31" t="n">
        <v>2</v>
      </c>
      <c r="AH652" s="32" t="n">
        <v>60</v>
      </c>
      <c r="AI652" s="31" t="n">
        <v>60.5</v>
      </c>
      <c r="AJ652" s="31" t="n">
        <v>40.2</v>
      </c>
      <c r="AK652" s="31" t="n">
        <v>7</v>
      </c>
      <c r="AL652" s="30" t="inlineStr">
        <is>
          <t>T-0798</t>
        </is>
      </c>
      <c r="AM652" s="30" t="inlineStr">
        <is>
          <t>B-04-03</t>
        </is>
      </c>
      <c r="AN652" s="30" t="inlineStr">
        <is>
          <t>T-0633</t>
        </is>
      </c>
      <c r="AO652" s="30" t="inlineStr">
        <is>
          <t>B-01-03</t>
        </is>
      </c>
    </row>
    <row r="653">
      <c r="A653" s="30" t="inlineStr">
        <is>
          <t>O0652</t>
        </is>
      </c>
      <c r="B653" s="30" t="inlineStr">
        <is>
          <t>I</t>
        </is>
      </c>
      <c r="C653" s="31" t="n">
        <v>9188</v>
      </c>
      <c r="D653" s="31" t="n">
        <v>23846.6</v>
      </c>
      <c r="E653" s="31" t="n">
        <v>23870.1</v>
      </c>
      <c r="F653" s="31" t="n">
        <v>23883.4</v>
      </c>
      <c r="G653" s="31" t="n">
        <v>23910.6</v>
      </c>
      <c r="H653" s="31" t="n">
        <v>23910.7</v>
      </c>
      <c r="I653" s="31" t="n">
        <v>23921.4</v>
      </c>
      <c r="J653" s="31" t="n">
        <v>23946.9</v>
      </c>
      <c r="K653" s="31" t="n">
        <v>14758.9</v>
      </c>
      <c r="L653" s="31" t="n">
        <v>14658.6</v>
      </c>
      <c r="M653" s="30" t="inlineStr">
        <is>
          <t>AMR1</t>
        </is>
      </c>
      <c r="N653" s="30" t="inlineStr">
        <is>
          <t>AMR1</t>
        </is>
      </c>
      <c r="O653" s="32" t="n">
        <v>1</v>
      </c>
      <c r="P653" s="32" t="n">
        <v>25</v>
      </c>
      <c r="Q653" s="32" t="n">
        <v>1</v>
      </c>
      <c r="R653" s="31" t="n">
        <v>60.6</v>
      </c>
      <c r="S653" s="31" t="n">
        <v>60.1</v>
      </c>
      <c r="T653" s="30" t="inlineStr">
        <is>
          <t>AMR3</t>
        </is>
      </c>
      <c r="U653" s="31" t="n">
        <v>35.9</v>
      </c>
      <c r="V653" s="31" t="n">
        <v>35.9</v>
      </c>
      <c r="W653" s="30" t="inlineStr">
        <is>
          <t>AMR1</t>
        </is>
      </c>
      <c r="X653" s="32" t="n">
        <v>1</v>
      </c>
      <c r="Y653" s="32" t="n">
        <v>11</v>
      </c>
      <c r="Z653" s="31" t="n">
        <v>0.5</v>
      </c>
      <c r="AA653" s="32" t="n">
        <v>0</v>
      </c>
      <c r="AB653" s="32" t="n">
        <v>0</v>
      </c>
      <c r="AC653" s="32" t="n">
        <v>0</v>
      </c>
      <c r="AD653" s="32" t="n">
        <v>0</v>
      </c>
      <c r="AE653" s="31" t="n">
        <v>0</v>
      </c>
      <c r="AF653" s="32" t="n">
        <v>0</v>
      </c>
      <c r="AG653" s="31" t="n">
        <v>0</v>
      </c>
      <c r="AH653" s="32" t="n">
        <v>56</v>
      </c>
      <c r="AI653" s="31" t="n">
        <v>57.8</v>
      </c>
      <c r="AJ653" s="31" t="n">
        <v>42.4</v>
      </c>
      <c r="AK653" s="31" t="n">
        <v>0</v>
      </c>
      <c r="AL653" s="30" t="inlineStr">
        <is>
          <t>T-0799</t>
        </is>
      </c>
      <c r="AM653" s="30" t="inlineStr">
        <is>
          <t>I-05-01</t>
        </is>
      </c>
      <c r="AN653" s="30" t="inlineStr">
        <is>
          <t>T-0618</t>
        </is>
      </c>
      <c r="AO653" s="30" t="inlineStr">
        <is>
          <t>I-01-02</t>
        </is>
      </c>
    </row>
    <row r="654">
      <c r="A654" s="30" t="inlineStr">
        <is>
          <t>O0653</t>
        </is>
      </c>
      <c r="B654" s="30" t="inlineStr">
        <is>
          <t>F</t>
        </is>
      </c>
      <c r="C654" s="31" t="n">
        <v>9193.700000000001</v>
      </c>
      <c r="D654" s="31" t="n">
        <v>23903.6</v>
      </c>
      <c r="E654" s="31" t="n">
        <v>23932.1</v>
      </c>
      <c r="F654" s="31" t="n">
        <v>23943.4</v>
      </c>
      <c r="G654" s="31" t="n">
        <v>23975.7</v>
      </c>
      <c r="H654" s="31" t="n">
        <v>25246.3</v>
      </c>
      <c r="I654" s="31" t="n">
        <v>25261.4</v>
      </c>
      <c r="J654" s="31" t="n">
        <v>25294.3</v>
      </c>
      <c r="K654" s="31" t="n">
        <v>16100.6</v>
      </c>
      <c r="L654" s="31" t="n">
        <v>14709.9</v>
      </c>
      <c r="M654" s="30" t="inlineStr">
        <is>
          <t>AMR3</t>
        </is>
      </c>
      <c r="N654" s="30" t="inlineStr">
        <is>
          <t>AMR1</t>
        </is>
      </c>
      <c r="O654" s="32" t="n">
        <v>1</v>
      </c>
      <c r="P654" s="32" t="n">
        <v>25</v>
      </c>
      <c r="Q654" s="32" t="n">
        <v>1</v>
      </c>
      <c r="R654" s="31" t="n">
        <v>65.3</v>
      </c>
      <c r="S654" s="31" t="n">
        <v>65.3</v>
      </c>
      <c r="T654" s="30" t="inlineStr">
        <is>
          <t>AMR3</t>
        </is>
      </c>
      <c r="U654" s="31" t="n">
        <v>48.7</v>
      </c>
      <c r="V654" s="31" t="n">
        <v>48.7</v>
      </c>
      <c r="W654" s="30" t="inlineStr">
        <is>
          <t>AMR1</t>
        </is>
      </c>
      <c r="X654" s="32" t="n">
        <v>0</v>
      </c>
      <c r="Y654" s="32" t="n">
        <v>0</v>
      </c>
      <c r="Z654" s="31" t="n">
        <v>0</v>
      </c>
      <c r="AA654" s="32" t="n">
        <v>0</v>
      </c>
      <c r="AB654" s="32" t="n">
        <v>0</v>
      </c>
      <c r="AC654" s="32" t="n">
        <v>0</v>
      </c>
      <c r="AD654" s="32" t="n">
        <v>0</v>
      </c>
      <c r="AE654" s="31" t="n">
        <v>0</v>
      </c>
      <c r="AF654" s="32" t="n">
        <v>0</v>
      </c>
      <c r="AG654" s="31" t="n">
        <v>0</v>
      </c>
      <c r="AH654" s="32" t="n">
        <v>70</v>
      </c>
      <c r="AI654" s="31" t="n">
        <v>69</v>
      </c>
      <c r="AJ654" s="31" t="n">
        <v>46.1</v>
      </c>
      <c r="AK654" s="31" t="n">
        <v>5</v>
      </c>
      <c r="AL654" s="30" t="inlineStr">
        <is>
          <t>T-0801</t>
        </is>
      </c>
      <c r="AM654" s="30" t="inlineStr">
        <is>
          <t>F-04-03</t>
        </is>
      </c>
      <c r="AN654" s="30" t="inlineStr">
        <is>
          <t>T-0679</t>
        </is>
      </c>
      <c r="AO654" s="30" t="inlineStr">
        <is>
          <t>F-04-01</t>
        </is>
      </c>
    </row>
    <row r="655">
      <c r="A655" s="30" t="inlineStr">
        <is>
          <t>O0654</t>
        </is>
      </c>
      <c r="B655" s="30" t="inlineStr">
        <is>
          <t>C</t>
        </is>
      </c>
      <c r="C655" s="31" t="n">
        <v>9200.299999999999</v>
      </c>
      <c r="D655" s="31" t="n">
        <v>24135.7</v>
      </c>
      <c r="E655" s="31" t="n">
        <v>24159.2</v>
      </c>
      <c r="F655" s="31" t="n">
        <v>24175</v>
      </c>
      <c r="G655" s="31" t="n">
        <v>24200.1</v>
      </c>
      <c r="H655" s="31" t="n">
        <v>24369.5</v>
      </c>
      <c r="I655" s="31" t="n">
        <v>24384.7</v>
      </c>
      <c r="J655" s="31" t="n">
        <v>24412.5</v>
      </c>
      <c r="K655" s="31" t="n">
        <v>15212.2</v>
      </c>
      <c r="L655" s="31" t="n">
        <v>14935.4</v>
      </c>
      <c r="M655" s="30" t="inlineStr">
        <is>
          <t>AMR3</t>
        </is>
      </c>
      <c r="N655" s="30" t="inlineStr">
        <is>
          <t>AMR1</t>
        </is>
      </c>
      <c r="O655" s="32" t="n">
        <v>1</v>
      </c>
      <c r="P655" s="32" t="n">
        <v>25</v>
      </c>
      <c r="Q655" s="32" t="n">
        <v>2</v>
      </c>
      <c r="R655" s="31" t="n">
        <v>62.5</v>
      </c>
      <c r="S655" s="31" t="n">
        <v>62.5</v>
      </c>
      <c r="T655" s="30" t="inlineStr">
        <is>
          <t>AMR3</t>
        </is>
      </c>
      <c r="U655" s="31" t="n">
        <v>40.3</v>
      </c>
      <c r="V655" s="31" t="n">
        <v>40.3</v>
      </c>
      <c r="W655" s="30" t="inlineStr">
        <is>
          <t>AMR1</t>
        </is>
      </c>
      <c r="X655" s="32" t="n">
        <v>0</v>
      </c>
      <c r="Y655" s="32" t="n">
        <v>0</v>
      </c>
      <c r="Z655" s="31" t="n">
        <v>0</v>
      </c>
      <c r="AA655" s="32" t="n">
        <v>0</v>
      </c>
      <c r="AB655" s="32" t="n">
        <v>0</v>
      </c>
      <c r="AC655" s="32" t="n">
        <v>0</v>
      </c>
      <c r="AD655" s="32" t="n">
        <v>0</v>
      </c>
      <c r="AE655" s="31" t="n">
        <v>0</v>
      </c>
      <c r="AF655" s="32" t="n">
        <v>0</v>
      </c>
      <c r="AG655" s="31" t="n">
        <v>0</v>
      </c>
      <c r="AH655" s="32" t="n">
        <v>55</v>
      </c>
      <c r="AI655" s="31" t="n">
        <v>58.4</v>
      </c>
      <c r="AJ655" s="31" t="n">
        <v>49</v>
      </c>
      <c r="AK655" s="31" t="n">
        <v>0</v>
      </c>
      <c r="AL655" s="30" t="inlineStr">
        <is>
          <t>T-0807</t>
        </is>
      </c>
      <c r="AM655" s="30" t="inlineStr">
        <is>
          <t>C-04-03</t>
        </is>
      </c>
      <c r="AN655" s="30" t="inlineStr">
        <is>
          <t>T-0649</t>
        </is>
      </c>
      <c r="AO655" s="30" t="inlineStr">
        <is>
          <t>C-05-03</t>
        </is>
      </c>
    </row>
    <row r="656">
      <c r="A656" s="30" t="inlineStr">
        <is>
          <t>O0655</t>
        </is>
      </c>
      <c r="B656" s="30" t="inlineStr">
        <is>
          <t>C</t>
        </is>
      </c>
      <c r="C656" s="31" t="n">
        <v>9203.799999999999</v>
      </c>
      <c r="D656" s="31" t="n">
        <v>23884.7</v>
      </c>
      <c r="E656" s="31" t="n">
        <v>23908.2</v>
      </c>
      <c r="F656" s="31" t="n">
        <v>23923.7</v>
      </c>
      <c r="G656" s="31" t="n">
        <v>23945.4</v>
      </c>
      <c r="H656" s="31" t="n">
        <v>24200.2</v>
      </c>
      <c r="I656" s="31" t="n">
        <v>24208.4</v>
      </c>
      <c r="J656" s="31" t="n">
        <v>24238.5</v>
      </c>
      <c r="K656" s="31" t="n">
        <v>15034.7</v>
      </c>
      <c r="L656" s="31" t="n">
        <v>14680.9</v>
      </c>
      <c r="M656" s="30" t="inlineStr">
        <is>
          <t>AMR2</t>
        </is>
      </c>
      <c r="N656" s="30" t="inlineStr">
        <is>
          <t>AMR3</t>
        </is>
      </c>
      <c r="O656" s="32" t="n">
        <v>1</v>
      </c>
      <c r="P656" s="32" t="n">
        <v>25</v>
      </c>
      <c r="Q656" s="32" t="n">
        <v>1</v>
      </c>
      <c r="R656" s="31" t="n">
        <v>58.8</v>
      </c>
      <c r="S656" s="31" t="n">
        <v>58.8</v>
      </c>
      <c r="T656" s="30" t="inlineStr">
        <is>
          <t>AMR2</t>
        </is>
      </c>
      <c r="U656" s="31" t="n">
        <v>39</v>
      </c>
      <c r="V656" s="31" t="n">
        <v>39</v>
      </c>
      <c r="W656" s="30" t="inlineStr">
        <is>
          <t>AMR3</t>
        </is>
      </c>
      <c r="X656" s="32" t="n">
        <v>0</v>
      </c>
      <c r="Y656" s="32" t="n">
        <v>0</v>
      </c>
      <c r="Z656" s="31" t="n">
        <v>0</v>
      </c>
      <c r="AA656" s="32" t="n">
        <v>0</v>
      </c>
      <c r="AB656" s="32" t="n">
        <v>0</v>
      </c>
      <c r="AC656" s="32" t="n">
        <v>0</v>
      </c>
      <c r="AD656" s="32" t="n">
        <v>0</v>
      </c>
      <c r="AE656" s="31" t="n">
        <v>0</v>
      </c>
      <c r="AF656" s="32" t="n">
        <v>0</v>
      </c>
      <c r="AG656" s="31" t="n">
        <v>0</v>
      </c>
      <c r="AH656" s="32" t="n">
        <v>52</v>
      </c>
      <c r="AI656" s="31" t="n">
        <v>54.3</v>
      </c>
      <c r="AJ656" s="31" t="n">
        <v>44.7</v>
      </c>
      <c r="AK656" s="31" t="n">
        <v>0</v>
      </c>
      <c r="AL656" s="30" t="inlineStr">
        <is>
          <t>T-0800</t>
        </is>
      </c>
      <c r="AM656" s="30" t="inlineStr">
        <is>
          <t>C-05-01</t>
        </is>
      </c>
      <c r="AN656" s="30" t="inlineStr">
        <is>
          <t>T-0647</t>
        </is>
      </c>
      <c r="AO656" s="30" t="inlineStr">
        <is>
          <t>C-04-01</t>
        </is>
      </c>
    </row>
    <row r="657">
      <c r="A657" s="30" t="inlineStr">
        <is>
          <t>O0656</t>
        </is>
      </c>
      <c r="B657" s="30" t="inlineStr">
        <is>
          <t>J</t>
        </is>
      </c>
      <c r="C657" s="31" t="n">
        <v>9208.6</v>
      </c>
      <c r="D657" s="31" t="n">
        <v>24024.7</v>
      </c>
      <c r="E657" s="31" t="n">
        <v>24048.2</v>
      </c>
      <c r="F657" s="31" t="n">
        <v>24061.7</v>
      </c>
      <c r="G657" s="31" t="n">
        <v>24092.2</v>
      </c>
      <c r="H657" s="31" t="n">
        <v>24092.3</v>
      </c>
      <c r="I657" s="31" t="n">
        <v>24106.9</v>
      </c>
      <c r="J657" s="31" t="n">
        <v>24135.6</v>
      </c>
      <c r="K657" s="31" t="n">
        <v>14927</v>
      </c>
      <c r="L657" s="31" t="n">
        <v>14816.1</v>
      </c>
      <c r="M657" s="30" t="inlineStr">
        <is>
          <t>AMR3</t>
        </is>
      </c>
      <c r="N657" s="30" t="inlineStr">
        <is>
          <t>AMR3</t>
        </is>
      </c>
      <c r="O657" s="32" t="n">
        <v>1</v>
      </c>
      <c r="P657" s="32" t="n">
        <v>25</v>
      </c>
      <c r="Q657" s="32" t="n">
        <v>1</v>
      </c>
      <c r="R657" s="31" t="n">
        <v>65.7</v>
      </c>
      <c r="S657" s="31" t="n">
        <v>61.1</v>
      </c>
      <c r="T657" s="30" t="inlineStr">
        <is>
          <t>AMR1</t>
        </is>
      </c>
      <c r="U657" s="31" t="n">
        <v>43</v>
      </c>
      <c r="V657" s="31" t="n">
        <v>43</v>
      </c>
      <c r="W657" s="30" t="inlineStr">
        <is>
          <t>AMR3</t>
        </is>
      </c>
      <c r="X657" s="32" t="n">
        <v>1</v>
      </c>
      <c r="Y657" s="32" t="n">
        <v>8</v>
      </c>
      <c r="Z657" s="31" t="n">
        <v>4.6</v>
      </c>
      <c r="AA657" s="32" t="n">
        <v>0</v>
      </c>
      <c r="AB657" s="32" t="n">
        <v>0</v>
      </c>
      <c r="AC657" s="32" t="n">
        <v>0</v>
      </c>
      <c r="AD657" s="32" t="n">
        <v>0</v>
      </c>
      <c r="AE657" s="31" t="n">
        <v>0</v>
      </c>
      <c r="AF657" s="32" t="n">
        <v>0</v>
      </c>
      <c r="AG657" s="31" t="n">
        <v>0</v>
      </c>
      <c r="AH657" s="32" t="n">
        <v>66</v>
      </c>
      <c r="AI657" s="31" t="n">
        <v>66.8</v>
      </c>
      <c r="AJ657" s="31" t="n">
        <v>44</v>
      </c>
      <c r="AK657" s="31" t="n">
        <v>0</v>
      </c>
      <c r="AL657" s="30" t="inlineStr">
        <is>
          <t>T-0804</t>
        </is>
      </c>
      <c r="AM657" s="30" t="inlineStr">
        <is>
          <t>J-02-03</t>
        </is>
      </c>
      <c r="AN657" s="30" t="inlineStr">
        <is>
          <t>T-0667</t>
        </is>
      </c>
      <c r="AO657" s="30" t="inlineStr">
        <is>
          <t>J-03-03</t>
        </is>
      </c>
    </row>
    <row r="658">
      <c r="A658" s="30" t="inlineStr">
        <is>
          <t>O0657</t>
        </is>
      </c>
      <c r="B658" s="30" t="inlineStr">
        <is>
          <t>J</t>
        </is>
      </c>
      <c r="C658" s="31" t="n">
        <v>9213.200000000001</v>
      </c>
      <c r="D658" s="31" t="n">
        <v>24178.9</v>
      </c>
      <c r="E658" s="31" t="n">
        <v>24207.4</v>
      </c>
      <c r="F658" s="31" t="n">
        <v>24223.3</v>
      </c>
      <c r="G658" s="31" t="n">
        <v>24253.5</v>
      </c>
      <c r="H658" s="31" t="n">
        <v>24253.6</v>
      </c>
      <c r="I658" s="31" t="n">
        <v>24269.5</v>
      </c>
      <c r="J658" s="31" t="n">
        <v>24300.8</v>
      </c>
      <c r="K658" s="31" t="n">
        <v>15087.6</v>
      </c>
      <c r="L658" s="31" t="n">
        <v>14965.7</v>
      </c>
      <c r="M658" s="30" t="inlineStr">
        <is>
          <t>AMR1</t>
        </is>
      </c>
      <c r="N658" s="30" t="inlineStr">
        <is>
          <t>AMR1</t>
        </is>
      </c>
      <c r="O658" s="32" t="n">
        <v>1</v>
      </c>
      <c r="P658" s="32" t="n">
        <v>25</v>
      </c>
      <c r="Q658" s="32" t="n">
        <v>0</v>
      </c>
      <c r="R658" s="31" t="n">
        <v>67</v>
      </c>
      <c r="S658" s="31" t="n">
        <v>67</v>
      </c>
      <c r="T658" s="30" t="inlineStr">
        <is>
          <t>AMR1</t>
        </is>
      </c>
      <c r="U658" s="31" t="n">
        <v>43.9</v>
      </c>
      <c r="V658" s="31" t="n">
        <v>43.9</v>
      </c>
      <c r="W658" s="30" t="inlineStr">
        <is>
          <t>AMR1</t>
        </is>
      </c>
      <c r="X658" s="32" t="n">
        <v>0</v>
      </c>
      <c r="Y658" s="32" t="n">
        <v>0</v>
      </c>
      <c r="Z658" s="31" t="n">
        <v>0</v>
      </c>
      <c r="AA658" s="32" t="n">
        <v>0</v>
      </c>
      <c r="AB658" s="32" t="n">
        <v>0</v>
      </c>
      <c r="AC658" s="32" t="n">
        <v>0</v>
      </c>
      <c r="AD658" s="32" t="n">
        <v>0</v>
      </c>
      <c r="AE658" s="31" t="n">
        <v>0</v>
      </c>
      <c r="AF658" s="32" t="n">
        <v>0</v>
      </c>
      <c r="AG658" s="31" t="n">
        <v>0</v>
      </c>
      <c r="AH658" s="32" t="n">
        <v>70</v>
      </c>
      <c r="AI658" s="31" t="n">
        <v>69.90000000000001</v>
      </c>
      <c r="AJ658" s="31" t="n">
        <v>46.9</v>
      </c>
      <c r="AK658" s="31" t="n">
        <v>5</v>
      </c>
      <c r="AL658" s="30" t="inlineStr">
        <is>
          <t>T-0809</t>
        </is>
      </c>
      <c r="AM658" s="30" t="inlineStr">
        <is>
          <t>J-03-03</t>
        </is>
      </c>
      <c r="AN658" s="30" t="inlineStr">
        <is>
          <t>T-0697</t>
        </is>
      </c>
      <c r="AO658" s="30" t="inlineStr">
        <is>
          <t>J-06-02</t>
        </is>
      </c>
    </row>
    <row r="659">
      <c r="A659" s="30" t="inlineStr">
        <is>
          <t>O0658</t>
        </is>
      </c>
      <c r="B659" s="30" t="inlineStr">
        <is>
          <t>H</t>
        </is>
      </c>
      <c r="C659" s="31" t="n">
        <v>9218.5</v>
      </c>
      <c r="D659" s="31" t="n">
        <v>24300.9</v>
      </c>
      <c r="E659" s="31" t="n">
        <v>24330.4</v>
      </c>
      <c r="F659" s="31" t="n">
        <v>24342.9</v>
      </c>
      <c r="G659" s="31" t="n">
        <v>24369.4</v>
      </c>
      <c r="H659" s="31" t="n">
        <v>24485.1</v>
      </c>
      <c r="I659" s="31" t="n">
        <v>24512.1</v>
      </c>
      <c r="J659" s="31" t="n">
        <v>24541.2</v>
      </c>
      <c r="K659" s="31" t="n">
        <v>15322.7</v>
      </c>
      <c r="L659" s="31" t="n">
        <v>15082.4</v>
      </c>
      <c r="M659" s="30" t="inlineStr">
        <is>
          <t>AMR1</t>
        </is>
      </c>
      <c r="N659" s="30" t="inlineStr">
        <is>
          <t>AMR2</t>
        </is>
      </c>
      <c r="O659" s="32" t="n">
        <v>1</v>
      </c>
      <c r="P659" s="32" t="n">
        <v>25</v>
      </c>
      <c r="Q659" s="32" t="n">
        <v>14</v>
      </c>
      <c r="R659" s="31" t="n">
        <v>59.9</v>
      </c>
      <c r="S659" s="31" t="n">
        <v>59.9</v>
      </c>
      <c r="T659" s="30" t="inlineStr">
        <is>
          <t>AMR1</t>
        </is>
      </c>
      <c r="U659" s="31" t="n">
        <v>54.3</v>
      </c>
      <c r="V659" s="31" t="n">
        <v>54.3</v>
      </c>
      <c r="W659" s="30" t="inlineStr">
        <is>
          <t>AMR2</t>
        </is>
      </c>
      <c r="X659" s="32" t="n">
        <v>0</v>
      </c>
      <c r="Y659" s="32" t="n">
        <v>0</v>
      </c>
      <c r="Z659" s="31" t="n">
        <v>0</v>
      </c>
      <c r="AA659" s="32" t="n">
        <v>0</v>
      </c>
      <c r="AB659" s="32" t="n">
        <v>0</v>
      </c>
      <c r="AC659" s="32" t="n">
        <v>0</v>
      </c>
      <c r="AD659" s="32" t="n">
        <v>1</v>
      </c>
      <c r="AE659" s="31" t="n">
        <v>2</v>
      </c>
      <c r="AF659" s="32" t="n">
        <v>1</v>
      </c>
      <c r="AG659" s="31" t="n">
        <v>1</v>
      </c>
      <c r="AH659" s="32" t="n">
        <v>66</v>
      </c>
      <c r="AI659" s="31" t="n">
        <v>68.3</v>
      </c>
      <c r="AJ659" s="31" t="n">
        <v>48.3</v>
      </c>
      <c r="AK659" s="31" t="n">
        <v>8</v>
      </c>
      <c r="AL659" s="30" t="inlineStr">
        <is>
          <t>T-0813</t>
        </is>
      </c>
      <c r="AM659" s="30" t="inlineStr">
        <is>
          <t>H-03-02</t>
        </is>
      </c>
      <c r="AN659" s="30" t="inlineStr">
        <is>
          <t>T-0673</t>
        </is>
      </c>
      <c r="AO659" s="30" t="inlineStr">
        <is>
          <t>H-01-01</t>
        </is>
      </c>
    </row>
    <row r="660">
      <c r="A660" s="30" t="inlineStr">
        <is>
          <t>O0659</t>
        </is>
      </c>
      <c r="B660" s="30" t="inlineStr">
        <is>
          <t>A</t>
        </is>
      </c>
      <c r="C660" s="31" t="n">
        <v>9221.799999999999</v>
      </c>
      <c r="D660" s="31" t="n">
        <v>24040</v>
      </c>
      <c r="E660" s="31" t="n">
        <v>24072.5</v>
      </c>
      <c r="F660" s="31" t="n">
        <v>24084.5</v>
      </c>
      <c r="G660" s="31" t="n">
        <v>24112.7</v>
      </c>
      <c r="H660" s="31" t="n">
        <v>24112.8</v>
      </c>
      <c r="I660" s="31" t="n">
        <v>24128.5</v>
      </c>
      <c r="J660" s="31" t="n">
        <v>24159.8</v>
      </c>
      <c r="K660" s="31" t="n">
        <v>14938</v>
      </c>
      <c r="L660" s="31" t="n">
        <v>14818.2</v>
      </c>
      <c r="M660" s="30" t="inlineStr">
        <is>
          <t>AMR2</t>
        </is>
      </c>
      <c r="N660" s="30" t="inlineStr">
        <is>
          <t>AMR2</t>
        </is>
      </c>
      <c r="O660" s="32" t="n">
        <v>1</v>
      </c>
      <c r="P660" s="32" t="n">
        <v>25</v>
      </c>
      <c r="Q660" s="32" t="n">
        <v>1</v>
      </c>
      <c r="R660" s="31" t="n">
        <v>60.2</v>
      </c>
      <c r="S660" s="31" t="n">
        <v>60.2</v>
      </c>
      <c r="T660" s="30" t="inlineStr">
        <is>
          <t>AMR2</t>
        </is>
      </c>
      <c r="U660" s="31" t="n">
        <v>47.7</v>
      </c>
      <c r="V660" s="31" t="n">
        <v>47.7</v>
      </c>
      <c r="W660" s="30" t="inlineStr">
        <is>
          <t>AMR2</t>
        </is>
      </c>
      <c r="X660" s="32" t="n">
        <v>0</v>
      </c>
      <c r="Y660" s="32" t="n">
        <v>0</v>
      </c>
      <c r="Z660" s="31" t="n">
        <v>0</v>
      </c>
      <c r="AA660" s="32" t="n">
        <v>0</v>
      </c>
      <c r="AB660" s="32" t="n">
        <v>0</v>
      </c>
      <c r="AC660" s="32" t="n">
        <v>0</v>
      </c>
      <c r="AD660" s="32" t="n">
        <v>0</v>
      </c>
      <c r="AE660" s="31" t="n">
        <v>0</v>
      </c>
      <c r="AF660" s="32" t="n">
        <v>1</v>
      </c>
      <c r="AG660" s="31" t="n">
        <v>4</v>
      </c>
      <c r="AH660" s="32" t="n">
        <v>72</v>
      </c>
      <c r="AI660" s="31" t="n">
        <v>70.2</v>
      </c>
      <c r="AJ660" s="31" t="n">
        <v>40.5</v>
      </c>
      <c r="AK660" s="31" t="n">
        <v>9</v>
      </c>
      <c r="AL660" s="30" t="inlineStr">
        <is>
          <t>T-0805</t>
        </is>
      </c>
      <c r="AM660" s="30" t="inlineStr">
        <is>
          <t>A-02-01</t>
        </is>
      </c>
      <c r="AN660" s="30" t="inlineStr">
        <is>
          <t>T-0657</t>
        </is>
      </c>
      <c r="AO660" s="30" t="inlineStr">
        <is>
          <t>A-05-03</t>
        </is>
      </c>
    </row>
    <row r="661">
      <c r="A661" s="30" t="inlineStr">
        <is>
          <t>O0660</t>
        </is>
      </c>
      <c r="B661" s="30" t="inlineStr">
        <is>
          <t>D</t>
        </is>
      </c>
      <c r="C661" s="31" t="n">
        <v>9224.9</v>
      </c>
      <c r="D661" s="31" t="n">
        <v>24064.4</v>
      </c>
      <c r="E661" s="31" t="n">
        <v>24096.9</v>
      </c>
      <c r="F661" s="31" t="n">
        <v>24108.4</v>
      </c>
      <c r="G661" s="31" t="n">
        <v>24133.4</v>
      </c>
      <c r="H661" s="31" t="n">
        <v>24133.5</v>
      </c>
      <c r="I661" s="31" t="n">
        <v>24145.2</v>
      </c>
      <c r="J661" s="31" t="n">
        <v>24178.8</v>
      </c>
      <c r="K661" s="31" t="n">
        <v>14953.9</v>
      </c>
      <c r="L661" s="31" t="n">
        <v>14839.5</v>
      </c>
      <c r="M661" s="30" t="inlineStr">
        <is>
          <t>AMR1</t>
        </is>
      </c>
      <c r="N661" s="30" t="inlineStr">
        <is>
          <t>AMR1</t>
        </is>
      </c>
      <c r="O661" s="32" t="n">
        <v>1</v>
      </c>
      <c r="P661" s="32" t="n">
        <v>25</v>
      </c>
      <c r="Q661" s="32" t="n">
        <v>1</v>
      </c>
      <c r="R661" s="31" t="n">
        <v>58.1</v>
      </c>
      <c r="S661" s="31" t="n">
        <v>58.1</v>
      </c>
      <c r="T661" s="30" t="inlineStr">
        <is>
          <t>AMR1</t>
        </is>
      </c>
      <c r="U661" s="31" t="n">
        <v>41</v>
      </c>
      <c r="V661" s="31" t="n">
        <v>41</v>
      </c>
      <c r="W661" s="30" t="inlineStr">
        <is>
          <t>AMR1</t>
        </is>
      </c>
      <c r="X661" s="32" t="n">
        <v>0</v>
      </c>
      <c r="Y661" s="32" t="n">
        <v>0</v>
      </c>
      <c r="Z661" s="31" t="n">
        <v>0</v>
      </c>
      <c r="AA661" s="32" t="n">
        <v>0</v>
      </c>
      <c r="AB661" s="32" t="n">
        <v>0</v>
      </c>
      <c r="AC661" s="32" t="n">
        <v>0</v>
      </c>
      <c r="AD661" s="32" t="n">
        <v>1</v>
      </c>
      <c r="AE661" s="31" t="n">
        <v>6</v>
      </c>
      <c r="AF661" s="32" t="n">
        <v>2</v>
      </c>
      <c r="AG661" s="31" t="n">
        <v>5</v>
      </c>
      <c r="AH661" s="32" t="n">
        <v>52</v>
      </c>
      <c r="AI661" s="31" t="n">
        <v>53.8</v>
      </c>
      <c r="AJ661" s="31" t="n">
        <v>45.5</v>
      </c>
      <c r="AK661" s="31" t="n">
        <v>15</v>
      </c>
      <c r="AL661" s="30" t="inlineStr">
        <is>
          <t>T-0806</t>
        </is>
      </c>
      <c r="AM661" s="30" t="inlineStr">
        <is>
          <t>D-02-03</t>
        </is>
      </c>
      <c r="AN661" s="30" t="inlineStr">
        <is>
          <t>T-0536</t>
        </is>
      </c>
      <c r="AO661" s="30" t="inlineStr">
        <is>
          <t>D-01-01</t>
        </is>
      </c>
    </row>
    <row r="662">
      <c r="A662" s="30" t="inlineStr">
        <is>
          <t>O0661</t>
        </is>
      </c>
      <c r="B662" s="30" t="inlineStr">
        <is>
          <t>F</t>
        </is>
      </c>
      <c r="C662" s="31" t="n">
        <v>9231.799999999999</v>
      </c>
      <c r="D662" s="31" t="n">
        <v>25294.4</v>
      </c>
      <c r="E662" s="31" t="n">
        <v>25317.9</v>
      </c>
      <c r="F662" s="31" t="n">
        <v>25330.7</v>
      </c>
      <c r="G662" s="31" t="n">
        <v>25363.5</v>
      </c>
      <c r="H662" s="31" t="n">
        <v>25363.6</v>
      </c>
      <c r="I662" s="31" t="n">
        <v>25376.3</v>
      </c>
      <c r="J662" s="31" t="n">
        <v>25410.7</v>
      </c>
      <c r="K662" s="31" t="n">
        <v>16178.9</v>
      </c>
      <c r="L662" s="31" t="n">
        <v>16062.6</v>
      </c>
      <c r="M662" s="30" t="inlineStr">
        <is>
          <t>AMR1</t>
        </is>
      </c>
      <c r="N662" s="30" t="inlineStr">
        <is>
          <t>AMR1</t>
        </is>
      </c>
      <c r="O662" s="32" t="n">
        <v>1</v>
      </c>
      <c r="P662" s="32" t="n">
        <v>25</v>
      </c>
      <c r="Q662" s="32" t="n">
        <v>1</v>
      </c>
      <c r="R662" s="31" t="n">
        <v>67.3</v>
      </c>
      <c r="S662" s="31" t="n">
        <v>67.3</v>
      </c>
      <c r="T662" s="30" t="inlineStr">
        <is>
          <t>AMR1</t>
        </is>
      </c>
      <c r="U662" s="31" t="n">
        <v>49.3</v>
      </c>
      <c r="V662" s="31" t="n">
        <v>49.3</v>
      </c>
      <c r="W662" s="30" t="inlineStr">
        <is>
          <t>AMR1</t>
        </is>
      </c>
      <c r="X662" s="32" t="n">
        <v>0</v>
      </c>
      <c r="Y662" s="32" t="n">
        <v>0</v>
      </c>
      <c r="Z662" s="31" t="n">
        <v>0</v>
      </c>
      <c r="AA662" s="32" t="n">
        <v>0</v>
      </c>
      <c r="AB662" s="32" t="n">
        <v>0</v>
      </c>
      <c r="AC662" s="32" t="n">
        <v>0</v>
      </c>
      <c r="AD662" s="32" t="n">
        <v>0</v>
      </c>
      <c r="AE662" s="31" t="n">
        <v>0</v>
      </c>
      <c r="AF662" s="32" t="n">
        <v>0</v>
      </c>
      <c r="AG662" s="31" t="n">
        <v>0</v>
      </c>
      <c r="AH662" s="32" t="n">
        <v>68</v>
      </c>
      <c r="AI662" s="31" t="n">
        <v>67.5</v>
      </c>
      <c r="AJ662" s="31" t="n">
        <v>48.7</v>
      </c>
      <c r="AK662" s="31" t="n">
        <v>0</v>
      </c>
      <c r="AL662" s="30" t="inlineStr">
        <is>
          <t>T-0839</t>
        </is>
      </c>
      <c r="AM662" s="30" t="inlineStr">
        <is>
          <t>F-04-01</t>
        </is>
      </c>
      <c r="AN662" s="30" t="inlineStr">
        <is>
          <t>T-0684</t>
        </is>
      </c>
      <c r="AO662" s="30" t="inlineStr">
        <is>
          <t>F-05-03</t>
        </is>
      </c>
    </row>
    <row r="663">
      <c r="A663" s="30" t="inlineStr">
        <is>
          <t>O0662</t>
        </is>
      </c>
      <c r="B663" s="30" t="inlineStr">
        <is>
          <t>I</t>
        </is>
      </c>
      <c r="C663" s="31" t="n">
        <v>9238.799999999999</v>
      </c>
      <c r="D663" s="31" t="n">
        <v>24159.9</v>
      </c>
      <c r="E663" s="31" t="n">
        <v>24183.4</v>
      </c>
      <c r="F663" s="31" t="n">
        <v>24198.5</v>
      </c>
      <c r="G663" s="31" t="n">
        <v>24222.9</v>
      </c>
      <c r="H663" s="31" t="n">
        <v>24223</v>
      </c>
      <c r="I663" s="31" t="n">
        <v>24238.5</v>
      </c>
      <c r="J663" s="31" t="n">
        <v>24263.4</v>
      </c>
      <c r="K663" s="31" t="n">
        <v>15024.6</v>
      </c>
      <c r="L663" s="31" t="n">
        <v>14921.1</v>
      </c>
      <c r="M663" s="30" t="inlineStr">
        <is>
          <t>AMR2</t>
        </is>
      </c>
      <c r="N663" s="30" t="inlineStr">
        <is>
          <t>AMR2</t>
        </is>
      </c>
      <c r="O663" s="32" t="n">
        <v>1</v>
      </c>
      <c r="P663" s="32" t="n">
        <v>25</v>
      </c>
      <c r="Q663" s="32" t="n">
        <v>2</v>
      </c>
      <c r="R663" s="31" t="n">
        <v>58.8</v>
      </c>
      <c r="S663" s="31" t="n">
        <v>58.8</v>
      </c>
      <c r="T663" s="30" t="inlineStr">
        <is>
          <t>AMR2</t>
        </is>
      </c>
      <c r="U663" s="31" t="n">
        <v>38.6</v>
      </c>
      <c r="V663" s="31" t="n">
        <v>38.6</v>
      </c>
      <c r="W663" s="30" t="inlineStr">
        <is>
          <t>AMR2</t>
        </is>
      </c>
      <c r="X663" s="32" t="n">
        <v>0</v>
      </c>
      <c r="Y663" s="32" t="n">
        <v>0</v>
      </c>
      <c r="Z663" s="31" t="n">
        <v>0</v>
      </c>
      <c r="AA663" s="32" t="n">
        <v>0</v>
      </c>
      <c r="AB663" s="32" t="n">
        <v>0</v>
      </c>
      <c r="AC663" s="32" t="n">
        <v>0</v>
      </c>
      <c r="AD663" s="32" t="n">
        <v>1</v>
      </c>
      <c r="AE663" s="31" t="n">
        <v>1</v>
      </c>
      <c r="AF663" s="32" t="n">
        <v>0</v>
      </c>
      <c r="AG663" s="31" t="n">
        <v>0</v>
      </c>
      <c r="AH663" s="32" t="n">
        <v>58</v>
      </c>
      <c r="AI663" s="31" t="n">
        <v>59.8</v>
      </c>
      <c r="AJ663" s="31" t="n">
        <v>42.6</v>
      </c>
      <c r="AK663" s="31" t="n">
        <v>1</v>
      </c>
      <c r="AL663" s="30" t="inlineStr">
        <is>
          <t>T-0808</t>
        </is>
      </c>
      <c r="AM663" s="30" t="inlineStr">
        <is>
          <t>I-06-01</t>
        </is>
      </c>
      <c r="AN663" s="30" t="inlineStr">
        <is>
          <t>T-0623</t>
        </is>
      </c>
      <c r="AO663" s="30" t="inlineStr">
        <is>
          <t>I-02-02</t>
        </is>
      </c>
    </row>
    <row r="664">
      <c r="A664" s="30" t="inlineStr">
        <is>
          <t>O0663</t>
        </is>
      </c>
      <c r="B664" s="30" t="inlineStr">
        <is>
          <t>G</t>
        </is>
      </c>
      <c r="C664" s="31" t="n">
        <v>9242.1</v>
      </c>
      <c r="D664" s="31" t="n">
        <v>24263.5</v>
      </c>
      <c r="E664" s="31" t="n">
        <v>24287</v>
      </c>
      <c r="F664" s="31" t="n">
        <v>24300.7</v>
      </c>
      <c r="G664" s="31" t="n">
        <v>24329.8</v>
      </c>
      <c r="H664" s="31" t="n">
        <v>24329.9</v>
      </c>
      <c r="I664" s="31" t="n">
        <v>24346.2</v>
      </c>
      <c r="J664" s="31" t="n">
        <v>24370.7</v>
      </c>
      <c r="K664" s="31" t="n">
        <v>15128.6</v>
      </c>
      <c r="L664" s="31" t="n">
        <v>15021.4</v>
      </c>
      <c r="M664" s="30" t="inlineStr">
        <is>
          <t>AMR2</t>
        </is>
      </c>
      <c r="N664" s="30" t="inlineStr">
        <is>
          <t>AMR2</t>
        </is>
      </c>
      <c r="O664" s="32" t="n">
        <v>1</v>
      </c>
      <c r="P664" s="32" t="n">
        <v>25</v>
      </c>
      <c r="Q664" s="32" t="n">
        <v>1</v>
      </c>
      <c r="R664" s="31" t="n">
        <v>62.9</v>
      </c>
      <c r="S664" s="31" t="n">
        <v>62.9</v>
      </c>
      <c r="T664" s="30" t="inlineStr">
        <is>
          <t>AMR2</t>
        </is>
      </c>
      <c r="U664" s="31" t="n">
        <v>40.5</v>
      </c>
      <c r="V664" s="31" t="n">
        <v>40.5</v>
      </c>
      <c r="W664" s="30" t="inlineStr">
        <is>
          <t>AMR2</t>
        </is>
      </c>
      <c r="X664" s="32" t="n">
        <v>0</v>
      </c>
      <c r="Y664" s="32" t="n">
        <v>0</v>
      </c>
      <c r="Z664" s="31" t="n">
        <v>0</v>
      </c>
      <c r="AA664" s="32" t="n">
        <v>0</v>
      </c>
      <c r="AB664" s="32" t="n">
        <v>0</v>
      </c>
      <c r="AC664" s="32" t="n">
        <v>0</v>
      </c>
      <c r="AD664" s="32" t="n">
        <v>0</v>
      </c>
      <c r="AE664" s="31" t="n">
        <v>0</v>
      </c>
      <c r="AF664" s="32" t="n">
        <v>0</v>
      </c>
      <c r="AG664" s="31" t="n">
        <v>0</v>
      </c>
      <c r="AH664" s="32" t="n">
        <v>60</v>
      </c>
      <c r="AI664" s="31" t="n">
        <v>61</v>
      </c>
      <c r="AJ664" s="31" t="n">
        <v>46.1</v>
      </c>
      <c r="AK664" s="31" t="n">
        <v>0</v>
      </c>
      <c r="AL664" s="30" t="inlineStr">
        <is>
          <t>T-0811</t>
        </is>
      </c>
      <c r="AM664" s="30" t="inlineStr">
        <is>
          <t>G-01-02</t>
        </is>
      </c>
      <c r="AN664" s="30" t="inlineStr">
        <is>
          <t>T-0650</t>
        </is>
      </c>
      <c r="AO664" s="30" t="inlineStr">
        <is>
          <t>G-04-01</t>
        </is>
      </c>
    </row>
    <row r="665">
      <c r="A665" s="30" t="inlineStr">
        <is>
          <t>O0664</t>
        </is>
      </c>
      <c r="B665" s="30" t="inlineStr">
        <is>
          <t>D</t>
        </is>
      </c>
      <c r="C665" s="31" t="n">
        <v>9247.700000000001</v>
      </c>
      <c r="D665" s="31" t="n">
        <v>24238.6</v>
      </c>
      <c r="E665" s="31" t="n">
        <v>24262.1</v>
      </c>
      <c r="F665" s="31" t="n">
        <v>24274.4</v>
      </c>
      <c r="G665" s="31" t="n">
        <v>24293.9</v>
      </c>
      <c r="H665" s="31" t="n">
        <v>24478</v>
      </c>
      <c r="I665" s="31" t="n">
        <v>24495.3</v>
      </c>
      <c r="J665" s="31" t="n">
        <v>24524</v>
      </c>
      <c r="K665" s="31" t="n">
        <v>15276.3</v>
      </c>
      <c r="L665" s="31" t="n">
        <v>14990.9</v>
      </c>
      <c r="M665" s="30" t="inlineStr">
        <is>
          <t>AMR3</t>
        </is>
      </c>
      <c r="N665" s="30" t="inlineStr">
        <is>
          <t>AMR1</t>
        </is>
      </c>
      <c r="O665" s="32" t="n">
        <v>1</v>
      </c>
      <c r="P665" s="32" t="n">
        <v>25</v>
      </c>
      <c r="Q665" s="32" t="n">
        <v>3</v>
      </c>
      <c r="R665" s="31" t="n">
        <v>53.4</v>
      </c>
      <c r="S665" s="31" t="n">
        <v>53.4</v>
      </c>
      <c r="T665" s="30" t="inlineStr">
        <is>
          <t>AMR3</t>
        </is>
      </c>
      <c r="U665" s="31" t="n">
        <v>44.7</v>
      </c>
      <c r="V665" s="31" t="n">
        <v>44.7</v>
      </c>
      <c r="W665" s="30" t="inlineStr">
        <is>
          <t>AMR1</t>
        </is>
      </c>
      <c r="X665" s="32" t="n">
        <v>0</v>
      </c>
      <c r="Y665" s="32" t="n">
        <v>0</v>
      </c>
      <c r="Z665" s="31" t="n">
        <v>0</v>
      </c>
      <c r="AA665" s="32" t="n">
        <v>0</v>
      </c>
      <c r="AB665" s="32" t="n">
        <v>0</v>
      </c>
      <c r="AC665" s="32" t="n">
        <v>0</v>
      </c>
      <c r="AD665" s="32" t="n">
        <v>0</v>
      </c>
      <c r="AE665" s="31" t="n">
        <v>0</v>
      </c>
      <c r="AF665" s="32" t="n">
        <v>0</v>
      </c>
      <c r="AG665" s="31" t="n">
        <v>0</v>
      </c>
      <c r="AH665" s="32" t="n">
        <v>56</v>
      </c>
      <c r="AI665" s="31" t="n">
        <v>59.2</v>
      </c>
      <c r="AJ665" s="31" t="n">
        <v>42.1</v>
      </c>
      <c r="AK665" s="31" t="n">
        <v>0</v>
      </c>
      <c r="AL665" s="30" t="inlineStr">
        <is>
          <t>T-0810</t>
        </is>
      </c>
      <c r="AM665" s="30" t="inlineStr">
        <is>
          <t>D-01-01</t>
        </is>
      </c>
      <c r="AN665" s="30" t="inlineStr">
        <is>
          <t>T-0545</t>
        </is>
      </c>
      <c r="AO665" s="30" t="inlineStr">
        <is>
          <t>D-03-01</t>
        </is>
      </c>
    </row>
    <row r="666">
      <c r="A666" s="30" t="inlineStr">
        <is>
          <t>O0665</t>
        </is>
      </c>
      <c r="B666" s="30" t="inlineStr">
        <is>
          <t>D</t>
        </is>
      </c>
      <c r="C666" s="31" t="n">
        <v>9252.299999999999</v>
      </c>
      <c r="D666" s="31" t="n">
        <v>24294</v>
      </c>
      <c r="E666" s="31" t="n">
        <v>24306</v>
      </c>
      <c r="F666" s="31" t="n">
        <v>24319.2</v>
      </c>
      <c r="G666" s="31" t="n">
        <v>24342.4</v>
      </c>
      <c r="H666" s="31" t="n">
        <v>24342.5</v>
      </c>
      <c r="I666" s="31" t="n">
        <v>24352.1</v>
      </c>
      <c r="J666" s="31" t="n">
        <v>24390.7</v>
      </c>
      <c r="K666" s="31" t="n">
        <v>15138.4</v>
      </c>
      <c r="L666" s="31" t="n">
        <v>15041.7</v>
      </c>
      <c r="M666" s="30" t="inlineStr">
        <is>
          <t>AMR3</t>
        </is>
      </c>
      <c r="N666" s="30" t="inlineStr">
        <is>
          <t>AMR3</t>
        </is>
      </c>
      <c r="O666" s="32" t="n">
        <v>1</v>
      </c>
      <c r="P666" s="32" t="n">
        <v>12</v>
      </c>
      <c r="Q666" s="32" t="n">
        <v>1</v>
      </c>
      <c r="R666" s="31" t="n">
        <v>46.1</v>
      </c>
      <c r="S666" s="31" t="n">
        <v>46.1</v>
      </c>
      <c r="T666" s="30" t="inlineStr">
        <is>
          <t>AMR3</t>
        </is>
      </c>
      <c r="U666" s="31" t="n">
        <v>37.8</v>
      </c>
      <c r="V666" s="31" t="n">
        <v>37.8</v>
      </c>
      <c r="W666" s="30" t="inlineStr">
        <is>
          <t>AMR3</t>
        </is>
      </c>
      <c r="X666" s="32" t="n">
        <v>0</v>
      </c>
      <c r="Y666" s="32" t="n">
        <v>0</v>
      </c>
      <c r="Z666" s="31" t="n">
        <v>0</v>
      </c>
      <c r="AA666" s="32" t="n">
        <v>0</v>
      </c>
      <c r="AB666" s="32" t="n">
        <v>0</v>
      </c>
      <c r="AC666" s="32" t="n">
        <v>0</v>
      </c>
      <c r="AD666" s="32" t="n">
        <v>1</v>
      </c>
      <c r="AE666" s="31" t="n">
        <v>10</v>
      </c>
      <c r="AF666" s="32" t="n">
        <v>1</v>
      </c>
      <c r="AG666" s="31" t="n">
        <v>5</v>
      </c>
      <c r="AH666" s="32" t="n">
        <v>43</v>
      </c>
      <c r="AI666" s="31" t="n">
        <v>46</v>
      </c>
      <c r="AJ666" s="31" t="n">
        <v>40.6</v>
      </c>
      <c r="AK666" s="31" t="n">
        <v>10</v>
      </c>
      <c r="AL666" s="30" t="inlineStr">
        <is>
          <t>T-0812</t>
        </is>
      </c>
      <c r="AM666" s="30" t="inlineStr">
        <is>
          <t>D-04-03</t>
        </is>
      </c>
      <c r="AN666" s="30" t="inlineStr">
        <is>
          <t>T-0542</t>
        </is>
      </c>
      <c r="AO666" s="30" t="inlineStr">
        <is>
          <t>D-05-03</t>
        </is>
      </c>
    </row>
    <row r="667">
      <c r="A667" s="30" t="inlineStr">
        <is>
          <t>O0666</t>
        </is>
      </c>
      <c r="B667" s="30" t="inlineStr">
        <is>
          <t>F</t>
        </is>
      </c>
      <c r="C667" s="31" t="n">
        <v>9258.299999999999</v>
      </c>
      <c r="D667" s="31" t="n">
        <v>25173.6</v>
      </c>
      <c r="E667" s="31" t="n">
        <v>25200.1</v>
      </c>
      <c r="F667" s="31" t="n">
        <v>25212.4</v>
      </c>
      <c r="G667" s="31" t="n">
        <v>25246.2</v>
      </c>
      <c r="H667" s="31" t="n">
        <v>30832</v>
      </c>
      <c r="I667" s="31" t="n">
        <v>30846.3</v>
      </c>
      <c r="J667" s="31" t="n">
        <v>30882.1</v>
      </c>
      <c r="K667" s="31" t="n">
        <v>21623.8</v>
      </c>
      <c r="L667" s="31" t="n">
        <v>15915.3</v>
      </c>
      <c r="M667" s="30" t="inlineStr">
        <is>
          <t>AMR1</t>
        </is>
      </c>
      <c r="N667" s="30" t="inlineStr">
        <is>
          <t>AMR2</t>
        </is>
      </c>
      <c r="O667" s="32" t="n">
        <v>1</v>
      </c>
      <c r="P667" s="32" t="n">
        <v>25</v>
      </c>
      <c r="Q667" s="32" t="n">
        <v>1</v>
      </c>
      <c r="R667" s="31" t="n">
        <v>66.2</v>
      </c>
      <c r="S667" s="31" t="n">
        <v>66.2</v>
      </c>
      <c r="T667" s="30" t="inlineStr">
        <is>
          <t>AMR1</t>
        </is>
      </c>
      <c r="U667" s="31" t="n">
        <v>49.8</v>
      </c>
      <c r="V667" s="31" t="n">
        <v>49.8</v>
      </c>
      <c r="W667" s="30" t="inlineStr">
        <is>
          <t>AMR2</t>
        </is>
      </c>
      <c r="X667" s="32" t="n">
        <v>0</v>
      </c>
      <c r="Y667" s="32" t="n">
        <v>0</v>
      </c>
      <c r="Z667" s="31" t="n">
        <v>0</v>
      </c>
      <c r="AA667" s="32" t="n">
        <v>0</v>
      </c>
      <c r="AB667" s="32" t="n">
        <v>0</v>
      </c>
      <c r="AC667" s="32" t="n">
        <v>0</v>
      </c>
      <c r="AD667" s="32" t="n">
        <v>0</v>
      </c>
      <c r="AE667" s="31" t="n">
        <v>0</v>
      </c>
      <c r="AF667" s="32" t="n">
        <v>0</v>
      </c>
      <c r="AG667" s="31" t="n">
        <v>0</v>
      </c>
      <c r="AH667" s="32" t="n">
        <v>72</v>
      </c>
      <c r="AI667" s="31" t="n">
        <v>71.59999999999999</v>
      </c>
      <c r="AJ667" s="31" t="n">
        <v>48.1</v>
      </c>
      <c r="AK667" s="31" t="n">
        <v>3</v>
      </c>
      <c r="AL667" s="30" t="inlineStr">
        <is>
          <t>T-0836</t>
        </is>
      </c>
      <c r="AM667" s="30" t="inlineStr">
        <is>
          <t>F-01-03</t>
        </is>
      </c>
      <c r="AN667" s="30" t="inlineStr">
        <is>
          <t>T-0764</t>
        </is>
      </c>
      <c r="AO667" s="30" t="inlineStr">
        <is>
          <t>F-03-03</t>
        </is>
      </c>
    </row>
    <row r="668">
      <c r="A668" s="30" t="inlineStr">
        <is>
          <t>O0667</t>
        </is>
      </c>
      <c r="B668" s="30" t="inlineStr">
        <is>
          <t>I</t>
        </is>
      </c>
      <c r="C668" s="31" t="n">
        <v>9264.200000000001</v>
      </c>
      <c r="D668" s="31" t="n">
        <v>24412.6</v>
      </c>
      <c r="E668" s="31" t="n">
        <v>24442.1</v>
      </c>
      <c r="F668" s="31" t="n">
        <v>24453.2</v>
      </c>
      <c r="G668" s="31" t="n">
        <v>24477.9</v>
      </c>
      <c r="H668" s="31" t="n">
        <v>24635.5</v>
      </c>
      <c r="I668" s="31" t="n">
        <v>24661.3</v>
      </c>
      <c r="J668" s="31" t="n">
        <v>24694.4</v>
      </c>
      <c r="K668" s="31" t="n">
        <v>15430.2</v>
      </c>
      <c r="L668" s="31" t="n">
        <v>15148.4</v>
      </c>
      <c r="M668" s="30" t="inlineStr">
        <is>
          <t>AMR1</t>
        </is>
      </c>
      <c r="N668" s="30" t="inlineStr">
        <is>
          <t>AMR1</t>
        </is>
      </c>
      <c r="O668" s="32" t="n">
        <v>1</v>
      </c>
      <c r="P668" s="32" t="n">
        <v>25</v>
      </c>
      <c r="Q668" s="32" t="n">
        <v>14</v>
      </c>
      <c r="R668" s="31" t="n">
        <v>57.5</v>
      </c>
      <c r="S668" s="31" t="n">
        <v>57.5</v>
      </c>
      <c r="T668" s="30" t="inlineStr">
        <is>
          <t>AMR1</t>
        </is>
      </c>
      <c r="U668" s="31" t="n">
        <v>52.1</v>
      </c>
      <c r="V668" s="31" t="n">
        <v>52.1</v>
      </c>
      <c r="W668" s="30" t="inlineStr">
        <is>
          <t>AMR1</t>
        </is>
      </c>
      <c r="X668" s="32" t="n">
        <v>0</v>
      </c>
      <c r="Y668" s="32" t="n">
        <v>0</v>
      </c>
      <c r="Z668" s="31" t="n">
        <v>0</v>
      </c>
      <c r="AA668" s="32" t="n">
        <v>0</v>
      </c>
      <c r="AB668" s="32" t="n">
        <v>0</v>
      </c>
      <c r="AC668" s="32" t="n">
        <v>0</v>
      </c>
      <c r="AD668" s="32" t="n">
        <v>1</v>
      </c>
      <c r="AE668" s="31" t="n">
        <v>1.6</v>
      </c>
      <c r="AF668" s="32" t="n">
        <v>1</v>
      </c>
      <c r="AG668" s="31" t="n">
        <v>1</v>
      </c>
      <c r="AH668" s="32" t="n">
        <v>73</v>
      </c>
      <c r="AI668" s="31" t="n">
        <v>73.40000000000001</v>
      </c>
      <c r="AJ668" s="31" t="n">
        <v>43.2</v>
      </c>
      <c r="AK668" s="31" t="n">
        <v>7.6</v>
      </c>
      <c r="AL668" s="30" t="inlineStr">
        <is>
          <t>T-0816</t>
        </is>
      </c>
      <c r="AM668" s="30" t="inlineStr">
        <is>
          <t>I-01-02</t>
        </is>
      </c>
      <c r="AN668" s="30" t="inlineStr">
        <is>
          <t>T-0631</t>
        </is>
      </c>
      <c r="AO668" s="30" t="inlineStr">
        <is>
          <t>I-03-02</t>
        </is>
      </c>
    </row>
    <row r="669">
      <c r="A669" s="30" t="inlineStr">
        <is>
          <t>O0668</t>
        </is>
      </c>
      <c r="B669" s="30" t="inlineStr">
        <is>
          <t>H</t>
        </is>
      </c>
      <c r="C669" s="31" t="n">
        <v>9268.200000000001</v>
      </c>
      <c r="D669" s="31" t="n">
        <v>24390.8</v>
      </c>
      <c r="E669" s="31" t="n">
        <v>24418.3</v>
      </c>
      <c r="F669" s="31" t="n">
        <v>24431.1</v>
      </c>
      <c r="G669" s="31" t="n">
        <v>24455.4</v>
      </c>
      <c r="H669" s="31" t="n">
        <v>24455.5</v>
      </c>
      <c r="I669" s="31" t="n">
        <v>24470.6</v>
      </c>
      <c r="J669" s="31" t="n">
        <v>24502.2</v>
      </c>
      <c r="K669" s="31" t="n">
        <v>15234</v>
      </c>
      <c r="L669" s="31" t="n">
        <v>15122.6</v>
      </c>
      <c r="M669" s="30" t="inlineStr">
        <is>
          <t>AMR3</t>
        </is>
      </c>
      <c r="N669" s="30" t="inlineStr">
        <is>
          <t>AMR3</t>
        </is>
      </c>
      <c r="O669" s="32" t="n">
        <v>1</v>
      </c>
      <c r="P669" s="32" t="n">
        <v>25</v>
      </c>
      <c r="Q669" s="32" t="n">
        <v>1</v>
      </c>
      <c r="R669" s="31" t="n">
        <v>58.8</v>
      </c>
      <c r="S669" s="31" t="n">
        <v>58.8</v>
      </c>
      <c r="T669" s="30" t="inlineStr">
        <is>
          <t>AMR3</t>
        </is>
      </c>
      <c r="U669" s="31" t="n">
        <v>41.4</v>
      </c>
      <c r="V669" s="31" t="n">
        <v>41.4</v>
      </c>
      <c r="W669" s="30" t="inlineStr">
        <is>
          <t>AMR3</t>
        </is>
      </c>
      <c r="X669" s="32" t="n">
        <v>0</v>
      </c>
      <c r="Y669" s="32" t="n">
        <v>0</v>
      </c>
      <c r="Z669" s="31" t="n">
        <v>0</v>
      </c>
      <c r="AA669" s="32" t="n">
        <v>0</v>
      </c>
      <c r="AB669" s="32" t="n">
        <v>0</v>
      </c>
      <c r="AC669" s="32" t="n">
        <v>0</v>
      </c>
      <c r="AD669" s="32" t="n">
        <v>1</v>
      </c>
      <c r="AE669" s="31" t="n">
        <v>6</v>
      </c>
      <c r="AF669" s="32" t="n">
        <v>1</v>
      </c>
      <c r="AG669" s="31" t="n">
        <v>1</v>
      </c>
      <c r="AH669" s="32" t="n">
        <v>52</v>
      </c>
      <c r="AI669" s="31" t="n">
        <v>54.7</v>
      </c>
      <c r="AJ669" s="31" t="n">
        <v>46.6</v>
      </c>
      <c r="AK669" s="31" t="n">
        <v>10</v>
      </c>
      <c r="AL669" s="30" t="inlineStr">
        <is>
          <t>T-0815</t>
        </is>
      </c>
      <c r="AM669" s="30" t="inlineStr">
        <is>
          <t>H-05-03</t>
        </is>
      </c>
      <c r="AN669" s="30" t="inlineStr">
        <is>
          <t>T-0669</t>
        </is>
      </c>
      <c r="AO669" s="30" t="inlineStr">
        <is>
          <t>H-06-02</t>
        </is>
      </c>
    </row>
    <row r="670">
      <c r="A670" s="30" t="inlineStr">
        <is>
          <t>O0669</t>
        </is>
      </c>
      <c r="B670" s="30" t="inlineStr">
        <is>
          <t>A</t>
        </is>
      </c>
      <c r="C670" s="31" t="n">
        <v>9275</v>
      </c>
      <c r="D670" s="31" t="n">
        <v>24524.1</v>
      </c>
      <c r="E670" s="31" t="n">
        <v>24549.6</v>
      </c>
      <c r="F670" s="31" t="n">
        <v>24561.4</v>
      </c>
      <c r="G670" s="31" t="n">
        <v>24591.3</v>
      </c>
      <c r="H670" s="31" t="n">
        <v>24591.4</v>
      </c>
      <c r="I670" s="31" t="n">
        <v>24601.5</v>
      </c>
      <c r="J670" s="31" t="n">
        <v>24635.4</v>
      </c>
      <c r="K670" s="31" t="n">
        <v>15360.4</v>
      </c>
      <c r="L670" s="31" t="n">
        <v>15249.1</v>
      </c>
      <c r="M670" s="30" t="inlineStr">
        <is>
          <t>AMR1</t>
        </is>
      </c>
      <c r="N670" s="30" t="inlineStr">
        <is>
          <t>AMR1</t>
        </is>
      </c>
      <c r="O670" s="32" t="n">
        <v>1</v>
      </c>
      <c r="P670" s="32" t="n">
        <v>25</v>
      </c>
      <c r="Q670" s="32" t="n">
        <v>0</v>
      </c>
      <c r="R670" s="31" t="n">
        <v>62.5</v>
      </c>
      <c r="S670" s="31" t="n">
        <v>62.5</v>
      </c>
      <c r="T670" s="30" t="inlineStr">
        <is>
          <t>AMR1</t>
        </is>
      </c>
      <c r="U670" s="31" t="n">
        <v>44.7</v>
      </c>
      <c r="V670" s="31" t="n">
        <v>44.7</v>
      </c>
      <c r="W670" s="30" t="inlineStr">
        <is>
          <t>AMR1</t>
        </is>
      </c>
      <c r="X670" s="32" t="n">
        <v>0</v>
      </c>
      <c r="Y670" s="32" t="n">
        <v>0</v>
      </c>
      <c r="Z670" s="31" t="n">
        <v>0</v>
      </c>
      <c r="AA670" s="32" t="n">
        <v>0</v>
      </c>
      <c r="AB670" s="32" t="n">
        <v>0</v>
      </c>
      <c r="AC670" s="32" t="n">
        <v>0</v>
      </c>
      <c r="AD670" s="32" t="n">
        <v>0</v>
      </c>
      <c r="AE670" s="31" t="n">
        <v>0</v>
      </c>
      <c r="AF670" s="32" t="n">
        <v>0</v>
      </c>
      <c r="AG670" s="31" t="n">
        <v>0</v>
      </c>
      <c r="AH670" s="32" t="n">
        <v>70</v>
      </c>
      <c r="AI670" s="31" t="n">
        <v>68.7</v>
      </c>
      <c r="AJ670" s="31" t="n">
        <v>40.5</v>
      </c>
      <c r="AK670" s="31" t="n">
        <v>2</v>
      </c>
      <c r="AL670" s="30" t="inlineStr">
        <is>
          <t>T-0818</t>
        </is>
      </c>
      <c r="AM670" s="30" t="inlineStr">
        <is>
          <t>A-03-01</t>
        </is>
      </c>
      <c r="AN670" s="30" t="inlineStr">
        <is>
          <t>T-0668</t>
        </is>
      </c>
      <c r="AO670" s="30" t="inlineStr">
        <is>
          <t>A-05-01</t>
        </is>
      </c>
    </row>
    <row r="671">
      <c r="A671" s="30" t="inlineStr">
        <is>
          <t>O0670</t>
        </is>
      </c>
      <c r="B671" s="30" t="inlineStr">
        <is>
          <t>C</t>
        </is>
      </c>
      <c r="C671" s="31" t="n">
        <v>9281.200000000001</v>
      </c>
      <c r="D671" s="31" t="n">
        <v>24502.3</v>
      </c>
      <c r="E671" s="31" t="n">
        <v>24525.8</v>
      </c>
      <c r="F671" s="31" t="n">
        <v>24541</v>
      </c>
      <c r="G671" s="31" t="n">
        <v>24560.7</v>
      </c>
      <c r="H671" s="31" t="n">
        <v>25492.9</v>
      </c>
      <c r="I671" s="31" t="n">
        <v>25508.1</v>
      </c>
      <c r="J671" s="31" t="n">
        <v>25546.8</v>
      </c>
      <c r="K671" s="31" t="n">
        <v>16265.6</v>
      </c>
      <c r="L671" s="31" t="n">
        <v>15221.1</v>
      </c>
      <c r="M671" s="30" t="inlineStr">
        <is>
          <t>AMR3</t>
        </is>
      </c>
      <c r="N671" s="30" t="inlineStr">
        <is>
          <t>AMR3</t>
        </is>
      </c>
      <c r="O671" s="32" t="n">
        <v>1</v>
      </c>
      <c r="P671" s="32" t="n">
        <v>25</v>
      </c>
      <c r="Q671" s="32" t="n">
        <v>2</v>
      </c>
      <c r="R671" s="31" t="n">
        <v>56.5</v>
      </c>
      <c r="S671" s="31" t="n">
        <v>56.5</v>
      </c>
      <c r="T671" s="30" t="inlineStr">
        <is>
          <t>AMR3</t>
        </is>
      </c>
      <c r="U671" s="31" t="n">
        <v>42.1</v>
      </c>
      <c r="V671" s="31" t="n">
        <v>42.1</v>
      </c>
      <c r="W671" s="30" t="inlineStr">
        <is>
          <t>AMR3</t>
        </is>
      </c>
      <c r="X671" s="32" t="n">
        <v>0</v>
      </c>
      <c r="Y671" s="32" t="n">
        <v>0</v>
      </c>
      <c r="Z671" s="31" t="n">
        <v>0</v>
      </c>
      <c r="AA671" s="32" t="n">
        <v>0</v>
      </c>
      <c r="AB671" s="32" t="n">
        <v>0</v>
      </c>
      <c r="AC671" s="32" t="n">
        <v>0</v>
      </c>
      <c r="AD671" s="32" t="n">
        <v>1</v>
      </c>
      <c r="AE671" s="31" t="n">
        <v>12</v>
      </c>
      <c r="AF671" s="32" t="n">
        <v>1</v>
      </c>
      <c r="AG671" s="31" t="n">
        <v>7</v>
      </c>
      <c r="AH671" s="32" t="n">
        <v>55</v>
      </c>
      <c r="AI671" s="31" t="n">
        <v>55.5</v>
      </c>
      <c r="AJ671" s="31" t="n">
        <v>44.8</v>
      </c>
      <c r="AK671" s="31" t="n">
        <v>12</v>
      </c>
      <c r="AL671" s="30" t="inlineStr">
        <is>
          <t>T-0817</t>
        </is>
      </c>
      <c r="AM671" s="30" t="inlineStr">
        <is>
          <t>C-04-01</t>
        </is>
      </c>
      <c r="AN671" s="30" t="inlineStr">
        <is>
          <t>T-0688</t>
        </is>
      </c>
      <c r="AO671" s="30" t="inlineStr">
        <is>
          <t>C-01-02</t>
        </is>
      </c>
    </row>
    <row r="672">
      <c r="A672" s="30" t="inlineStr">
        <is>
          <t>O0671</t>
        </is>
      </c>
      <c r="B672" s="30" t="inlineStr">
        <is>
          <t>C</t>
        </is>
      </c>
      <c r="C672" s="31" t="n">
        <v>9285</v>
      </c>
      <c r="D672" s="31" t="n">
        <v>24560.8</v>
      </c>
      <c r="E672" s="31" t="n">
        <v>24586.4</v>
      </c>
      <c r="F672" s="31" t="n">
        <v>24601.1</v>
      </c>
      <c r="G672" s="31" t="n">
        <v>24622.4</v>
      </c>
      <c r="H672" s="31" t="n">
        <v>24622.5</v>
      </c>
      <c r="I672" s="31" t="n">
        <v>24631.6</v>
      </c>
      <c r="J672" s="31" t="n">
        <v>24671.7</v>
      </c>
      <c r="K672" s="31" t="n">
        <v>15386.7</v>
      </c>
      <c r="L672" s="31" t="n">
        <v>15275.8</v>
      </c>
      <c r="M672" s="30" t="inlineStr">
        <is>
          <t>AMR3</t>
        </is>
      </c>
      <c r="N672" s="30" t="inlineStr">
        <is>
          <t>AMR3</t>
        </is>
      </c>
      <c r="O672" s="32" t="n">
        <v>1</v>
      </c>
      <c r="P672" s="32" t="n">
        <v>12</v>
      </c>
      <c r="Q672" s="32" t="n">
        <v>1</v>
      </c>
      <c r="R672" s="31" t="n">
        <v>46.7</v>
      </c>
      <c r="S672" s="31" t="n">
        <v>46.7</v>
      </c>
      <c r="T672" s="30" t="inlineStr">
        <is>
          <t>AMR3</t>
        </is>
      </c>
      <c r="U672" s="31" t="n">
        <v>39.6</v>
      </c>
      <c r="V672" s="31" t="n">
        <v>39.6</v>
      </c>
      <c r="W672" s="30" t="inlineStr">
        <is>
          <t>AMR3</t>
        </is>
      </c>
      <c r="X672" s="32" t="n">
        <v>0</v>
      </c>
      <c r="Y672" s="32" t="n">
        <v>0</v>
      </c>
      <c r="Z672" s="31" t="n">
        <v>0</v>
      </c>
      <c r="AA672" s="32" t="n">
        <v>0</v>
      </c>
      <c r="AB672" s="32" t="n">
        <v>0</v>
      </c>
      <c r="AC672" s="32" t="n">
        <v>0</v>
      </c>
      <c r="AD672" s="32" t="n">
        <v>1</v>
      </c>
      <c r="AE672" s="31" t="n">
        <v>9.699999999999999</v>
      </c>
      <c r="AF672" s="32" t="n">
        <v>2</v>
      </c>
      <c r="AG672" s="31" t="n">
        <v>12.7</v>
      </c>
      <c r="AH672" s="32" t="n">
        <v>41</v>
      </c>
      <c r="AI672" s="31" t="n">
        <v>44</v>
      </c>
      <c r="AJ672" s="31" t="n">
        <v>44.1</v>
      </c>
      <c r="AK672" s="31" t="n">
        <v>22.7</v>
      </c>
      <c r="AL672" s="30" t="inlineStr">
        <is>
          <t>T-0820</t>
        </is>
      </c>
      <c r="AM672" s="30" t="inlineStr">
        <is>
          <t>C-05-03</t>
        </is>
      </c>
      <c r="AN672" s="30" t="inlineStr">
        <is>
          <t>T-0656</t>
        </is>
      </c>
      <c r="AO672" s="30" t="inlineStr">
        <is>
          <t>C-03-01</t>
        </is>
      </c>
    </row>
    <row r="673">
      <c r="A673" s="30" t="inlineStr">
        <is>
          <t>O0672</t>
        </is>
      </c>
      <c r="B673" s="30" t="inlineStr">
        <is>
          <t>A</t>
        </is>
      </c>
      <c r="C673" s="31" t="n">
        <v>9290.4</v>
      </c>
      <c r="D673" s="31" t="n">
        <v>24654.9</v>
      </c>
      <c r="E673" s="31" t="n">
        <v>24678.4</v>
      </c>
      <c r="F673" s="31" t="n">
        <v>24689.6</v>
      </c>
      <c r="G673" s="31" t="n">
        <v>24719.1</v>
      </c>
      <c r="H673" s="31" t="n">
        <v>25160.4</v>
      </c>
      <c r="I673" s="31" t="n">
        <v>25175.6</v>
      </c>
      <c r="J673" s="31" t="n">
        <v>25209</v>
      </c>
      <c r="K673" s="31" t="n">
        <v>15918.6</v>
      </c>
      <c r="L673" s="31" t="n">
        <v>15364.5</v>
      </c>
      <c r="M673" s="30" t="inlineStr">
        <is>
          <t>AMR2</t>
        </is>
      </c>
      <c r="N673" s="30" t="inlineStr">
        <is>
          <t>AMR3</t>
        </is>
      </c>
      <c r="O673" s="32" t="n">
        <v>1</v>
      </c>
      <c r="P673" s="32" t="n">
        <v>25</v>
      </c>
      <c r="Q673" s="32" t="n">
        <v>0</v>
      </c>
      <c r="R673" s="31" t="n">
        <v>62.3</v>
      </c>
      <c r="S673" s="31" t="n">
        <v>62.3</v>
      </c>
      <c r="T673" s="30" t="inlineStr">
        <is>
          <t>AMR2</t>
        </is>
      </c>
      <c r="U673" s="31" t="n">
        <v>48.3</v>
      </c>
      <c r="V673" s="31" t="n">
        <v>48.3</v>
      </c>
      <c r="W673" s="30" t="inlineStr">
        <is>
          <t>AMR3</t>
        </is>
      </c>
      <c r="X673" s="32" t="n">
        <v>0</v>
      </c>
      <c r="Y673" s="32" t="n">
        <v>0</v>
      </c>
      <c r="Z673" s="31" t="n">
        <v>0</v>
      </c>
      <c r="AA673" s="32" t="n">
        <v>0</v>
      </c>
      <c r="AB673" s="32" t="n">
        <v>0</v>
      </c>
      <c r="AC673" s="32" t="n">
        <v>0</v>
      </c>
      <c r="AD673" s="32" t="n">
        <v>1</v>
      </c>
      <c r="AE673" s="31" t="n">
        <v>1</v>
      </c>
      <c r="AF673" s="32" t="n">
        <v>0</v>
      </c>
      <c r="AG673" s="31" t="n">
        <v>0</v>
      </c>
      <c r="AH673" s="32" t="n">
        <v>69</v>
      </c>
      <c r="AI673" s="31" t="n">
        <v>67.90000000000001</v>
      </c>
      <c r="AJ673" s="31" t="n">
        <v>43.9</v>
      </c>
      <c r="AK673" s="31" t="n">
        <v>1</v>
      </c>
      <c r="AL673" s="30" t="inlineStr">
        <is>
          <t>T-0821</t>
        </is>
      </c>
      <c r="AM673" s="30" t="inlineStr">
        <is>
          <t>A-05-01</t>
        </is>
      </c>
      <c r="AN673" s="30" t="inlineStr">
        <is>
          <t>T-0708</t>
        </is>
      </c>
      <c r="AO673" s="30" t="inlineStr">
        <is>
          <t>A-04-01</t>
        </is>
      </c>
    </row>
    <row r="674">
      <c r="A674" s="30" t="inlineStr">
        <is>
          <t>O0673</t>
        </is>
      </c>
      <c r="B674" s="30" t="inlineStr">
        <is>
          <t>D</t>
        </is>
      </c>
      <c r="C674" s="31" t="n">
        <v>9296.4</v>
      </c>
      <c r="D674" s="31" t="n">
        <v>24541.3</v>
      </c>
      <c r="E674" s="31" t="n">
        <v>24573.8</v>
      </c>
      <c r="F674" s="31" t="n">
        <v>24584.4</v>
      </c>
      <c r="G674" s="31" t="n">
        <v>24604.8</v>
      </c>
      <c r="H674" s="31" t="n">
        <v>24604.9</v>
      </c>
      <c r="I674" s="31" t="n">
        <v>24617.1</v>
      </c>
      <c r="J674" s="31" t="n">
        <v>24654.8</v>
      </c>
      <c r="K674" s="31" t="n">
        <v>15358.4</v>
      </c>
      <c r="L674" s="31" t="n">
        <v>15244.9</v>
      </c>
      <c r="M674" s="30" t="inlineStr">
        <is>
          <t>AMR2</t>
        </is>
      </c>
      <c r="N674" s="30" t="inlineStr">
        <is>
          <t>AMR2</t>
        </is>
      </c>
      <c r="O674" s="32" t="n">
        <v>1</v>
      </c>
      <c r="P674" s="32" t="n">
        <v>25</v>
      </c>
      <c r="Q674" s="32" t="n">
        <v>0</v>
      </c>
      <c r="R674" s="31" t="n">
        <v>51.8</v>
      </c>
      <c r="S674" s="31" t="n">
        <v>51.8</v>
      </c>
      <c r="T674" s="30" t="inlineStr">
        <is>
          <t>AMR2</t>
        </is>
      </c>
      <c r="U674" s="31" t="n">
        <v>41.1</v>
      </c>
      <c r="V674" s="31" t="n">
        <v>41.1</v>
      </c>
      <c r="W674" s="30" t="inlineStr">
        <is>
          <t>AMR2</t>
        </is>
      </c>
      <c r="X674" s="32" t="n">
        <v>0</v>
      </c>
      <c r="Y674" s="32" t="n">
        <v>0</v>
      </c>
      <c r="Z674" s="31" t="n">
        <v>0</v>
      </c>
      <c r="AA674" s="32" t="n">
        <v>0</v>
      </c>
      <c r="AB674" s="32" t="n">
        <v>0</v>
      </c>
      <c r="AC674" s="32" t="n">
        <v>0</v>
      </c>
      <c r="AD674" s="32" t="n">
        <v>1</v>
      </c>
      <c r="AE674" s="31" t="n">
        <v>7</v>
      </c>
      <c r="AF674" s="32" t="n">
        <v>2</v>
      </c>
      <c r="AG674" s="31" t="n">
        <v>6</v>
      </c>
      <c r="AH674" s="32" t="n">
        <v>56</v>
      </c>
      <c r="AI674" s="31" t="n">
        <v>57.4</v>
      </c>
      <c r="AJ674" s="31" t="n">
        <v>40</v>
      </c>
      <c r="AK674" s="31" t="n">
        <v>16</v>
      </c>
      <c r="AL674" s="30" t="inlineStr">
        <is>
          <t>T-0819</t>
        </is>
      </c>
      <c r="AM674" s="30" t="inlineStr">
        <is>
          <t>D-03-01</t>
        </is>
      </c>
      <c r="AN674" s="30" t="inlineStr">
        <is>
          <t>T-0547</t>
        </is>
      </c>
      <c r="AO674" s="30" t="inlineStr">
        <is>
          <t>D-04-01</t>
        </is>
      </c>
    </row>
    <row r="675">
      <c r="A675" s="30" t="inlineStr">
        <is>
          <t>O0674</t>
        </is>
      </c>
      <c r="B675" s="30" t="inlineStr">
        <is>
          <t>A</t>
        </is>
      </c>
      <c r="C675" s="31" t="n">
        <v>9300.200000000001</v>
      </c>
      <c r="D675" s="31" t="n">
        <v>24916.7</v>
      </c>
      <c r="E675" s="31" t="n">
        <v>24940.2</v>
      </c>
      <c r="F675" s="31" t="n">
        <v>24951.6</v>
      </c>
      <c r="G675" s="31" t="n">
        <v>24979.5</v>
      </c>
      <c r="H675" s="31" t="n">
        <v>24979.6</v>
      </c>
      <c r="I675" s="31" t="n">
        <v>24989.2</v>
      </c>
      <c r="J675" s="31" t="n">
        <v>25022.2</v>
      </c>
      <c r="K675" s="31" t="n">
        <v>15722</v>
      </c>
      <c r="L675" s="31" t="n">
        <v>15616.5</v>
      </c>
      <c r="M675" s="30" t="inlineStr">
        <is>
          <t>AMR1</t>
        </is>
      </c>
      <c r="N675" s="30" t="inlineStr">
        <is>
          <t>AMR1</t>
        </is>
      </c>
      <c r="O675" s="32" t="n">
        <v>1</v>
      </c>
      <c r="P675" s="32" t="n">
        <v>25</v>
      </c>
      <c r="Q675" s="32" t="n">
        <v>1</v>
      </c>
      <c r="R675" s="31" t="n">
        <v>59.3</v>
      </c>
      <c r="S675" s="31" t="n">
        <v>59.3</v>
      </c>
      <c r="T675" s="30" t="inlineStr">
        <is>
          <t>AMR1</t>
        </is>
      </c>
      <c r="U675" s="31" t="n">
        <v>43.2</v>
      </c>
      <c r="V675" s="31" t="n">
        <v>43.2</v>
      </c>
      <c r="W675" s="30" t="inlineStr">
        <is>
          <t>AMR1</t>
        </is>
      </c>
      <c r="X675" s="32" t="n">
        <v>0</v>
      </c>
      <c r="Y675" s="32" t="n">
        <v>0</v>
      </c>
      <c r="Z675" s="31" t="n">
        <v>0</v>
      </c>
      <c r="AA675" s="32" t="n">
        <v>0</v>
      </c>
      <c r="AB675" s="32" t="n">
        <v>0</v>
      </c>
      <c r="AC675" s="32" t="n">
        <v>0</v>
      </c>
      <c r="AD675" s="32" t="n">
        <v>0</v>
      </c>
      <c r="AE675" s="31" t="n">
        <v>0</v>
      </c>
      <c r="AF675" s="32" t="n">
        <v>0</v>
      </c>
      <c r="AG675" s="31" t="n">
        <v>0</v>
      </c>
      <c r="AH675" s="32" t="n">
        <v>72</v>
      </c>
      <c r="AI675" s="31" t="n">
        <v>70.3</v>
      </c>
      <c r="AJ675" s="31" t="n">
        <v>35.1</v>
      </c>
      <c r="AK675" s="31" t="n">
        <v>0</v>
      </c>
      <c r="AL675" s="30" t="inlineStr">
        <is>
          <t>T-0829</t>
        </is>
      </c>
      <c r="AM675" s="30" t="inlineStr">
        <is>
          <t>A-01-02</t>
        </is>
      </c>
      <c r="AN675" s="30" t="inlineStr">
        <is>
          <t>T-0703</t>
        </is>
      </c>
      <c r="AO675" s="30" t="inlineStr">
        <is>
          <t>A-03-02</t>
        </is>
      </c>
    </row>
    <row r="676">
      <c r="A676" s="30" t="inlineStr">
        <is>
          <t>O0675</t>
        </is>
      </c>
      <c r="B676" s="30" t="inlineStr">
        <is>
          <t>H</t>
        </is>
      </c>
      <c r="C676" s="31" t="n">
        <v>9305.299999999999</v>
      </c>
      <c r="D676" s="31" t="n">
        <v>24769.3</v>
      </c>
      <c r="E676" s="31" t="n">
        <v>24792.8</v>
      </c>
      <c r="F676" s="31" t="n">
        <v>24806.6</v>
      </c>
      <c r="G676" s="31" t="n">
        <v>24831.6</v>
      </c>
      <c r="H676" s="31" t="n">
        <v>25022.3</v>
      </c>
      <c r="I676" s="31" t="n">
        <v>25046.6</v>
      </c>
      <c r="J676" s="31" t="n">
        <v>25074.6</v>
      </c>
      <c r="K676" s="31" t="n">
        <v>15769.3</v>
      </c>
      <c r="L676" s="31" t="n">
        <v>15464</v>
      </c>
      <c r="M676" s="30" t="inlineStr">
        <is>
          <t>AMR2</t>
        </is>
      </c>
      <c r="N676" s="30" t="inlineStr">
        <is>
          <t>AMR1</t>
        </is>
      </c>
      <c r="O676" s="32" t="n">
        <v>1</v>
      </c>
      <c r="P676" s="32" t="n">
        <v>25</v>
      </c>
      <c r="Q676" s="32" t="n">
        <v>14</v>
      </c>
      <c r="R676" s="31" t="n">
        <v>60.5</v>
      </c>
      <c r="S676" s="31" t="n">
        <v>60.5</v>
      </c>
      <c r="T676" s="30" t="inlineStr">
        <is>
          <t>AMR2</t>
        </is>
      </c>
      <c r="U676" s="31" t="n">
        <v>52.5</v>
      </c>
      <c r="V676" s="31" t="n">
        <v>52.5</v>
      </c>
      <c r="W676" s="30" t="inlineStr">
        <is>
          <t>AMR1</t>
        </is>
      </c>
      <c r="X676" s="32" t="n">
        <v>0</v>
      </c>
      <c r="Y676" s="32" t="n">
        <v>0</v>
      </c>
      <c r="Z676" s="31" t="n">
        <v>0</v>
      </c>
      <c r="AA676" s="32" t="n">
        <v>0</v>
      </c>
      <c r="AB676" s="32" t="n">
        <v>0</v>
      </c>
      <c r="AC676" s="32" t="n">
        <v>0</v>
      </c>
      <c r="AD676" s="32" t="n">
        <v>0</v>
      </c>
      <c r="AE676" s="31" t="n">
        <v>0</v>
      </c>
      <c r="AF676" s="32" t="n">
        <v>0</v>
      </c>
      <c r="AG676" s="31" t="n">
        <v>0</v>
      </c>
      <c r="AH676" s="32" t="n">
        <v>65</v>
      </c>
      <c r="AI676" s="31" t="n">
        <v>67.5</v>
      </c>
      <c r="AJ676" s="31" t="n">
        <v>47.1</v>
      </c>
      <c r="AK676" s="31" t="n">
        <v>0</v>
      </c>
      <c r="AL676" s="30" t="inlineStr">
        <is>
          <t>T-0824</t>
        </is>
      </c>
      <c r="AM676" s="30" t="inlineStr">
        <is>
          <t>H-01-01</t>
        </is>
      </c>
      <c r="AN676" s="30" t="inlineStr">
        <is>
          <t>T-0686</t>
        </is>
      </c>
      <c r="AO676" s="30" t="inlineStr">
        <is>
          <t>H-02-03</t>
        </is>
      </c>
    </row>
    <row r="677">
      <c r="A677" s="30" t="inlineStr">
        <is>
          <t>O0676</t>
        </is>
      </c>
      <c r="B677" s="30" t="inlineStr">
        <is>
          <t>E</t>
        </is>
      </c>
      <c r="C677" s="31" t="n">
        <v>9310.6</v>
      </c>
      <c r="D677" s="31" t="n">
        <v>24671.8</v>
      </c>
      <c r="E677" s="31" t="n">
        <v>24702.3</v>
      </c>
      <c r="F677" s="31" t="n">
        <v>24715.8</v>
      </c>
      <c r="G677" s="31" t="n">
        <v>24743.1</v>
      </c>
      <c r="H677" s="31" t="n">
        <v>25110.3</v>
      </c>
      <c r="I677" s="31" t="n">
        <v>25121.4</v>
      </c>
      <c r="J677" s="31" t="n">
        <v>25152.6</v>
      </c>
      <c r="K677" s="31" t="n">
        <v>15842</v>
      </c>
      <c r="L677" s="31" t="n">
        <v>15361.2</v>
      </c>
      <c r="M677" s="30" t="inlineStr">
        <is>
          <t>AMR3</t>
        </is>
      </c>
      <c r="N677" s="30" t="inlineStr">
        <is>
          <t>AMR2</t>
        </is>
      </c>
      <c r="O677" s="32" t="n">
        <v>1</v>
      </c>
      <c r="P677" s="32" t="n">
        <v>25</v>
      </c>
      <c r="Q677" s="32" t="n">
        <v>1</v>
      </c>
      <c r="R677" s="31" t="n">
        <v>62.4</v>
      </c>
      <c r="S677" s="31" t="n">
        <v>62.4</v>
      </c>
      <c r="T677" s="30" t="inlineStr">
        <is>
          <t>AMR3</t>
        </is>
      </c>
      <c r="U677" s="31" t="n">
        <v>43</v>
      </c>
      <c r="V677" s="31" t="n">
        <v>43</v>
      </c>
      <c r="W677" s="30" t="inlineStr">
        <is>
          <t>AMR2</t>
        </is>
      </c>
      <c r="X677" s="32" t="n">
        <v>0</v>
      </c>
      <c r="Y677" s="32" t="n">
        <v>0</v>
      </c>
      <c r="Z677" s="31" t="n">
        <v>0</v>
      </c>
      <c r="AA677" s="32" t="n">
        <v>0</v>
      </c>
      <c r="AB677" s="32" t="n">
        <v>0</v>
      </c>
      <c r="AC677" s="32" t="n">
        <v>0</v>
      </c>
      <c r="AD677" s="32" t="n">
        <v>0</v>
      </c>
      <c r="AE677" s="31" t="n">
        <v>0</v>
      </c>
      <c r="AF677" s="32" t="n">
        <v>1</v>
      </c>
      <c r="AG677" s="31" t="n">
        <v>2</v>
      </c>
      <c r="AH677" s="32" t="n">
        <v>66</v>
      </c>
      <c r="AI677" s="31" t="n">
        <v>65.40000000000001</v>
      </c>
      <c r="AJ677" s="31" t="n">
        <v>41.2</v>
      </c>
      <c r="AK677" s="31" t="n">
        <v>7</v>
      </c>
      <c r="AL677" s="30" t="inlineStr">
        <is>
          <t>T-0822</t>
        </is>
      </c>
      <c r="AM677" s="30" t="inlineStr">
        <is>
          <t>E-01-02</t>
        </is>
      </c>
      <c r="AN677" s="30" t="inlineStr">
        <is>
          <t>T-0693</t>
        </is>
      </c>
      <c r="AO677" s="30" t="inlineStr">
        <is>
          <t>E-02-02</t>
        </is>
      </c>
    </row>
    <row r="678">
      <c r="A678" s="30" t="inlineStr">
        <is>
          <t>O0677</t>
        </is>
      </c>
      <c r="B678" s="30" t="inlineStr">
        <is>
          <t>D</t>
        </is>
      </c>
      <c r="C678" s="31" t="n">
        <v>9314.9</v>
      </c>
      <c r="D678" s="31" t="n">
        <v>24694.5</v>
      </c>
      <c r="E678" s="31" t="n">
        <v>24726</v>
      </c>
      <c r="F678" s="31" t="n">
        <v>24740.8</v>
      </c>
      <c r="G678" s="31" t="n">
        <v>24765.2</v>
      </c>
      <c r="H678" s="31" t="n">
        <v>24765.3</v>
      </c>
      <c r="I678" s="31" t="n">
        <v>24777.7</v>
      </c>
      <c r="J678" s="31" t="n">
        <v>24812.9</v>
      </c>
      <c r="K678" s="31" t="n">
        <v>15498</v>
      </c>
      <c r="L678" s="31" t="n">
        <v>15379.6</v>
      </c>
      <c r="M678" s="30" t="inlineStr">
        <is>
          <t>AMR1</t>
        </is>
      </c>
      <c r="N678" s="30" t="inlineStr">
        <is>
          <t>AMR1</t>
        </is>
      </c>
      <c r="O678" s="32" t="n">
        <v>1</v>
      </c>
      <c r="P678" s="32" t="n">
        <v>25</v>
      </c>
      <c r="Q678" s="32" t="n">
        <v>1</v>
      </c>
      <c r="R678" s="31" t="n">
        <v>59.2</v>
      </c>
      <c r="S678" s="31" t="n">
        <v>59.2</v>
      </c>
      <c r="T678" s="30" t="inlineStr">
        <is>
          <t>AMR1</t>
        </is>
      </c>
      <c r="U678" s="31" t="n">
        <v>42.7</v>
      </c>
      <c r="V678" s="31" t="n">
        <v>42.7</v>
      </c>
      <c r="W678" s="30" t="inlineStr">
        <is>
          <t>AMR1</t>
        </is>
      </c>
      <c r="X678" s="32" t="n">
        <v>0</v>
      </c>
      <c r="Y678" s="32" t="n">
        <v>0</v>
      </c>
      <c r="Z678" s="31" t="n">
        <v>0</v>
      </c>
      <c r="AA678" s="32" t="n">
        <v>0</v>
      </c>
      <c r="AB678" s="32" t="n">
        <v>0</v>
      </c>
      <c r="AC678" s="32" t="n">
        <v>0</v>
      </c>
      <c r="AD678" s="32" t="n">
        <v>1</v>
      </c>
      <c r="AE678" s="31" t="n">
        <v>3</v>
      </c>
      <c r="AF678" s="32" t="n">
        <v>1</v>
      </c>
      <c r="AG678" s="31" t="n">
        <v>3</v>
      </c>
      <c r="AH678" s="32" t="n">
        <v>58</v>
      </c>
      <c r="AI678" s="31" t="n">
        <v>59</v>
      </c>
      <c r="AJ678" s="31" t="n">
        <v>48.3</v>
      </c>
      <c r="AK678" s="31" t="n">
        <v>11</v>
      </c>
      <c r="AL678" s="30" t="inlineStr">
        <is>
          <t>T-0823</t>
        </is>
      </c>
      <c r="AM678" s="30" t="inlineStr">
        <is>
          <t>D-04-01</t>
        </is>
      </c>
      <c r="AN678" s="30" t="inlineStr">
        <is>
          <t>T-0579</t>
        </is>
      </c>
      <c r="AO678" s="30" t="inlineStr">
        <is>
          <t>D-06-01</t>
        </is>
      </c>
    </row>
    <row r="679">
      <c r="A679" s="30" t="inlineStr">
        <is>
          <t>O0678</t>
        </is>
      </c>
      <c r="B679" s="30" t="inlineStr">
        <is>
          <t>D</t>
        </is>
      </c>
      <c r="C679" s="31" t="n">
        <v>9319</v>
      </c>
      <c r="D679" s="31" t="n">
        <v>24793.6</v>
      </c>
      <c r="E679" s="31" t="n">
        <v>24817.1</v>
      </c>
      <c r="F679" s="31" t="n">
        <v>24828.2</v>
      </c>
      <c r="G679" s="31" t="n">
        <v>24851.4</v>
      </c>
      <c r="H679" s="31" t="n">
        <v>24851.5</v>
      </c>
      <c r="I679" s="31" t="n">
        <v>24863.3</v>
      </c>
      <c r="J679" s="31" t="n">
        <v>24892.9</v>
      </c>
      <c r="K679" s="31" t="n">
        <v>15573.9</v>
      </c>
      <c r="L679" s="31" t="n">
        <v>15474.6</v>
      </c>
      <c r="M679" s="30" t="inlineStr">
        <is>
          <t>AMR3</t>
        </is>
      </c>
      <c r="N679" s="30" t="inlineStr">
        <is>
          <t>AMR3</t>
        </is>
      </c>
      <c r="O679" s="32" t="n">
        <v>1</v>
      </c>
      <c r="P679" s="32" t="n">
        <v>25</v>
      </c>
      <c r="Q679" s="32" t="n">
        <v>2</v>
      </c>
      <c r="R679" s="31" t="n">
        <v>53.5</v>
      </c>
      <c r="S679" s="31" t="n">
        <v>53.5</v>
      </c>
      <c r="T679" s="30" t="inlineStr">
        <is>
          <t>AMR3</t>
        </is>
      </c>
      <c r="U679" s="31" t="n">
        <v>40.9</v>
      </c>
      <c r="V679" s="31" t="n">
        <v>40.9</v>
      </c>
      <c r="W679" s="30" t="inlineStr">
        <is>
          <t>AMR3</t>
        </is>
      </c>
      <c r="X679" s="32" t="n">
        <v>0</v>
      </c>
      <c r="Y679" s="32" t="n">
        <v>0</v>
      </c>
      <c r="Z679" s="31" t="n">
        <v>0</v>
      </c>
      <c r="AA679" s="32" t="n">
        <v>0</v>
      </c>
      <c r="AB679" s="32" t="n">
        <v>0</v>
      </c>
      <c r="AC679" s="32" t="n">
        <v>0</v>
      </c>
      <c r="AD679" s="32" t="n">
        <v>0</v>
      </c>
      <c r="AE679" s="31" t="n">
        <v>0</v>
      </c>
      <c r="AF679" s="32" t="n">
        <v>0</v>
      </c>
      <c r="AG679" s="31" t="n">
        <v>0</v>
      </c>
      <c r="AH679" s="32" t="n">
        <v>58</v>
      </c>
      <c r="AI679" s="31" t="n">
        <v>59.1</v>
      </c>
      <c r="AJ679" s="31" t="n">
        <v>40.1</v>
      </c>
      <c r="AK679" s="31" t="n">
        <v>0</v>
      </c>
      <c r="AL679" s="30" t="inlineStr">
        <is>
          <t>T-0825</t>
        </is>
      </c>
      <c r="AM679" s="30" t="inlineStr">
        <is>
          <t>D-06-01</t>
        </is>
      </c>
      <c r="AN679" s="30" t="inlineStr">
        <is>
          <t>T-0589</t>
        </is>
      </c>
      <c r="AO679" s="30" t="inlineStr">
        <is>
          <t>D-05-01</t>
        </is>
      </c>
    </row>
    <row r="680">
      <c r="A680" s="30" t="inlineStr">
        <is>
          <t>O0679</t>
        </is>
      </c>
      <c r="B680" s="30" t="inlineStr">
        <is>
          <t>C</t>
        </is>
      </c>
      <c r="C680" s="31" t="n">
        <v>9324.799999999999</v>
      </c>
      <c r="D680" s="31" t="n">
        <v>24813</v>
      </c>
      <c r="E680" s="31" t="n">
        <v>24841.5</v>
      </c>
      <c r="F680" s="31" t="n">
        <v>24856</v>
      </c>
      <c r="G680" s="31" t="n">
        <v>24879.2</v>
      </c>
      <c r="H680" s="31" t="n">
        <v>24879.3</v>
      </c>
      <c r="I680" s="31" t="n">
        <v>24890.7</v>
      </c>
      <c r="J680" s="31" t="n">
        <v>24916.6</v>
      </c>
      <c r="K680" s="31" t="n">
        <v>15591.8</v>
      </c>
      <c r="L680" s="31" t="n">
        <v>15488.2</v>
      </c>
      <c r="M680" s="30" t="inlineStr">
        <is>
          <t>AMR1</t>
        </is>
      </c>
      <c r="N680" s="30" t="inlineStr">
        <is>
          <t>AMR1</t>
        </is>
      </c>
      <c r="O680" s="32" t="n">
        <v>1</v>
      </c>
      <c r="P680" s="32" t="n">
        <v>25</v>
      </c>
      <c r="Q680" s="32" t="n">
        <v>0</v>
      </c>
      <c r="R680" s="31" t="n">
        <v>58.5</v>
      </c>
      <c r="S680" s="31" t="n">
        <v>58.5</v>
      </c>
      <c r="T680" s="30" t="inlineStr">
        <is>
          <t>AMR1</t>
        </is>
      </c>
      <c r="U680" s="31" t="n">
        <v>36.6</v>
      </c>
      <c r="V680" s="31" t="n">
        <v>36.6</v>
      </c>
      <c r="W680" s="30" t="inlineStr">
        <is>
          <t>AMR1</t>
        </is>
      </c>
      <c r="X680" s="32" t="n">
        <v>0</v>
      </c>
      <c r="Y680" s="32" t="n">
        <v>0</v>
      </c>
      <c r="Z680" s="31" t="n">
        <v>0</v>
      </c>
      <c r="AA680" s="32" t="n">
        <v>0</v>
      </c>
      <c r="AB680" s="32" t="n">
        <v>0</v>
      </c>
      <c r="AC680" s="32" t="n">
        <v>0</v>
      </c>
      <c r="AD680" s="32" t="n">
        <v>0</v>
      </c>
      <c r="AE680" s="31" t="n">
        <v>0</v>
      </c>
      <c r="AF680" s="32" t="n">
        <v>0</v>
      </c>
      <c r="AG680" s="31" t="n">
        <v>0</v>
      </c>
      <c r="AH680" s="32" t="n">
        <v>54</v>
      </c>
      <c r="AI680" s="31" t="n">
        <v>55.8</v>
      </c>
      <c r="AJ680" s="31" t="n">
        <v>42.7</v>
      </c>
      <c r="AK680" s="31" t="n">
        <v>5</v>
      </c>
      <c r="AL680" s="30" t="inlineStr">
        <is>
          <t>T-0826</t>
        </is>
      </c>
      <c r="AM680" s="30" t="inlineStr">
        <is>
          <t>C-03-01</t>
        </is>
      </c>
      <c r="AN680" s="30" t="inlineStr">
        <is>
          <t>T-0674</t>
        </is>
      </c>
      <c r="AO680" s="30" t="inlineStr">
        <is>
          <t>C-06-01</t>
        </is>
      </c>
    </row>
    <row r="681">
      <c r="A681" s="30" t="inlineStr">
        <is>
          <t>O0680</t>
        </is>
      </c>
      <c r="B681" s="30" t="inlineStr">
        <is>
          <t>G</t>
        </is>
      </c>
      <c r="C681" s="31" t="n">
        <v>9331.5</v>
      </c>
      <c r="D681" s="31" t="n">
        <v>24831.7</v>
      </c>
      <c r="E681" s="31" t="n">
        <v>24855.7</v>
      </c>
      <c r="F681" s="31" t="n">
        <v>24866.9</v>
      </c>
      <c r="G681" s="31" t="n">
        <v>24895</v>
      </c>
      <c r="H681" s="31" t="n">
        <v>24895.1</v>
      </c>
      <c r="I681" s="31" t="n">
        <v>24908.5</v>
      </c>
      <c r="J681" s="31" t="n">
        <v>24937</v>
      </c>
      <c r="K681" s="31" t="n">
        <v>15605.5</v>
      </c>
      <c r="L681" s="31" t="n">
        <v>15500.2</v>
      </c>
      <c r="M681" s="30" t="inlineStr">
        <is>
          <t>AMR2</t>
        </is>
      </c>
      <c r="N681" s="30" t="inlineStr">
        <is>
          <t>AMR2</t>
        </is>
      </c>
      <c r="O681" s="32" t="n">
        <v>1</v>
      </c>
      <c r="P681" s="32" t="n">
        <v>14</v>
      </c>
      <c r="Q681" s="32" t="n">
        <v>1</v>
      </c>
      <c r="R681" s="31" t="n">
        <v>52.1</v>
      </c>
      <c r="S681" s="31" t="n">
        <v>52.1</v>
      </c>
      <c r="T681" s="30" t="inlineStr">
        <is>
          <t>AMR2</t>
        </is>
      </c>
      <c r="U681" s="31" t="n">
        <v>40.6</v>
      </c>
      <c r="V681" s="31" t="n">
        <v>40.6</v>
      </c>
      <c r="W681" s="30" t="inlineStr">
        <is>
          <t>AMR2</t>
        </is>
      </c>
      <c r="X681" s="32" t="n">
        <v>0</v>
      </c>
      <c r="Y681" s="32" t="n">
        <v>0</v>
      </c>
      <c r="Z681" s="31" t="n">
        <v>0</v>
      </c>
      <c r="AA681" s="32" t="n">
        <v>0</v>
      </c>
      <c r="AB681" s="32" t="n">
        <v>0</v>
      </c>
      <c r="AC681" s="32" t="n">
        <v>0</v>
      </c>
      <c r="AD681" s="32" t="n">
        <v>0</v>
      </c>
      <c r="AE681" s="31" t="n">
        <v>0</v>
      </c>
      <c r="AF681" s="32" t="n">
        <v>1</v>
      </c>
      <c r="AG681" s="31" t="n">
        <v>5</v>
      </c>
      <c r="AH681" s="32" t="n">
        <v>47</v>
      </c>
      <c r="AI681" s="31" t="n">
        <v>50.9</v>
      </c>
      <c r="AJ681" s="31" t="n">
        <v>44.3</v>
      </c>
      <c r="AK681" s="31" t="n">
        <v>10</v>
      </c>
      <c r="AL681" s="30" t="inlineStr">
        <is>
          <t>T-0827</t>
        </is>
      </c>
      <c r="AM681" s="30" t="inlineStr">
        <is>
          <t>G-04-01</t>
        </is>
      </c>
      <c r="AN681" s="30" t="inlineStr">
        <is>
          <t>T-0655</t>
        </is>
      </c>
      <c r="AO681" s="30" t="inlineStr">
        <is>
          <t>G-03-02</t>
        </is>
      </c>
    </row>
    <row r="682">
      <c r="A682" s="30" t="inlineStr">
        <is>
          <t>O0681</t>
        </is>
      </c>
      <c r="B682" s="30" t="inlineStr">
        <is>
          <t>H</t>
        </is>
      </c>
      <c r="C682" s="31" t="n">
        <v>9337.299999999999</v>
      </c>
      <c r="D682" s="31" t="n">
        <v>24893</v>
      </c>
      <c r="E682" s="31" t="n">
        <v>24916.5</v>
      </c>
      <c r="F682" s="31" t="n">
        <v>24926.9</v>
      </c>
      <c r="G682" s="31" t="n">
        <v>24948.8</v>
      </c>
      <c r="H682" s="31" t="n">
        <v>24948.9</v>
      </c>
      <c r="I682" s="31" t="n">
        <v>24964.5</v>
      </c>
      <c r="J682" s="31" t="n">
        <v>24988</v>
      </c>
      <c r="K682" s="31" t="n">
        <v>15650.7</v>
      </c>
      <c r="L682" s="31" t="n">
        <v>15555.7</v>
      </c>
      <c r="M682" s="30" t="inlineStr">
        <is>
          <t>AMR3</t>
        </is>
      </c>
      <c r="N682" s="30" t="inlineStr">
        <is>
          <t>AMR3</t>
        </is>
      </c>
      <c r="O682" s="32" t="n">
        <v>1</v>
      </c>
      <c r="P682" s="32" t="n">
        <v>25</v>
      </c>
      <c r="Q682" s="32" t="n">
        <v>2</v>
      </c>
      <c r="R682" s="31" t="n">
        <v>54.8</v>
      </c>
      <c r="S682" s="31" t="n">
        <v>50</v>
      </c>
      <c r="T682" s="30" t="inlineStr">
        <is>
          <t>AMR2</t>
        </is>
      </c>
      <c r="U682" s="31" t="n">
        <v>38.3</v>
      </c>
      <c r="V682" s="31" t="n">
        <v>38.3</v>
      </c>
      <c r="W682" s="30" t="inlineStr">
        <is>
          <t>AMR3</t>
        </is>
      </c>
      <c r="X682" s="32" t="n">
        <v>1</v>
      </c>
      <c r="Y682" s="32" t="n">
        <v>9</v>
      </c>
      <c r="Z682" s="31" t="n">
        <v>4.8</v>
      </c>
      <c r="AA682" s="32" t="n">
        <v>0</v>
      </c>
      <c r="AB682" s="32" t="n">
        <v>0</v>
      </c>
      <c r="AC682" s="32" t="n">
        <v>0</v>
      </c>
      <c r="AD682" s="32" t="n">
        <v>0</v>
      </c>
      <c r="AE682" s="31" t="n">
        <v>0</v>
      </c>
      <c r="AF682" s="32" t="n">
        <v>0</v>
      </c>
      <c r="AG682" s="31" t="n">
        <v>0</v>
      </c>
      <c r="AH682" s="32" t="n">
        <v>54</v>
      </c>
      <c r="AI682" s="31" t="n">
        <v>56.1</v>
      </c>
      <c r="AJ682" s="31" t="n">
        <v>38.8</v>
      </c>
      <c r="AK682" s="31" t="n">
        <v>0</v>
      </c>
      <c r="AL682" s="30" t="inlineStr">
        <is>
          <t>T-0828</t>
        </is>
      </c>
      <c r="AM682" s="30" t="inlineStr">
        <is>
          <t>H-06-02</t>
        </is>
      </c>
      <c r="AN682" s="30" t="inlineStr">
        <is>
          <t>T-0683</t>
        </is>
      </c>
      <c r="AO682" s="30" t="inlineStr">
        <is>
          <t>H-01-03</t>
        </is>
      </c>
    </row>
    <row r="683">
      <c r="A683" s="30" t="inlineStr">
        <is>
          <t>O0682</t>
        </is>
      </c>
      <c r="B683" s="30" t="inlineStr">
        <is>
          <t>D</t>
        </is>
      </c>
      <c r="C683" s="31" t="n">
        <v>9341</v>
      </c>
      <c r="D683" s="31" t="n">
        <v>24937.1</v>
      </c>
      <c r="E683" s="31" t="n">
        <v>24964.6</v>
      </c>
      <c r="F683" s="31" t="n">
        <v>24979.3</v>
      </c>
      <c r="G683" s="31" t="n">
        <v>25003.1</v>
      </c>
      <c r="H683" s="31" t="n">
        <v>25003.2</v>
      </c>
      <c r="I683" s="31" t="n">
        <v>25014.7</v>
      </c>
      <c r="J683" s="31" t="n">
        <v>25041</v>
      </c>
      <c r="K683" s="31" t="n">
        <v>15700</v>
      </c>
      <c r="L683" s="31" t="n">
        <v>15596.1</v>
      </c>
      <c r="M683" s="30" t="inlineStr">
        <is>
          <t>AMR2</t>
        </is>
      </c>
      <c r="N683" s="30" t="inlineStr">
        <is>
          <t>AMR2</t>
        </is>
      </c>
      <c r="O683" s="32" t="n">
        <v>1</v>
      </c>
      <c r="P683" s="32" t="n">
        <v>25</v>
      </c>
      <c r="Q683" s="32" t="n">
        <v>1</v>
      </c>
      <c r="R683" s="31" t="n">
        <v>58.5</v>
      </c>
      <c r="S683" s="31" t="n">
        <v>58.5</v>
      </c>
      <c r="T683" s="30" t="inlineStr">
        <is>
          <t>AMR2</t>
        </is>
      </c>
      <c r="U683" s="31" t="n">
        <v>37.5</v>
      </c>
      <c r="V683" s="31" t="n">
        <v>37.5</v>
      </c>
      <c r="W683" s="30" t="inlineStr">
        <is>
          <t>AMR2</t>
        </is>
      </c>
      <c r="X683" s="32" t="n">
        <v>0</v>
      </c>
      <c r="Y683" s="32" t="n">
        <v>0</v>
      </c>
      <c r="Z683" s="31" t="n">
        <v>0</v>
      </c>
      <c r="AA683" s="32" t="n">
        <v>0</v>
      </c>
      <c r="AB683" s="32" t="n">
        <v>0</v>
      </c>
      <c r="AC683" s="32" t="n">
        <v>0</v>
      </c>
      <c r="AD683" s="32" t="n">
        <v>0</v>
      </c>
      <c r="AE683" s="31" t="n">
        <v>0</v>
      </c>
      <c r="AF683" s="32" t="n">
        <v>0</v>
      </c>
      <c r="AG683" s="31" t="n">
        <v>0</v>
      </c>
      <c r="AH683" s="32" t="n">
        <v>56</v>
      </c>
      <c r="AI683" s="31" t="n">
        <v>57.4</v>
      </c>
      <c r="AJ683" s="31" t="n">
        <v>42.4</v>
      </c>
      <c r="AK683" s="31" t="n">
        <v>4</v>
      </c>
      <c r="AL683" s="30" t="inlineStr">
        <is>
          <t>T-0830</t>
        </is>
      </c>
      <c r="AM683" s="30" t="inlineStr">
        <is>
          <t>D-05-01</t>
        </is>
      </c>
      <c r="AN683" s="30" t="inlineStr">
        <is>
          <t>T-0592</t>
        </is>
      </c>
      <c r="AO683" s="30" t="inlineStr">
        <is>
          <t>D-02-01</t>
        </is>
      </c>
    </row>
    <row r="684">
      <c r="A684" s="30" t="inlineStr">
        <is>
          <t>O0683</t>
        </is>
      </c>
      <c r="B684" s="30" t="inlineStr">
        <is>
          <t>F</t>
        </is>
      </c>
      <c r="C684" s="31" t="n">
        <v>9345.299999999999</v>
      </c>
      <c r="D684" s="31" t="n">
        <v>24988.1</v>
      </c>
      <c r="E684" s="31" t="n">
        <v>25011.6</v>
      </c>
      <c r="F684" s="31" t="n">
        <v>25025.5</v>
      </c>
      <c r="G684" s="31" t="n">
        <v>25057.1</v>
      </c>
      <c r="H684" s="31" t="n">
        <v>25057.2</v>
      </c>
      <c r="I684" s="31" t="n">
        <v>25065.5</v>
      </c>
      <c r="J684" s="31" t="n">
        <v>25098.5</v>
      </c>
      <c r="K684" s="31" t="n">
        <v>15753.2</v>
      </c>
      <c r="L684" s="31" t="n">
        <v>15642.8</v>
      </c>
      <c r="M684" s="30" t="inlineStr">
        <is>
          <t>AMR3</t>
        </is>
      </c>
      <c r="N684" s="30" t="inlineStr">
        <is>
          <t>AMR3</t>
        </is>
      </c>
      <c r="O684" s="32" t="n">
        <v>1</v>
      </c>
      <c r="P684" s="32" t="n">
        <v>25</v>
      </c>
      <c r="Q684" s="32" t="n">
        <v>1</v>
      </c>
      <c r="R684" s="31" t="n">
        <v>65.59999999999999</v>
      </c>
      <c r="S684" s="31" t="n">
        <v>65.59999999999999</v>
      </c>
      <c r="T684" s="30" t="inlineStr">
        <is>
          <t>AMR3</t>
        </is>
      </c>
      <c r="U684" s="31" t="n">
        <v>41.9</v>
      </c>
      <c r="V684" s="31" t="n">
        <v>41.9</v>
      </c>
      <c r="W684" s="30" t="inlineStr">
        <is>
          <t>AMR3</t>
        </is>
      </c>
      <c r="X684" s="32" t="n">
        <v>0</v>
      </c>
      <c r="Y684" s="32" t="n">
        <v>0</v>
      </c>
      <c r="Z684" s="31" t="n">
        <v>0</v>
      </c>
      <c r="AA684" s="32" t="n">
        <v>0</v>
      </c>
      <c r="AB684" s="32" t="n">
        <v>0</v>
      </c>
      <c r="AC684" s="32" t="n">
        <v>0</v>
      </c>
      <c r="AD684" s="32" t="n">
        <v>0</v>
      </c>
      <c r="AE684" s="31" t="n">
        <v>0</v>
      </c>
      <c r="AF684" s="32" t="n">
        <v>0</v>
      </c>
      <c r="AG684" s="31" t="n">
        <v>0</v>
      </c>
      <c r="AH684" s="32" t="n">
        <v>72</v>
      </c>
      <c r="AI684" s="31" t="n">
        <v>70.7</v>
      </c>
      <c r="AJ684" s="31" t="n">
        <v>39.6</v>
      </c>
      <c r="AK684" s="31" t="n">
        <v>0</v>
      </c>
      <c r="AL684" s="30" t="inlineStr">
        <is>
          <t>T-0831</t>
        </is>
      </c>
      <c r="AM684" s="30" t="inlineStr">
        <is>
          <t>F-01-02</t>
        </is>
      </c>
      <c r="AN684" s="30" t="inlineStr">
        <is>
          <t>T-0676</t>
        </is>
      </c>
      <c r="AO684" s="30" t="inlineStr">
        <is>
          <t>F-01-03</t>
        </is>
      </c>
    </row>
    <row r="685">
      <c r="A685" s="30" t="inlineStr">
        <is>
          <t>O0684</t>
        </is>
      </c>
      <c r="B685" s="30" t="inlineStr">
        <is>
          <t>G</t>
        </is>
      </c>
      <c r="C685" s="31" t="n">
        <v>9350.5</v>
      </c>
      <c r="D685" s="31" t="n">
        <v>29169.5</v>
      </c>
      <c r="E685" s="31" t="n">
        <v>29193</v>
      </c>
      <c r="F685" s="31" t="n">
        <v>29216.5</v>
      </c>
      <c r="G685" s="31" t="n">
        <v>29244.8</v>
      </c>
      <c r="H685" s="31" t="n">
        <v>29244.9</v>
      </c>
      <c r="I685" s="31" t="n">
        <v>29258</v>
      </c>
      <c r="J685" s="31" t="n">
        <v>29313.9</v>
      </c>
      <c r="K685" s="31" t="n">
        <v>19963.4</v>
      </c>
      <c r="L685" s="31" t="n">
        <v>19819</v>
      </c>
      <c r="M685" s="30" t="inlineStr">
        <is>
          <t>AMR1</t>
        </is>
      </c>
      <c r="N685" s="30" t="inlineStr">
        <is>
          <t>AMR1</t>
        </is>
      </c>
      <c r="O685" s="32" t="n">
        <v>1</v>
      </c>
      <c r="P685" s="32" t="n">
        <v>25</v>
      </c>
      <c r="Q685" s="32" t="n">
        <v>1</v>
      </c>
      <c r="R685" s="31" t="n">
        <v>73.5</v>
      </c>
      <c r="S685" s="31" t="n">
        <v>73.5</v>
      </c>
      <c r="T685" s="30" t="inlineStr">
        <is>
          <t>AMR1</t>
        </is>
      </c>
      <c r="U685" s="31" t="n">
        <v>39</v>
      </c>
      <c r="V685" s="31" t="n">
        <v>39</v>
      </c>
      <c r="W685" s="30" t="inlineStr">
        <is>
          <t>AMR1</t>
        </is>
      </c>
      <c r="X685" s="32" t="n">
        <v>0</v>
      </c>
      <c r="Y685" s="32" t="n">
        <v>0</v>
      </c>
      <c r="Z685" s="31" t="n">
        <v>0</v>
      </c>
      <c r="AA685" s="32" t="n">
        <v>0</v>
      </c>
      <c r="AB685" s="32" t="n">
        <v>0</v>
      </c>
      <c r="AC685" s="32" t="n">
        <v>0</v>
      </c>
      <c r="AD685" s="32" t="n">
        <v>3</v>
      </c>
      <c r="AE685" s="31" t="n">
        <v>30.7</v>
      </c>
      <c r="AF685" s="32" t="n">
        <v>2</v>
      </c>
      <c r="AG685" s="31" t="n">
        <v>18.7</v>
      </c>
      <c r="AH685" s="32" t="n">
        <v>56</v>
      </c>
      <c r="AI685" s="31" t="n">
        <v>58.4</v>
      </c>
      <c r="AJ685" s="31" t="n">
        <v>55.2</v>
      </c>
      <c r="AK685" s="31" t="n">
        <v>30.7</v>
      </c>
      <c r="AL685" s="30" t="inlineStr">
        <is>
          <t>T-0948</t>
        </is>
      </c>
      <c r="AM685" s="30" t="inlineStr">
        <is>
          <t>G-04-02</t>
        </is>
      </c>
      <c r="AN685" s="30" t="inlineStr">
        <is>
          <t>T-0718</t>
        </is>
      </c>
      <c r="AO685" s="30" t="inlineStr">
        <is>
          <t>G-05-02</t>
        </is>
      </c>
    </row>
    <row r="686">
      <c r="A686" s="30" t="inlineStr">
        <is>
          <t>O0685</t>
        </is>
      </c>
      <c r="B686" s="30" t="inlineStr">
        <is>
          <t>D</t>
        </is>
      </c>
      <c r="C686" s="31" t="n">
        <v>9354</v>
      </c>
      <c r="D686" s="31" t="n">
        <v>25074.7</v>
      </c>
      <c r="E686" s="31" t="n">
        <v>25098.2</v>
      </c>
      <c r="F686" s="31" t="n">
        <v>25113.8</v>
      </c>
      <c r="G686" s="31" t="n">
        <v>25135.1</v>
      </c>
      <c r="H686" s="31" t="n">
        <v>25135.2</v>
      </c>
      <c r="I686" s="31" t="n">
        <v>25148.5</v>
      </c>
      <c r="J686" s="31" t="n">
        <v>25173.5</v>
      </c>
      <c r="K686" s="31" t="n">
        <v>15819.5</v>
      </c>
      <c r="L686" s="31" t="n">
        <v>15720.7</v>
      </c>
      <c r="M686" s="30" t="inlineStr">
        <is>
          <t>AMR1</t>
        </is>
      </c>
      <c r="N686" s="30" t="inlineStr">
        <is>
          <t>AMR1</t>
        </is>
      </c>
      <c r="O686" s="32" t="n">
        <v>1</v>
      </c>
      <c r="P686" s="32" t="n">
        <v>25</v>
      </c>
      <c r="Q686" s="32" t="n">
        <v>1</v>
      </c>
      <c r="R686" s="31" t="n">
        <v>58.5</v>
      </c>
      <c r="S686" s="31" t="n">
        <v>58.5</v>
      </c>
      <c r="T686" s="30" t="inlineStr">
        <is>
          <t>AMR1</t>
        </is>
      </c>
      <c r="U686" s="31" t="n">
        <v>40</v>
      </c>
      <c r="V686" s="31" t="n">
        <v>40</v>
      </c>
      <c r="W686" s="30" t="inlineStr">
        <is>
          <t>AMR1</t>
        </is>
      </c>
      <c r="X686" s="32" t="n">
        <v>0</v>
      </c>
      <c r="Y686" s="32" t="n">
        <v>0</v>
      </c>
      <c r="Z686" s="31" t="n">
        <v>0</v>
      </c>
      <c r="AA686" s="32" t="n">
        <v>0</v>
      </c>
      <c r="AB686" s="32" t="n">
        <v>0</v>
      </c>
      <c r="AC686" s="32" t="n">
        <v>0</v>
      </c>
      <c r="AD686" s="32" t="n">
        <v>0</v>
      </c>
      <c r="AE686" s="31" t="n">
        <v>0</v>
      </c>
      <c r="AF686" s="32" t="n">
        <v>0</v>
      </c>
      <c r="AG686" s="31" t="n">
        <v>0</v>
      </c>
      <c r="AH686" s="32" t="n">
        <v>52</v>
      </c>
      <c r="AI686" s="31" t="n">
        <v>53.8</v>
      </c>
      <c r="AJ686" s="31" t="n">
        <v>44.9</v>
      </c>
      <c r="AK686" s="31" t="n">
        <v>0</v>
      </c>
      <c r="AL686" s="30" t="inlineStr">
        <is>
          <t>T-0833</t>
        </is>
      </c>
      <c r="AM686" s="30" t="inlineStr">
        <is>
          <t>D-02-01</t>
        </is>
      </c>
      <c r="AN686" s="30" t="inlineStr">
        <is>
          <t>T-0642</t>
        </is>
      </c>
      <c r="AO686" s="30" t="inlineStr">
        <is>
          <t>D-01-02</t>
        </is>
      </c>
    </row>
    <row r="687">
      <c r="A687" s="30" t="inlineStr">
        <is>
          <t>O0686</t>
        </is>
      </c>
      <c r="B687" s="30" t="inlineStr">
        <is>
          <t>E</t>
        </is>
      </c>
      <c r="C687" s="31" t="n">
        <v>9359.6</v>
      </c>
      <c r="D687" s="31" t="n">
        <v>25041.1</v>
      </c>
      <c r="E687" s="31" t="n">
        <v>25064.6</v>
      </c>
      <c r="F687" s="31" t="n">
        <v>25078.6</v>
      </c>
      <c r="G687" s="31" t="n">
        <v>25110.2</v>
      </c>
      <c r="H687" s="31" t="n">
        <v>26948.5</v>
      </c>
      <c r="I687" s="31" t="n">
        <v>26967.6</v>
      </c>
      <c r="J687" s="31" t="n">
        <v>27000</v>
      </c>
      <c r="K687" s="31" t="n">
        <v>17640.4</v>
      </c>
      <c r="L687" s="31" t="n">
        <v>15681.5</v>
      </c>
      <c r="M687" s="30" t="inlineStr">
        <is>
          <t>AMR2</t>
        </is>
      </c>
      <c r="N687" s="30" t="inlineStr">
        <is>
          <t>AMR3</t>
        </is>
      </c>
      <c r="O687" s="32" t="n">
        <v>1</v>
      </c>
      <c r="P687" s="32" t="n">
        <v>25</v>
      </c>
      <c r="Q687" s="32" t="n">
        <v>4</v>
      </c>
      <c r="R687" s="31" t="n">
        <v>65.59999999999999</v>
      </c>
      <c r="S687" s="31" t="n">
        <v>65.59999999999999</v>
      </c>
      <c r="T687" s="30" t="inlineStr">
        <is>
          <t>AMR2</t>
        </is>
      </c>
      <c r="U687" s="31" t="n">
        <v>49.2</v>
      </c>
      <c r="V687" s="31" t="n">
        <v>49.2</v>
      </c>
      <c r="W687" s="30" t="inlineStr">
        <is>
          <t>AMR3</t>
        </is>
      </c>
      <c r="X687" s="32" t="n">
        <v>0</v>
      </c>
      <c r="Y687" s="32" t="n">
        <v>0</v>
      </c>
      <c r="Z687" s="31" t="n">
        <v>0</v>
      </c>
      <c r="AA687" s="32" t="n">
        <v>0</v>
      </c>
      <c r="AB687" s="32" t="n">
        <v>0</v>
      </c>
      <c r="AC687" s="32" t="n">
        <v>0</v>
      </c>
      <c r="AD687" s="32" t="n">
        <v>0</v>
      </c>
      <c r="AE687" s="31" t="n">
        <v>0</v>
      </c>
      <c r="AF687" s="32" t="n">
        <v>0</v>
      </c>
      <c r="AG687" s="31" t="n">
        <v>0</v>
      </c>
      <c r="AH687" s="32" t="n">
        <v>75</v>
      </c>
      <c r="AI687" s="31" t="n">
        <v>73.3</v>
      </c>
      <c r="AJ687" s="31" t="n">
        <v>47.3</v>
      </c>
      <c r="AK687" s="31" t="n">
        <v>0</v>
      </c>
      <c r="AL687" s="30" t="inlineStr">
        <is>
          <t>T-0832</t>
        </is>
      </c>
      <c r="AM687" s="30" t="inlineStr">
        <is>
          <t>E-05-01</t>
        </is>
      </c>
      <c r="AN687" s="30" t="inlineStr">
        <is>
          <t>T-0695</t>
        </is>
      </c>
      <c r="AO687" s="30" t="inlineStr">
        <is>
          <t>E-06-03</t>
        </is>
      </c>
    </row>
    <row r="688">
      <c r="A688" s="30" t="inlineStr">
        <is>
          <t>O0687</t>
        </is>
      </c>
      <c r="B688" s="30" t="inlineStr">
        <is>
          <t>A</t>
        </is>
      </c>
      <c r="C688" s="31" t="n">
        <v>9364.799999999999</v>
      </c>
      <c r="D688" s="31" t="n">
        <v>25265.1</v>
      </c>
      <c r="E688" s="31" t="n">
        <v>25288.6</v>
      </c>
      <c r="F688" s="31" t="n">
        <v>25299.8</v>
      </c>
      <c r="G688" s="31" t="n">
        <v>25328.6</v>
      </c>
      <c r="H688" s="31" t="n">
        <v>26115.9</v>
      </c>
      <c r="I688" s="31" t="n">
        <v>26126.2</v>
      </c>
      <c r="J688" s="31" t="n">
        <v>26156.6</v>
      </c>
      <c r="K688" s="31" t="n">
        <v>16791.8</v>
      </c>
      <c r="L688" s="31" t="n">
        <v>15900.3</v>
      </c>
      <c r="M688" s="30" t="inlineStr">
        <is>
          <t>AMR2</t>
        </is>
      </c>
      <c r="N688" s="30" t="inlineStr">
        <is>
          <t>AMR3</t>
        </is>
      </c>
      <c r="O688" s="32" t="n">
        <v>1</v>
      </c>
      <c r="P688" s="32" t="n">
        <v>25</v>
      </c>
      <c r="Q688" s="32" t="n">
        <v>2</v>
      </c>
      <c r="R688" s="31" t="n">
        <v>61.6</v>
      </c>
      <c r="S688" s="31" t="n">
        <v>61</v>
      </c>
      <c r="T688" s="30" t="inlineStr">
        <is>
          <t>AMR3</t>
        </is>
      </c>
      <c r="U688" s="31" t="n">
        <v>44.9</v>
      </c>
      <c r="V688" s="31" t="n">
        <v>44.9</v>
      </c>
      <c r="W688" s="30" t="inlineStr">
        <is>
          <t>AMR3</t>
        </is>
      </c>
      <c r="X688" s="32" t="n">
        <v>1</v>
      </c>
      <c r="Y688" s="32" t="n">
        <v>11</v>
      </c>
      <c r="Z688" s="31" t="n">
        <v>0.6</v>
      </c>
      <c r="AA688" s="32" t="n">
        <v>0</v>
      </c>
      <c r="AB688" s="32" t="n">
        <v>0</v>
      </c>
      <c r="AC688" s="32" t="n">
        <v>0</v>
      </c>
      <c r="AD688" s="32" t="n">
        <v>0</v>
      </c>
      <c r="AE688" s="31" t="n">
        <v>0</v>
      </c>
      <c r="AF688" s="32" t="n">
        <v>0</v>
      </c>
      <c r="AG688" s="31" t="n">
        <v>0</v>
      </c>
      <c r="AH688" s="32" t="n">
        <v>67</v>
      </c>
      <c r="AI688" s="31" t="n">
        <v>65.8</v>
      </c>
      <c r="AJ688" s="31" t="n">
        <v>38.4</v>
      </c>
      <c r="AK688" s="31" t="n">
        <v>0</v>
      </c>
      <c r="AL688" s="30" t="inlineStr">
        <is>
          <t>T-0838</t>
        </is>
      </c>
      <c r="AM688" s="30" t="inlineStr">
        <is>
          <t>A-04-01</t>
        </is>
      </c>
      <c r="AN688" s="30" t="inlineStr">
        <is>
          <t>T-0712</t>
        </is>
      </c>
      <c r="AO688" s="30" t="inlineStr">
        <is>
          <t>A-06-01</t>
        </is>
      </c>
    </row>
    <row r="689">
      <c r="A689" s="30" t="inlineStr">
        <is>
          <t>O0688</t>
        </is>
      </c>
      <c r="B689" s="30" t="inlineStr">
        <is>
          <t>A</t>
        </is>
      </c>
      <c r="C689" s="31" t="n">
        <v>9369.299999999999</v>
      </c>
      <c r="D689" s="31" t="n">
        <v>25098.6</v>
      </c>
      <c r="E689" s="31" t="n">
        <v>25122.1</v>
      </c>
      <c r="F689" s="31" t="n">
        <v>25132.9</v>
      </c>
      <c r="G689" s="31" t="n">
        <v>25160.3</v>
      </c>
      <c r="H689" s="31" t="n">
        <v>28574.6</v>
      </c>
      <c r="I689" s="31" t="n">
        <v>28585.8</v>
      </c>
      <c r="J689" s="31" t="n">
        <v>28627.1</v>
      </c>
      <c r="K689" s="31" t="n">
        <v>19257.8</v>
      </c>
      <c r="L689" s="31" t="n">
        <v>15729.3</v>
      </c>
      <c r="M689" s="30" t="inlineStr">
        <is>
          <t>AMR3</t>
        </is>
      </c>
      <c r="N689" s="30" t="inlineStr">
        <is>
          <t>AMR3</t>
        </is>
      </c>
      <c r="O689" s="32" t="n">
        <v>1</v>
      </c>
      <c r="P689" s="32" t="n">
        <v>25</v>
      </c>
      <c r="Q689" s="32" t="n">
        <v>2</v>
      </c>
      <c r="R689" s="31" t="n">
        <v>59</v>
      </c>
      <c r="S689" s="31" t="n">
        <v>59</v>
      </c>
      <c r="T689" s="30" t="inlineStr">
        <is>
          <t>AMR3</t>
        </is>
      </c>
      <c r="U689" s="31" t="n">
        <v>50</v>
      </c>
      <c r="V689" s="31" t="n">
        <v>50</v>
      </c>
      <c r="W689" s="30" t="inlineStr">
        <is>
          <t>AMR3</t>
        </is>
      </c>
      <c r="X689" s="32" t="n">
        <v>0</v>
      </c>
      <c r="Y689" s="32" t="n">
        <v>0</v>
      </c>
      <c r="Z689" s="31" t="n">
        <v>0</v>
      </c>
      <c r="AA689" s="32" t="n">
        <v>0</v>
      </c>
      <c r="AB689" s="32" t="n">
        <v>0</v>
      </c>
      <c r="AC689" s="32" t="n">
        <v>0</v>
      </c>
      <c r="AD689" s="32" t="n">
        <v>1</v>
      </c>
      <c r="AE689" s="31" t="n">
        <v>4.7</v>
      </c>
      <c r="AF689" s="32" t="n">
        <v>0</v>
      </c>
      <c r="AG689" s="31" t="n">
        <v>0</v>
      </c>
      <c r="AH689" s="32" t="n">
        <v>70</v>
      </c>
      <c r="AI689" s="31" t="n">
        <v>68.59999999999999</v>
      </c>
      <c r="AJ689" s="31" t="n">
        <v>40.9</v>
      </c>
      <c r="AK689" s="31" t="n">
        <v>4.7</v>
      </c>
      <c r="AL689" s="30" t="inlineStr">
        <is>
          <t>T-0834</t>
        </is>
      </c>
      <c r="AM689" s="30" t="inlineStr">
        <is>
          <t>A-03-02</t>
        </is>
      </c>
      <c r="AN689" s="30" t="inlineStr">
        <is>
          <t>T-0726</t>
        </is>
      </c>
      <c r="AO689" s="30" t="inlineStr">
        <is>
          <t>A-05-02</t>
        </is>
      </c>
    </row>
    <row r="690">
      <c r="A690" s="30" t="inlineStr">
        <is>
          <t>O0689</t>
        </is>
      </c>
      <c r="B690" s="30" t="inlineStr">
        <is>
          <t>J</t>
        </is>
      </c>
      <c r="C690" s="31" t="n">
        <v>9373</v>
      </c>
      <c r="D690" s="31" t="n">
        <v>25152.7</v>
      </c>
      <c r="E690" s="31" t="n">
        <v>25176.2</v>
      </c>
      <c r="F690" s="31" t="n">
        <v>25187.1</v>
      </c>
      <c r="G690" s="31" t="n">
        <v>25218.2</v>
      </c>
      <c r="H690" s="31" t="n">
        <v>27890.1</v>
      </c>
      <c r="I690" s="31" t="n">
        <v>27902.6</v>
      </c>
      <c r="J690" s="31" t="n">
        <v>27936.8</v>
      </c>
      <c r="K690" s="31" t="n">
        <v>18563.8</v>
      </c>
      <c r="L690" s="31" t="n">
        <v>15779.7</v>
      </c>
      <c r="M690" s="30" t="inlineStr">
        <is>
          <t>AMR2</t>
        </is>
      </c>
      <c r="N690" s="30" t="inlineStr">
        <is>
          <t>AMR2</t>
        </is>
      </c>
      <c r="O690" s="32" t="n">
        <v>1</v>
      </c>
      <c r="P690" s="32" t="n">
        <v>25</v>
      </c>
      <c r="Q690" s="32" t="n">
        <v>0</v>
      </c>
      <c r="R690" s="31" t="n">
        <v>61.3</v>
      </c>
      <c r="S690" s="31" t="n">
        <v>61.3</v>
      </c>
      <c r="T690" s="30" t="inlineStr">
        <is>
          <t>AMR2</t>
        </is>
      </c>
      <c r="U690" s="31" t="n">
        <v>44.9</v>
      </c>
      <c r="V690" s="31" t="n">
        <v>44.9</v>
      </c>
      <c r="W690" s="30" t="inlineStr">
        <is>
          <t>AMR2</t>
        </is>
      </c>
      <c r="X690" s="32" t="n">
        <v>0</v>
      </c>
      <c r="Y690" s="32" t="n">
        <v>0</v>
      </c>
      <c r="Z690" s="31" t="n">
        <v>0</v>
      </c>
      <c r="AA690" s="32" t="n">
        <v>0</v>
      </c>
      <c r="AB690" s="32" t="n">
        <v>0</v>
      </c>
      <c r="AC690" s="32" t="n">
        <v>0</v>
      </c>
      <c r="AD690" s="32" t="n">
        <v>0</v>
      </c>
      <c r="AE690" s="31" t="n">
        <v>0</v>
      </c>
      <c r="AF690" s="32" t="n">
        <v>0</v>
      </c>
      <c r="AG690" s="31" t="n">
        <v>0</v>
      </c>
      <c r="AH690" s="32" t="n">
        <v>70</v>
      </c>
      <c r="AI690" s="31" t="n">
        <v>70</v>
      </c>
      <c r="AJ690" s="31" t="n">
        <v>42.2</v>
      </c>
      <c r="AK690" s="31" t="n">
        <v>0</v>
      </c>
      <c r="AL690" s="30" t="inlineStr">
        <is>
          <t>T-0835</t>
        </is>
      </c>
      <c r="AM690" s="30" t="inlineStr">
        <is>
          <t>J-06-02</t>
        </is>
      </c>
      <c r="AN690" s="30" t="inlineStr">
        <is>
          <t>T-0741</t>
        </is>
      </c>
      <c r="AO690" s="30" t="inlineStr">
        <is>
          <t>J-05-03</t>
        </is>
      </c>
    </row>
    <row r="691">
      <c r="A691" s="30" t="inlineStr">
        <is>
          <t>O0690</t>
        </is>
      </c>
      <c r="B691" s="30" t="inlineStr">
        <is>
          <t>H</t>
        </is>
      </c>
      <c r="C691" s="31" t="n">
        <v>9378.299999999999</v>
      </c>
      <c r="D691" s="31" t="n">
        <v>25209.1</v>
      </c>
      <c r="E691" s="31" t="n">
        <v>25232.6</v>
      </c>
      <c r="F691" s="31" t="n">
        <v>25246.7</v>
      </c>
      <c r="G691" s="31" t="n">
        <v>25273.3</v>
      </c>
      <c r="H691" s="31" t="n">
        <v>25273.4</v>
      </c>
      <c r="I691" s="31" t="n">
        <v>25289.5</v>
      </c>
      <c r="J691" s="31" t="n">
        <v>25314.4</v>
      </c>
      <c r="K691" s="31" t="n">
        <v>15936.1</v>
      </c>
      <c r="L691" s="31" t="n">
        <v>15830.8</v>
      </c>
      <c r="M691" s="30" t="inlineStr">
        <is>
          <t>AMR3</t>
        </is>
      </c>
      <c r="N691" s="30" t="inlineStr">
        <is>
          <t>AMR3</t>
        </is>
      </c>
      <c r="O691" s="32" t="n">
        <v>1</v>
      </c>
      <c r="P691" s="32" t="n">
        <v>25</v>
      </c>
      <c r="Q691" s="32" t="n">
        <v>1</v>
      </c>
      <c r="R691" s="31" t="n">
        <v>62.4</v>
      </c>
      <c r="S691" s="31" t="n">
        <v>62.4</v>
      </c>
      <c r="T691" s="30" t="inlineStr">
        <is>
          <t>AMR3</t>
        </is>
      </c>
      <c r="U691" s="31" t="n">
        <v>40.3</v>
      </c>
      <c r="V691" s="31" t="n">
        <v>40.3</v>
      </c>
      <c r="W691" s="30" t="inlineStr">
        <is>
          <t>AMR3</t>
        </is>
      </c>
      <c r="X691" s="32" t="n">
        <v>0</v>
      </c>
      <c r="Y691" s="32" t="n">
        <v>0</v>
      </c>
      <c r="Z691" s="31" t="n">
        <v>0</v>
      </c>
      <c r="AA691" s="32" t="n">
        <v>0</v>
      </c>
      <c r="AB691" s="32" t="n">
        <v>0</v>
      </c>
      <c r="AC691" s="32" t="n">
        <v>0</v>
      </c>
      <c r="AD691" s="32" t="n">
        <v>0</v>
      </c>
      <c r="AE691" s="31" t="n">
        <v>0</v>
      </c>
      <c r="AF691" s="32" t="n">
        <v>0</v>
      </c>
      <c r="AG691" s="31" t="n">
        <v>0</v>
      </c>
      <c r="AH691" s="32" t="n">
        <v>54</v>
      </c>
      <c r="AI691" s="31" t="n">
        <v>56.1</v>
      </c>
      <c r="AJ691" s="31" t="n">
        <v>49.1</v>
      </c>
      <c r="AK691" s="31" t="n">
        <v>0</v>
      </c>
      <c r="AL691" s="30" t="inlineStr">
        <is>
          <t>T-0837</t>
        </is>
      </c>
      <c r="AM691" s="30" t="inlineStr">
        <is>
          <t>H-01-03</t>
        </is>
      </c>
      <c r="AN691" s="30" t="inlineStr">
        <is>
          <t>T-0709</t>
        </is>
      </c>
      <c r="AO691" s="30" t="inlineStr">
        <is>
          <t>H-06-01</t>
        </is>
      </c>
    </row>
    <row r="692">
      <c r="A692" s="30" t="inlineStr">
        <is>
          <t>O0691</t>
        </is>
      </c>
      <c r="B692" s="30" t="inlineStr">
        <is>
          <t>D</t>
        </is>
      </c>
      <c r="C692" s="31" t="n">
        <v>9385.1</v>
      </c>
      <c r="D692" s="31" t="n">
        <v>25314.5</v>
      </c>
      <c r="E692" s="31" t="n">
        <v>25342</v>
      </c>
      <c r="F692" s="31" t="n">
        <v>25354.1</v>
      </c>
      <c r="G692" s="31" t="n">
        <v>25374.2</v>
      </c>
      <c r="H692" s="31" t="n">
        <v>25374.3</v>
      </c>
      <c r="I692" s="31" t="n">
        <v>25385</v>
      </c>
      <c r="J692" s="31" t="n">
        <v>25423.5</v>
      </c>
      <c r="K692" s="31" t="n">
        <v>16038.4</v>
      </c>
      <c r="L692" s="31" t="n">
        <v>15929.4</v>
      </c>
      <c r="M692" s="30" t="inlineStr">
        <is>
          <t>AMR3</t>
        </is>
      </c>
      <c r="N692" s="30" t="inlineStr">
        <is>
          <t>AMR3</t>
        </is>
      </c>
      <c r="O692" s="32" t="n">
        <v>1</v>
      </c>
      <c r="P692" s="32" t="n">
        <v>25</v>
      </c>
      <c r="Q692" s="32" t="n">
        <v>1</v>
      </c>
      <c r="R692" s="31" t="n">
        <v>53.8</v>
      </c>
      <c r="S692" s="31" t="n">
        <v>53.8</v>
      </c>
      <c r="T692" s="30" t="inlineStr">
        <is>
          <t>AMR3</t>
        </is>
      </c>
      <c r="U692" s="31" t="n">
        <v>37.9</v>
      </c>
      <c r="V692" s="31" t="n">
        <v>37.9</v>
      </c>
      <c r="W692" s="30" t="inlineStr">
        <is>
          <t>AMR3</t>
        </is>
      </c>
      <c r="X692" s="32" t="n">
        <v>0</v>
      </c>
      <c r="Y692" s="32" t="n">
        <v>0</v>
      </c>
      <c r="Z692" s="31" t="n">
        <v>0</v>
      </c>
      <c r="AA692" s="32" t="n">
        <v>0</v>
      </c>
      <c r="AB692" s="32" t="n">
        <v>0</v>
      </c>
      <c r="AC692" s="32" t="n">
        <v>0</v>
      </c>
      <c r="AD692" s="32" t="n">
        <v>1</v>
      </c>
      <c r="AE692" s="31" t="n">
        <v>13</v>
      </c>
      <c r="AF692" s="32" t="n">
        <v>1</v>
      </c>
      <c r="AG692" s="31" t="n">
        <v>8</v>
      </c>
      <c r="AH692" s="32" t="n">
        <v>52</v>
      </c>
      <c r="AI692" s="31" t="n">
        <v>53.8</v>
      </c>
      <c r="AJ692" s="31" t="n">
        <v>38.1</v>
      </c>
      <c r="AK692" s="31" t="n">
        <v>17</v>
      </c>
      <c r="AL692" s="30" t="inlineStr">
        <is>
          <t>T-0840</t>
        </is>
      </c>
      <c r="AM692" s="30" t="inlineStr">
        <is>
          <t>D-01-02</t>
        </is>
      </c>
      <c r="AN692" s="30" t="inlineStr">
        <is>
          <t>T-0678</t>
        </is>
      </c>
      <c r="AO692" s="30" t="inlineStr">
        <is>
          <t>D-02-02</t>
        </is>
      </c>
    </row>
    <row r="693">
      <c r="A693" s="30" t="inlineStr">
        <is>
          <t>O0692</t>
        </is>
      </c>
      <c r="B693" s="30" t="inlineStr">
        <is>
          <t>F</t>
        </is>
      </c>
      <c r="C693" s="31" t="n">
        <v>9388.6</v>
      </c>
      <c r="D693" s="31" t="n">
        <v>25410.8</v>
      </c>
      <c r="E693" s="31" t="n">
        <v>25434.3</v>
      </c>
      <c r="F693" s="31" t="n">
        <v>25448.9</v>
      </c>
      <c r="G693" s="31" t="n">
        <v>25481.3</v>
      </c>
      <c r="H693" s="31" t="n">
        <v>30248.6</v>
      </c>
      <c r="I693" s="31" t="n">
        <v>30263.2</v>
      </c>
      <c r="J693" s="31" t="n">
        <v>30299.5</v>
      </c>
      <c r="K693" s="31" t="n">
        <v>20910.9</v>
      </c>
      <c r="L693" s="31" t="n">
        <v>16022.2</v>
      </c>
      <c r="M693" s="30" t="inlineStr">
        <is>
          <t>AMR1</t>
        </is>
      </c>
      <c r="N693" s="30" t="inlineStr">
        <is>
          <t>AMR1</t>
        </is>
      </c>
      <c r="O693" s="32" t="n">
        <v>1</v>
      </c>
      <c r="P693" s="32" t="n">
        <v>25</v>
      </c>
      <c r="Q693" s="32" t="n">
        <v>1</v>
      </c>
      <c r="R693" s="31" t="n">
        <v>68.7</v>
      </c>
      <c r="S693" s="31" t="n">
        <v>68.7</v>
      </c>
      <c r="T693" s="30" t="inlineStr">
        <is>
          <t>AMR1</t>
        </is>
      </c>
      <c r="U693" s="31" t="n">
        <v>49.1</v>
      </c>
      <c r="V693" s="31" t="n">
        <v>49.1</v>
      </c>
      <c r="W693" s="30" t="inlineStr">
        <is>
          <t>AMR1</t>
        </is>
      </c>
      <c r="X693" s="32" t="n">
        <v>0</v>
      </c>
      <c r="Y693" s="32" t="n">
        <v>0</v>
      </c>
      <c r="Z693" s="31" t="n">
        <v>0</v>
      </c>
      <c r="AA693" s="32" t="n">
        <v>0</v>
      </c>
      <c r="AB693" s="32" t="n">
        <v>0</v>
      </c>
      <c r="AC693" s="32" t="n">
        <v>0</v>
      </c>
      <c r="AD693" s="32" t="n">
        <v>0</v>
      </c>
      <c r="AE693" s="31" t="n">
        <v>0</v>
      </c>
      <c r="AF693" s="32" t="n">
        <v>0</v>
      </c>
      <c r="AG693" s="31" t="n">
        <v>0</v>
      </c>
      <c r="AH693" s="32" t="n">
        <v>72</v>
      </c>
      <c r="AI693" s="31" t="n">
        <v>71.5</v>
      </c>
      <c r="AJ693" s="31" t="n">
        <v>49.9</v>
      </c>
      <c r="AK693" s="31" t="n">
        <v>0</v>
      </c>
      <c r="AL693" s="30" t="inlineStr">
        <is>
          <t>T-0842</t>
        </is>
      </c>
      <c r="AM693" s="30" t="inlineStr">
        <is>
          <t>F-05-03</t>
        </is>
      </c>
      <c r="AN693" s="30" t="inlineStr">
        <is>
          <t>T-0754</t>
        </is>
      </c>
      <c r="AO693" s="30" t="inlineStr">
        <is>
          <t>F-02-03</t>
        </is>
      </c>
    </row>
    <row r="694">
      <c r="A694" s="30" t="inlineStr">
        <is>
          <t>O0693</t>
        </is>
      </c>
      <c r="B694" s="30" t="inlineStr">
        <is>
          <t>F</t>
        </is>
      </c>
      <c r="C694" s="31" t="n">
        <v>9394.4</v>
      </c>
      <c r="D694" s="31" t="n">
        <v>25533.3</v>
      </c>
      <c r="E694" s="31" t="n">
        <v>25556.8</v>
      </c>
      <c r="F694" s="31" t="n">
        <v>25570.6</v>
      </c>
      <c r="G694" s="31" t="n">
        <v>25605.5</v>
      </c>
      <c r="H694" s="31" t="n">
        <v>25605.6</v>
      </c>
      <c r="I694" s="31" t="n">
        <v>25615.7</v>
      </c>
      <c r="J694" s="31" t="n">
        <v>25648.5</v>
      </c>
      <c r="K694" s="31" t="n">
        <v>16254.1</v>
      </c>
      <c r="L694" s="31" t="n">
        <v>16138.9</v>
      </c>
      <c r="M694" s="30" t="inlineStr">
        <is>
          <t>AMR1</t>
        </is>
      </c>
      <c r="N694" s="30" t="inlineStr">
        <is>
          <t>AMR1</t>
        </is>
      </c>
      <c r="O694" s="32" t="n">
        <v>1</v>
      </c>
      <c r="P694" s="32" t="n">
        <v>25</v>
      </c>
      <c r="Q694" s="32" t="n">
        <v>1</v>
      </c>
      <c r="R694" s="31" t="n">
        <v>68.8</v>
      </c>
      <c r="S694" s="31" t="n">
        <v>60.5</v>
      </c>
      <c r="T694" s="30" t="inlineStr">
        <is>
          <t>AMR2</t>
        </is>
      </c>
      <c r="U694" s="31" t="n">
        <v>43.5</v>
      </c>
      <c r="V694" s="31" t="n">
        <v>43.5</v>
      </c>
      <c r="W694" s="30" t="inlineStr">
        <is>
          <t>AMR1</t>
        </is>
      </c>
      <c r="X694" s="32" t="n">
        <v>1</v>
      </c>
      <c r="Y694" s="32" t="n">
        <v>13</v>
      </c>
      <c r="Z694" s="31" t="n">
        <v>8.300000000000001</v>
      </c>
      <c r="AA694" s="32" t="n">
        <v>0</v>
      </c>
      <c r="AB694" s="32" t="n">
        <v>0</v>
      </c>
      <c r="AC694" s="32" t="n">
        <v>0</v>
      </c>
      <c r="AD694" s="32" t="n">
        <v>0</v>
      </c>
      <c r="AE694" s="31" t="n">
        <v>0</v>
      </c>
      <c r="AF694" s="32" t="n">
        <v>0</v>
      </c>
      <c r="AG694" s="31" t="n">
        <v>0</v>
      </c>
      <c r="AH694" s="32" t="n">
        <v>72</v>
      </c>
      <c r="AI694" s="31" t="n">
        <v>70.7</v>
      </c>
      <c r="AJ694" s="31" t="n">
        <v>44.4</v>
      </c>
      <c r="AK694" s="31" t="n">
        <v>0</v>
      </c>
      <c r="AL694" s="30" t="inlineStr">
        <is>
          <t>T-0845</t>
        </is>
      </c>
      <c r="AM694" s="30" t="inlineStr">
        <is>
          <t>F-02-01</t>
        </is>
      </c>
      <c r="AN694" s="30" t="inlineStr">
        <is>
          <t>T-0711</t>
        </is>
      </c>
      <c r="AO694" s="30" t="inlineStr">
        <is>
          <t>F-03-01</t>
        </is>
      </c>
    </row>
    <row r="695">
      <c r="A695" s="30" t="inlineStr">
        <is>
          <t>O0694</t>
        </is>
      </c>
      <c r="B695" s="30" t="inlineStr">
        <is>
          <t>F</t>
        </is>
      </c>
      <c r="C695" s="31" t="n">
        <v>9399.6</v>
      </c>
      <c r="D695" s="31" t="n">
        <v>26733.9</v>
      </c>
      <c r="E695" s="31" t="n">
        <v>26766.4</v>
      </c>
      <c r="F695" s="31" t="n">
        <v>26790.6</v>
      </c>
      <c r="G695" s="31" t="n">
        <v>26820.4</v>
      </c>
      <c r="H695" s="31" t="n">
        <v>26820.5</v>
      </c>
      <c r="I695" s="31" t="n">
        <v>26830.5</v>
      </c>
      <c r="J695" s="31" t="n">
        <v>26881.8</v>
      </c>
      <c r="K695" s="31" t="n">
        <v>17482.2</v>
      </c>
      <c r="L695" s="31" t="n">
        <v>17334.3</v>
      </c>
      <c r="M695" s="30" t="inlineStr">
        <is>
          <t>AMR3</t>
        </is>
      </c>
      <c r="N695" s="30" t="inlineStr">
        <is>
          <t>AMR3</t>
        </is>
      </c>
      <c r="O695" s="32" t="n">
        <v>1</v>
      </c>
      <c r="P695" s="32" t="n">
        <v>25</v>
      </c>
      <c r="Q695" s="32" t="n">
        <v>0</v>
      </c>
      <c r="R695" s="31" t="n">
        <v>74.90000000000001</v>
      </c>
      <c r="S695" s="31" t="n">
        <v>74.90000000000001</v>
      </c>
      <c r="T695" s="30" t="inlineStr">
        <is>
          <t>AMR3</t>
        </is>
      </c>
      <c r="U695" s="31" t="n">
        <v>39.5</v>
      </c>
      <c r="V695" s="31" t="n">
        <v>39.5</v>
      </c>
      <c r="W695" s="30" t="inlineStr">
        <is>
          <t>AMR3</t>
        </is>
      </c>
      <c r="X695" s="32" t="n">
        <v>0</v>
      </c>
      <c r="Y695" s="32" t="n">
        <v>0</v>
      </c>
      <c r="Z695" s="31" t="n">
        <v>0</v>
      </c>
      <c r="AA695" s="32" t="n">
        <v>0</v>
      </c>
      <c r="AB695" s="32" t="n">
        <v>0</v>
      </c>
      <c r="AC695" s="32" t="n">
        <v>0</v>
      </c>
      <c r="AD695" s="32" t="n">
        <v>1</v>
      </c>
      <c r="AE695" s="31" t="n">
        <v>20</v>
      </c>
      <c r="AF695" s="32" t="n">
        <v>2</v>
      </c>
      <c r="AG695" s="31" t="n">
        <v>19</v>
      </c>
      <c r="AH695" s="32" t="n">
        <v>72</v>
      </c>
      <c r="AI695" s="31" t="n">
        <v>71.59999999999999</v>
      </c>
      <c r="AJ695" s="31" t="n">
        <v>47.2</v>
      </c>
      <c r="AK695" s="31" t="n">
        <v>29</v>
      </c>
      <c r="AL695" s="30" t="inlineStr">
        <is>
          <t>T-0880</t>
        </is>
      </c>
      <c r="AM695" s="30" t="inlineStr">
        <is>
          <t>F-03-01</t>
        </is>
      </c>
      <c r="AN695" s="30" t="inlineStr">
        <is>
          <t>T-0716</t>
        </is>
      </c>
      <c r="AO695" s="30" t="inlineStr">
        <is>
          <t>F-01-01</t>
        </is>
      </c>
    </row>
    <row r="696">
      <c r="A696" s="30" t="inlineStr">
        <is>
          <t>O0695</t>
        </is>
      </c>
      <c r="B696" s="30" t="inlineStr">
        <is>
          <t>H</t>
        </is>
      </c>
      <c r="C696" s="31" t="n">
        <v>9404.700000000001</v>
      </c>
      <c r="D696" s="31" t="n">
        <v>25375.5</v>
      </c>
      <c r="E696" s="31" t="n">
        <v>25399</v>
      </c>
      <c r="F696" s="31" t="n">
        <v>25409.6</v>
      </c>
      <c r="G696" s="31" t="n">
        <v>25434.5</v>
      </c>
      <c r="H696" s="31" t="n">
        <v>25434.6</v>
      </c>
      <c r="I696" s="31" t="n">
        <v>25449.6</v>
      </c>
      <c r="J696" s="31" t="n">
        <v>25475.9</v>
      </c>
      <c r="K696" s="31" t="n">
        <v>16071.2</v>
      </c>
      <c r="L696" s="31" t="n">
        <v>15970.8</v>
      </c>
      <c r="M696" s="30" t="inlineStr">
        <is>
          <t>AMR2</t>
        </is>
      </c>
      <c r="N696" s="30" t="inlineStr">
        <is>
          <t>AMR2</t>
        </is>
      </c>
      <c r="O696" s="32" t="n">
        <v>1</v>
      </c>
      <c r="P696" s="32" t="n">
        <v>25</v>
      </c>
      <c r="Q696" s="32" t="n">
        <v>2</v>
      </c>
      <c r="R696" s="31" t="n">
        <v>58</v>
      </c>
      <c r="S696" s="31" t="n">
        <v>58</v>
      </c>
      <c r="T696" s="30" t="inlineStr">
        <is>
          <t>AMR2</t>
        </is>
      </c>
      <c r="U696" s="31" t="n">
        <v>40.5</v>
      </c>
      <c r="V696" s="31" t="n">
        <v>40.5</v>
      </c>
      <c r="W696" s="30" t="inlineStr">
        <is>
          <t>AMR2</t>
        </is>
      </c>
      <c r="X696" s="32" t="n">
        <v>0</v>
      </c>
      <c r="Y696" s="32" t="n">
        <v>0</v>
      </c>
      <c r="Z696" s="31" t="n">
        <v>0</v>
      </c>
      <c r="AA696" s="32" t="n">
        <v>0</v>
      </c>
      <c r="AB696" s="32" t="n">
        <v>0</v>
      </c>
      <c r="AC696" s="32" t="n">
        <v>0</v>
      </c>
      <c r="AD696" s="32" t="n">
        <v>0</v>
      </c>
      <c r="AE696" s="31" t="n">
        <v>0</v>
      </c>
      <c r="AF696" s="32" t="n">
        <v>0</v>
      </c>
      <c r="AG696" s="31" t="n">
        <v>0</v>
      </c>
      <c r="AH696" s="32" t="n">
        <v>54</v>
      </c>
      <c r="AI696" s="31" t="n">
        <v>56.1</v>
      </c>
      <c r="AJ696" s="31" t="n">
        <v>44.2</v>
      </c>
      <c r="AK696" s="31" t="n">
        <v>0</v>
      </c>
      <c r="AL696" s="30" t="inlineStr">
        <is>
          <t>T-0841</t>
        </is>
      </c>
      <c r="AM696" s="30" t="inlineStr">
        <is>
          <t>H-06-01</t>
        </is>
      </c>
      <c r="AN696" s="30" t="inlineStr">
        <is>
          <t>T-0720</t>
        </is>
      </c>
      <c r="AO696" s="30" t="inlineStr">
        <is>
          <t>H-01-02</t>
        </is>
      </c>
    </row>
    <row r="697">
      <c r="A697" s="30" t="inlineStr">
        <is>
          <t>O0696</t>
        </is>
      </c>
      <c r="B697" s="30" t="inlineStr">
        <is>
          <t>C</t>
        </is>
      </c>
      <c r="C697" s="31" t="n">
        <v>9409.700000000001</v>
      </c>
      <c r="D697" s="31" t="n">
        <v>25423.6</v>
      </c>
      <c r="E697" s="31" t="n">
        <v>25458.1</v>
      </c>
      <c r="F697" s="31" t="n">
        <v>25473.9</v>
      </c>
      <c r="G697" s="31" t="n">
        <v>25492.8</v>
      </c>
      <c r="H697" s="31" t="n">
        <v>25642.4</v>
      </c>
      <c r="I697" s="31" t="n">
        <v>25654.1</v>
      </c>
      <c r="J697" s="31" t="n">
        <v>25689</v>
      </c>
      <c r="K697" s="31" t="n">
        <v>16279.3</v>
      </c>
      <c r="L697" s="31" t="n">
        <v>16013.9</v>
      </c>
      <c r="M697" s="30" t="inlineStr">
        <is>
          <t>AMR3</t>
        </is>
      </c>
      <c r="N697" s="30" t="inlineStr">
        <is>
          <t>AMR2</t>
        </is>
      </c>
      <c r="O697" s="32" t="n">
        <v>1</v>
      </c>
      <c r="P697" s="32" t="n">
        <v>25</v>
      </c>
      <c r="Q697" s="32" t="n">
        <v>3</v>
      </c>
      <c r="R697" s="31" t="n">
        <v>57.1</v>
      </c>
      <c r="S697" s="31" t="n">
        <v>57.1</v>
      </c>
      <c r="T697" s="30" t="inlineStr">
        <is>
          <t>AMR3</t>
        </is>
      </c>
      <c r="U697" s="31" t="n">
        <v>43.2</v>
      </c>
      <c r="V697" s="31" t="n">
        <v>43.2</v>
      </c>
      <c r="W697" s="30" t="inlineStr">
        <is>
          <t>AMR2</t>
        </is>
      </c>
      <c r="X697" s="32" t="n">
        <v>0</v>
      </c>
      <c r="Y697" s="32" t="n">
        <v>0</v>
      </c>
      <c r="Z697" s="31" t="n">
        <v>0</v>
      </c>
      <c r="AA697" s="32" t="n">
        <v>0</v>
      </c>
      <c r="AB697" s="32" t="n">
        <v>0</v>
      </c>
      <c r="AC697" s="32" t="n">
        <v>0</v>
      </c>
      <c r="AD697" s="32" t="n">
        <v>2</v>
      </c>
      <c r="AE697" s="31" t="n">
        <v>4.6</v>
      </c>
      <c r="AF697" s="32" t="n">
        <v>1</v>
      </c>
      <c r="AG697" s="31" t="n">
        <v>6</v>
      </c>
      <c r="AH697" s="32" t="n">
        <v>53</v>
      </c>
      <c r="AI697" s="31" t="n">
        <v>55.4</v>
      </c>
      <c r="AJ697" s="31" t="n">
        <v>44.8</v>
      </c>
      <c r="AK697" s="31" t="n">
        <v>15.6</v>
      </c>
      <c r="AL697" s="30" t="inlineStr">
        <is>
          <t>T-0843</t>
        </is>
      </c>
      <c r="AM697" s="30" t="inlineStr">
        <is>
          <t>C-06-01</t>
        </is>
      </c>
      <c r="AN697" s="30" t="inlineStr">
        <is>
          <t>T-0692</t>
        </is>
      </c>
      <c r="AO697" s="30" t="inlineStr">
        <is>
          <t>C-02-02</t>
        </is>
      </c>
    </row>
    <row r="698">
      <c r="A698" s="30" t="inlineStr">
        <is>
          <t>O0697</t>
        </is>
      </c>
      <c r="B698" s="30" t="inlineStr">
        <is>
          <t>B</t>
        </is>
      </c>
      <c r="C698" s="31" t="n">
        <v>9414.6</v>
      </c>
      <c r="D698" s="31" t="n">
        <v>25796</v>
      </c>
      <c r="E698" s="31" t="n">
        <v>25824.5</v>
      </c>
      <c r="F698" s="31" t="n">
        <v>25837.2</v>
      </c>
      <c r="G698" s="31" t="n">
        <v>25863.4</v>
      </c>
      <c r="H698" s="31" t="n">
        <v>25863.5</v>
      </c>
      <c r="I698" s="31" t="n">
        <v>25879.3</v>
      </c>
      <c r="J698" s="31" t="n">
        <v>25906.7</v>
      </c>
      <c r="K698" s="31" t="n">
        <v>16492.1</v>
      </c>
      <c r="L698" s="31" t="n">
        <v>16381.4</v>
      </c>
      <c r="M698" s="30" t="inlineStr">
        <is>
          <t>AMR2</t>
        </is>
      </c>
      <c r="N698" s="30" t="inlineStr">
        <is>
          <t>AMR2</t>
        </is>
      </c>
      <c r="O698" s="32" t="n">
        <v>1</v>
      </c>
      <c r="P698" s="32" t="n">
        <v>25</v>
      </c>
      <c r="Q698" s="32" t="n">
        <v>0</v>
      </c>
      <c r="R698" s="31" t="n">
        <v>59.7</v>
      </c>
      <c r="S698" s="31" t="n">
        <v>59.7</v>
      </c>
      <c r="T698" s="30" t="inlineStr">
        <is>
          <t>AMR2</t>
        </is>
      </c>
      <c r="U698" s="31" t="n">
        <v>43</v>
      </c>
      <c r="V698" s="31" t="n">
        <v>43</v>
      </c>
      <c r="W698" s="30" t="inlineStr">
        <is>
          <t>AMR2</t>
        </is>
      </c>
      <c r="X698" s="32" t="n">
        <v>0</v>
      </c>
      <c r="Y698" s="32" t="n">
        <v>0</v>
      </c>
      <c r="Z698" s="31" t="n">
        <v>0</v>
      </c>
      <c r="AA698" s="32" t="n">
        <v>0</v>
      </c>
      <c r="AB698" s="32" t="n">
        <v>0</v>
      </c>
      <c r="AC698" s="32" t="n">
        <v>0</v>
      </c>
      <c r="AD698" s="32" t="n">
        <v>0</v>
      </c>
      <c r="AE698" s="31" t="n">
        <v>0</v>
      </c>
      <c r="AF698" s="32" t="n">
        <v>0</v>
      </c>
      <c r="AG698" s="31" t="n">
        <v>0</v>
      </c>
      <c r="AH698" s="32" t="n">
        <v>58</v>
      </c>
      <c r="AI698" s="31" t="n">
        <v>59</v>
      </c>
      <c r="AJ698" s="31" t="n">
        <v>46.6</v>
      </c>
      <c r="AK698" s="31" t="n">
        <v>5</v>
      </c>
      <c r="AL698" s="30" t="inlineStr">
        <is>
          <t>T-0853</t>
        </is>
      </c>
      <c r="AM698" s="30" t="inlineStr">
        <is>
          <t>B-03-01</t>
        </is>
      </c>
      <c r="AN698" s="30" t="inlineStr">
        <is>
          <t>T-0662</t>
        </is>
      </c>
      <c r="AO698" s="30" t="inlineStr">
        <is>
          <t>B-06-02</t>
        </is>
      </c>
    </row>
    <row r="699">
      <c r="A699" s="30" t="inlineStr">
        <is>
          <t>O0698</t>
        </is>
      </c>
      <c r="B699" s="30" t="inlineStr">
        <is>
          <t>D</t>
        </is>
      </c>
      <c r="C699" s="31" t="n">
        <v>9418.9</v>
      </c>
      <c r="D699" s="31" t="n">
        <v>25476</v>
      </c>
      <c r="E699" s="31" t="n">
        <v>25499.5</v>
      </c>
      <c r="F699" s="31" t="n">
        <v>25512.7</v>
      </c>
      <c r="G699" s="31" t="n">
        <v>25535.2</v>
      </c>
      <c r="H699" s="31" t="n">
        <v>25535.3</v>
      </c>
      <c r="I699" s="31" t="n">
        <v>25546.2</v>
      </c>
      <c r="J699" s="31" t="n">
        <v>25573.4</v>
      </c>
      <c r="K699" s="31" t="n">
        <v>16154.5</v>
      </c>
      <c r="L699" s="31" t="n">
        <v>16057.1</v>
      </c>
      <c r="M699" s="30" t="inlineStr">
        <is>
          <t>AMR2</t>
        </is>
      </c>
      <c r="N699" s="30" t="inlineStr">
        <is>
          <t>AMR2</t>
        </is>
      </c>
      <c r="O699" s="32" t="n">
        <v>1</v>
      </c>
      <c r="P699" s="32" t="n">
        <v>25</v>
      </c>
      <c r="Q699" s="32" t="n">
        <v>1</v>
      </c>
      <c r="R699" s="31" t="n">
        <v>57.3</v>
      </c>
      <c r="S699" s="31" t="n">
        <v>57.3</v>
      </c>
      <c r="T699" s="30" t="inlineStr">
        <is>
          <t>AMR2</t>
        </is>
      </c>
      <c r="U699" s="31" t="n">
        <v>37.4</v>
      </c>
      <c r="V699" s="31" t="n">
        <v>37.4</v>
      </c>
      <c r="W699" s="30" t="inlineStr">
        <is>
          <t>AMR2</t>
        </is>
      </c>
      <c r="X699" s="32" t="n">
        <v>0</v>
      </c>
      <c r="Y699" s="32" t="n">
        <v>0</v>
      </c>
      <c r="Z699" s="31" t="n">
        <v>0</v>
      </c>
      <c r="AA699" s="32" t="n">
        <v>0</v>
      </c>
      <c r="AB699" s="32" t="n">
        <v>0</v>
      </c>
      <c r="AC699" s="32" t="n">
        <v>0</v>
      </c>
      <c r="AD699" s="32" t="n">
        <v>0</v>
      </c>
      <c r="AE699" s="31" t="n">
        <v>0</v>
      </c>
      <c r="AF699" s="32" t="n">
        <v>0</v>
      </c>
      <c r="AG699" s="31" t="n">
        <v>0</v>
      </c>
      <c r="AH699" s="32" t="n">
        <v>54</v>
      </c>
      <c r="AI699" s="31" t="n">
        <v>56.2</v>
      </c>
      <c r="AJ699" s="31" t="n">
        <v>41.1</v>
      </c>
      <c r="AK699" s="31" t="n">
        <v>0</v>
      </c>
      <c r="AL699" s="30" t="inlineStr">
        <is>
          <t>T-0844</t>
        </is>
      </c>
      <c r="AM699" s="30" t="inlineStr">
        <is>
          <t>D-02-02</t>
        </is>
      </c>
      <c r="AN699" s="30" t="inlineStr">
        <is>
          <t>T-0691</t>
        </is>
      </c>
      <c r="AO699" s="30" t="inlineStr">
        <is>
          <t>D-03-03</t>
        </is>
      </c>
    </row>
    <row r="700">
      <c r="A700" s="30" t="inlineStr">
        <is>
          <t>O0699</t>
        </is>
      </c>
      <c r="B700" s="30" t="inlineStr">
        <is>
          <t>I</t>
        </is>
      </c>
      <c r="C700" s="31" t="n">
        <v>9422.5</v>
      </c>
      <c r="D700" s="31" t="n">
        <v>25753.6</v>
      </c>
      <c r="E700" s="31" t="n">
        <v>25777.1</v>
      </c>
      <c r="F700" s="31" t="n">
        <v>25791.8</v>
      </c>
      <c r="G700" s="31" t="n">
        <v>25819.9</v>
      </c>
      <c r="H700" s="31" t="n">
        <v>25820</v>
      </c>
      <c r="I700" s="31" t="n">
        <v>25832.1</v>
      </c>
      <c r="J700" s="31" t="n">
        <v>25862.2</v>
      </c>
      <c r="K700" s="31" t="n">
        <v>16439.7</v>
      </c>
      <c r="L700" s="31" t="n">
        <v>16331.1</v>
      </c>
      <c r="M700" s="30" t="inlineStr">
        <is>
          <t>AMR1</t>
        </is>
      </c>
      <c r="N700" s="30" t="inlineStr">
        <is>
          <t>AMR1</t>
        </is>
      </c>
      <c r="O700" s="32" t="n">
        <v>1</v>
      </c>
      <c r="P700" s="32" t="n">
        <v>25</v>
      </c>
      <c r="Q700" s="32" t="n">
        <v>1</v>
      </c>
      <c r="R700" s="31" t="n">
        <v>62.9</v>
      </c>
      <c r="S700" s="31" t="n">
        <v>56.5</v>
      </c>
      <c r="T700" s="30" t="inlineStr">
        <is>
          <t>AMR2</t>
        </is>
      </c>
      <c r="U700" s="31" t="n">
        <v>41.8</v>
      </c>
      <c r="V700" s="31" t="n">
        <v>41.8</v>
      </c>
      <c r="W700" s="30" t="inlineStr">
        <is>
          <t>AMR1</t>
        </is>
      </c>
      <c r="X700" s="32" t="n">
        <v>1</v>
      </c>
      <c r="Y700" s="32" t="n">
        <v>13</v>
      </c>
      <c r="Z700" s="31" t="n">
        <v>6.4</v>
      </c>
      <c r="AA700" s="32" t="n">
        <v>0</v>
      </c>
      <c r="AB700" s="32" t="n">
        <v>0</v>
      </c>
      <c r="AC700" s="32" t="n">
        <v>0</v>
      </c>
      <c r="AD700" s="32" t="n">
        <v>0</v>
      </c>
      <c r="AE700" s="31" t="n">
        <v>0</v>
      </c>
      <c r="AF700" s="32" t="n">
        <v>0</v>
      </c>
      <c r="AG700" s="31" t="n">
        <v>0</v>
      </c>
      <c r="AH700" s="32" t="n">
        <v>56</v>
      </c>
      <c r="AI700" s="31" t="n">
        <v>57.9</v>
      </c>
      <c r="AJ700" s="31" t="n">
        <v>50.6</v>
      </c>
      <c r="AK700" s="31" t="n">
        <v>0</v>
      </c>
      <c r="AL700" s="30" t="inlineStr">
        <is>
          <t>T-0851</t>
        </is>
      </c>
      <c r="AM700" s="30" t="inlineStr">
        <is>
          <t>I-04-02</t>
        </is>
      </c>
      <c r="AN700" s="30" t="inlineStr">
        <is>
          <t>T-0685</t>
        </is>
      </c>
      <c r="AO700" s="30" t="inlineStr">
        <is>
          <t>I-05-02</t>
        </is>
      </c>
    </row>
    <row r="701">
      <c r="A701" s="30" t="inlineStr">
        <is>
          <t>O0700</t>
        </is>
      </c>
      <c r="B701" s="30" t="inlineStr">
        <is>
          <t>I</t>
        </is>
      </c>
      <c r="C701" s="31" t="n">
        <v>9426.1</v>
      </c>
      <c r="D701" s="31" t="n">
        <v>25546.9</v>
      </c>
      <c r="E701" s="31" t="n">
        <v>25580.4</v>
      </c>
      <c r="F701" s="31" t="n">
        <v>25591.6</v>
      </c>
      <c r="G701" s="31" t="n">
        <v>25614.6</v>
      </c>
      <c r="H701" s="31" t="n">
        <v>25614.7</v>
      </c>
      <c r="I701" s="31" t="n">
        <v>25627.9</v>
      </c>
      <c r="J701" s="31" t="n">
        <v>25665.2</v>
      </c>
      <c r="K701" s="31" t="n">
        <v>16239.1</v>
      </c>
      <c r="L701" s="31" t="n">
        <v>16120.8</v>
      </c>
      <c r="M701" s="30" t="inlineStr">
        <is>
          <t>AMR3</t>
        </is>
      </c>
      <c r="N701" s="30" t="inlineStr">
        <is>
          <t>AMR3</t>
        </is>
      </c>
      <c r="O701" s="32" t="n">
        <v>1</v>
      </c>
      <c r="P701" s="32" t="n">
        <v>25</v>
      </c>
      <c r="Q701" s="32" t="n">
        <v>1</v>
      </c>
      <c r="R701" s="31" t="n">
        <v>55.9</v>
      </c>
      <c r="S701" s="31" t="n">
        <v>55.9</v>
      </c>
      <c r="T701" s="30" t="inlineStr">
        <is>
          <t>AMR3</t>
        </is>
      </c>
      <c r="U701" s="31" t="n">
        <v>37.7</v>
      </c>
      <c r="V701" s="31" t="n">
        <v>37.7</v>
      </c>
      <c r="W701" s="30" t="inlineStr">
        <is>
          <t>AMR3</t>
        </is>
      </c>
      <c r="X701" s="32" t="n">
        <v>0</v>
      </c>
      <c r="Y701" s="32" t="n">
        <v>0</v>
      </c>
      <c r="Z701" s="31" t="n">
        <v>0</v>
      </c>
      <c r="AA701" s="32" t="n">
        <v>0</v>
      </c>
      <c r="AB701" s="32" t="n">
        <v>0</v>
      </c>
      <c r="AC701" s="32" t="n">
        <v>0</v>
      </c>
      <c r="AD701" s="32" t="n">
        <v>1</v>
      </c>
      <c r="AE701" s="31" t="n">
        <v>10</v>
      </c>
      <c r="AF701" s="32" t="n">
        <v>2</v>
      </c>
      <c r="AG701" s="31" t="n">
        <v>10</v>
      </c>
      <c r="AH701" s="32" t="n">
        <v>56</v>
      </c>
      <c r="AI701" s="31" t="n">
        <v>58.7</v>
      </c>
      <c r="AJ701" s="31" t="n">
        <v>39.5</v>
      </c>
      <c r="AK701" s="31" t="n">
        <v>20</v>
      </c>
      <c r="AL701" s="30" t="inlineStr">
        <is>
          <t>T-0846</t>
        </is>
      </c>
      <c r="AM701" s="30" t="inlineStr">
        <is>
          <t>I-02-02</t>
        </is>
      </c>
      <c r="AN701" s="30" t="inlineStr">
        <is>
          <t>T-0641</t>
        </is>
      </c>
      <c r="AO701" s="30" t="inlineStr">
        <is>
          <t>I-05-03</t>
        </is>
      </c>
    </row>
    <row r="702">
      <c r="A702" s="30" t="inlineStr">
        <is>
          <t>O0701</t>
        </is>
      </c>
      <c r="B702" s="30" t="inlineStr">
        <is>
          <t>H</t>
        </is>
      </c>
      <c r="C702" s="31" t="n">
        <v>9432.4</v>
      </c>
      <c r="D702" s="31" t="n">
        <v>25573.5</v>
      </c>
      <c r="E702" s="31" t="n">
        <v>25604</v>
      </c>
      <c r="F702" s="31" t="n">
        <v>25617.8</v>
      </c>
      <c r="G702" s="31" t="n">
        <v>25642.3</v>
      </c>
      <c r="H702" s="31" t="n">
        <v>25889.6</v>
      </c>
      <c r="I702" s="31" t="n">
        <v>25916.7</v>
      </c>
      <c r="J702" s="31" t="n">
        <v>25945.1</v>
      </c>
      <c r="K702" s="31" t="n">
        <v>16512.7</v>
      </c>
      <c r="L702" s="31" t="n">
        <v>16141.1</v>
      </c>
      <c r="M702" s="30" t="inlineStr">
        <is>
          <t>AMR2</t>
        </is>
      </c>
      <c r="N702" s="30" t="inlineStr">
        <is>
          <t>AMR3</t>
        </is>
      </c>
      <c r="O702" s="32" t="n">
        <v>1</v>
      </c>
      <c r="P702" s="32" t="n">
        <v>25</v>
      </c>
      <c r="Q702" s="32" t="n">
        <v>14</v>
      </c>
      <c r="R702" s="31" t="n">
        <v>60</v>
      </c>
      <c r="S702" s="31" t="n">
        <v>60</v>
      </c>
      <c r="T702" s="30" t="inlineStr">
        <is>
          <t>AMR2</t>
        </is>
      </c>
      <c r="U702" s="31" t="n">
        <v>55.7</v>
      </c>
      <c r="V702" s="31" t="n">
        <v>55.7</v>
      </c>
      <c r="W702" s="30" t="inlineStr">
        <is>
          <t>AMR3</t>
        </is>
      </c>
      <c r="X702" s="32" t="n">
        <v>0</v>
      </c>
      <c r="Y702" s="32" t="n">
        <v>0</v>
      </c>
      <c r="Z702" s="31" t="n">
        <v>0</v>
      </c>
      <c r="AA702" s="32" t="n">
        <v>0</v>
      </c>
      <c r="AB702" s="32" t="n">
        <v>0</v>
      </c>
      <c r="AC702" s="32" t="n">
        <v>0</v>
      </c>
      <c r="AD702" s="32" t="n">
        <v>0</v>
      </c>
      <c r="AE702" s="31" t="n">
        <v>0</v>
      </c>
      <c r="AF702" s="32" t="n">
        <v>1</v>
      </c>
      <c r="AG702" s="31" t="n">
        <v>2</v>
      </c>
      <c r="AH702" s="32" t="n">
        <v>65</v>
      </c>
      <c r="AI702" s="31" t="n">
        <v>67.5</v>
      </c>
      <c r="AJ702" s="31" t="n">
        <v>49.8</v>
      </c>
      <c r="AK702" s="31" t="n">
        <v>7</v>
      </c>
      <c r="AL702" s="30" t="inlineStr">
        <is>
          <t>T-0847</t>
        </is>
      </c>
      <c r="AM702" s="30" t="inlineStr">
        <is>
          <t>H-01-02</t>
        </is>
      </c>
      <c r="AN702" s="30" t="inlineStr">
        <is>
          <t>T-0730</t>
        </is>
      </c>
      <c r="AO702" s="30" t="inlineStr">
        <is>
          <t>H-02-01</t>
        </is>
      </c>
    </row>
    <row r="703">
      <c r="A703" s="30" t="inlineStr">
        <is>
          <t>O0702</t>
        </is>
      </c>
      <c r="B703" s="30" t="inlineStr">
        <is>
          <t>I</t>
        </is>
      </c>
      <c r="C703" s="31" t="n">
        <v>9438.5</v>
      </c>
      <c r="D703" s="31" t="n">
        <v>25648.6</v>
      </c>
      <c r="E703" s="31" t="n">
        <v>25672.1</v>
      </c>
      <c r="F703" s="31" t="n">
        <v>25685.6</v>
      </c>
      <c r="G703" s="31" t="n">
        <v>25713.4</v>
      </c>
      <c r="H703" s="31" t="n">
        <v>25713.5</v>
      </c>
      <c r="I703" s="31" t="n">
        <v>25726.8</v>
      </c>
      <c r="J703" s="31" t="n">
        <v>25753.5</v>
      </c>
      <c r="K703" s="31" t="n">
        <v>16315</v>
      </c>
      <c r="L703" s="31" t="n">
        <v>16210.1</v>
      </c>
      <c r="M703" s="30" t="inlineStr">
        <is>
          <t>AMR1</t>
        </is>
      </c>
      <c r="N703" s="30" t="inlineStr">
        <is>
          <t>AMR1</t>
        </is>
      </c>
      <c r="O703" s="32" t="n">
        <v>1</v>
      </c>
      <c r="P703" s="32" t="n">
        <v>25</v>
      </c>
      <c r="Q703" s="32" t="n">
        <v>0</v>
      </c>
      <c r="R703" s="31" t="n">
        <v>62.2</v>
      </c>
      <c r="S703" s="31" t="n">
        <v>62.2</v>
      </c>
      <c r="T703" s="30" t="inlineStr">
        <is>
          <t>AMR1</t>
        </is>
      </c>
      <c r="U703" s="31" t="n">
        <v>37.2</v>
      </c>
      <c r="V703" s="31" t="n">
        <v>37.2</v>
      </c>
      <c r="W703" s="30" t="inlineStr">
        <is>
          <t>AMR1</t>
        </is>
      </c>
      <c r="X703" s="32" t="n">
        <v>0</v>
      </c>
      <c r="Y703" s="32" t="n">
        <v>0</v>
      </c>
      <c r="Z703" s="31" t="n">
        <v>0</v>
      </c>
      <c r="AA703" s="32" t="n">
        <v>0</v>
      </c>
      <c r="AB703" s="32" t="n">
        <v>0</v>
      </c>
      <c r="AC703" s="32" t="n">
        <v>0</v>
      </c>
      <c r="AD703" s="32" t="n">
        <v>0</v>
      </c>
      <c r="AE703" s="31" t="n">
        <v>0</v>
      </c>
      <c r="AF703" s="32" t="n">
        <v>0</v>
      </c>
      <c r="AG703" s="31" t="n">
        <v>0</v>
      </c>
      <c r="AH703" s="32" t="n">
        <v>56</v>
      </c>
      <c r="AI703" s="31" t="n">
        <v>58.8</v>
      </c>
      <c r="AJ703" s="31" t="n">
        <v>46</v>
      </c>
      <c r="AK703" s="31" t="n">
        <v>0</v>
      </c>
      <c r="AL703" s="30" t="inlineStr">
        <is>
          <t>T-0848</t>
        </is>
      </c>
      <c r="AM703" s="30" t="inlineStr">
        <is>
          <t>I-03-02</t>
        </is>
      </c>
      <c r="AN703" s="30" t="inlineStr">
        <is>
          <t>T-0680</t>
        </is>
      </c>
      <c r="AO703" s="30" t="inlineStr">
        <is>
          <t>I-04-02</t>
        </is>
      </c>
    </row>
    <row r="704">
      <c r="A704" s="30" t="inlineStr">
        <is>
          <t>O0703</t>
        </is>
      </c>
      <c r="B704" s="30" t="inlineStr">
        <is>
          <t>B</t>
        </is>
      </c>
      <c r="C704" s="31" t="n">
        <v>9442.1</v>
      </c>
      <c r="D704" s="31" t="n">
        <v>25665.3</v>
      </c>
      <c r="E704" s="31" t="n">
        <v>25695.8</v>
      </c>
      <c r="F704" s="31" t="n">
        <v>25707.8</v>
      </c>
      <c r="G704" s="31" t="n">
        <v>25728.9</v>
      </c>
      <c r="H704" s="31" t="n">
        <v>25729</v>
      </c>
      <c r="I704" s="31" t="n">
        <v>25739.1</v>
      </c>
      <c r="J704" s="31" t="n">
        <v>25777</v>
      </c>
      <c r="K704" s="31" t="n">
        <v>16334.9</v>
      </c>
      <c r="L704" s="31" t="n">
        <v>16223.2</v>
      </c>
      <c r="M704" s="30" t="inlineStr">
        <is>
          <t>AMR3</t>
        </is>
      </c>
      <c r="N704" s="30" t="inlineStr">
        <is>
          <t>AMR3</t>
        </is>
      </c>
      <c r="O704" s="32" t="n">
        <v>1</v>
      </c>
      <c r="P704" s="32" t="n">
        <v>25</v>
      </c>
      <c r="Q704" s="32" t="n">
        <v>1</v>
      </c>
      <c r="R704" s="31" t="n">
        <v>54.7</v>
      </c>
      <c r="S704" s="31" t="n">
        <v>54.7</v>
      </c>
      <c r="T704" s="30" t="inlineStr">
        <is>
          <t>AMR3</t>
        </is>
      </c>
      <c r="U704" s="31" t="n">
        <v>42.7</v>
      </c>
      <c r="V704" s="31" t="n">
        <v>42.7</v>
      </c>
      <c r="W704" s="30" t="inlineStr">
        <is>
          <t>AMR3</t>
        </is>
      </c>
      <c r="X704" s="32" t="n">
        <v>0</v>
      </c>
      <c r="Y704" s="32" t="n">
        <v>0</v>
      </c>
      <c r="Z704" s="31" t="n">
        <v>0</v>
      </c>
      <c r="AA704" s="32" t="n">
        <v>0</v>
      </c>
      <c r="AB704" s="32" t="n">
        <v>0</v>
      </c>
      <c r="AC704" s="32" t="n">
        <v>0</v>
      </c>
      <c r="AD704" s="32" t="n">
        <v>1</v>
      </c>
      <c r="AE704" s="31" t="n">
        <v>5</v>
      </c>
      <c r="AF704" s="32" t="n">
        <v>1</v>
      </c>
      <c r="AG704" s="31" t="n">
        <v>2</v>
      </c>
      <c r="AH704" s="32" t="n">
        <v>58</v>
      </c>
      <c r="AI704" s="31" t="n">
        <v>59</v>
      </c>
      <c r="AJ704" s="31" t="n">
        <v>40.6</v>
      </c>
      <c r="AK704" s="31" t="n">
        <v>12</v>
      </c>
      <c r="AL704" s="30" t="inlineStr">
        <is>
          <t>T-0849</t>
        </is>
      </c>
      <c r="AM704" s="30" t="inlineStr">
        <is>
          <t>B-05-02</t>
        </is>
      </c>
      <c r="AN704" s="30" t="inlineStr">
        <is>
          <t>T-0652</t>
        </is>
      </c>
      <c r="AO704" s="30" t="inlineStr">
        <is>
          <t>B-03-01</t>
        </is>
      </c>
    </row>
    <row r="705">
      <c r="A705" s="30" t="inlineStr">
        <is>
          <t>O0704</t>
        </is>
      </c>
      <c r="B705" s="30" t="inlineStr">
        <is>
          <t>C</t>
        </is>
      </c>
      <c r="C705" s="31" t="n">
        <v>9448</v>
      </c>
      <c r="D705" s="31" t="n">
        <v>25689.1</v>
      </c>
      <c r="E705" s="31" t="n">
        <v>25719.6</v>
      </c>
      <c r="F705" s="31" t="n">
        <v>25735</v>
      </c>
      <c r="G705" s="31" t="n">
        <v>25758</v>
      </c>
      <c r="H705" s="31" t="n">
        <v>25758.1</v>
      </c>
      <c r="I705" s="31" t="n">
        <v>25769.3</v>
      </c>
      <c r="J705" s="31" t="n">
        <v>25795.9</v>
      </c>
      <c r="K705" s="31" t="n">
        <v>16347.9</v>
      </c>
      <c r="L705" s="31" t="n">
        <v>16241.1</v>
      </c>
      <c r="M705" s="30" t="inlineStr">
        <is>
          <t>AMR2</t>
        </is>
      </c>
      <c r="N705" s="30" t="inlineStr">
        <is>
          <t>AMR2</t>
        </is>
      </c>
      <c r="O705" s="32" t="n">
        <v>1</v>
      </c>
      <c r="P705" s="32" t="n">
        <v>25</v>
      </c>
      <c r="Q705" s="32" t="n">
        <v>1</v>
      </c>
      <c r="R705" s="31" t="n">
        <v>60</v>
      </c>
      <c r="S705" s="31" t="n">
        <v>60</v>
      </c>
      <c r="T705" s="30" t="inlineStr">
        <is>
          <t>AMR2</t>
        </is>
      </c>
      <c r="U705" s="31" t="n">
        <v>39</v>
      </c>
      <c r="V705" s="31" t="n">
        <v>39</v>
      </c>
      <c r="W705" s="30" t="inlineStr">
        <is>
          <t>AMR2</t>
        </is>
      </c>
      <c r="X705" s="32" t="n">
        <v>0</v>
      </c>
      <c r="Y705" s="32" t="n">
        <v>0</v>
      </c>
      <c r="Z705" s="31" t="n">
        <v>0</v>
      </c>
      <c r="AA705" s="32" t="n">
        <v>0</v>
      </c>
      <c r="AB705" s="32" t="n">
        <v>0</v>
      </c>
      <c r="AC705" s="32" t="n">
        <v>0</v>
      </c>
      <c r="AD705" s="32" t="n">
        <v>0</v>
      </c>
      <c r="AE705" s="31" t="n">
        <v>0</v>
      </c>
      <c r="AF705" s="32" t="n">
        <v>1</v>
      </c>
      <c r="AG705" s="31" t="n">
        <v>2</v>
      </c>
      <c r="AH705" s="32" t="n">
        <v>52</v>
      </c>
      <c r="AI705" s="31" t="n">
        <v>53.8</v>
      </c>
      <c r="AJ705" s="31" t="n">
        <v>45.9</v>
      </c>
      <c r="AK705" s="31" t="n">
        <v>7</v>
      </c>
      <c r="AL705" s="30" t="inlineStr">
        <is>
          <t>T-0850</t>
        </is>
      </c>
      <c r="AM705" s="30" t="inlineStr">
        <is>
          <t>C-01-02</t>
        </is>
      </c>
      <c r="AN705" s="30" t="inlineStr">
        <is>
          <t>T-0717</t>
        </is>
      </c>
      <c r="AO705" s="30" t="inlineStr">
        <is>
          <t>C-02-01</t>
        </is>
      </c>
    </row>
    <row r="706">
      <c r="A706" s="30" t="inlineStr">
        <is>
          <t>O0705</t>
        </is>
      </c>
      <c r="B706" s="30" t="inlineStr">
        <is>
          <t>J</t>
        </is>
      </c>
      <c r="C706" s="31" t="n">
        <v>9451.1</v>
      </c>
      <c r="D706" s="31" t="n">
        <v>25777.1</v>
      </c>
      <c r="E706" s="31" t="n">
        <v>25800.6</v>
      </c>
      <c r="F706" s="31" t="n">
        <v>25815.2</v>
      </c>
      <c r="G706" s="31" t="n">
        <v>25843.2</v>
      </c>
      <c r="H706" s="31" t="n">
        <v>25843.3</v>
      </c>
      <c r="I706" s="31" t="n">
        <v>25857.8</v>
      </c>
      <c r="J706" s="31" t="n">
        <v>25889.5</v>
      </c>
      <c r="K706" s="31" t="n">
        <v>16438.4</v>
      </c>
      <c r="L706" s="31" t="n">
        <v>16326</v>
      </c>
      <c r="M706" s="30" t="inlineStr">
        <is>
          <t>AMR3</t>
        </is>
      </c>
      <c r="N706" s="30" t="inlineStr">
        <is>
          <t>AMR3</t>
        </is>
      </c>
      <c r="O706" s="32" t="n">
        <v>1</v>
      </c>
      <c r="P706" s="32" t="n">
        <v>25</v>
      </c>
      <c r="Q706" s="32" t="n">
        <v>1</v>
      </c>
      <c r="R706" s="31" t="n">
        <v>63.3</v>
      </c>
      <c r="S706" s="31" t="n">
        <v>63.3</v>
      </c>
      <c r="T706" s="30" t="inlineStr">
        <is>
          <t>AMR3</t>
        </is>
      </c>
      <c r="U706" s="31" t="n">
        <v>44.4</v>
      </c>
      <c r="V706" s="31" t="n">
        <v>44.4</v>
      </c>
      <c r="W706" s="30" t="inlineStr">
        <is>
          <t>AMR3</t>
        </is>
      </c>
      <c r="X706" s="32" t="n">
        <v>0</v>
      </c>
      <c r="Y706" s="32" t="n">
        <v>0</v>
      </c>
      <c r="Z706" s="31" t="n">
        <v>0</v>
      </c>
      <c r="AA706" s="32" t="n">
        <v>0</v>
      </c>
      <c r="AB706" s="32" t="n">
        <v>0</v>
      </c>
      <c r="AC706" s="32" t="n">
        <v>0</v>
      </c>
      <c r="AD706" s="32" t="n">
        <v>0</v>
      </c>
      <c r="AE706" s="31" t="n">
        <v>0</v>
      </c>
      <c r="AF706" s="32" t="n">
        <v>0</v>
      </c>
      <c r="AG706" s="31" t="n">
        <v>0</v>
      </c>
      <c r="AH706" s="32" t="n">
        <v>68</v>
      </c>
      <c r="AI706" s="31" t="n">
        <v>69.3</v>
      </c>
      <c r="AJ706" s="31" t="n">
        <v>43</v>
      </c>
      <c r="AK706" s="31" t="n">
        <v>0</v>
      </c>
      <c r="AL706" s="30" t="inlineStr">
        <is>
          <t>T-0852</t>
        </is>
      </c>
      <c r="AM706" s="30" t="inlineStr">
        <is>
          <t>J-01-03</t>
        </is>
      </c>
      <c r="AN706" s="30" t="inlineStr">
        <is>
          <t>T-0702</t>
        </is>
      </c>
      <c r="AO706" s="30" t="inlineStr">
        <is>
          <t>J-04-03</t>
        </is>
      </c>
    </row>
    <row r="707">
      <c r="A707" s="30" t="inlineStr">
        <is>
          <t>O0706</t>
        </is>
      </c>
      <c r="B707" s="30" t="inlineStr">
        <is>
          <t>D</t>
        </is>
      </c>
      <c r="C707" s="31" t="n">
        <v>9457.200000000001</v>
      </c>
      <c r="D707" s="31" t="n">
        <v>25906.8</v>
      </c>
      <c r="E707" s="31" t="n">
        <v>25930.3</v>
      </c>
      <c r="F707" s="31" t="n">
        <v>25943.9</v>
      </c>
      <c r="G707" s="31" t="n">
        <v>25969</v>
      </c>
      <c r="H707" s="31" t="n">
        <v>25969.1</v>
      </c>
      <c r="I707" s="31" t="n">
        <v>25979</v>
      </c>
      <c r="J707" s="31" t="n">
        <v>26008.3</v>
      </c>
      <c r="K707" s="31" t="n">
        <v>16551.1</v>
      </c>
      <c r="L707" s="31" t="n">
        <v>16449.6</v>
      </c>
      <c r="M707" s="30" t="inlineStr">
        <is>
          <t>AMR2</t>
        </is>
      </c>
      <c r="N707" s="30" t="inlineStr">
        <is>
          <t>AMR2</t>
        </is>
      </c>
      <c r="O707" s="32" t="n">
        <v>1</v>
      </c>
      <c r="P707" s="32" t="n">
        <v>25</v>
      </c>
      <c r="Q707" s="32" t="n">
        <v>0</v>
      </c>
      <c r="R707" s="31" t="n">
        <v>59.5</v>
      </c>
      <c r="S707" s="31" t="n">
        <v>59.5</v>
      </c>
      <c r="T707" s="30" t="inlineStr">
        <is>
          <t>AMR2</t>
        </is>
      </c>
      <c r="U707" s="31" t="n">
        <v>38.5</v>
      </c>
      <c r="V707" s="31" t="n">
        <v>38.5</v>
      </c>
      <c r="W707" s="30" t="inlineStr">
        <is>
          <t>AMR2</t>
        </is>
      </c>
      <c r="X707" s="32" t="n">
        <v>0</v>
      </c>
      <c r="Y707" s="32" t="n">
        <v>0</v>
      </c>
      <c r="Z707" s="31" t="n">
        <v>0</v>
      </c>
      <c r="AA707" s="32" t="n">
        <v>0</v>
      </c>
      <c r="AB707" s="32" t="n">
        <v>0</v>
      </c>
      <c r="AC707" s="32" t="n">
        <v>0</v>
      </c>
      <c r="AD707" s="32" t="n">
        <v>0</v>
      </c>
      <c r="AE707" s="31" t="n">
        <v>0</v>
      </c>
      <c r="AF707" s="32" t="n">
        <v>0</v>
      </c>
      <c r="AG707" s="31" t="n">
        <v>0</v>
      </c>
      <c r="AH707" s="32" t="n">
        <v>54</v>
      </c>
      <c r="AI707" s="31" t="n">
        <v>56.3</v>
      </c>
      <c r="AJ707" s="31" t="n">
        <v>45.1</v>
      </c>
      <c r="AK707" s="31" t="n">
        <v>0</v>
      </c>
      <c r="AL707" s="30" t="inlineStr">
        <is>
          <t>T-0855</t>
        </is>
      </c>
      <c r="AM707" s="30" t="inlineStr">
        <is>
          <t>D-03-03</t>
        </is>
      </c>
      <c r="AN707" s="30" t="inlineStr">
        <is>
          <t>T-0721</t>
        </is>
      </c>
      <c r="AO707" s="30" t="inlineStr">
        <is>
          <t>D-03-02</t>
        </is>
      </c>
    </row>
    <row r="708">
      <c r="A708" s="30" t="inlineStr">
        <is>
          <t>O0707</t>
        </is>
      </c>
      <c r="B708" s="30" t="inlineStr">
        <is>
          <t>I</t>
        </is>
      </c>
      <c r="C708" s="31" t="n">
        <v>9463</v>
      </c>
      <c r="D708" s="31" t="n">
        <v>25862.3</v>
      </c>
      <c r="E708" s="31" t="n">
        <v>25885.8</v>
      </c>
      <c r="F708" s="31" t="n">
        <v>25899.8</v>
      </c>
      <c r="G708" s="31" t="n">
        <v>25928.2</v>
      </c>
      <c r="H708" s="31" t="n">
        <v>25928.3</v>
      </c>
      <c r="I708" s="31" t="n">
        <v>25941.1</v>
      </c>
      <c r="J708" s="31" t="n">
        <v>25967.1</v>
      </c>
      <c r="K708" s="31" t="n">
        <v>16504.1</v>
      </c>
      <c r="L708" s="31" t="n">
        <v>16399.3</v>
      </c>
      <c r="M708" s="30" t="inlineStr">
        <is>
          <t>AMR1</t>
        </is>
      </c>
      <c r="N708" s="30" t="inlineStr">
        <is>
          <t>AMR1</t>
        </is>
      </c>
      <c r="O708" s="32" t="n">
        <v>1</v>
      </c>
      <c r="P708" s="32" t="n">
        <v>25</v>
      </c>
      <c r="Q708" s="32" t="n">
        <v>1</v>
      </c>
      <c r="R708" s="31" t="n">
        <v>62.5</v>
      </c>
      <c r="S708" s="31" t="n">
        <v>55.5</v>
      </c>
      <c r="T708" s="30" t="inlineStr">
        <is>
          <t>AMR2</t>
        </is>
      </c>
      <c r="U708" s="31" t="n">
        <v>35.9</v>
      </c>
      <c r="V708" s="31" t="n">
        <v>35.9</v>
      </c>
      <c r="W708" s="30" t="inlineStr">
        <is>
          <t>AMR1</t>
        </is>
      </c>
      <c r="X708" s="32" t="n">
        <v>1</v>
      </c>
      <c r="Y708" s="32" t="n">
        <v>10</v>
      </c>
      <c r="Z708" s="31" t="n">
        <v>7</v>
      </c>
      <c r="AA708" s="32" t="n">
        <v>0</v>
      </c>
      <c r="AB708" s="32" t="n">
        <v>0</v>
      </c>
      <c r="AC708" s="32" t="n">
        <v>0</v>
      </c>
      <c r="AD708" s="32" t="n">
        <v>0</v>
      </c>
      <c r="AE708" s="31" t="n">
        <v>0</v>
      </c>
      <c r="AF708" s="32" t="n">
        <v>0</v>
      </c>
      <c r="AG708" s="31" t="n">
        <v>0</v>
      </c>
      <c r="AH708" s="32" t="n">
        <v>58</v>
      </c>
      <c r="AI708" s="31" t="n">
        <v>60.4</v>
      </c>
      <c r="AJ708" s="31" t="n">
        <v>44.3</v>
      </c>
      <c r="AK708" s="31" t="n">
        <v>0</v>
      </c>
      <c r="AL708" s="30" t="inlineStr">
        <is>
          <t>T-0854</t>
        </is>
      </c>
      <c r="AM708" s="30" t="inlineStr">
        <is>
          <t>I-05-02</t>
        </is>
      </c>
      <c r="AN708" s="30" t="inlineStr">
        <is>
          <t>T-0694</t>
        </is>
      </c>
      <c r="AO708" s="30" t="inlineStr">
        <is>
          <t>I-06-02</t>
        </is>
      </c>
    </row>
    <row r="709">
      <c r="A709" s="30" t="inlineStr">
        <is>
          <t>O0708</t>
        </is>
      </c>
      <c r="B709" s="30" t="inlineStr">
        <is>
          <t>G</t>
        </is>
      </c>
      <c r="C709" s="31" t="n">
        <v>9466.299999999999</v>
      </c>
      <c r="D709" s="31" t="n">
        <v>25945.2</v>
      </c>
      <c r="E709" s="31" t="n">
        <v>25968.7</v>
      </c>
      <c r="F709" s="31" t="n">
        <v>25981.2</v>
      </c>
      <c r="G709" s="31" t="n">
        <v>26010</v>
      </c>
      <c r="H709" s="31" t="n">
        <v>26010.1</v>
      </c>
      <c r="I709" s="31" t="n">
        <v>26023.9</v>
      </c>
      <c r="J709" s="31" t="n">
        <v>26050.4</v>
      </c>
      <c r="K709" s="31" t="n">
        <v>16584.1</v>
      </c>
      <c r="L709" s="31" t="n">
        <v>16478.9</v>
      </c>
      <c r="M709" s="30" t="inlineStr">
        <is>
          <t>AMR3</t>
        </is>
      </c>
      <c r="N709" s="30" t="inlineStr">
        <is>
          <t>AMR3</t>
        </is>
      </c>
      <c r="O709" s="32" t="n">
        <v>1</v>
      </c>
      <c r="P709" s="32" t="n">
        <v>25</v>
      </c>
      <c r="Q709" s="32" t="n">
        <v>0</v>
      </c>
      <c r="R709" s="31" t="n">
        <v>62.2</v>
      </c>
      <c r="S709" s="31" t="n">
        <v>62.2</v>
      </c>
      <c r="T709" s="30" t="inlineStr">
        <is>
          <t>AMR3</t>
        </is>
      </c>
      <c r="U709" s="31" t="n">
        <v>40</v>
      </c>
      <c r="V709" s="31" t="n">
        <v>40</v>
      </c>
      <c r="W709" s="30" t="inlineStr">
        <is>
          <t>AMR3</t>
        </is>
      </c>
      <c r="X709" s="32" t="n">
        <v>0</v>
      </c>
      <c r="Y709" s="32" t="n">
        <v>0</v>
      </c>
      <c r="Z709" s="31" t="n">
        <v>0</v>
      </c>
      <c r="AA709" s="32" t="n">
        <v>0</v>
      </c>
      <c r="AB709" s="32" t="n">
        <v>0</v>
      </c>
      <c r="AC709" s="32" t="n">
        <v>0</v>
      </c>
      <c r="AD709" s="32" t="n">
        <v>0</v>
      </c>
      <c r="AE709" s="31" t="n">
        <v>0</v>
      </c>
      <c r="AF709" s="32" t="n">
        <v>0</v>
      </c>
      <c r="AG709" s="31" t="n">
        <v>0</v>
      </c>
      <c r="AH709" s="32" t="n">
        <v>58</v>
      </c>
      <c r="AI709" s="31" t="n">
        <v>59.5</v>
      </c>
      <c r="AJ709" s="31" t="n">
        <v>45.6</v>
      </c>
      <c r="AK709" s="31" t="n">
        <v>0</v>
      </c>
      <c r="AL709" s="30" t="inlineStr">
        <is>
          <t>T-0856</t>
        </is>
      </c>
      <c r="AM709" s="30" t="inlineStr">
        <is>
          <t>G-03-02</t>
        </is>
      </c>
      <c r="AN709" s="30" t="inlineStr">
        <is>
          <t>T-0658</t>
        </is>
      </c>
      <c r="AO709" s="30" t="inlineStr">
        <is>
          <t>G-05-03</t>
        </is>
      </c>
    </row>
    <row r="710">
      <c r="A710" s="30" t="inlineStr">
        <is>
          <t>O0709</t>
        </is>
      </c>
      <c r="B710" s="30" t="inlineStr">
        <is>
          <t>I</t>
        </is>
      </c>
      <c r="C710" s="31" t="n">
        <v>9471.9</v>
      </c>
      <c r="D710" s="31" t="n">
        <v>25967.2</v>
      </c>
      <c r="E710" s="31" t="n">
        <v>25992.7</v>
      </c>
      <c r="F710" s="31" t="n">
        <v>26008.1</v>
      </c>
      <c r="G710" s="31" t="n">
        <v>26036.1</v>
      </c>
      <c r="H710" s="31" t="n">
        <v>26036.2</v>
      </c>
      <c r="I710" s="31" t="n">
        <v>26047.6</v>
      </c>
      <c r="J710" s="31" t="n">
        <v>26069.8</v>
      </c>
      <c r="K710" s="31" t="n">
        <v>16597.9</v>
      </c>
      <c r="L710" s="31" t="n">
        <v>16495.3</v>
      </c>
      <c r="M710" s="30" t="inlineStr">
        <is>
          <t>AMR1</t>
        </is>
      </c>
      <c r="N710" s="30" t="inlineStr">
        <is>
          <t>AMR1</t>
        </is>
      </c>
      <c r="O710" s="32" t="n">
        <v>1</v>
      </c>
      <c r="P710" s="32" t="n">
        <v>25</v>
      </c>
      <c r="Q710" s="32" t="n">
        <v>2</v>
      </c>
      <c r="R710" s="31" t="n">
        <v>62.7</v>
      </c>
      <c r="S710" s="31" t="n">
        <v>55</v>
      </c>
      <c r="T710" s="30" t="inlineStr">
        <is>
          <t>AMR2</t>
        </is>
      </c>
      <c r="U710" s="31" t="n">
        <v>33.3</v>
      </c>
      <c r="V710" s="31" t="n">
        <v>33.3</v>
      </c>
      <c r="W710" s="30" t="inlineStr">
        <is>
          <t>AMR1</t>
        </is>
      </c>
      <c r="X710" s="32" t="n">
        <v>1</v>
      </c>
      <c r="Y710" s="32" t="n">
        <v>12</v>
      </c>
      <c r="Z710" s="31" t="n">
        <v>7.7</v>
      </c>
      <c r="AA710" s="32" t="n">
        <v>0</v>
      </c>
      <c r="AB710" s="32" t="n">
        <v>0</v>
      </c>
      <c r="AC710" s="32" t="n">
        <v>0</v>
      </c>
      <c r="AD710" s="32" t="n">
        <v>0</v>
      </c>
      <c r="AE710" s="31" t="n">
        <v>0</v>
      </c>
      <c r="AF710" s="32" t="n">
        <v>0</v>
      </c>
      <c r="AG710" s="31" t="n">
        <v>0</v>
      </c>
      <c r="AH710" s="32" t="n">
        <v>58</v>
      </c>
      <c r="AI710" s="31" t="n">
        <v>59.3</v>
      </c>
      <c r="AJ710" s="31" t="n">
        <v>41.2</v>
      </c>
      <c r="AK710" s="31" t="n">
        <v>2</v>
      </c>
      <c r="AL710" s="30" t="inlineStr">
        <is>
          <t>T-0857</t>
        </is>
      </c>
      <c r="AM710" s="30" t="inlineStr">
        <is>
          <t>I-06-02</t>
        </is>
      </c>
      <c r="AN710" s="30" t="inlineStr">
        <is>
          <t>T-0696</t>
        </is>
      </c>
      <c r="AO710" s="30" t="inlineStr">
        <is>
          <t>I-02-03</t>
        </is>
      </c>
    </row>
    <row r="711">
      <c r="A711" s="30" t="inlineStr">
        <is>
          <t>O0710</t>
        </is>
      </c>
      <c r="B711" s="30" t="inlineStr">
        <is>
          <t>G</t>
        </is>
      </c>
      <c r="C711" s="31" t="n">
        <v>9475</v>
      </c>
      <c r="D711" s="31" t="n">
        <v>26156.7</v>
      </c>
      <c r="E711" s="31" t="n">
        <v>26180.2</v>
      </c>
      <c r="F711" s="31" t="n">
        <v>26190.8</v>
      </c>
      <c r="G711" s="31" t="n">
        <v>26216.3</v>
      </c>
      <c r="H711" s="31" t="n">
        <v>26216.4</v>
      </c>
      <c r="I711" s="31" t="n">
        <v>26229.2</v>
      </c>
      <c r="J711" s="31" t="n">
        <v>26259.7</v>
      </c>
      <c r="K711" s="31" t="n">
        <v>16784.7</v>
      </c>
      <c r="L711" s="31" t="n">
        <v>16681.7</v>
      </c>
      <c r="M711" s="30" t="inlineStr">
        <is>
          <t>AMR3</t>
        </is>
      </c>
      <c r="N711" s="30" t="inlineStr">
        <is>
          <t>AMR3</t>
        </is>
      </c>
      <c r="O711" s="32" t="n">
        <v>1</v>
      </c>
      <c r="P711" s="32" t="n">
        <v>25</v>
      </c>
      <c r="Q711" s="32" t="n">
        <v>1</v>
      </c>
      <c r="R711" s="31" t="n">
        <v>57.8</v>
      </c>
      <c r="S711" s="31" t="n">
        <v>57.8</v>
      </c>
      <c r="T711" s="30" t="inlineStr">
        <is>
          <t>AMR3</t>
        </is>
      </c>
      <c r="U711" s="31" t="n">
        <v>40.5</v>
      </c>
      <c r="V711" s="31" t="n">
        <v>40.5</v>
      </c>
      <c r="W711" s="30" t="inlineStr">
        <is>
          <t>AMR3</t>
        </is>
      </c>
      <c r="X711" s="32" t="n">
        <v>0</v>
      </c>
      <c r="Y711" s="32" t="n">
        <v>0</v>
      </c>
      <c r="Z711" s="31" t="n">
        <v>0</v>
      </c>
      <c r="AA711" s="32" t="n">
        <v>0</v>
      </c>
      <c r="AB711" s="32" t="n">
        <v>0</v>
      </c>
      <c r="AC711" s="32" t="n">
        <v>0</v>
      </c>
      <c r="AD711" s="32" t="n">
        <v>0</v>
      </c>
      <c r="AE711" s="31" t="n">
        <v>0</v>
      </c>
      <c r="AF711" s="32" t="n">
        <v>0</v>
      </c>
      <c r="AG711" s="31" t="n">
        <v>0</v>
      </c>
      <c r="AH711" s="32" t="n">
        <v>60</v>
      </c>
      <c r="AI711" s="31" t="n">
        <v>61.9</v>
      </c>
      <c r="AJ711" s="31" t="n">
        <v>41</v>
      </c>
      <c r="AK711" s="31" t="n">
        <v>0</v>
      </c>
      <c r="AL711" s="30" t="inlineStr">
        <is>
          <t>T-0862</t>
        </is>
      </c>
      <c r="AM711" s="30" t="inlineStr">
        <is>
          <t>G-04-03</t>
        </is>
      </c>
      <c r="AN711" s="30" t="inlineStr">
        <is>
          <t>T-0665</t>
        </is>
      </c>
      <c r="AO711" s="30" t="inlineStr">
        <is>
          <t>G-02-02</t>
        </is>
      </c>
    </row>
    <row r="712">
      <c r="A712" s="30" t="inlineStr">
        <is>
          <t>O0711</t>
        </is>
      </c>
      <c r="B712" s="30" t="inlineStr">
        <is>
          <t>J</t>
        </is>
      </c>
      <c r="C712" s="31" t="n">
        <v>9478</v>
      </c>
      <c r="D712" s="31" t="n">
        <v>26008.4</v>
      </c>
      <c r="E712" s="31" t="n">
        <v>26031.9</v>
      </c>
      <c r="F712" s="31" t="n">
        <v>26047.2</v>
      </c>
      <c r="G712" s="31" t="n">
        <v>26078.3</v>
      </c>
      <c r="H712" s="31" t="n">
        <v>26078.4</v>
      </c>
      <c r="I712" s="31" t="n">
        <v>26089.3</v>
      </c>
      <c r="J712" s="31" t="n">
        <v>26118.8</v>
      </c>
      <c r="K712" s="31" t="n">
        <v>16640.8</v>
      </c>
      <c r="L712" s="31" t="n">
        <v>16530.4</v>
      </c>
      <c r="M712" s="30" t="inlineStr">
        <is>
          <t>AMR2</t>
        </is>
      </c>
      <c r="N712" s="30" t="inlineStr">
        <is>
          <t>AMR2</t>
        </is>
      </c>
      <c r="O712" s="32" t="n">
        <v>1</v>
      </c>
      <c r="P712" s="32" t="n">
        <v>25</v>
      </c>
      <c r="Q712" s="32" t="n">
        <v>1</v>
      </c>
      <c r="R712" s="31" t="n">
        <v>66.5</v>
      </c>
      <c r="S712" s="31" t="n">
        <v>62</v>
      </c>
      <c r="T712" s="30" t="inlineStr">
        <is>
          <t>AMR3</t>
        </is>
      </c>
      <c r="U712" s="31" t="n">
        <v>41.1</v>
      </c>
      <c r="V712" s="31" t="n">
        <v>41.1</v>
      </c>
      <c r="W712" s="30" t="inlineStr">
        <is>
          <t>AMR2</t>
        </is>
      </c>
      <c r="X712" s="32" t="n">
        <v>1</v>
      </c>
      <c r="Y712" s="32" t="n">
        <v>8</v>
      </c>
      <c r="Z712" s="31" t="n">
        <v>4.5</v>
      </c>
      <c r="AA712" s="32" t="n">
        <v>0</v>
      </c>
      <c r="AB712" s="32" t="n">
        <v>0</v>
      </c>
      <c r="AC712" s="32" t="n">
        <v>0</v>
      </c>
      <c r="AD712" s="32" t="n">
        <v>0</v>
      </c>
      <c r="AE712" s="31" t="n">
        <v>0</v>
      </c>
      <c r="AF712" s="32" t="n">
        <v>0</v>
      </c>
      <c r="AG712" s="31" t="n">
        <v>0</v>
      </c>
      <c r="AH712" s="32" t="n">
        <v>68</v>
      </c>
      <c r="AI712" s="31" t="n">
        <v>67.40000000000001</v>
      </c>
      <c r="AJ712" s="31" t="n">
        <v>42.9</v>
      </c>
      <c r="AK712" s="31" t="n">
        <v>0</v>
      </c>
      <c r="AL712" s="30" t="inlineStr">
        <is>
          <t>T-0858</t>
        </is>
      </c>
      <c r="AM712" s="30" t="inlineStr">
        <is>
          <t>J-04-03</t>
        </is>
      </c>
      <c r="AN712" s="30" t="inlineStr">
        <is>
          <t>T-0706</t>
        </is>
      </c>
      <c r="AO712" s="30" t="inlineStr">
        <is>
          <t>J-01-01</t>
        </is>
      </c>
    </row>
    <row r="713">
      <c r="A713" s="30" t="inlineStr">
        <is>
          <t>O0712</t>
        </is>
      </c>
      <c r="B713" s="30" t="inlineStr">
        <is>
          <t>A</t>
        </is>
      </c>
      <c r="C713" s="31" t="n">
        <v>9484.299999999999</v>
      </c>
      <c r="D713" s="31" t="n">
        <v>26050.5</v>
      </c>
      <c r="E713" s="31" t="n">
        <v>26074</v>
      </c>
      <c r="F713" s="31" t="n">
        <v>26089</v>
      </c>
      <c r="G713" s="31" t="n">
        <v>26115.8</v>
      </c>
      <c r="H713" s="31" t="n">
        <v>29459.3</v>
      </c>
      <c r="I713" s="31" t="n">
        <v>29473.6</v>
      </c>
      <c r="J713" s="31" t="n">
        <v>29509</v>
      </c>
      <c r="K713" s="31" t="n">
        <v>20024.7</v>
      </c>
      <c r="L713" s="31" t="n">
        <v>16566.2</v>
      </c>
      <c r="M713" s="30" t="inlineStr">
        <is>
          <t>AMR3</t>
        </is>
      </c>
      <c r="N713" s="30" t="inlineStr">
        <is>
          <t>AMR2</t>
        </is>
      </c>
      <c r="O713" s="32" t="n">
        <v>1</v>
      </c>
      <c r="P713" s="32" t="n">
        <v>25</v>
      </c>
      <c r="Q713" s="32" t="n">
        <v>1</v>
      </c>
      <c r="R713" s="31" t="n">
        <v>64.2</v>
      </c>
      <c r="S713" s="31" t="n">
        <v>64.2</v>
      </c>
      <c r="T713" s="30" t="inlineStr">
        <is>
          <t>AMR3</t>
        </is>
      </c>
      <c r="U713" s="31" t="n">
        <v>50.4</v>
      </c>
      <c r="V713" s="31" t="n">
        <v>50.4</v>
      </c>
      <c r="W713" s="30" t="inlineStr">
        <is>
          <t>AMR2</t>
        </is>
      </c>
      <c r="X713" s="32" t="n">
        <v>0</v>
      </c>
      <c r="Y713" s="32" t="n">
        <v>0</v>
      </c>
      <c r="Z713" s="31" t="n">
        <v>0</v>
      </c>
      <c r="AA713" s="32" t="n">
        <v>0</v>
      </c>
      <c r="AB713" s="32" t="n">
        <v>0</v>
      </c>
      <c r="AC713" s="32" t="n">
        <v>0</v>
      </c>
      <c r="AD713" s="32" t="n">
        <v>0</v>
      </c>
      <c r="AE713" s="31" t="n">
        <v>0</v>
      </c>
      <c r="AF713" s="32" t="n">
        <v>0</v>
      </c>
      <c r="AG713" s="31" t="n">
        <v>0</v>
      </c>
      <c r="AH713" s="32" t="n">
        <v>69</v>
      </c>
      <c r="AI713" s="31" t="n">
        <v>67.8</v>
      </c>
      <c r="AJ713" s="31" t="n">
        <v>47.2</v>
      </c>
      <c r="AK713" s="31" t="n">
        <v>0</v>
      </c>
      <c r="AL713" s="30" t="inlineStr">
        <is>
          <t>T-0859</t>
        </is>
      </c>
      <c r="AM713" s="30" t="inlineStr">
        <is>
          <t>A-06-03</t>
        </is>
      </c>
      <c r="AN713" s="30" t="inlineStr">
        <is>
          <t>T-0740</t>
        </is>
      </c>
      <c r="AO713" s="30" t="inlineStr">
        <is>
          <t>A-04-02</t>
        </is>
      </c>
    </row>
    <row r="714">
      <c r="A714" s="30" t="inlineStr">
        <is>
          <t>O0713</t>
        </is>
      </c>
      <c r="B714" s="30" t="inlineStr">
        <is>
          <t>H</t>
        </is>
      </c>
      <c r="C714" s="31" t="n">
        <v>9489.4</v>
      </c>
      <c r="D714" s="31" t="n">
        <v>26118.9</v>
      </c>
      <c r="E714" s="31" t="n">
        <v>26142.4</v>
      </c>
      <c r="F714" s="31" t="n">
        <v>26154.8</v>
      </c>
      <c r="G714" s="31" t="n">
        <v>26177</v>
      </c>
      <c r="H714" s="31" t="n">
        <v>26177.1</v>
      </c>
      <c r="I714" s="31" t="n">
        <v>26191.2</v>
      </c>
      <c r="J714" s="31" t="n">
        <v>26215.6</v>
      </c>
      <c r="K714" s="31" t="n">
        <v>16726.2</v>
      </c>
      <c r="L714" s="31" t="n">
        <v>16629.5</v>
      </c>
      <c r="M714" s="30" t="inlineStr">
        <is>
          <t>AMR2</t>
        </is>
      </c>
      <c r="N714" s="30" t="inlineStr">
        <is>
          <t>AMR2</t>
        </is>
      </c>
      <c r="O714" s="32" t="n">
        <v>1</v>
      </c>
      <c r="P714" s="32" t="n">
        <v>25</v>
      </c>
      <c r="Q714" s="32" t="n">
        <v>1</v>
      </c>
      <c r="R714" s="31" t="n">
        <v>56.3</v>
      </c>
      <c r="S714" s="31" t="n">
        <v>56.3</v>
      </c>
      <c r="T714" s="30" t="inlineStr">
        <is>
          <t>AMR2</t>
        </is>
      </c>
      <c r="U714" s="31" t="n">
        <v>37.6</v>
      </c>
      <c r="V714" s="31" t="n">
        <v>37.6</v>
      </c>
      <c r="W714" s="30" t="inlineStr">
        <is>
          <t>AMR2</t>
        </is>
      </c>
      <c r="X714" s="32" t="n">
        <v>0</v>
      </c>
      <c r="Y714" s="32" t="n">
        <v>0</v>
      </c>
      <c r="Z714" s="31" t="n">
        <v>0</v>
      </c>
      <c r="AA714" s="32" t="n">
        <v>0</v>
      </c>
      <c r="AB714" s="32" t="n">
        <v>0</v>
      </c>
      <c r="AC714" s="32" t="n">
        <v>0</v>
      </c>
      <c r="AD714" s="32" t="n">
        <v>0</v>
      </c>
      <c r="AE714" s="31" t="n">
        <v>0</v>
      </c>
      <c r="AF714" s="32" t="n">
        <v>0</v>
      </c>
      <c r="AG714" s="31" t="n">
        <v>0</v>
      </c>
      <c r="AH714" s="32" t="n">
        <v>54</v>
      </c>
      <c r="AI714" s="31" t="n">
        <v>56.3</v>
      </c>
      <c r="AJ714" s="31" t="n">
        <v>40.3</v>
      </c>
      <c r="AK714" s="31" t="n">
        <v>0</v>
      </c>
      <c r="AL714" s="30" t="inlineStr">
        <is>
          <t>T-0861</t>
        </is>
      </c>
      <c r="AM714" s="30" t="inlineStr">
        <is>
          <t>H-02-01</t>
        </is>
      </c>
      <c r="AN714" s="30" t="inlineStr">
        <is>
          <t>T-0739</t>
        </is>
      </c>
      <c r="AO714" s="30" t="inlineStr">
        <is>
          <t>H-03-03</t>
        </is>
      </c>
    </row>
    <row r="715">
      <c r="A715" s="30" t="inlineStr">
        <is>
          <t>O0714</t>
        </is>
      </c>
      <c r="B715" s="30" t="inlineStr">
        <is>
          <t>H</t>
        </is>
      </c>
      <c r="C715" s="31" t="n">
        <v>9493.4</v>
      </c>
      <c r="D715" s="31" t="n">
        <v>26289.2</v>
      </c>
      <c r="E715" s="31" t="n">
        <v>26312.7</v>
      </c>
      <c r="F715" s="31" t="n">
        <v>26329</v>
      </c>
      <c r="G715" s="31" t="n">
        <v>26351.8</v>
      </c>
      <c r="H715" s="31" t="n">
        <v>26351.9</v>
      </c>
      <c r="I715" s="31" t="n">
        <v>26366.2</v>
      </c>
      <c r="J715" s="31" t="n">
        <v>26389.1</v>
      </c>
      <c r="K715" s="31" t="n">
        <v>16895.7</v>
      </c>
      <c r="L715" s="31" t="n">
        <v>16795.8</v>
      </c>
      <c r="M715" s="30" t="inlineStr">
        <is>
          <t>AMR1</t>
        </is>
      </c>
      <c r="N715" s="30" t="inlineStr">
        <is>
          <t>AMR1</t>
        </is>
      </c>
      <c r="O715" s="32" t="n">
        <v>1</v>
      </c>
      <c r="P715" s="32" t="n">
        <v>25</v>
      </c>
      <c r="Q715" s="32" t="n">
        <v>1</v>
      </c>
      <c r="R715" s="31" t="n">
        <v>60.8</v>
      </c>
      <c r="S715" s="31" t="n">
        <v>60.8</v>
      </c>
      <c r="T715" s="30" t="inlineStr">
        <is>
          <t>AMR1</t>
        </is>
      </c>
      <c r="U715" s="31" t="n">
        <v>36.4</v>
      </c>
      <c r="V715" s="31" t="n">
        <v>36.4</v>
      </c>
      <c r="W715" s="30" t="inlineStr">
        <is>
          <t>AMR1</t>
        </is>
      </c>
      <c r="X715" s="32" t="n">
        <v>0</v>
      </c>
      <c r="Y715" s="32" t="n">
        <v>0</v>
      </c>
      <c r="Z715" s="31" t="n">
        <v>0</v>
      </c>
      <c r="AA715" s="32" t="n">
        <v>0</v>
      </c>
      <c r="AB715" s="32" t="n">
        <v>0</v>
      </c>
      <c r="AC715" s="32" t="n">
        <v>0</v>
      </c>
      <c r="AD715" s="32" t="n">
        <v>0</v>
      </c>
      <c r="AE715" s="31" t="n">
        <v>0</v>
      </c>
      <c r="AF715" s="32" t="n">
        <v>0</v>
      </c>
      <c r="AG715" s="31" t="n">
        <v>0</v>
      </c>
      <c r="AH715" s="32" t="n">
        <v>54</v>
      </c>
      <c r="AI715" s="31" t="n">
        <v>56.2</v>
      </c>
      <c r="AJ715" s="31" t="n">
        <v>43.6</v>
      </c>
      <c r="AK715" s="31" t="n">
        <v>0</v>
      </c>
      <c r="AL715" s="30" t="inlineStr">
        <is>
          <t>T-0866</t>
        </is>
      </c>
      <c r="AM715" s="30" t="inlineStr">
        <is>
          <t>H-02-03</t>
        </is>
      </c>
      <c r="AN715" s="30" t="inlineStr">
        <is>
          <t>T-0759</t>
        </is>
      </c>
      <c r="AO715" s="30" t="inlineStr">
        <is>
          <t>H-04-01</t>
        </is>
      </c>
    </row>
    <row r="716">
      <c r="A716" s="30" t="inlineStr">
        <is>
          <t>O0715</t>
        </is>
      </c>
      <c r="B716" s="30" t="inlineStr">
        <is>
          <t>D</t>
        </is>
      </c>
      <c r="C716" s="31" t="n">
        <v>9498.299999999999</v>
      </c>
      <c r="D716" s="31" t="n">
        <v>26069.9</v>
      </c>
      <c r="E716" s="31" t="n">
        <v>26098.4</v>
      </c>
      <c r="F716" s="31" t="n">
        <v>26110.9</v>
      </c>
      <c r="G716" s="31" t="n">
        <v>26132.6</v>
      </c>
      <c r="H716" s="31" t="n">
        <v>26132.7</v>
      </c>
      <c r="I716" s="31" t="n">
        <v>26145.1</v>
      </c>
      <c r="J716" s="31" t="n">
        <v>26178.1</v>
      </c>
      <c r="K716" s="31" t="n">
        <v>16679.8</v>
      </c>
      <c r="L716" s="31" t="n">
        <v>16571.6</v>
      </c>
      <c r="M716" s="30" t="inlineStr">
        <is>
          <t>AMR1</t>
        </is>
      </c>
      <c r="N716" s="30" t="inlineStr">
        <is>
          <t>AMR1</t>
        </is>
      </c>
      <c r="O716" s="32" t="n">
        <v>1</v>
      </c>
      <c r="P716" s="32" t="n">
        <v>25</v>
      </c>
      <c r="Q716" s="32" t="n">
        <v>0</v>
      </c>
      <c r="R716" s="31" t="n">
        <v>55</v>
      </c>
      <c r="S716" s="31" t="n">
        <v>55</v>
      </c>
      <c r="T716" s="30" t="inlineStr">
        <is>
          <t>AMR1</t>
        </is>
      </c>
      <c r="U716" s="31" t="n">
        <v>39.6</v>
      </c>
      <c r="V716" s="31" t="n">
        <v>39.6</v>
      </c>
      <c r="W716" s="30" t="inlineStr">
        <is>
          <t>AMR1</t>
        </is>
      </c>
      <c r="X716" s="32" t="n">
        <v>0</v>
      </c>
      <c r="Y716" s="32" t="n">
        <v>0</v>
      </c>
      <c r="Z716" s="31" t="n">
        <v>0</v>
      </c>
      <c r="AA716" s="32" t="n">
        <v>0</v>
      </c>
      <c r="AB716" s="32" t="n">
        <v>0</v>
      </c>
      <c r="AC716" s="32" t="n">
        <v>0</v>
      </c>
      <c r="AD716" s="32" t="n">
        <v>1</v>
      </c>
      <c r="AE716" s="31" t="n">
        <v>4</v>
      </c>
      <c r="AF716" s="32" t="n">
        <v>0</v>
      </c>
      <c r="AG716" s="31" t="n">
        <v>0</v>
      </c>
      <c r="AH716" s="32" t="n">
        <v>56</v>
      </c>
      <c r="AI716" s="31" t="n">
        <v>57.4</v>
      </c>
      <c r="AJ716" s="31" t="n">
        <v>41.7</v>
      </c>
      <c r="AK716" s="31" t="n">
        <v>9</v>
      </c>
      <c r="AL716" s="30" t="inlineStr">
        <is>
          <t>T-0860</t>
        </is>
      </c>
      <c r="AM716" s="30" t="inlineStr">
        <is>
          <t>D-03-02</t>
        </is>
      </c>
      <c r="AN716" s="30" t="inlineStr">
        <is>
          <t>T-0752</t>
        </is>
      </c>
      <c r="AO716" s="30" t="inlineStr">
        <is>
          <t>D-04-02</t>
        </is>
      </c>
    </row>
    <row r="717">
      <c r="A717" s="30" t="inlineStr">
        <is>
          <t>O0716</t>
        </is>
      </c>
      <c r="B717" s="30" t="inlineStr">
        <is>
          <t>J</t>
        </is>
      </c>
      <c r="C717" s="31" t="n">
        <v>9504</v>
      </c>
      <c r="D717" s="31" t="n">
        <v>26178.2</v>
      </c>
      <c r="E717" s="31" t="n">
        <v>26204.7</v>
      </c>
      <c r="F717" s="31" t="n">
        <v>26217.5</v>
      </c>
      <c r="G717" s="31" t="n">
        <v>26247.7</v>
      </c>
      <c r="H717" s="31" t="n">
        <v>26247.8</v>
      </c>
      <c r="I717" s="31" t="n">
        <v>26256.7</v>
      </c>
      <c r="J717" s="31" t="n">
        <v>26289.1</v>
      </c>
      <c r="K717" s="31" t="n">
        <v>16785.1</v>
      </c>
      <c r="L717" s="31" t="n">
        <v>16674.2</v>
      </c>
      <c r="M717" s="30" t="inlineStr">
        <is>
          <t>AMR1</t>
        </is>
      </c>
      <c r="N717" s="30" t="inlineStr">
        <is>
          <t>AMR1</t>
        </is>
      </c>
      <c r="O717" s="32" t="n">
        <v>1</v>
      </c>
      <c r="P717" s="32" t="n">
        <v>25</v>
      </c>
      <c r="Q717" s="32" t="n">
        <v>1</v>
      </c>
      <c r="R717" s="31" t="n">
        <v>64.7</v>
      </c>
      <c r="S717" s="31" t="n">
        <v>64.7</v>
      </c>
      <c r="T717" s="30" t="inlineStr">
        <is>
          <t>AMR1</t>
        </is>
      </c>
      <c r="U717" s="31" t="n">
        <v>44</v>
      </c>
      <c r="V717" s="31" t="n">
        <v>44</v>
      </c>
      <c r="W717" s="30" t="inlineStr">
        <is>
          <t>AMR1</t>
        </is>
      </c>
      <c r="X717" s="32" t="n">
        <v>0</v>
      </c>
      <c r="Y717" s="32" t="n">
        <v>0</v>
      </c>
      <c r="Z717" s="31" t="n">
        <v>0</v>
      </c>
      <c r="AA717" s="32" t="n">
        <v>0</v>
      </c>
      <c r="AB717" s="32" t="n">
        <v>0</v>
      </c>
      <c r="AC717" s="32" t="n">
        <v>0</v>
      </c>
      <c r="AD717" s="32" t="n">
        <v>0</v>
      </c>
      <c r="AE717" s="31" t="n">
        <v>0</v>
      </c>
      <c r="AF717" s="32" t="n">
        <v>0</v>
      </c>
      <c r="AG717" s="31" t="n">
        <v>0</v>
      </c>
      <c r="AH717" s="32" t="n">
        <v>64</v>
      </c>
      <c r="AI717" s="31" t="n">
        <v>63.8</v>
      </c>
      <c r="AJ717" s="31" t="n">
        <v>44</v>
      </c>
      <c r="AK717" s="31" t="n">
        <v>3</v>
      </c>
      <c r="AL717" s="30" t="inlineStr">
        <is>
          <t>T-0863</t>
        </is>
      </c>
      <c r="AM717" s="30" t="inlineStr">
        <is>
          <t>J-01-01</t>
        </is>
      </c>
      <c r="AN717" s="30" t="inlineStr">
        <is>
          <t>T-0710</t>
        </is>
      </c>
      <c r="AO717" s="30" t="inlineStr">
        <is>
          <t>J-02-01</t>
        </is>
      </c>
    </row>
    <row r="718">
      <c r="A718" s="30" t="inlineStr">
        <is>
          <t>O0717</t>
        </is>
      </c>
      <c r="B718" s="30" t="inlineStr">
        <is>
          <t>I</t>
        </is>
      </c>
      <c r="C718" s="31" t="n">
        <v>9510</v>
      </c>
      <c r="D718" s="31" t="n">
        <v>27124.3</v>
      </c>
      <c r="E718" s="31" t="n">
        <v>27147.8</v>
      </c>
      <c r="F718" s="31" t="n">
        <v>27163.4</v>
      </c>
      <c r="G718" s="31" t="n">
        <v>27192.7</v>
      </c>
      <c r="H718" s="31" t="n">
        <v>27192.8</v>
      </c>
      <c r="I718" s="31" t="n">
        <v>27208.2</v>
      </c>
      <c r="J718" s="31" t="n">
        <v>27234.7</v>
      </c>
      <c r="K718" s="31" t="n">
        <v>17724.7</v>
      </c>
      <c r="L718" s="31" t="n">
        <v>17614.3</v>
      </c>
      <c r="M718" s="30" t="inlineStr">
        <is>
          <t>AMR2</t>
        </is>
      </c>
      <c r="N718" s="30" t="inlineStr">
        <is>
          <t>AMR2</t>
        </is>
      </c>
      <c r="O718" s="32" t="n">
        <v>1</v>
      </c>
      <c r="P718" s="32" t="n">
        <v>25</v>
      </c>
      <c r="Q718" s="32" t="n">
        <v>2</v>
      </c>
      <c r="R718" s="31" t="n">
        <v>64.2</v>
      </c>
      <c r="S718" s="31" t="n">
        <v>64.2</v>
      </c>
      <c r="T718" s="30" t="inlineStr">
        <is>
          <t>AMR2</t>
        </is>
      </c>
      <c r="U718" s="31" t="n">
        <v>41.6</v>
      </c>
      <c r="V718" s="31" t="n">
        <v>41.6</v>
      </c>
      <c r="W718" s="30" t="inlineStr">
        <is>
          <t>AMR2</t>
        </is>
      </c>
      <c r="X718" s="32" t="n">
        <v>0</v>
      </c>
      <c r="Y718" s="32" t="n">
        <v>0</v>
      </c>
      <c r="Z718" s="31" t="n">
        <v>0</v>
      </c>
      <c r="AA718" s="32" t="n">
        <v>0</v>
      </c>
      <c r="AB718" s="32" t="n">
        <v>0</v>
      </c>
      <c r="AC718" s="32" t="n">
        <v>0</v>
      </c>
      <c r="AD718" s="32" t="n">
        <v>0</v>
      </c>
      <c r="AE718" s="31" t="n">
        <v>0</v>
      </c>
      <c r="AF718" s="32" t="n">
        <v>0</v>
      </c>
      <c r="AG718" s="31" t="n">
        <v>0</v>
      </c>
      <c r="AH718" s="32" t="n">
        <v>58</v>
      </c>
      <c r="AI718" s="31" t="n">
        <v>59.3</v>
      </c>
      <c r="AJ718" s="31" t="n">
        <v>51</v>
      </c>
      <c r="AK718" s="31" t="n">
        <v>0</v>
      </c>
      <c r="AL718" s="30" t="inlineStr">
        <is>
          <t>T-0889</t>
        </is>
      </c>
      <c r="AM718" s="30" t="inlineStr">
        <is>
          <t>I-06-01</t>
        </is>
      </c>
      <c r="AN718" s="30" t="inlineStr">
        <is>
          <t>T-0816</t>
        </is>
      </c>
      <c r="AO718" s="30" t="inlineStr">
        <is>
          <t>I-01-02</t>
        </is>
      </c>
    </row>
    <row r="719">
      <c r="A719" s="30" t="inlineStr">
        <is>
          <t>O0718</t>
        </is>
      </c>
      <c r="B719" s="30" t="inlineStr">
        <is>
          <t>C</t>
        </is>
      </c>
      <c r="C719" s="31" t="n">
        <v>9515.299999999999</v>
      </c>
      <c r="D719" s="31" t="n">
        <v>26259.8</v>
      </c>
      <c r="E719" s="31" t="n">
        <v>26283.3</v>
      </c>
      <c r="F719" s="31" t="n">
        <v>26297.7</v>
      </c>
      <c r="G719" s="31" t="n">
        <v>26320.7</v>
      </c>
      <c r="H719" s="31" t="n">
        <v>26430</v>
      </c>
      <c r="I719" s="31" t="n">
        <v>26458.7</v>
      </c>
      <c r="J719" s="31" t="n">
        <v>26487</v>
      </c>
      <c r="K719" s="31" t="n">
        <v>16971.7</v>
      </c>
      <c r="L719" s="31" t="n">
        <v>16744.5</v>
      </c>
      <c r="M719" s="30" t="inlineStr">
        <is>
          <t>AMR3</t>
        </is>
      </c>
      <c r="N719" s="30" t="inlineStr">
        <is>
          <t>AMR2</t>
        </is>
      </c>
      <c r="O719" s="32" t="n">
        <v>1</v>
      </c>
      <c r="P719" s="32" t="n">
        <v>25</v>
      </c>
      <c r="Q719" s="32" t="n">
        <v>16</v>
      </c>
      <c r="R719" s="31" t="n">
        <v>57.4</v>
      </c>
      <c r="S719" s="31" t="n">
        <v>57.4</v>
      </c>
      <c r="T719" s="30" t="inlineStr">
        <is>
          <t>AMR3</t>
        </is>
      </c>
      <c r="U719" s="31" t="n">
        <v>54.9</v>
      </c>
      <c r="V719" s="31" t="n">
        <v>54.9</v>
      </c>
      <c r="W719" s="30" t="inlineStr">
        <is>
          <t>AMR2</t>
        </is>
      </c>
      <c r="X719" s="32" t="n">
        <v>0</v>
      </c>
      <c r="Y719" s="32" t="n">
        <v>0</v>
      </c>
      <c r="Z719" s="31" t="n">
        <v>0</v>
      </c>
      <c r="AA719" s="32" t="n">
        <v>0</v>
      </c>
      <c r="AB719" s="32" t="n">
        <v>0</v>
      </c>
      <c r="AC719" s="32" t="n">
        <v>0</v>
      </c>
      <c r="AD719" s="32" t="n">
        <v>0</v>
      </c>
      <c r="AE719" s="31" t="n">
        <v>0</v>
      </c>
      <c r="AF719" s="32" t="n">
        <v>0</v>
      </c>
      <c r="AG719" s="31" t="n">
        <v>0</v>
      </c>
      <c r="AH719" s="32" t="n">
        <v>71</v>
      </c>
      <c r="AI719" s="31" t="n">
        <v>73.59999999999999</v>
      </c>
      <c r="AJ719" s="31" t="n">
        <v>44.3</v>
      </c>
      <c r="AK719" s="31" t="n">
        <v>0</v>
      </c>
      <c r="AL719" s="30" t="inlineStr">
        <is>
          <t>T-0865</t>
        </is>
      </c>
      <c r="AM719" s="30" t="inlineStr">
        <is>
          <t>C-02-01</t>
        </is>
      </c>
      <c r="AN719" s="30" t="inlineStr">
        <is>
          <t>T-0734</t>
        </is>
      </c>
      <c r="AO719" s="30" t="inlineStr">
        <is>
          <t>C-04-02</t>
        </is>
      </c>
    </row>
    <row r="720">
      <c r="A720" s="30" t="inlineStr">
        <is>
          <t>O0719</t>
        </is>
      </c>
      <c r="B720" s="30" t="inlineStr">
        <is>
          <t>I</t>
        </is>
      </c>
      <c r="C720" s="31" t="n">
        <v>9518.9</v>
      </c>
      <c r="D720" s="31" t="n">
        <v>26215.7</v>
      </c>
      <c r="E720" s="31" t="n">
        <v>26239.2</v>
      </c>
      <c r="F720" s="31" t="n">
        <v>26253.7</v>
      </c>
      <c r="G720" s="31" t="n">
        <v>26276.2</v>
      </c>
      <c r="H720" s="31" t="n">
        <v>26276.3</v>
      </c>
      <c r="I720" s="31" t="n">
        <v>26286.7</v>
      </c>
      <c r="J720" s="31" t="n">
        <v>26315.3</v>
      </c>
      <c r="K720" s="31" t="n">
        <v>16796.4</v>
      </c>
      <c r="L720" s="31" t="n">
        <v>16696.8</v>
      </c>
      <c r="M720" s="30" t="inlineStr">
        <is>
          <t>AMR2</t>
        </is>
      </c>
      <c r="N720" s="30" t="inlineStr">
        <is>
          <t>AMR2</t>
        </is>
      </c>
      <c r="O720" s="32" t="n">
        <v>1</v>
      </c>
      <c r="P720" s="32" t="n">
        <v>25</v>
      </c>
      <c r="Q720" s="32" t="n">
        <v>1</v>
      </c>
      <c r="R720" s="31" t="n">
        <v>58.7</v>
      </c>
      <c r="S720" s="31" t="n">
        <v>52.5</v>
      </c>
      <c r="T720" s="30" t="inlineStr">
        <is>
          <t>AMR3</t>
        </is>
      </c>
      <c r="U720" s="31" t="n">
        <v>36.2</v>
      </c>
      <c r="V720" s="31" t="n">
        <v>36.2</v>
      </c>
      <c r="W720" s="30" t="inlineStr">
        <is>
          <t>AMR2</t>
        </is>
      </c>
      <c r="X720" s="32" t="n">
        <v>1</v>
      </c>
      <c r="Y720" s="32" t="n">
        <v>9</v>
      </c>
      <c r="Z720" s="31" t="n">
        <v>6.2</v>
      </c>
      <c r="AA720" s="32" t="n">
        <v>0</v>
      </c>
      <c r="AB720" s="32" t="n">
        <v>0</v>
      </c>
      <c r="AC720" s="32" t="n">
        <v>0</v>
      </c>
      <c r="AD720" s="32" t="n">
        <v>0</v>
      </c>
      <c r="AE720" s="31" t="n">
        <v>0</v>
      </c>
      <c r="AF720" s="32" t="n">
        <v>0</v>
      </c>
      <c r="AG720" s="31" t="n">
        <v>0</v>
      </c>
      <c r="AH720" s="32" t="n">
        <v>56</v>
      </c>
      <c r="AI720" s="31" t="n">
        <v>58.7</v>
      </c>
      <c r="AJ720" s="31" t="n">
        <v>40.8</v>
      </c>
      <c r="AK720" s="31" t="n">
        <v>0</v>
      </c>
      <c r="AL720" s="30" t="inlineStr">
        <is>
          <t>T-0864</t>
        </is>
      </c>
      <c r="AM720" s="30" t="inlineStr">
        <is>
          <t>I-02-03</t>
        </is>
      </c>
      <c r="AN720" s="30" t="inlineStr">
        <is>
          <t>T-0698</t>
        </is>
      </c>
      <c r="AO720" s="30" t="inlineStr">
        <is>
          <t>I-04-03</t>
        </is>
      </c>
    </row>
    <row r="721">
      <c r="A721" s="30" t="inlineStr">
        <is>
          <t>O0720</t>
        </is>
      </c>
      <c r="B721" s="30" t="inlineStr">
        <is>
          <t>C</t>
        </is>
      </c>
      <c r="C721" s="31" t="n">
        <v>9525.1</v>
      </c>
      <c r="D721" s="31" t="n">
        <v>26320.8</v>
      </c>
      <c r="E721" s="31" t="n">
        <v>26332.8</v>
      </c>
      <c r="F721" s="31" t="n">
        <v>26346.7</v>
      </c>
      <c r="G721" s="31" t="n">
        <v>26370.8</v>
      </c>
      <c r="H721" s="31" t="n">
        <v>26370.9</v>
      </c>
      <c r="I721" s="31" t="n">
        <v>26380.5</v>
      </c>
      <c r="J721" s="31" t="n">
        <v>26409.1</v>
      </c>
      <c r="K721" s="31" t="n">
        <v>16884</v>
      </c>
      <c r="L721" s="31" t="n">
        <v>16795.7</v>
      </c>
      <c r="M721" s="30" t="inlineStr">
        <is>
          <t>AMR3</t>
        </is>
      </c>
      <c r="N721" s="30" t="inlineStr">
        <is>
          <t>AMR3</t>
        </is>
      </c>
      <c r="O721" s="32" t="n">
        <v>1</v>
      </c>
      <c r="P721" s="32" t="n">
        <v>12</v>
      </c>
      <c r="Q721" s="32" t="n">
        <v>1</v>
      </c>
      <c r="R721" s="31" t="n">
        <v>48.7</v>
      </c>
      <c r="S721" s="31" t="n">
        <v>48.7</v>
      </c>
      <c r="T721" s="30" t="inlineStr">
        <is>
          <t>AMR3</t>
        </is>
      </c>
      <c r="U721" s="31" t="n">
        <v>38.3</v>
      </c>
      <c r="V721" s="31" t="n">
        <v>38.3</v>
      </c>
      <c r="W721" s="30" t="inlineStr">
        <is>
          <t>AMR3</t>
        </is>
      </c>
      <c r="X721" s="32" t="n">
        <v>0</v>
      </c>
      <c r="Y721" s="32" t="n">
        <v>0</v>
      </c>
      <c r="Z721" s="31" t="n">
        <v>0</v>
      </c>
      <c r="AA721" s="32" t="n">
        <v>0</v>
      </c>
      <c r="AB721" s="32" t="n">
        <v>0</v>
      </c>
      <c r="AC721" s="32" t="n">
        <v>0</v>
      </c>
      <c r="AD721" s="32" t="n">
        <v>0</v>
      </c>
      <c r="AE721" s="31" t="n">
        <v>0</v>
      </c>
      <c r="AF721" s="32" t="n">
        <v>0</v>
      </c>
      <c r="AG721" s="31" t="n">
        <v>0</v>
      </c>
      <c r="AH721" s="32" t="n">
        <v>41</v>
      </c>
      <c r="AI721" s="31" t="n">
        <v>43.4</v>
      </c>
      <c r="AJ721" s="31" t="n">
        <v>44.8</v>
      </c>
      <c r="AK721" s="31" t="n">
        <v>0</v>
      </c>
      <c r="AL721" s="30" t="inlineStr">
        <is>
          <t>T-0867</t>
        </is>
      </c>
      <c r="AM721" s="30" t="inlineStr">
        <is>
          <t>C-02-02</t>
        </is>
      </c>
      <c r="AN721" s="30" t="inlineStr">
        <is>
          <t>T-0733</t>
        </is>
      </c>
      <c r="AO721" s="30" t="inlineStr">
        <is>
          <t>C-03-02</t>
        </is>
      </c>
    </row>
    <row r="722">
      <c r="A722" s="30" t="inlineStr">
        <is>
          <t>O0721</t>
        </is>
      </c>
      <c r="B722" s="30" t="inlineStr">
        <is>
          <t>I</t>
        </is>
      </c>
      <c r="C722" s="31" t="n">
        <v>9531.799999999999</v>
      </c>
      <c r="D722" s="31" t="n">
        <v>26315.4</v>
      </c>
      <c r="E722" s="31" t="n">
        <v>26346.8</v>
      </c>
      <c r="F722" s="31" t="n">
        <v>26369.6</v>
      </c>
      <c r="G722" s="31" t="n">
        <v>26393.5</v>
      </c>
      <c r="H722" s="31" t="n">
        <v>26393.6</v>
      </c>
      <c r="I722" s="31" t="n">
        <v>26405.2</v>
      </c>
      <c r="J722" s="31" t="n">
        <v>26429.9</v>
      </c>
      <c r="K722" s="31" t="n">
        <v>16898.1</v>
      </c>
      <c r="L722" s="31" t="n">
        <v>16783.6</v>
      </c>
      <c r="M722" s="30" t="inlineStr">
        <is>
          <t>AMR2</t>
        </is>
      </c>
      <c r="N722" s="30" t="inlineStr">
        <is>
          <t>AMR2</t>
        </is>
      </c>
      <c r="O722" s="32" t="n">
        <v>1</v>
      </c>
      <c r="P722" s="32" t="n">
        <v>25</v>
      </c>
      <c r="Q722" s="32" t="n">
        <v>1</v>
      </c>
      <c r="R722" s="31" t="n">
        <v>66.8</v>
      </c>
      <c r="S722" s="31" t="n">
        <v>61.3</v>
      </c>
      <c r="T722" s="30" t="inlineStr">
        <is>
          <t>AMR3</t>
        </is>
      </c>
      <c r="U722" s="31" t="n">
        <v>35.9</v>
      </c>
      <c r="V722" s="31" t="n">
        <v>35.9</v>
      </c>
      <c r="W722" s="30" t="inlineStr">
        <is>
          <t>AMR2</t>
        </is>
      </c>
      <c r="X722" s="32" t="n">
        <v>1</v>
      </c>
      <c r="Y722" s="32" t="n">
        <v>13</v>
      </c>
      <c r="Z722" s="31" t="n">
        <v>5.5</v>
      </c>
      <c r="AA722" s="32" t="n">
        <v>0</v>
      </c>
      <c r="AB722" s="32" t="n">
        <v>0</v>
      </c>
      <c r="AC722" s="32" t="n">
        <v>0</v>
      </c>
      <c r="AD722" s="32" t="n">
        <v>0</v>
      </c>
      <c r="AE722" s="31" t="n">
        <v>0</v>
      </c>
      <c r="AF722" s="32" t="n">
        <v>0</v>
      </c>
      <c r="AG722" s="31" t="n">
        <v>0</v>
      </c>
      <c r="AH722" s="32" t="n">
        <v>62</v>
      </c>
      <c r="AI722" s="31" t="n">
        <v>64.09999999999999</v>
      </c>
      <c r="AJ722" s="31" t="n">
        <v>48.6</v>
      </c>
      <c r="AK722" s="31" t="n">
        <v>1.7</v>
      </c>
      <c r="AL722" s="30" t="inlineStr">
        <is>
          <t>T-0868</t>
        </is>
      </c>
      <c r="AM722" s="30" t="inlineStr">
        <is>
          <t>I-04-03</t>
        </is>
      </c>
      <c r="AN722" s="30" t="inlineStr">
        <is>
          <t>T-0704</t>
        </is>
      </c>
      <c r="AO722" s="30" t="inlineStr">
        <is>
          <t>I-03-03</t>
        </is>
      </c>
    </row>
    <row r="723">
      <c r="A723" s="30" t="inlineStr">
        <is>
          <t>O0722</t>
        </is>
      </c>
      <c r="B723" s="30" t="inlineStr">
        <is>
          <t>H</t>
        </is>
      </c>
      <c r="C723" s="31" t="n">
        <v>9534.9</v>
      </c>
      <c r="D723" s="31" t="n">
        <v>26504.5</v>
      </c>
      <c r="E723" s="31" t="n">
        <v>26535</v>
      </c>
      <c r="F723" s="31" t="n">
        <v>26550.8</v>
      </c>
      <c r="G723" s="31" t="n">
        <v>26572.5</v>
      </c>
      <c r="H723" s="31" t="n">
        <v>26572.6</v>
      </c>
      <c r="I723" s="31" t="n">
        <v>26587</v>
      </c>
      <c r="J723" s="31" t="n">
        <v>26610.5</v>
      </c>
      <c r="K723" s="31" t="n">
        <v>17075.6</v>
      </c>
      <c r="L723" s="31" t="n">
        <v>16969.6</v>
      </c>
      <c r="M723" s="30" t="inlineStr">
        <is>
          <t>AMR1</t>
        </is>
      </c>
      <c r="N723" s="30" t="inlineStr">
        <is>
          <t>AMR1</t>
        </is>
      </c>
      <c r="O723" s="32" t="n">
        <v>1</v>
      </c>
      <c r="P723" s="32" t="n">
        <v>25</v>
      </c>
      <c r="Q723" s="32" t="n">
        <v>1</v>
      </c>
      <c r="R723" s="31" t="n">
        <v>59.2</v>
      </c>
      <c r="S723" s="31" t="n">
        <v>59.2</v>
      </c>
      <c r="T723" s="30" t="inlineStr">
        <is>
          <t>AMR1</t>
        </is>
      </c>
      <c r="U723" s="31" t="n">
        <v>37.1</v>
      </c>
      <c r="V723" s="31" t="n">
        <v>37.1</v>
      </c>
      <c r="W723" s="30" t="inlineStr">
        <is>
          <t>AMR1</t>
        </is>
      </c>
      <c r="X723" s="32" t="n">
        <v>0</v>
      </c>
      <c r="Y723" s="32" t="n">
        <v>0</v>
      </c>
      <c r="Z723" s="31" t="n">
        <v>0</v>
      </c>
      <c r="AA723" s="32" t="n">
        <v>0</v>
      </c>
      <c r="AB723" s="32" t="n">
        <v>0</v>
      </c>
      <c r="AC723" s="32" t="n">
        <v>0</v>
      </c>
      <c r="AD723" s="32" t="n">
        <v>0</v>
      </c>
      <c r="AE723" s="31" t="n">
        <v>0</v>
      </c>
      <c r="AF723" s="32" t="n">
        <v>1</v>
      </c>
      <c r="AG723" s="31" t="n">
        <v>2</v>
      </c>
      <c r="AH723" s="32" t="n">
        <v>54</v>
      </c>
      <c r="AI723" s="31" t="n">
        <v>56.2</v>
      </c>
      <c r="AJ723" s="31" t="n">
        <v>42.7</v>
      </c>
      <c r="AK723" s="31" t="n">
        <v>7</v>
      </c>
      <c r="AL723" s="30" t="inlineStr">
        <is>
          <t>T-0872</t>
        </is>
      </c>
      <c r="AM723" s="30" t="inlineStr">
        <is>
          <t>H-05-01</t>
        </is>
      </c>
      <c r="AN723" s="30" t="inlineStr">
        <is>
          <t>T-0768</t>
        </is>
      </c>
      <c r="AO723" s="30" t="inlineStr">
        <is>
          <t>H-02-02</t>
        </is>
      </c>
    </row>
    <row r="724">
      <c r="A724" s="30" t="inlineStr">
        <is>
          <t>O0723</t>
        </is>
      </c>
      <c r="B724" s="30" t="inlineStr">
        <is>
          <t>H</t>
        </is>
      </c>
      <c r="C724" s="31" t="n">
        <v>9540.200000000001</v>
      </c>
      <c r="D724" s="31" t="n">
        <v>26389.2</v>
      </c>
      <c r="E724" s="31" t="n">
        <v>26412.7</v>
      </c>
      <c r="F724" s="31" t="n">
        <v>26428.1</v>
      </c>
      <c r="G724" s="31" t="n">
        <v>26452.6</v>
      </c>
      <c r="H724" s="31" t="n">
        <v>26452.7</v>
      </c>
      <c r="I724" s="31" t="n">
        <v>26465.1</v>
      </c>
      <c r="J724" s="31" t="n">
        <v>26504.4</v>
      </c>
      <c r="K724" s="31" t="n">
        <v>16964.2</v>
      </c>
      <c r="L724" s="31" t="n">
        <v>16849</v>
      </c>
      <c r="M724" s="30" t="inlineStr">
        <is>
          <t>AMR1</t>
        </is>
      </c>
      <c r="N724" s="30" t="inlineStr">
        <is>
          <t>AMR1</t>
        </is>
      </c>
      <c r="O724" s="32" t="n">
        <v>1</v>
      </c>
      <c r="P724" s="32" t="n">
        <v>25</v>
      </c>
      <c r="Q724" s="32" t="n">
        <v>1</v>
      </c>
      <c r="R724" s="31" t="n">
        <v>61.6</v>
      </c>
      <c r="S724" s="31" t="n">
        <v>59.1</v>
      </c>
      <c r="T724" s="30" t="inlineStr">
        <is>
          <t>AMR2</t>
        </is>
      </c>
      <c r="U724" s="31" t="n">
        <v>40.4</v>
      </c>
      <c r="V724" s="31" t="n">
        <v>40.4</v>
      </c>
      <c r="W724" s="30" t="inlineStr">
        <is>
          <t>AMR1</t>
        </is>
      </c>
      <c r="X724" s="32" t="n">
        <v>1</v>
      </c>
      <c r="Y724" s="32" t="n">
        <v>9</v>
      </c>
      <c r="Z724" s="31" t="n">
        <v>2.5</v>
      </c>
      <c r="AA724" s="32" t="n">
        <v>0</v>
      </c>
      <c r="AB724" s="32" t="n">
        <v>0</v>
      </c>
      <c r="AC724" s="32" t="n">
        <v>0</v>
      </c>
      <c r="AD724" s="32" t="n">
        <v>1</v>
      </c>
      <c r="AE724" s="31" t="n">
        <v>12</v>
      </c>
      <c r="AF724" s="32" t="n">
        <v>1</v>
      </c>
      <c r="AG724" s="31" t="n">
        <v>7</v>
      </c>
      <c r="AH724" s="32" t="n">
        <v>52</v>
      </c>
      <c r="AI724" s="31" t="n">
        <v>54.7</v>
      </c>
      <c r="AJ724" s="31" t="n">
        <v>48.4</v>
      </c>
      <c r="AK724" s="31" t="n">
        <v>12</v>
      </c>
      <c r="AL724" s="30" t="inlineStr">
        <is>
          <t>T-0869</t>
        </is>
      </c>
      <c r="AM724" s="30" t="inlineStr">
        <is>
          <t>H-04-01</t>
        </is>
      </c>
      <c r="AN724" s="30" t="inlineStr">
        <is>
          <t>T-0761</t>
        </is>
      </c>
      <c r="AO724" s="30" t="inlineStr">
        <is>
          <t>H-05-01</t>
        </is>
      </c>
    </row>
    <row r="725">
      <c r="A725" s="30" t="inlineStr">
        <is>
          <t>O0724</t>
        </is>
      </c>
      <c r="B725" s="30" t="inlineStr">
        <is>
          <t>I</t>
        </is>
      </c>
      <c r="C725" s="31" t="n">
        <v>9547</v>
      </c>
      <c r="D725" s="31" t="n">
        <v>26409.2</v>
      </c>
      <c r="E725" s="31" t="n">
        <v>26436.7</v>
      </c>
      <c r="F725" s="31" t="n">
        <v>26452.9</v>
      </c>
      <c r="G725" s="31" t="n">
        <v>26476.6</v>
      </c>
      <c r="H725" s="31" t="n">
        <v>26476.7</v>
      </c>
      <c r="I725" s="31" t="n">
        <v>26491.5</v>
      </c>
      <c r="J725" s="31" t="n">
        <v>26524.1</v>
      </c>
      <c r="K725" s="31" t="n">
        <v>16977.1</v>
      </c>
      <c r="L725" s="31" t="n">
        <v>16862.2</v>
      </c>
      <c r="M725" s="30" t="inlineStr">
        <is>
          <t>AMR3</t>
        </is>
      </c>
      <c r="N725" s="30" t="inlineStr">
        <is>
          <t>AMR3</t>
        </is>
      </c>
      <c r="O725" s="32" t="n">
        <v>1</v>
      </c>
      <c r="P725" s="32" t="n">
        <v>25</v>
      </c>
      <c r="Q725" s="32" t="n">
        <v>0</v>
      </c>
      <c r="R725" s="31" t="n">
        <v>60.8</v>
      </c>
      <c r="S725" s="31" t="n">
        <v>60.8</v>
      </c>
      <c r="T725" s="30" t="inlineStr">
        <is>
          <t>AMR3</t>
        </is>
      </c>
      <c r="U725" s="31" t="n">
        <v>38.5</v>
      </c>
      <c r="V725" s="31" t="n">
        <v>38.5</v>
      </c>
      <c r="W725" s="30" t="inlineStr">
        <is>
          <t>AMR3</t>
        </is>
      </c>
      <c r="X725" s="32" t="n">
        <v>0</v>
      </c>
      <c r="Y725" s="32" t="n">
        <v>0</v>
      </c>
      <c r="Z725" s="31" t="n">
        <v>0</v>
      </c>
      <c r="AA725" s="32" t="n">
        <v>0</v>
      </c>
      <c r="AB725" s="32" t="n">
        <v>0</v>
      </c>
      <c r="AC725" s="32" t="n">
        <v>0</v>
      </c>
      <c r="AD725" s="32" t="n">
        <v>2</v>
      </c>
      <c r="AE725" s="31" t="n">
        <v>8.1</v>
      </c>
      <c r="AF725" s="32" t="n">
        <v>1</v>
      </c>
      <c r="AG725" s="31" t="n">
        <v>2.1</v>
      </c>
      <c r="AH725" s="32" t="n">
        <v>54</v>
      </c>
      <c r="AI725" s="31" t="n">
        <v>56.8</v>
      </c>
      <c r="AJ725" s="31" t="n">
        <v>45.9</v>
      </c>
      <c r="AK725" s="31" t="n">
        <v>12.1</v>
      </c>
      <c r="AL725" s="30" t="inlineStr">
        <is>
          <t>T-0870</t>
        </is>
      </c>
      <c r="AM725" s="30" t="inlineStr">
        <is>
          <t>I-03-03</t>
        </is>
      </c>
      <c r="AN725" s="30" t="inlineStr">
        <is>
          <t>T-0742</t>
        </is>
      </c>
      <c r="AO725" s="30" t="inlineStr">
        <is>
          <t>I-01-01</t>
        </is>
      </c>
    </row>
    <row r="726">
      <c r="A726" s="30" t="inlineStr">
        <is>
          <t>O0725</t>
        </is>
      </c>
      <c r="B726" s="30" t="inlineStr">
        <is>
          <t>I</t>
        </is>
      </c>
      <c r="C726" s="31" t="n">
        <v>9551.200000000001</v>
      </c>
      <c r="D726" s="31" t="n">
        <v>26524.2</v>
      </c>
      <c r="E726" s="31" t="n">
        <v>26558.7</v>
      </c>
      <c r="F726" s="31" t="n">
        <v>26574.3</v>
      </c>
      <c r="G726" s="31" t="n">
        <v>26597.4</v>
      </c>
      <c r="H726" s="31" t="n">
        <v>26597.5</v>
      </c>
      <c r="I726" s="31" t="n">
        <v>26608.4</v>
      </c>
      <c r="J726" s="31" t="n">
        <v>26633</v>
      </c>
      <c r="K726" s="31" t="n">
        <v>17081.8</v>
      </c>
      <c r="L726" s="31" t="n">
        <v>16973</v>
      </c>
      <c r="M726" s="30" t="inlineStr">
        <is>
          <t>AMR3</t>
        </is>
      </c>
      <c r="N726" s="30" t="inlineStr">
        <is>
          <t>AMR3</t>
        </is>
      </c>
      <c r="O726" s="32" t="n">
        <v>1</v>
      </c>
      <c r="P726" s="32" t="n">
        <v>25</v>
      </c>
      <c r="Q726" s="32" t="n">
        <v>1</v>
      </c>
      <c r="R726" s="31" t="n">
        <v>60.4</v>
      </c>
      <c r="S726" s="31" t="n">
        <v>60.4</v>
      </c>
      <c r="T726" s="30" t="inlineStr">
        <is>
          <t>AMR3</t>
        </is>
      </c>
      <c r="U726" s="31" t="n">
        <v>37.2</v>
      </c>
      <c r="V726" s="31" t="n">
        <v>37.2</v>
      </c>
      <c r="W726" s="30" t="inlineStr">
        <is>
          <t>AMR3</t>
        </is>
      </c>
      <c r="X726" s="32" t="n">
        <v>0</v>
      </c>
      <c r="Y726" s="32" t="n">
        <v>0</v>
      </c>
      <c r="Z726" s="31" t="n">
        <v>0</v>
      </c>
      <c r="AA726" s="32" t="n">
        <v>0</v>
      </c>
      <c r="AB726" s="32" t="n">
        <v>0</v>
      </c>
      <c r="AC726" s="32" t="n">
        <v>0</v>
      </c>
      <c r="AD726" s="32" t="n">
        <v>0</v>
      </c>
      <c r="AE726" s="31" t="n">
        <v>0</v>
      </c>
      <c r="AF726" s="32" t="n">
        <v>1</v>
      </c>
      <c r="AG726" s="31" t="n">
        <v>6</v>
      </c>
      <c r="AH726" s="32" t="n">
        <v>52</v>
      </c>
      <c r="AI726" s="31" t="n">
        <v>54.2</v>
      </c>
      <c r="AJ726" s="31" t="n">
        <v>43.5</v>
      </c>
      <c r="AK726" s="31" t="n">
        <v>11</v>
      </c>
      <c r="AL726" s="30" t="inlineStr">
        <is>
          <t>T-0873</t>
        </is>
      </c>
      <c r="AM726" s="30" t="inlineStr">
        <is>
          <t>I-01-01</t>
        </is>
      </c>
      <c r="AN726" s="30" t="inlineStr">
        <is>
          <t>T-0753</t>
        </is>
      </c>
      <c r="AO726" s="30" t="inlineStr">
        <is>
          <t>I-02-01</t>
        </is>
      </c>
    </row>
    <row r="727">
      <c r="A727" s="30" t="inlineStr">
        <is>
          <t>O0726</t>
        </is>
      </c>
      <c r="B727" s="30" t="inlineStr">
        <is>
          <t>D</t>
        </is>
      </c>
      <c r="C727" s="31" t="n">
        <v>9557.799999999999</v>
      </c>
      <c r="D727" s="31" t="n">
        <v>26487.1</v>
      </c>
      <c r="E727" s="31" t="n">
        <v>26510.6</v>
      </c>
      <c r="F727" s="31" t="n">
        <v>26521.4</v>
      </c>
      <c r="G727" s="31" t="n">
        <v>26546.9</v>
      </c>
      <c r="H727" s="31" t="n">
        <v>26547</v>
      </c>
      <c r="I727" s="31" t="n">
        <v>26558.7</v>
      </c>
      <c r="J727" s="31" t="n">
        <v>26586.4</v>
      </c>
      <c r="K727" s="31" t="n">
        <v>17028.6</v>
      </c>
      <c r="L727" s="31" t="n">
        <v>16929.3</v>
      </c>
      <c r="M727" s="30" t="inlineStr">
        <is>
          <t>AMR2</t>
        </is>
      </c>
      <c r="N727" s="30" t="inlineStr">
        <is>
          <t>AMR2</t>
        </is>
      </c>
      <c r="O727" s="32" t="n">
        <v>1</v>
      </c>
      <c r="P727" s="32" t="n">
        <v>25</v>
      </c>
      <c r="Q727" s="32" t="n">
        <v>1</v>
      </c>
      <c r="R727" s="31" t="n">
        <v>56.3</v>
      </c>
      <c r="S727" s="31" t="n">
        <v>56.3</v>
      </c>
      <c r="T727" s="30" t="inlineStr">
        <is>
          <t>AMR2</t>
        </is>
      </c>
      <c r="U727" s="31" t="n">
        <v>39</v>
      </c>
      <c r="V727" s="31" t="n">
        <v>39</v>
      </c>
      <c r="W727" s="30" t="inlineStr">
        <is>
          <t>AMR2</t>
        </is>
      </c>
      <c r="X727" s="32" t="n">
        <v>0</v>
      </c>
      <c r="Y727" s="32" t="n">
        <v>0</v>
      </c>
      <c r="Z727" s="31" t="n">
        <v>0</v>
      </c>
      <c r="AA727" s="32" t="n">
        <v>0</v>
      </c>
      <c r="AB727" s="32" t="n">
        <v>0</v>
      </c>
      <c r="AC727" s="32" t="n">
        <v>0</v>
      </c>
      <c r="AD727" s="32" t="n">
        <v>0</v>
      </c>
      <c r="AE727" s="31" t="n">
        <v>0</v>
      </c>
      <c r="AF727" s="32" t="n">
        <v>0</v>
      </c>
      <c r="AG727" s="31" t="n">
        <v>0</v>
      </c>
      <c r="AH727" s="32" t="n">
        <v>56</v>
      </c>
      <c r="AI727" s="31" t="n">
        <v>57.5</v>
      </c>
      <c r="AJ727" s="31" t="n">
        <v>41.7</v>
      </c>
      <c r="AK727" s="31" t="n">
        <v>0</v>
      </c>
      <c r="AL727" s="30" t="inlineStr">
        <is>
          <t>T-0871</t>
        </is>
      </c>
      <c r="AM727" s="30" t="inlineStr">
        <is>
          <t>D-04-02</t>
        </is>
      </c>
      <c r="AN727" s="30" t="inlineStr">
        <is>
          <t>T-0767</t>
        </is>
      </c>
      <c r="AO727" s="30" t="inlineStr">
        <is>
          <t>D-05-02</t>
        </is>
      </c>
    </row>
    <row r="728">
      <c r="A728" s="30" t="inlineStr">
        <is>
          <t>O0727</t>
        </is>
      </c>
      <c r="B728" s="30" t="inlineStr">
        <is>
          <t>H</t>
        </is>
      </c>
      <c r="C728" s="31" t="n">
        <v>9563.700000000001</v>
      </c>
      <c r="D728" s="31" t="n">
        <v>26695.2</v>
      </c>
      <c r="E728" s="31" t="n">
        <v>26718.7</v>
      </c>
      <c r="F728" s="31" t="n">
        <v>26735.1</v>
      </c>
      <c r="G728" s="31" t="n">
        <v>26757.8</v>
      </c>
      <c r="H728" s="31" t="n">
        <v>27071.5</v>
      </c>
      <c r="I728" s="31" t="n">
        <v>27095.6</v>
      </c>
      <c r="J728" s="31" t="n">
        <v>27124.2</v>
      </c>
      <c r="K728" s="31" t="n">
        <v>17560.5</v>
      </c>
      <c r="L728" s="31" t="n">
        <v>17131.5</v>
      </c>
      <c r="M728" s="30" t="inlineStr">
        <is>
          <t>AMR2</t>
        </is>
      </c>
      <c r="N728" s="30" t="inlineStr">
        <is>
          <t>AMR2</t>
        </is>
      </c>
      <c r="O728" s="32" t="n">
        <v>1</v>
      </c>
      <c r="P728" s="32" t="n">
        <v>25</v>
      </c>
      <c r="Q728" s="32" t="n">
        <v>14</v>
      </c>
      <c r="R728" s="31" t="n">
        <v>60.8</v>
      </c>
      <c r="S728" s="31" t="n">
        <v>56.2</v>
      </c>
      <c r="T728" s="30" t="inlineStr">
        <is>
          <t>AMR3</t>
        </is>
      </c>
      <c r="U728" s="31" t="n">
        <v>51.8</v>
      </c>
      <c r="V728" s="31" t="n">
        <v>51.8</v>
      </c>
      <c r="W728" s="30" t="inlineStr">
        <is>
          <t>AMR2</t>
        </is>
      </c>
      <c r="X728" s="32" t="n">
        <v>1</v>
      </c>
      <c r="Y728" s="32" t="n">
        <v>11</v>
      </c>
      <c r="Z728" s="31" t="n">
        <v>4.6</v>
      </c>
      <c r="AA728" s="32" t="n">
        <v>0</v>
      </c>
      <c r="AB728" s="32" t="n">
        <v>0</v>
      </c>
      <c r="AC728" s="32" t="n">
        <v>0</v>
      </c>
      <c r="AD728" s="32" t="n">
        <v>0</v>
      </c>
      <c r="AE728" s="31" t="n">
        <v>0</v>
      </c>
      <c r="AF728" s="32" t="n">
        <v>0</v>
      </c>
      <c r="AG728" s="31" t="n">
        <v>0</v>
      </c>
      <c r="AH728" s="32" t="n">
        <v>67</v>
      </c>
      <c r="AI728" s="31" t="n">
        <v>68.59999999999999</v>
      </c>
      <c r="AJ728" s="31" t="n">
        <v>46.7</v>
      </c>
      <c r="AK728" s="31" t="n">
        <v>0</v>
      </c>
      <c r="AL728" s="30" t="inlineStr">
        <is>
          <t>T-0877</t>
        </is>
      </c>
      <c r="AM728" s="30" t="inlineStr">
        <is>
          <t>H-02-02</t>
        </is>
      </c>
      <c r="AN728" s="30" t="inlineStr">
        <is>
          <t>T-0791</t>
        </is>
      </c>
      <c r="AO728" s="30" t="inlineStr">
        <is>
          <t>H-03-01</t>
        </is>
      </c>
    </row>
    <row r="729">
      <c r="A729" s="30" t="inlineStr">
        <is>
          <t>O0728</t>
        </is>
      </c>
      <c r="B729" s="30" t="inlineStr">
        <is>
          <t>C</t>
        </is>
      </c>
      <c r="C729" s="31" t="n">
        <v>9567.1</v>
      </c>
      <c r="D729" s="31" t="n">
        <v>26610.6</v>
      </c>
      <c r="E729" s="31" t="n">
        <v>26634.1</v>
      </c>
      <c r="F729" s="31" t="n">
        <v>26645.2</v>
      </c>
      <c r="G729" s="31" t="n">
        <v>26667.4</v>
      </c>
      <c r="H729" s="31" t="n">
        <v>26667.5</v>
      </c>
      <c r="I729" s="31" t="n">
        <v>26677.4</v>
      </c>
      <c r="J729" s="31" t="n">
        <v>26717.2</v>
      </c>
      <c r="K729" s="31" t="n">
        <v>17150.1</v>
      </c>
      <c r="L729" s="31" t="n">
        <v>17043.5</v>
      </c>
      <c r="M729" s="30" t="inlineStr">
        <is>
          <t>AMR1</t>
        </is>
      </c>
      <c r="N729" s="30" t="inlineStr">
        <is>
          <t>AMR1</t>
        </is>
      </c>
      <c r="O729" s="32" t="n">
        <v>1</v>
      </c>
      <c r="P729" s="32" t="n">
        <v>25</v>
      </c>
      <c r="Q729" s="32" t="n">
        <v>0</v>
      </c>
      <c r="R729" s="31" t="n">
        <v>54.1</v>
      </c>
      <c r="S729" s="31" t="n">
        <v>54.1</v>
      </c>
      <c r="T729" s="30" t="inlineStr">
        <is>
          <t>AMR1</t>
        </is>
      </c>
      <c r="U729" s="31" t="n">
        <v>38.9</v>
      </c>
      <c r="V729" s="31" t="n">
        <v>38.9</v>
      </c>
      <c r="W729" s="30" t="inlineStr">
        <is>
          <t>AMR1</t>
        </is>
      </c>
      <c r="X729" s="32" t="n">
        <v>0</v>
      </c>
      <c r="Y729" s="32" t="n">
        <v>0</v>
      </c>
      <c r="Z729" s="31" t="n">
        <v>0</v>
      </c>
      <c r="AA729" s="32" t="n">
        <v>0</v>
      </c>
      <c r="AB729" s="32" t="n">
        <v>0</v>
      </c>
      <c r="AC729" s="32" t="n">
        <v>0</v>
      </c>
      <c r="AD729" s="32" t="n">
        <v>1</v>
      </c>
      <c r="AE729" s="31" t="n">
        <v>10</v>
      </c>
      <c r="AF729" s="32" t="n">
        <v>1</v>
      </c>
      <c r="AG729" s="31" t="n">
        <v>5</v>
      </c>
      <c r="AH729" s="32" t="n">
        <v>54</v>
      </c>
      <c r="AI729" s="31" t="n">
        <v>55.9</v>
      </c>
      <c r="AJ729" s="31" t="n">
        <v>40.6</v>
      </c>
      <c r="AK729" s="31" t="n">
        <v>10</v>
      </c>
      <c r="AL729" s="30" t="inlineStr">
        <is>
          <t>T-0875</t>
        </is>
      </c>
      <c r="AM729" s="30" t="inlineStr">
        <is>
          <t>C-03-02</t>
        </is>
      </c>
      <c r="AN729" s="30" t="inlineStr">
        <is>
          <t>T-0751</t>
        </is>
      </c>
      <c r="AO729" s="30" t="inlineStr">
        <is>
          <t>C-05-02</t>
        </is>
      </c>
    </row>
    <row r="730">
      <c r="A730" s="30" t="inlineStr">
        <is>
          <t>O0729</t>
        </is>
      </c>
      <c r="B730" s="30" t="inlineStr">
        <is>
          <t>G</t>
        </is>
      </c>
      <c r="C730" s="31" t="n">
        <v>9572.5</v>
      </c>
      <c r="D730" s="31" t="n">
        <v>26586.5</v>
      </c>
      <c r="E730" s="31" t="n">
        <v>26610</v>
      </c>
      <c r="F730" s="31" t="n">
        <v>26624.9</v>
      </c>
      <c r="G730" s="31" t="n">
        <v>26656</v>
      </c>
      <c r="H730" s="31" t="n">
        <v>26656.1</v>
      </c>
      <c r="I730" s="31" t="n">
        <v>26668.6</v>
      </c>
      <c r="J730" s="31" t="n">
        <v>26695.1</v>
      </c>
      <c r="K730" s="31" t="n">
        <v>17122.6</v>
      </c>
      <c r="L730" s="31" t="n">
        <v>17014</v>
      </c>
      <c r="M730" s="30" t="inlineStr">
        <is>
          <t>AMR2</t>
        </is>
      </c>
      <c r="N730" s="30" t="inlineStr">
        <is>
          <t>AMR2</t>
        </is>
      </c>
      <c r="O730" s="32" t="n">
        <v>1</v>
      </c>
      <c r="P730" s="32" t="n">
        <v>25</v>
      </c>
      <c r="Q730" s="32" t="n">
        <v>1</v>
      </c>
      <c r="R730" s="31" t="n">
        <v>64.09999999999999</v>
      </c>
      <c r="S730" s="31" t="n">
        <v>64.09999999999999</v>
      </c>
      <c r="T730" s="30" t="inlineStr">
        <is>
          <t>AMR2</t>
        </is>
      </c>
      <c r="U730" s="31" t="n">
        <v>38.6</v>
      </c>
      <c r="V730" s="31" t="n">
        <v>38.6</v>
      </c>
      <c r="W730" s="30" t="inlineStr">
        <is>
          <t>AMR2</t>
        </is>
      </c>
      <c r="X730" s="32" t="n">
        <v>0</v>
      </c>
      <c r="Y730" s="32" t="n">
        <v>0</v>
      </c>
      <c r="Z730" s="31" t="n">
        <v>0</v>
      </c>
      <c r="AA730" s="32" t="n">
        <v>0</v>
      </c>
      <c r="AB730" s="32" t="n">
        <v>0</v>
      </c>
      <c r="AC730" s="32" t="n">
        <v>0</v>
      </c>
      <c r="AD730" s="32" t="n">
        <v>0</v>
      </c>
      <c r="AE730" s="31" t="n">
        <v>0</v>
      </c>
      <c r="AF730" s="32" t="n">
        <v>0</v>
      </c>
      <c r="AG730" s="31" t="n">
        <v>0</v>
      </c>
      <c r="AH730" s="32" t="n">
        <v>60</v>
      </c>
      <c r="AI730" s="31" t="n">
        <v>61.6</v>
      </c>
      <c r="AJ730" s="31" t="n">
        <v>45.4</v>
      </c>
      <c r="AK730" s="31" t="n">
        <v>1.5</v>
      </c>
      <c r="AL730" s="30" t="inlineStr">
        <is>
          <t>T-0874</t>
        </is>
      </c>
      <c r="AM730" s="30" t="inlineStr">
        <is>
          <t>G-02-02</t>
        </is>
      </c>
      <c r="AN730" s="30" t="inlineStr">
        <is>
          <t>T-0689</t>
        </is>
      </c>
      <c r="AO730" s="30" t="inlineStr">
        <is>
          <t>G-02-01</t>
        </is>
      </c>
    </row>
    <row r="731">
      <c r="A731" s="30" t="inlineStr">
        <is>
          <t>O0730</t>
        </is>
      </c>
      <c r="B731" s="30" t="inlineStr">
        <is>
          <t>H</t>
        </is>
      </c>
      <c r="C731" s="31" t="n">
        <v>9579.4</v>
      </c>
      <c r="D731" s="31" t="n">
        <v>26862.9</v>
      </c>
      <c r="E731" s="31" t="n">
        <v>26886.4</v>
      </c>
      <c r="F731" s="31" t="n">
        <v>26901.8</v>
      </c>
      <c r="G731" s="31" t="n">
        <v>26929.3</v>
      </c>
      <c r="H731" s="31" t="n">
        <v>26929.4</v>
      </c>
      <c r="I731" s="31" t="n">
        <v>26939.5</v>
      </c>
      <c r="J731" s="31" t="n">
        <v>26966</v>
      </c>
      <c r="K731" s="31" t="n">
        <v>17386.6</v>
      </c>
      <c r="L731" s="31" t="n">
        <v>17283.5</v>
      </c>
      <c r="M731" s="30" t="inlineStr">
        <is>
          <t>AMR2</t>
        </is>
      </c>
      <c r="N731" s="30" t="inlineStr">
        <is>
          <t>AMR2</t>
        </is>
      </c>
      <c r="O731" s="32" t="n">
        <v>1</v>
      </c>
      <c r="P731" s="32" t="n">
        <v>25</v>
      </c>
      <c r="Q731" s="32" t="n">
        <v>0</v>
      </c>
      <c r="R731" s="31" t="n">
        <v>63.8</v>
      </c>
      <c r="S731" s="31" t="n">
        <v>63.8</v>
      </c>
      <c r="T731" s="30" t="inlineStr">
        <is>
          <t>AMR2</t>
        </is>
      </c>
      <c r="U731" s="31" t="n">
        <v>35.8</v>
      </c>
      <c r="V731" s="31" t="n">
        <v>35.8</v>
      </c>
      <c r="W731" s="30" t="inlineStr">
        <is>
          <t>AMR2</t>
        </is>
      </c>
      <c r="X731" s="32" t="n">
        <v>0</v>
      </c>
      <c r="Y731" s="32" t="n">
        <v>0</v>
      </c>
      <c r="Z731" s="31" t="n">
        <v>0</v>
      </c>
      <c r="AA731" s="32" t="n">
        <v>0</v>
      </c>
      <c r="AB731" s="32" t="n">
        <v>0</v>
      </c>
      <c r="AC731" s="32" t="n">
        <v>0</v>
      </c>
      <c r="AD731" s="32" t="n">
        <v>0</v>
      </c>
      <c r="AE731" s="31" t="n">
        <v>0</v>
      </c>
      <c r="AF731" s="32" t="n">
        <v>0</v>
      </c>
      <c r="AG731" s="31" t="n">
        <v>0</v>
      </c>
      <c r="AH731" s="32" t="n">
        <v>54</v>
      </c>
      <c r="AI731" s="31" t="n">
        <v>56.3</v>
      </c>
      <c r="AJ731" s="31" t="n">
        <v>46.7</v>
      </c>
      <c r="AK731" s="31" t="n">
        <v>0</v>
      </c>
      <c r="AL731" s="30" t="inlineStr">
        <is>
          <t>T-0882</t>
        </is>
      </c>
      <c r="AM731" s="30" t="inlineStr">
        <is>
          <t>H-03-03</t>
        </is>
      </c>
      <c r="AN731" s="30" t="inlineStr">
        <is>
          <t>T-0777</t>
        </is>
      </c>
      <c r="AO731" s="30" t="inlineStr">
        <is>
          <t>H-04-02</t>
        </is>
      </c>
    </row>
    <row r="732">
      <c r="A732" s="30" t="inlineStr">
        <is>
          <t>O0731</t>
        </is>
      </c>
      <c r="B732" s="30" t="inlineStr">
        <is>
          <t>I</t>
        </is>
      </c>
      <c r="C732" s="31" t="n">
        <v>9584.4</v>
      </c>
      <c r="D732" s="31" t="n">
        <v>26633.1</v>
      </c>
      <c r="E732" s="31" t="n">
        <v>26657.6</v>
      </c>
      <c r="F732" s="31" t="n">
        <v>26671.9</v>
      </c>
      <c r="G732" s="31" t="n">
        <v>26698.8</v>
      </c>
      <c r="H732" s="31" t="n">
        <v>26698.9</v>
      </c>
      <c r="I732" s="31" t="n">
        <v>26710.6</v>
      </c>
      <c r="J732" s="31" t="n">
        <v>26733.8</v>
      </c>
      <c r="K732" s="31" t="n">
        <v>17149.4</v>
      </c>
      <c r="L732" s="31" t="n">
        <v>17048.7</v>
      </c>
      <c r="M732" s="30" t="inlineStr">
        <is>
          <t>AMR3</t>
        </is>
      </c>
      <c r="N732" s="30" t="inlineStr">
        <is>
          <t>AMR3</t>
        </is>
      </c>
      <c r="O732" s="32" t="n">
        <v>1</v>
      </c>
      <c r="P732" s="32" t="n">
        <v>25</v>
      </c>
      <c r="Q732" s="32" t="n">
        <v>1</v>
      </c>
      <c r="R732" s="31" t="n">
        <v>62.9</v>
      </c>
      <c r="S732" s="31" t="n">
        <v>62.9</v>
      </c>
      <c r="T732" s="30" t="inlineStr">
        <is>
          <t>AMR3</t>
        </is>
      </c>
      <c r="U732" s="31" t="n">
        <v>36.6</v>
      </c>
      <c r="V732" s="31" t="n">
        <v>36.6</v>
      </c>
      <c r="W732" s="30" t="inlineStr">
        <is>
          <t>AMR3</t>
        </is>
      </c>
      <c r="X732" s="32" t="n">
        <v>0</v>
      </c>
      <c r="Y732" s="32" t="n">
        <v>0</v>
      </c>
      <c r="Z732" s="31" t="n">
        <v>0</v>
      </c>
      <c r="AA732" s="32" t="n">
        <v>0</v>
      </c>
      <c r="AB732" s="32" t="n">
        <v>0</v>
      </c>
      <c r="AC732" s="32" t="n">
        <v>0</v>
      </c>
      <c r="AD732" s="32" t="n">
        <v>0</v>
      </c>
      <c r="AE732" s="31" t="n">
        <v>0</v>
      </c>
      <c r="AF732" s="32" t="n">
        <v>0</v>
      </c>
      <c r="AG732" s="31" t="n">
        <v>0</v>
      </c>
      <c r="AH732" s="32" t="n">
        <v>52</v>
      </c>
      <c r="AI732" s="31" t="n">
        <v>54.2</v>
      </c>
      <c r="AJ732" s="31" t="n">
        <v>45.4</v>
      </c>
      <c r="AK732" s="31" t="n">
        <v>1</v>
      </c>
      <c r="AL732" s="30" t="inlineStr">
        <is>
          <t>T-0876</t>
        </is>
      </c>
      <c r="AM732" s="30" t="inlineStr">
        <is>
          <t>I-02-01</t>
        </is>
      </c>
      <c r="AN732" s="30" t="inlineStr">
        <is>
          <t>T-0755</t>
        </is>
      </c>
      <c r="AO732" s="30" t="inlineStr">
        <is>
          <t>I-01-03</t>
        </is>
      </c>
    </row>
    <row r="733">
      <c r="A733" s="30" t="inlineStr">
        <is>
          <t>O0732</t>
        </is>
      </c>
      <c r="B733" s="30" t="inlineStr">
        <is>
          <t>I</t>
        </is>
      </c>
      <c r="C733" s="31" t="n">
        <v>9588.1</v>
      </c>
      <c r="D733" s="31" t="n">
        <v>26717.3</v>
      </c>
      <c r="E733" s="31" t="n">
        <v>26742.8</v>
      </c>
      <c r="F733" s="31" t="n">
        <v>26755.6</v>
      </c>
      <c r="G733" s="31" t="n">
        <v>26777.5</v>
      </c>
      <c r="H733" s="31" t="n">
        <v>26777.6</v>
      </c>
      <c r="I733" s="31" t="n">
        <v>26791.2</v>
      </c>
      <c r="J733" s="31" t="n">
        <v>26818.9</v>
      </c>
      <c r="K733" s="31" t="n">
        <v>17230.8</v>
      </c>
      <c r="L733" s="31" t="n">
        <v>17129.2</v>
      </c>
      <c r="M733" s="30" t="inlineStr">
        <is>
          <t>AMR1</t>
        </is>
      </c>
      <c r="N733" s="30" t="inlineStr">
        <is>
          <t>AMR1</t>
        </is>
      </c>
      <c r="O733" s="32" t="n">
        <v>1</v>
      </c>
      <c r="P733" s="32" t="n">
        <v>25</v>
      </c>
      <c r="Q733" s="32" t="n">
        <v>1</v>
      </c>
      <c r="R733" s="31" t="n">
        <v>56.4</v>
      </c>
      <c r="S733" s="31" t="n">
        <v>56.4</v>
      </c>
      <c r="T733" s="30" t="inlineStr">
        <is>
          <t>AMR1</t>
        </is>
      </c>
      <c r="U733" s="31" t="n">
        <v>40</v>
      </c>
      <c r="V733" s="31" t="n">
        <v>40</v>
      </c>
      <c r="W733" s="30" t="inlineStr">
        <is>
          <t>AMR1</t>
        </is>
      </c>
      <c r="X733" s="32" t="n">
        <v>0</v>
      </c>
      <c r="Y733" s="32" t="n">
        <v>0</v>
      </c>
      <c r="Z733" s="31" t="n">
        <v>0</v>
      </c>
      <c r="AA733" s="32" t="n">
        <v>0</v>
      </c>
      <c r="AB733" s="32" t="n">
        <v>0</v>
      </c>
      <c r="AC733" s="32" t="n">
        <v>0</v>
      </c>
      <c r="AD733" s="32" t="n">
        <v>0</v>
      </c>
      <c r="AE733" s="31" t="n">
        <v>0</v>
      </c>
      <c r="AF733" s="32" t="n">
        <v>0</v>
      </c>
      <c r="AG733" s="31" t="n">
        <v>0</v>
      </c>
      <c r="AH733" s="32" t="n">
        <v>54</v>
      </c>
      <c r="AI733" s="31" t="n">
        <v>57.2</v>
      </c>
      <c r="AJ733" s="31" t="n">
        <v>42.3</v>
      </c>
      <c r="AK733" s="31" t="n">
        <v>2</v>
      </c>
      <c r="AL733" s="30" t="inlineStr">
        <is>
          <t>T-0878</t>
        </is>
      </c>
      <c r="AM733" s="30" t="inlineStr">
        <is>
          <t>I-01-03</t>
        </is>
      </c>
      <c r="AN733" s="30" t="inlineStr">
        <is>
          <t>T-0790</t>
        </is>
      </c>
      <c r="AO733" s="30" t="inlineStr">
        <is>
          <t>I-03-01</t>
        </is>
      </c>
    </row>
    <row r="734">
      <c r="A734" s="30" t="inlineStr">
        <is>
          <t>O0733</t>
        </is>
      </c>
      <c r="B734" s="30" t="inlineStr">
        <is>
          <t>D</t>
        </is>
      </c>
      <c r="C734" s="31" t="n">
        <v>9594.200000000001</v>
      </c>
      <c r="D734" s="31" t="n">
        <v>26757.9</v>
      </c>
      <c r="E734" s="31" t="n">
        <v>26780.9</v>
      </c>
      <c r="F734" s="31" t="n">
        <v>26795.4</v>
      </c>
      <c r="G734" s="31" t="n">
        <v>26817.8</v>
      </c>
      <c r="H734" s="31" t="n">
        <v>26817.9</v>
      </c>
      <c r="I734" s="31" t="n">
        <v>26830.3</v>
      </c>
      <c r="J734" s="31" t="n">
        <v>26862.8</v>
      </c>
      <c r="K734" s="31" t="n">
        <v>17268.6</v>
      </c>
      <c r="L734" s="31" t="n">
        <v>17163.7</v>
      </c>
      <c r="M734" s="30" t="inlineStr">
        <is>
          <t>AMR2</t>
        </is>
      </c>
      <c r="N734" s="30" t="inlineStr">
        <is>
          <t>AMR2</t>
        </is>
      </c>
      <c r="O734" s="32" t="n">
        <v>1</v>
      </c>
      <c r="P734" s="32" t="n">
        <v>14</v>
      </c>
      <c r="Q734" s="32" t="n">
        <v>1</v>
      </c>
      <c r="R734" s="31" t="n">
        <v>44.9</v>
      </c>
      <c r="S734" s="31" t="n">
        <v>44.9</v>
      </c>
      <c r="T734" s="30" t="inlineStr">
        <is>
          <t>AMR2</t>
        </is>
      </c>
      <c r="U734" s="31" t="n">
        <v>42.6</v>
      </c>
      <c r="V734" s="31" t="n">
        <v>42.6</v>
      </c>
      <c r="W734" s="30" t="inlineStr">
        <is>
          <t>AMR2</t>
        </is>
      </c>
      <c r="X734" s="32" t="n">
        <v>0</v>
      </c>
      <c r="Y734" s="32" t="n">
        <v>0</v>
      </c>
      <c r="Z734" s="31" t="n">
        <v>0</v>
      </c>
      <c r="AA734" s="32" t="n">
        <v>0</v>
      </c>
      <c r="AB734" s="32" t="n">
        <v>0</v>
      </c>
      <c r="AC734" s="32" t="n">
        <v>0</v>
      </c>
      <c r="AD734" s="32" t="n">
        <v>1</v>
      </c>
      <c r="AE734" s="31" t="n">
        <v>3.1</v>
      </c>
      <c r="AF734" s="32" t="n">
        <v>1</v>
      </c>
      <c r="AG734" s="31" t="n">
        <v>4</v>
      </c>
      <c r="AH734" s="32" t="n">
        <v>47</v>
      </c>
      <c r="AI734" s="31" t="n">
        <v>49.9</v>
      </c>
      <c r="AJ734" s="31" t="n">
        <v>42.8</v>
      </c>
      <c r="AK734" s="31" t="n">
        <v>12.1</v>
      </c>
      <c r="AL734" s="30" t="inlineStr">
        <is>
          <t>T-0879</t>
        </is>
      </c>
      <c r="AM734" s="30" t="inlineStr">
        <is>
          <t>D-05-02</t>
        </is>
      </c>
      <c r="AN734" s="30" t="inlineStr">
        <is>
          <t>T-0789</t>
        </is>
      </c>
      <c r="AO734" s="30" t="inlineStr">
        <is>
          <t>D-06-02</t>
        </is>
      </c>
    </row>
    <row r="735">
      <c r="A735" s="30" t="inlineStr">
        <is>
          <t>O0734</t>
        </is>
      </c>
      <c r="B735" s="30" t="inlineStr">
        <is>
          <t>I</t>
        </is>
      </c>
      <c r="C735" s="31" t="n">
        <v>9597.5</v>
      </c>
      <c r="D735" s="31" t="n">
        <v>26918.3</v>
      </c>
      <c r="E735" s="31" t="n">
        <v>26941.8</v>
      </c>
      <c r="F735" s="31" t="n">
        <v>26956.9</v>
      </c>
      <c r="G735" s="31" t="n">
        <v>26983.9</v>
      </c>
      <c r="H735" s="31" t="n">
        <v>26984</v>
      </c>
      <c r="I735" s="31" t="n">
        <v>26997.9</v>
      </c>
      <c r="J735" s="31" t="n">
        <v>27023.7</v>
      </c>
      <c r="K735" s="31" t="n">
        <v>17426.2</v>
      </c>
      <c r="L735" s="31" t="n">
        <v>17320.8</v>
      </c>
      <c r="M735" s="30" t="inlineStr">
        <is>
          <t>AMR1</t>
        </is>
      </c>
      <c r="N735" s="30" t="inlineStr">
        <is>
          <t>AMR1</t>
        </is>
      </c>
      <c r="O735" s="32" t="n">
        <v>1</v>
      </c>
      <c r="P735" s="32" t="n">
        <v>25</v>
      </c>
      <c r="Q735" s="32" t="n">
        <v>1</v>
      </c>
      <c r="R735" s="31" t="n">
        <v>62.2</v>
      </c>
      <c r="S735" s="31" t="n">
        <v>62.2</v>
      </c>
      <c r="T735" s="30" t="inlineStr">
        <is>
          <t>AMR1</t>
        </is>
      </c>
      <c r="U735" s="31" t="n">
        <v>39.3</v>
      </c>
      <c r="V735" s="31" t="n">
        <v>39.3</v>
      </c>
      <c r="W735" s="30" t="inlineStr">
        <is>
          <t>AMR1</t>
        </is>
      </c>
      <c r="X735" s="32" t="n">
        <v>0</v>
      </c>
      <c r="Y735" s="32" t="n">
        <v>0</v>
      </c>
      <c r="Z735" s="31" t="n">
        <v>0</v>
      </c>
      <c r="AA735" s="32" t="n">
        <v>0</v>
      </c>
      <c r="AB735" s="32" t="n">
        <v>0</v>
      </c>
      <c r="AC735" s="32" t="n">
        <v>0</v>
      </c>
      <c r="AD735" s="32" t="n">
        <v>0</v>
      </c>
      <c r="AE735" s="31" t="n">
        <v>0</v>
      </c>
      <c r="AF735" s="32" t="n">
        <v>0</v>
      </c>
      <c r="AG735" s="31" t="n">
        <v>0</v>
      </c>
      <c r="AH735" s="32" t="n">
        <v>56</v>
      </c>
      <c r="AI735" s="31" t="n">
        <v>57.9</v>
      </c>
      <c r="AJ735" s="31" t="n">
        <v>47.4</v>
      </c>
      <c r="AK735" s="31" t="n">
        <v>0</v>
      </c>
      <c r="AL735" s="30" t="inlineStr">
        <is>
          <t>T-0884</t>
        </is>
      </c>
      <c r="AM735" s="30" t="inlineStr">
        <is>
          <t>I-04-01</t>
        </is>
      </c>
      <c r="AN735" s="30" t="inlineStr">
        <is>
          <t>T-0799</t>
        </is>
      </c>
      <c r="AO735" s="30" t="inlineStr">
        <is>
          <t>I-05-01</t>
        </is>
      </c>
    </row>
    <row r="736">
      <c r="A736" s="30" t="inlineStr">
        <is>
          <t>O0735</t>
        </is>
      </c>
      <c r="B736" s="30" t="inlineStr">
        <is>
          <t>I</t>
        </is>
      </c>
      <c r="C736" s="31" t="n">
        <v>9603.6</v>
      </c>
      <c r="D736" s="31" t="n">
        <v>26819</v>
      </c>
      <c r="E736" s="31" t="n">
        <v>26842.5</v>
      </c>
      <c r="F736" s="31" t="n">
        <v>26856.9</v>
      </c>
      <c r="G736" s="31" t="n">
        <v>26880.3</v>
      </c>
      <c r="H736" s="31" t="n">
        <v>26880.4</v>
      </c>
      <c r="I736" s="31" t="n">
        <v>26890.5</v>
      </c>
      <c r="J736" s="31" t="n">
        <v>26918.2</v>
      </c>
      <c r="K736" s="31" t="n">
        <v>17314.6</v>
      </c>
      <c r="L736" s="31" t="n">
        <v>17215.4</v>
      </c>
      <c r="M736" s="30" t="inlineStr">
        <is>
          <t>AMR1</t>
        </is>
      </c>
      <c r="N736" s="30" t="inlineStr">
        <is>
          <t>AMR1</t>
        </is>
      </c>
      <c r="O736" s="32" t="n">
        <v>1</v>
      </c>
      <c r="P736" s="32" t="n">
        <v>25</v>
      </c>
      <c r="Q736" s="32" t="n">
        <v>0</v>
      </c>
      <c r="R736" s="31" t="n">
        <v>58.7</v>
      </c>
      <c r="S736" s="31" t="n">
        <v>58.7</v>
      </c>
      <c r="T736" s="30" t="inlineStr">
        <is>
          <t>AMR1</t>
        </is>
      </c>
      <c r="U736" s="31" t="n">
        <v>34.5</v>
      </c>
      <c r="V736" s="31" t="n">
        <v>34.5</v>
      </c>
      <c r="W736" s="30" t="inlineStr">
        <is>
          <t>AMR1</t>
        </is>
      </c>
      <c r="X736" s="32" t="n">
        <v>0</v>
      </c>
      <c r="Y736" s="32" t="n">
        <v>0</v>
      </c>
      <c r="Z736" s="31" t="n">
        <v>0</v>
      </c>
      <c r="AA736" s="32" t="n">
        <v>0</v>
      </c>
      <c r="AB736" s="32" t="n">
        <v>0</v>
      </c>
      <c r="AC736" s="32" t="n">
        <v>0</v>
      </c>
      <c r="AD736" s="32" t="n">
        <v>0</v>
      </c>
      <c r="AE736" s="31" t="n">
        <v>0</v>
      </c>
      <c r="AF736" s="32" t="n">
        <v>0</v>
      </c>
      <c r="AG736" s="31" t="n">
        <v>0</v>
      </c>
      <c r="AH736" s="32" t="n">
        <v>56</v>
      </c>
      <c r="AI736" s="31" t="n">
        <v>59.3</v>
      </c>
      <c r="AJ736" s="31" t="n">
        <v>39.8</v>
      </c>
      <c r="AK736" s="31" t="n">
        <v>0</v>
      </c>
      <c r="AL736" s="30" t="inlineStr">
        <is>
          <t>T-0881</t>
        </is>
      </c>
      <c r="AM736" s="30" t="inlineStr">
        <is>
          <t>I-03-01</t>
        </is>
      </c>
      <c r="AN736" s="30" t="inlineStr">
        <is>
          <t>T-0794</t>
        </is>
      </c>
      <c r="AO736" s="30" t="inlineStr">
        <is>
          <t>I-04-01</t>
        </is>
      </c>
    </row>
    <row r="737">
      <c r="A737" s="30" t="inlineStr">
        <is>
          <t>O0736</t>
        </is>
      </c>
      <c r="B737" s="30" t="inlineStr">
        <is>
          <t>H</t>
        </is>
      </c>
      <c r="C737" s="31" t="n">
        <v>9608.1</v>
      </c>
      <c r="D737" s="31" t="n">
        <v>26966.1</v>
      </c>
      <c r="E737" s="31" t="n">
        <v>26989.6</v>
      </c>
      <c r="F737" s="31" t="n">
        <v>27005.2</v>
      </c>
      <c r="G737" s="31" t="n">
        <v>27032.5</v>
      </c>
      <c r="H737" s="31" t="n">
        <v>27032.6</v>
      </c>
      <c r="I737" s="31" t="n">
        <v>27044.1</v>
      </c>
      <c r="J737" s="31" t="n">
        <v>27071.4</v>
      </c>
      <c r="K737" s="31" t="n">
        <v>17463.3</v>
      </c>
      <c r="L737" s="31" t="n">
        <v>17358</v>
      </c>
      <c r="M737" s="30" t="inlineStr">
        <is>
          <t>AMR2</t>
        </is>
      </c>
      <c r="N737" s="30" t="inlineStr">
        <is>
          <t>AMR2</t>
        </is>
      </c>
      <c r="O737" s="32" t="n">
        <v>1</v>
      </c>
      <c r="P737" s="32" t="n">
        <v>25</v>
      </c>
      <c r="Q737" s="32" t="n">
        <v>1</v>
      </c>
      <c r="R737" s="31" t="n">
        <v>64.59999999999999</v>
      </c>
      <c r="S737" s="31" t="n">
        <v>64.59999999999999</v>
      </c>
      <c r="T737" s="30" t="inlineStr">
        <is>
          <t>AMR2</t>
        </is>
      </c>
      <c r="U737" s="31" t="n">
        <v>39.5</v>
      </c>
      <c r="V737" s="31" t="n">
        <v>39.5</v>
      </c>
      <c r="W737" s="30" t="inlineStr">
        <is>
          <t>AMR2</t>
        </is>
      </c>
      <c r="X737" s="32" t="n">
        <v>0</v>
      </c>
      <c r="Y737" s="32" t="n">
        <v>0</v>
      </c>
      <c r="Z737" s="31" t="n">
        <v>0</v>
      </c>
      <c r="AA737" s="32" t="n">
        <v>0</v>
      </c>
      <c r="AB737" s="32" t="n">
        <v>0</v>
      </c>
      <c r="AC737" s="32" t="n">
        <v>0</v>
      </c>
      <c r="AD737" s="32" t="n">
        <v>0</v>
      </c>
      <c r="AE737" s="31" t="n">
        <v>0</v>
      </c>
      <c r="AF737" s="32" t="n">
        <v>0</v>
      </c>
      <c r="AG737" s="31" t="n">
        <v>0</v>
      </c>
      <c r="AH737" s="32" t="n">
        <v>52</v>
      </c>
      <c r="AI737" s="31" t="n">
        <v>54.7</v>
      </c>
      <c r="AJ737" s="31" t="n">
        <v>50.5</v>
      </c>
      <c r="AK737" s="31" t="n">
        <v>0</v>
      </c>
      <c r="AL737" s="30" t="inlineStr">
        <is>
          <t>T-0885</t>
        </is>
      </c>
      <c r="AM737" s="30" t="inlineStr">
        <is>
          <t>H-04-02</t>
        </is>
      </c>
      <c r="AN737" s="30" t="inlineStr">
        <is>
          <t>T-0787</t>
        </is>
      </c>
      <c r="AO737" s="30" t="inlineStr">
        <is>
          <t>H-05-02</t>
        </is>
      </c>
    </row>
    <row r="738">
      <c r="A738" s="30" t="inlineStr">
        <is>
          <t>O0737</t>
        </is>
      </c>
      <c r="B738" s="30" t="inlineStr">
        <is>
          <t>D</t>
        </is>
      </c>
      <c r="C738" s="31" t="n">
        <v>9612.5</v>
      </c>
      <c r="D738" s="31" t="n">
        <v>26881.9</v>
      </c>
      <c r="E738" s="31" t="n">
        <v>26910.4</v>
      </c>
      <c r="F738" s="31" t="n">
        <v>26924</v>
      </c>
      <c r="G738" s="31" t="n">
        <v>26948.4</v>
      </c>
      <c r="H738" s="31" t="n">
        <v>27666.4</v>
      </c>
      <c r="I738" s="31" t="n">
        <v>27678.4</v>
      </c>
      <c r="J738" s="31" t="n">
        <v>27709.9</v>
      </c>
      <c r="K738" s="31" t="n">
        <v>18097.4</v>
      </c>
      <c r="L738" s="31" t="n">
        <v>17269.4</v>
      </c>
      <c r="M738" s="30" t="inlineStr">
        <is>
          <t>AMR3</t>
        </is>
      </c>
      <c r="N738" s="30" t="inlineStr">
        <is>
          <t>AMR2</t>
        </is>
      </c>
      <c r="O738" s="32" t="n">
        <v>1</v>
      </c>
      <c r="P738" s="32" t="n">
        <v>25</v>
      </c>
      <c r="Q738" s="32" t="n">
        <v>2</v>
      </c>
      <c r="R738" s="31" t="n">
        <v>56.7</v>
      </c>
      <c r="S738" s="31" t="n">
        <v>56.7</v>
      </c>
      <c r="T738" s="30" t="inlineStr">
        <is>
          <t>AMR3</t>
        </is>
      </c>
      <c r="U738" s="31" t="n">
        <v>43</v>
      </c>
      <c r="V738" s="31" t="n">
        <v>43</v>
      </c>
      <c r="W738" s="30" t="inlineStr">
        <is>
          <t>AMR2</t>
        </is>
      </c>
      <c r="X738" s="32" t="n">
        <v>0</v>
      </c>
      <c r="Y738" s="32" t="n">
        <v>0</v>
      </c>
      <c r="Z738" s="31" t="n">
        <v>0</v>
      </c>
      <c r="AA738" s="32" t="n">
        <v>0</v>
      </c>
      <c r="AB738" s="32" t="n">
        <v>0</v>
      </c>
      <c r="AC738" s="32" t="n">
        <v>0</v>
      </c>
      <c r="AD738" s="32" t="n">
        <v>0</v>
      </c>
      <c r="AE738" s="31" t="n">
        <v>0</v>
      </c>
      <c r="AF738" s="32" t="n">
        <v>0</v>
      </c>
      <c r="AG738" s="31" t="n">
        <v>0</v>
      </c>
      <c r="AH738" s="32" t="n">
        <v>58</v>
      </c>
      <c r="AI738" s="31" t="n">
        <v>59.6</v>
      </c>
      <c r="AJ738" s="31" t="n">
        <v>45.4</v>
      </c>
      <c r="AK738" s="31" t="n">
        <v>5</v>
      </c>
      <c r="AL738" s="30" t="inlineStr">
        <is>
          <t>T-0883</t>
        </is>
      </c>
      <c r="AM738" s="30" t="inlineStr">
        <is>
          <t>D-06-02</t>
        </is>
      </c>
      <c r="AN738" s="30" t="inlineStr">
        <is>
          <t>T-0812</t>
        </is>
      </c>
      <c r="AO738" s="30" t="inlineStr">
        <is>
          <t>D-04-03</t>
        </is>
      </c>
    </row>
    <row r="739">
      <c r="A739" s="30" t="inlineStr">
        <is>
          <t>O0738</t>
        </is>
      </c>
      <c r="B739" s="30" t="inlineStr">
        <is>
          <t>I</t>
        </is>
      </c>
      <c r="C739" s="31" t="n">
        <v>9616.299999999999</v>
      </c>
      <c r="D739" s="31" t="n">
        <v>27023.8</v>
      </c>
      <c r="E739" s="31" t="n">
        <v>27047.3</v>
      </c>
      <c r="F739" s="31" t="n">
        <v>27062.2</v>
      </c>
      <c r="G739" s="31" t="n">
        <v>27091.8</v>
      </c>
      <c r="H739" s="31" t="n">
        <v>27091.9</v>
      </c>
      <c r="I739" s="31" t="n">
        <v>27103.1</v>
      </c>
      <c r="J739" s="31" t="n">
        <v>27137.1</v>
      </c>
      <c r="K739" s="31" t="n">
        <v>17520.8</v>
      </c>
      <c r="L739" s="31" t="n">
        <v>17407.5</v>
      </c>
      <c r="M739" s="30" t="inlineStr">
        <is>
          <t>AMR1</t>
        </is>
      </c>
      <c r="N739" s="30" t="inlineStr">
        <is>
          <t>AMR1</t>
        </is>
      </c>
      <c r="O739" s="32" t="n">
        <v>1</v>
      </c>
      <c r="P739" s="32" t="n">
        <v>25</v>
      </c>
      <c r="Q739" s="32" t="n">
        <v>1</v>
      </c>
      <c r="R739" s="31" t="n">
        <v>64.09999999999999</v>
      </c>
      <c r="S739" s="31" t="n">
        <v>64</v>
      </c>
      <c r="T739" s="30" t="inlineStr">
        <is>
          <t>AMR2</t>
        </is>
      </c>
      <c r="U739" s="31" t="n">
        <v>34.3</v>
      </c>
      <c r="V739" s="31" t="n">
        <v>34.3</v>
      </c>
      <c r="W739" s="30" t="inlineStr">
        <is>
          <t>AMR1</t>
        </is>
      </c>
      <c r="X739" s="32" t="n">
        <v>1</v>
      </c>
      <c r="Y739" s="32" t="n">
        <v>11</v>
      </c>
      <c r="Z739" s="31" t="n">
        <v>0.1</v>
      </c>
      <c r="AA739" s="32" t="n">
        <v>0</v>
      </c>
      <c r="AB739" s="32" t="n">
        <v>0</v>
      </c>
      <c r="AC739" s="32" t="n">
        <v>0</v>
      </c>
      <c r="AD739" s="32" t="n">
        <v>1</v>
      </c>
      <c r="AE739" s="31" t="n">
        <v>8</v>
      </c>
      <c r="AF739" s="32" t="n">
        <v>1</v>
      </c>
      <c r="AG739" s="31" t="n">
        <v>3</v>
      </c>
      <c r="AH739" s="32" t="n">
        <v>58</v>
      </c>
      <c r="AI739" s="31" t="n">
        <v>60.9</v>
      </c>
      <c r="AJ739" s="31" t="n">
        <v>44.3</v>
      </c>
      <c r="AK739" s="31" t="n">
        <v>8</v>
      </c>
      <c r="AL739" s="30" t="inlineStr">
        <is>
          <t>T-0887</t>
        </is>
      </c>
      <c r="AM739" s="30" t="inlineStr">
        <is>
          <t>I-05-01</t>
        </is>
      </c>
      <c r="AN739" s="30" t="inlineStr">
        <is>
          <t>T-0808</t>
        </is>
      </c>
      <c r="AO739" s="30" t="inlineStr">
        <is>
          <t>I-06-01</t>
        </is>
      </c>
    </row>
    <row r="740">
      <c r="A740" s="30" t="inlineStr">
        <is>
          <t>O0739</t>
        </is>
      </c>
      <c r="B740" s="30" t="inlineStr">
        <is>
          <t>C</t>
        </is>
      </c>
      <c r="C740" s="31" t="n">
        <v>9619.4</v>
      </c>
      <c r="D740" s="31" t="n">
        <v>27000.1</v>
      </c>
      <c r="E740" s="31" t="n">
        <v>27023.6</v>
      </c>
      <c r="F740" s="31" t="n">
        <v>27034.5</v>
      </c>
      <c r="G740" s="31" t="n">
        <v>27055.9</v>
      </c>
      <c r="H740" s="31" t="n">
        <v>27294.9</v>
      </c>
      <c r="I740" s="31" t="n">
        <v>27308.6</v>
      </c>
      <c r="J740" s="31" t="n">
        <v>27338.2</v>
      </c>
      <c r="K740" s="31" t="n">
        <v>17718.8</v>
      </c>
      <c r="L740" s="31" t="n">
        <v>17380.7</v>
      </c>
      <c r="M740" s="30" t="inlineStr">
        <is>
          <t>AMR3</t>
        </is>
      </c>
      <c r="N740" s="30" t="inlineStr">
        <is>
          <t>AMR2</t>
        </is>
      </c>
      <c r="O740" s="32" t="n">
        <v>1</v>
      </c>
      <c r="P740" s="32" t="n">
        <v>25</v>
      </c>
      <c r="Q740" s="32" t="n">
        <v>2</v>
      </c>
      <c r="R740" s="31" t="n">
        <v>53.9</v>
      </c>
      <c r="S740" s="31" t="n">
        <v>53.9</v>
      </c>
      <c r="T740" s="30" t="inlineStr">
        <is>
          <t>AMR3</t>
        </is>
      </c>
      <c r="U740" s="31" t="n">
        <v>41.1</v>
      </c>
      <c r="V740" s="31" t="n">
        <v>41.1</v>
      </c>
      <c r="W740" s="30" t="inlineStr">
        <is>
          <t>AMR2</t>
        </is>
      </c>
      <c r="X740" s="32" t="n">
        <v>0</v>
      </c>
      <c r="Y740" s="32" t="n">
        <v>0</v>
      </c>
      <c r="Z740" s="31" t="n">
        <v>0</v>
      </c>
      <c r="AA740" s="32" t="n">
        <v>0</v>
      </c>
      <c r="AB740" s="32" t="n">
        <v>0</v>
      </c>
      <c r="AC740" s="32" t="n">
        <v>0</v>
      </c>
      <c r="AD740" s="32" t="n">
        <v>0</v>
      </c>
      <c r="AE740" s="31" t="n">
        <v>0</v>
      </c>
      <c r="AF740" s="32" t="n">
        <v>0</v>
      </c>
      <c r="AG740" s="31" t="n">
        <v>0</v>
      </c>
      <c r="AH740" s="32" t="n">
        <v>55</v>
      </c>
      <c r="AI740" s="31" t="n">
        <v>57.9</v>
      </c>
      <c r="AJ740" s="31" t="n">
        <v>41.2</v>
      </c>
      <c r="AK740" s="31" t="n">
        <v>0</v>
      </c>
      <c r="AL740" s="30" t="inlineStr">
        <is>
          <t>T-0886</t>
        </is>
      </c>
      <c r="AM740" s="30" t="inlineStr">
        <is>
          <t>C-04-02</t>
        </is>
      </c>
      <c r="AN740" s="30" t="inlineStr">
        <is>
          <t>T-0775</t>
        </is>
      </c>
      <c r="AO740" s="30" t="inlineStr">
        <is>
          <t>C-01-03</t>
        </is>
      </c>
    </row>
    <row r="741">
      <c r="A741" s="30" t="inlineStr">
        <is>
          <t>O0740</t>
        </is>
      </c>
      <c r="B741" s="30" t="inlineStr">
        <is>
          <t>I</t>
        </is>
      </c>
      <c r="C741" s="31" t="n">
        <v>9624.799999999999</v>
      </c>
      <c r="D741" s="31" t="n">
        <v>27253</v>
      </c>
      <c r="E741" s="31" t="n">
        <v>27282.5</v>
      </c>
      <c r="F741" s="31" t="n">
        <v>27296</v>
      </c>
      <c r="G741" s="31" t="n">
        <v>27319.6</v>
      </c>
      <c r="H741" s="31" t="n">
        <v>27319.7</v>
      </c>
      <c r="I741" s="31" t="n">
        <v>27332.6</v>
      </c>
      <c r="J741" s="31" t="n">
        <v>27355.9</v>
      </c>
      <c r="K741" s="31" t="n">
        <v>17731.1</v>
      </c>
      <c r="L741" s="31" t="n">
        <v>17628.2</v>
      </c>
      <c r="M741" s="30" t="inlineStr">
        <is>
          <t>AMR1</t>
        </is>
      </c>
      <c r="N741" s="30" t="inlineStr">
        <is>
          <t>AMR1</t>
        </is>
      </c>
      <c r="O741" s="32" t="n">
        <v>1</v>
      </c>
      <c r="P741" s="32" t="n">
        <v>25</v>
      </c>
      <c r="Q741" s="32" t="n">
        <v>1</v>
      </c>
      <c r="R741" s="31" t="n">
        <v>58.8</v>
      </c>
      <c r="S741" s="31" t="n">
        <v>58.8</v>
      </c>
      <c r="T741" s="30" t="inlineStr">
        <is>
          <t>AMR1</t>
        </is>
      </c>
      <c r="U741" s="31" t="n">
        <v>37.9</v>
      </c>
      <c r="V741" s="31" t="n">
        <v>37.9</v>
      </c>
      <c r="W741" s="30" t="inlineStr">
        <is>
          <t>AMR1</t>
        </is>
      </c>
      <c r="X741" s="32" t="n">
        <v>0</v>
      </c>
      <c r="Y741" s="32" t="n">
        <v>0</v>
      </c>
      <c r="Z741" s="31" t="n">
        <v>0</v>
      </c>
      <c r="AA741" s="32" t="n">
        <v>0</v>
      </c>
      <c r="AB741" s="32" t="n">
        <v>0</v>
      </c>
      <c r="AC741" s="32" t="n">
        <v>0</v>
      </c>
      <c r="AD741" s="32" t="n">
        <v>0</v>
      </c>
      <c r="AE741" s="31" t="n">
        <v>0</v>
      </c>
      <c r="AF741" s="32" t="n">
        <v>1</v>
      </c>
      <c r="AG741" s="31" t="n">
        <v>1</v>
      </c>
      <c r="AH741" s="32" t="n">
        <v>52</v>
      </c>
      <c r="AI741" s="31" t="n">
        <v>54.2</v>
      </c>
      <c r="AJ741" s="31" t="n">
        <v>42.6</v>
      </c>
      <c r="AK741" s="31" t="n">
        <v>6</v>
      </c>
      <c r="AL741" s="30" t="inlineStr">
        <is>
          <t>T-0893</t>
        </is>
      </c>
      <c r="AM741" s="30" t="inlineStr">
        <is>
          <t>I-01-02</t>
        </is>
      </c>
      <c r="AN741" s="30" t="inlineStr">
        <is>
          <t>T-0846</t>
        </is>
      </c>
      <c r="AO741" s="30" t="inlineStr">
        <is>
          <t>I-02-02</t>
        </is>
      </c>
    </row>
    <row r="742">
      <c r="A742" s="30" t="inlineStr">
        <is>
          <t>O0741</t>
        </is>
      </c>
      <c r="B742" s="30" t="inlineStr">
        <is>
          <t>C</t>
        </is>
      </c>
      <c r="C742" s="31" t="n">
        <v>9628.9</v>
      </c>
      <c r="D742" s="31" t="n">
        <v>27056</v>
      </c>
      <c r="E742" s="31" t="n">
        <v>27068.6</v>
      </c>
      <c r="F742" s="31" t="n">
        <v>27084.5</v>
      </c>
      <c r="G742" s="31" t="n">
        <v>27109.1</v>
      </c>
      <c r="H742" s="31" t="n">
        <v>27109.2</v>
      </c>
      <c r="I742" s="31" t="n">
        <v>27121.4</v>
      </c>
      <c r="J742" s="31" t="n">
        <v>27162.8</v>
      </c>
      <c r="K742" s="31" t="n">
        <v>17533.9</v>
      </c>
      <c r="L742" s="31" t="n">
        <v>17427.1</v>
      </c>
      <c r="M742" s="30" t="inlineStr">
        <is>
          <t>AMR3</t>
        </is>
      </c>
      <c r="N742" s="30" t="inlineStr">
        <is>
          <t>AMR3</t>
        </is>
      </c>
      <c r="O742" s="32" t="n">
        <v>1</v>
      </c>
      <c r="P742" s="32" t="n">
        <v>12</v>
      </c>
      <c r="Q742" s="32" t="n">
        <v>1</v>
      </c>
      <c r="R742" s="31" t="n">
        <v>51.2</v>
      </c>
      <c r="S742" s="31" t="n">
        <v>51.2</v>
      </c>
      <c r="T742" s="30" t="inlineStr">
        <is>
          <t>AMR3</t>
        </is>
      </c>
      <c r="U742" s="31" t="n">
        <v>40.1</v>
      </c>
      <c r="V742" s="31" t="n">
        <v>40.1</v>
      </c>
      <c r="W742" s="30" t="inlineStr">
        <is>
          <t>AMR3</t>
        </is>
      </c>
      <c r="X742" s="32" t="n">
        <v>0</v>
      </c>
      <c r="Y742" s="32" t="n">
        <v>0</v>
      </c>
      <c r="Z742" s="31" t="n">
        <v>0</v>
      </c>
      <c r="AA742" s="32" t="n">
        <v>0</v>
      </c>
      <c r="AB742" s="32" t="n">
        <v>0</v>
      </c>
      <c r="AC742" s="32" t="n">
        <v>0</v>
      </c>
      <c r="AD742" s="32" t="n">
        <v>1</v>
      </c>
      <c r="AE742" s="31" t="n">
        <v>14.2</v>
      </c>
      <c r="AF742" s="32" t="n">
        <v>1</v>
      </c>
      <c r="AG742" s="31" t="n">
        <v>9.199999999999999</v>
      </c>
      <c r="AH742" s="32" t="n">
        <v>39</v>
      </c>
      <c r="AI742" s="31" t="n">
        <v>43.4</v>
      </c>
      <c r="AJ742" s="31" t="n">
        <v>49.1</v>
      </c>
      <c r="AK742" s="31" t="n">
        <v>14.2</v>
      </c>
      <c r="AL742" s="30" t="inlineStr">
        <is>
          <t>T-0888</t>
        </is>
      </c>
      <c r="AM742" s="30" t="inlineStr">
        <is>
          <t>C-05-02</t>
        </is>
      </c>
      <c r="AN742" s="30" t="inlineStr">
        <is>
          <t>T-0773</t>
        </is>
      </c>
      <c r="AO742" s="30" t="inlineStr">
        <is>
          <t>C-06-02</t>
        </is>
      </c>
    </row>
    <row r="743">
      <c r="A743" s="30" t="inlineStr">
        <is>
          <t>O0742</t>
        </is>
      </c>
      <c r="B743" s="30" t="inlineStr">
        <is>
          <t>B</t>
        </is>
      </c>
      <c r="C743" s="31" t="n">
        <v>9635.5</v>
      </c>
      <c r="D743" s="31" t="n">
        <v>27162.9</v>
      </c>
      <c r="E743" s="31" t="n">
        <v>27195.4</v>
      </c>
      <c r="F743" s="31" t="n">
        <v>27207.6</v>
      </c>
      <c r="G743" s="31" t="n">
        <v>27228.7</v>
      </c>
      <c r="H743" s="31" t="n">
        <v>27228.8</v>
      </c>
      <c r="I743" s="31" t="n">
        <v>27240.5</v>
      </c>
      <c r="J743" s="31" t="n">
        <v>27272.5</v>
      </c>
      <c r="K743" s="31" t="n">
        <v>17637</v>
      </c>
      <c r="L743" s="31" t="n">
        <v>17527.4</v>
      </c>
      <c r="M743" s="30" t="inlineStr">
        <is>
          <t>AMR3</t>
        </is>
      </c>
      <c r="N743" s="30" t="inlineStr">
        <is>
          <t>AMR3</t>
        </is>
      </c>
      <c r="O743" s="32" t="n">
        <v>1</v>
      </c>
      <c r="P743" s="32" t="n">
        <v>25</v>
      </c>
      <c r="Q743" s="32" t="n">
        <v>2</v>
      </c>
      <c r="R743" s="31" t="n">
        <v>55.7</v>
      </c>
      <c r="S743" s="31" t="n">
        <v>55.7</v>
      </c>
      <c r="T743" s="30" t="inlineStr">
        <is>
          <t>AMR3</t>
        </is>
      </c>
      <c r="U743" s="31" t="n">
        <v>40.3</v>
      </c>
      <c r="V743" s="31" t="n">
        <v>40.3</v>
      </c>
      <c r="W743" s="30" t="inlineStr">
        <is>
          <t>AMR3</t>
        </is>
      </c>
      <c r="X743" s="32" t="n">
        <v>0</v>
      </c>
      <c r="Y743" s="32" t="n">
        <v>0</v>
      </c>
      <c r="Z743" s="31" t="n">
        <v>0</v>
      </c>
      <c r="AA743" s="32" t="n">
        <v>0</v>
      </c>
      <c r="AB743" s="32" t="n">
        <v>0</v>
      </c>
      <c r="AC743" s="32" t="n">
        <v>0</v>
      </c>
      <c r="AD743" s="32" t="n">
        <v>1</v>
      </c>
      <c r="AE743" s="31" t="n">
        <v>1.6</v>
      </c>
      <c r="AF743" s="32" t="n">
        <v>1</v>
      </c>
      <c r="AG743" s="31" t="n">
        <v>4</v>
      </c>
      <c r="AH743" s="32" t="n">
        <v>60</v>
      </c>
      <c r="AI743" s="31" t="n">
        <v>60.4</v>
      </c>
      <c r="AJ743" s="31" t="n">
        <v>38.5</v>
      </c>
      <c r="AK743" s="31" t="n">
        <v>10.6</v>
      </c>
      <c r="AL743" s="30" t="inlineStr">
        <is>
          <t>T-0891</t>
        </is>
      </c>
      <c r="AM743" s="30" t="inlineStr">
        <is>
          <t>B-06-02</t>
        </is>
      </c>
      <c r="AN743" s="30" t="inlineStr">
        <is>
          <t>T-0672</t>
        </is>
      </c>
      <c r="AO743" s="30" t="inlineStr">
        <is>
          <t>B-02-03</t>
        </is>
      </c>
    </row>
    <row r="744">
      <c r="A744" s="30" t="inlineStr">
        <is>
          <t>O0743</t>
        </is>
      </c>
      <c r="B744" s="30" t="inlineStr">
        <is>
          <t>B</t>
        </is>
      </c>
      <c r="C744" s="31" t="n">
        <v>9640.6</v>
      </c>
      <c r="D744" s="31" t="n">
        <v>27655.1</v>
      </c>
      <c r="E744" s="31" t="n">
        <v>27678.6</v>
      </c>
      <c r="F744" s="31" t="n">
        <v>27692.8</v>
      </c>
      <c r="G744" s="31" t="n">
        <v>27715.6</v>
      </c>
      <c r="H744" s="31" t="n">
        <v>27715.7</v>
      </c>
      <c r="I744" s="31" t="n">
        <v>27728.8</v>
      </c>
      <c r="J744" s="31" t="n">
        <v>27757.8</v>
      </c>
      <c r="K744" s="31" t="n">
        <v>18117.2</v>
      </c>
      <c r="L744" s="31" t="n">
        <v>18014.5</v>
      </c>
      <c r="M744" s="30" t="inlineStr">
        <is>
          <t>AMR3</t>
        </is>
      </c>
      <c r="N744" s="30" t="inlineStr">
        <is>
          <t>AMR3</t>
        </is>
      </c>
      <c r="O744" s="32" t="n">
        <v>1</v>
      </c>
      <c r="P744" s="32" t="n">
        <v>25</v>
      </c>
      <c r="Q744" s="32" t="n">
        <v>1</v>
      </c>
      <c r="R744" s="31" t="n">
        <v>57</v>
      </c>
      <c r="S744" s="31" t="n">
        <v>57</v>
      </c>
      <c r="T744" s="30" t="inlineStr">
        <is>
          <t>AMR3</t>
        </is>
      </c>
      <c r="U744" s="31" t="n">
        <v>41.7</v>
      </c>
      <c r="V744" s="31" t="n">
        <v>41.7</v>
      </c>
      <c r="W744" s="30" t="inlineStr">
        <is>
          <t>AMR3</t>
        </is>
      </c>
      <c r="X744" s="32" t="n">
        <v>0</v>
      </c>
      <c r="Y744" s="32" t="n">
        <v>0</v>
      </c>
      <c r="Z744" s="31" t="n">
        <v>0</v>
      </c>
      <c r="AA744" s="32" t="n">
        <v>0</v>
      </c>
      <c r="AB744" s="32" t="n">
        <v>0</v>
      </c>
      <c r="AC744" s="32" t="n">
        <v>0</v>
      </c>
      <c r="AD744" s="32" t="n">
        <v>0</v>
      </c>
      <c r="AE744" s="31" t="n">
        <v>0</v>
      </c>
      <c r="AF744" s="32" t="n">
        <v>0</v>
      </c>
      <c r="AG744" s="31" t="n">
        <v>0</v>
      </c>
      <c r="AH744" s="32" t="n">
        <v>60</v>
      </c>
      <c r="AI744" s="31" t="n">
        <v>60.7</v>
      </c>
      <c r="AJ744" s="31" t="n">
        <v>41.9</v>
      </c>
      <c r="AK744" s="31" t="n">
        <v>0</v>
      </c>
      <c r="AL744" s="30" t="inlineStr">
        <is>
          <t>T-0904</t>
        </is>
      </c>
      <c r="AM744" s="30" t="inlineStr">
        <is>
          <t>B-01-03</t>
        </is>
      </c>
      <c r="AN744" s="30" t="inlineStr">
        <is>
          <t>T-0677</t>
        </is>
      </c>
      <c r="AO744" s="30" t="inlineStr">
        <is>
          <t>B-03-03</t>
        </is>
      </c>
    </row>
    <row r="745">
      <c r="A745" s="30" t="inlineStr">
        <is>
          <t>O0744</t>
        </is>
      </c>
      <c r="B745" s="30" t="inlineStr">
        <is>
          <t>D</t>
        </is>
      </c>
      <c r="C745" s="31" t="n">
        <v>9644.700000000001</v>
      </c>
      <c r="D745" s="31" t="n">
        <v>27137.2</v>
      </c>
      <c r="E745" s="31" t="n">
        <v>27171.7</v>
      </c>
      <c r="F745" s="31" t="n">
        <v>27182.9</v>
      </c>
      <c r="G745" s="31" t="n">
        <v>27208.6</v>
      </c>
      <c r="H745" s="31" t="n">
        <v>27208.7</v>
      </c>
      <c r="I745" s="31" t="n">
        <v>27221.3</v>
      </c>
      <c r="J745" s="31" t="n">
        <v>27252.9</v>
      </c>
      <c r="K745" s="31" t="n">
        <v>17608.2</v>
      </c>
      <c r="L745" s="31" t="n">
        <v>17492.5</v>
      </c>
      <c r="M745" s="30" t="inlineStr">
        <is>
          <t>AMR1</t>
        </is>
      </c>
      <c r="N745" s="30" t="inlineStr">
        <is>
          <t>AMR1</t>
        </is>
      </c>
      <c r="O745" s="32" t="n">
        <v>1</v>
      </c>
      <c r="P745" s="32" t="n">
        <v>25</v>
      </c>
      <c r="Q745" s="32" t="n">
        <v>1</v>
      </c>
      <c r="R745" s="31" t="n">
        <v>56.9</v>
      </c>
      <c r="S745" s="31" t="n">
        <v>56.9</v>
      </c>
      <c r="T745" s="30" t="inlineStr">
        <is>
          <t>AMR1</t>
        </is>
      </c>
      <c r="U745" s="31" t="n">
        <v>41.9</v>
      </c>
      <c r="V745" s="31" t="n">
        <v>41.9</v>
      </c>
      <c r="W745" s="30" t="inlineStr">
        <is>
          <t>AMR1</t>
        </is>
      </c>
      <c r="X745" s="32" t="n">
        <v>0</v>
      </c>
      <c r="Y745" s="32" t="n">
        <v>0</v>
      </c>
      <c r="Z745" s="31" t="n">
        <v>0</v>
      </c>
      <c r="AA745" s="32" t="n">
        <v>0</v>
      </c>
      <c r="AB745" s="32" t="n">
        <v>0</v>
      </c>
      <c r="AC745" s="32" t="n">
        <v>0</v>
      </c>
      <c r="AD745" s="32" t="n">
        <v>1</v>
      </c>
      <c r="AE745" s="31" t="n">
        <v>2</v>
      </c>
      <c r="AF745" s="32" t="n">
        <v>1</v>
      </c>
      <c r="AG745" s="31" t="n">
        <v>6</v>
      </c>
      <c r="AH745" s="32" t="n">
        <v>56</v>
      </c>
      <c r="AI745" s="31" t="n">
        <v>57.4</v>
      </c>
      <c r="AJ745" s="31" t="n">
        <v>45.2</v>
      </c>
      <c r="AK745" s="31" t="n">
        <v>13</v>
      </c>
      <c r="AL745" s="30" t="inlineStr">
        <is>
          <t>T-0890</t>
        </is>
      </c>
      <c r="AM745" s="30" t="inlineStr">
        <is>
          <t>D-05-03</t>
        </is>
      </c>
      <c r="AN745" s="30" t="inlineStr">
        <is>
          <t>T-0793</t>
        </is>
      </c>
      <c r="AO745" s="30" t="inlineStr">
        <is>
          <t>D-01-03</t>
        </is>
      </c>
    </row>
    <row r="746">
      <c r="A746" s="30" t="inlineStr">
        <is>
          <t>O0745</t>
        </is>
      </c>
      <c r="B746" s="30" t="inlineStr">
        <is>
          <t>H</t>
        </is>
      </c>
      <c r="C746" s="31" t="n">
        <v>9648.4</v>
      </c>
      <c r="D746" s="31" t="n">
        <v>27234.8</v>
      </c>
      <c r="E746" s="31" t="n">
        <v>27258.3</v>
      </c>
      <c r="F746" s="31" t="n">
        <v>27269.6</v>
      </c>
      <c r="G746" s="31" t="n">
        <v>27294.8</v>
      </c>
      <c r="H746" s="31" t="n">
        <v>27600.3</v>
      </c>
      <c r="I746" s="31" t="n">
        <v>27628.2</v>
      </c>
      <c r="J746" s="31" t="n">
        <v>27655</v>
      </c>
      <c r="K746" s="31" t="n">
        <v>18006.6</v>
      </c>
      <c r="L746" s="31" t="n">
        <v>17586.4</v>
      </c>
      <c r="M746" s="30" t="inlineStr">
        <is>
          <t>AMR2</t>
        </is>
      </c>
      <c r="N746" s="30" t="inlineStr">
        <is>
          <t>AMR3</t>
        </is>
      </c>
      <c r="O746" s="32" t="n">
        <v>1</v>
      </c>
      <c r="P746" s="32" t="n">
        <v>25</v>
      </c>
      <c r="Q746" s="32" t="n">
        <v>14</v>
      </c>
      <c r="R746" s="31" t="n">
        <v>57.4</v>
      </c>
      <c r="S746" s="31" t="n">
        <v>57.4</v>
      </c>
      <c r="T746" s="30" t="inlineStr">
        <is>
          <t>AMR2</t>
        </is>
      </c>
      <c r="U746" s="31" t="n">
        <v>53.8</v>
      </c>
      <c r="V746" s="31" t="n">
        <v>53.8</v>
      </c>
      <c r="W746" s="30" t="inlineStr">
        <is>
          <t>AMR3</t>
        </is>
      </c>
      <c r="X746" s="32" t="n">
        <v>0</v>
      </c>
      <c r="Y746" s="32" t="n">
        <v>0</v>
      </c>
      <c r="Z746" s="31" t="n">
        <v>0</v>
      </c>
      <c r="AA746" s="32" t="n">
        <v>0</v>
      </c>
      <c r="AB746" s="32" t="n">
        <v>0</v>
      </c>
      <c r="AC746" s="32" t="n">
        <v>0</v>
      </c>
      <c r="AD746" s="32" t="n">
        <v>0</v>
      </c>
      <c r="AE746" s="31" t="n">
        <v>0</v>
      </c>
      <c r="AF746" s="32" t="n">
        <v>0</v>
      </c>
      <c r="AG746" s="31" t="n">
        <v>0</v>
      </c>
      <c r="AH746" s="32" t="n">
        <v>68</v>
      </c>
      <c r="AI746" s="31" t="n">
        <v>69.40000000000001</v>
      </c>
      <c r="AJ746" s="31" t="n">
        <v>45.3</v>
      </c>
      <c r="AK746" s="31" t="n">
        <v>0</v>
      </c>
      <c r="AL746" s="30" t="inlineStr">
        <is>
          <t>T-0892</t>
        </is>
      </c>
      <c r="AM746" s="30" t="inlineStr">
        <is>
          <t>H-03-01</t>
        </is>
      </c>
      <c r="AN746" s="30" t="inlineStr">
        <is>
          <t>T-0813</t>
        </is>
      </c>
      <c r="AO746" s="30" t="inlineStr">
        <is>
          <t>H-03-02</t>
        </is>
      </c>
    </row>
    <row r="747">
      <c r="A747" s="30" t="inlineStr">
        <is>
          <t>O0746</t>
        </is>
      </c>
      <c r="B747" s="30" t="inlineStr">
        <is>
          <t>D</t>
        </is>
      </c>
      <c r="C747" s="31" t="n">
        <v>9654.5</v>
      </c>
      <c r="D747" s="31" t="n">
        <v>27272.6</v>
      </c>
      <c r="E747" s="31" t="n">
        <v>27306.1</v>
      </c>
      <c r="F747" s="31" t="n">
        <v>27319.5</v>
      </c>
      <c r="G747" s="31" t="n">
        <v>27339.7</v>
      </c>
      <c r="H747" s="31" t="n">
        <v>27339.8</v>
      </c>
      <c r="I747" s="31" t="n">
        <v>27347.8</v>
      </c>
      <c r="J747" s="31" t="n">
        <v>27375.9</v>
      </c>
      <c r="K747" s="31" t="n">
        <v>17721.4</v>
      </c>
      <c r="L747" s="31" t="n">
        <v>17618.1</v>
      </c>
      <c r="M747" s="30" t="inlineStr">
        <is>
          <t>AMR3</t>
        </is>
      </c>
      <c r="N747" s="30" t="inlineStr">
        <is>
          <t>AMR3</t>
        </is>
      </c>
      <c r="O747" s="32" t="n">
        <v>1</v>
      </c>
      <c r="P747" s="32" t="n">
        <v>25</v>
      </c>
      <c r="Q747" s="32" t="n">
        <v>1</v>
      </c>
      <c r="R747" s="31" t="n">
        <v>55.2</v>
      </c>
      <c r="S747" s="31" t="n">
        <v>55.2</v>
      </c>
      <c r="T747" s="30" t="inlineStr">
        <is>
          <t>AMR3</t>
        </is>
      </c>
      <c r="U747" s="31" t="n">
        <v>37.3</v>
      </c>
      <c r="V747" s="31" t="n">
        <v>37.3</v>
      </c>
      <c r="W747" s="30" t="inlineStr">
        <is>
          <t>AMR3</t>
        </is>
      </c>
      <c r="X747" s="32" t="n">
        <v>0</v>
      </c>
      <c r="Y747" s="32" t="n">
        <v>0</v>
      </c>
      <c r="Z747" s="31" t="n">
        <v>0</v>
      </c>
      <c r="AA747" s="32" t="n">
        <v>0</v>
      </c>
      <c r="AB747" s="32" t="n">
        <v>0</v>
      </c>
      <c r="AC747" s="32" t="n">
        <v>0</v>
      </c>
      <c r="AD747" s="32" t="n">
        <v>0</v>
      </c>
      <c r="AE747" s="31" t="n">
        <v>0</v>
      </c>
      <c r="AF747" s="32" t="n">
        <v>1</v>
      </c>
      <c r="AG747" s="31" t="n">
        <v>5</v>
      </c>
      <c r="AH747" s="32" t="n">
        <v>52</v>
      </c>
      <c r="AI747" s="31" t="n">
        <v>54.3</v>
      </c>
      <c r="AJ747" s="31" t="n">
        <v>38.9</v>
      </c>
      <c r="AK747" s="31" t="n">
        <v>10</v>
      </c>
      <c r="AL747" s="30" t="inlineStr">
        <is>
          <t>T-0894</t>
        </is>
      </c>
      <c r="AM747" s="30" t="inlineStr">
        <is>
          <t>D-01-03</t>
        </is>
      </c>
      <c r="AN747" s="30" t="inlineStr">
        <is>
          <t>T-0806</t>
        </is>
      </c>
      <c r="AO747" s="30" t="inlineStr">
        <is>
          <t>D-02-03</t>
        </is>
      </c>
    </row>
    <row r="748">
      <c r="A748" s="30" t="inlineStr">
        <is>
          <t>O0747</t>
        </is>
      </c>
      <c r="B748" s="30" t="inlineStr">
        <is>
          <t>D</t>
        </is>
      </c>
      <c r="C748" s="31" t="n">
        <v>9660</v>
      </c>
      <c r="D748" s="31" t="n">
        <v>27376</v>
      </c>
      <c r="E748" s="31" t="n">
        <v>27409.5</v>
      </c>
      <c r="F748" s="31" t="n">
        <v>27422.9</v>
      </c>
      <c r="G748" s="31" t="n">
        <v>27444.5</v>
      </c>
      <c r="H748" s="31" t="n">
        <v>27444.6</v>
      </c>
      <c r="I748" s="31" t="n">
        <v>27453.6</v>
      </c>
      <c r="J748" s="31" t="n">
        <v>27485.6</v>
      </c>
      <c r="K748" s="31" t="n">
        <v>17825.6</v>
      </c>
      <c r="L748" s="31" t="n">
        <v>17716</v>
      </c>
      <c r="M748" s="30" t="inlineStr">
        <is>
          <t>AMR3</t>
        </is>
      </c>
      <c r="N748" s="30" t="inlineStr">
        <is>
          <t>AMR3</t>
        </is>
      </c>
      <c r="O748" s="32" t="n">
        <v>1</v>
      </c>
      <c r="P748" s="32" t="n">
        <v>25</v>
      </c>
      <c r="Q748" s="32" t="n">
        <v>1</v>
      </c>
      <c r="R748" s="31" t="n">
        <v>56.6</v>
      </c>
      <c r="S748" s="31" t="n">
        <v>56.6</v>
      </c>
      <c r="T748" s="30" t="inlineStr">
        <is>
          <t>AMR3</t>
        </is>
      </c>
      <c r="U748" s="31" t="n">
        <v>35.7</v>
      </c>
      <c r="V748" s="31" t="n">
        <v>35.7</v>
      </c>
      <c r="W748" s="30" t="inlineStr">
        <is>
          <t>AMR3</t>
        </is>
      </c>
      <c r="X748" s="32" t="n">
        <v>0</v>
      </c>
      <c r="Y748" s="32" t="n">
        <v>0</v>
      </c>
      <c r="Z748" s="31" t="n">
        <v>0</v>
      </c>
      <c r="AA748" s="32" t="n">
        <v>0</v>
      </c>
      <c r="AB748" s="32" t="n">
        <v>0</v>
      </c>
      <c r="AC748" s="32" t="n">
        <v>0</v>
      </c>
      <c r="AD748" s="32" t="n">
        <v>1</v>
      </c>
      <c r="AE748" s="31" t="n">
        <v>7</v>
      </c>
      <c r="AF748" s="32" t="n">
        <v>2</v>
      </c>
      <c r="AG748" s="31" t="n">
        <v>7</v>
      </c>
      <c r="AH748" s="32" t="n">
        <v>52</v>
      </c>
      <c r="AI748" s="31" t="n">
        <v>53.8</v>
      </c>
      <c r="AJ748" s="31" t="n">
        <v>38.7</v>
      </c>
      <c r="AK748" s="31" t="n">
        <v>17</v>
      </c>
      <c r="AL748" s="30" t="inlineStr">
        <is>
          <t>T-0897</t>
        </is>
      </c>
      <c r="AM748" s="30" t="inlineStr">
        <is>
          <t>D-02-03</t>
        </is>
      </c>
      <c r="AN748" s="30" t="inlineStr">
        <is>
          <t>T-0810</t>
        </is>
      </c>
      <c r="AO748" s="30" t="inlineStr">
        <is>
          <t>D-01-01</t>
        </is>
      </c>
    </row>
    <row r="749">
      <c r="A749" s="30" t="inlineStr">
        <is>
          <t>O0748</t>
        </is>
      </c>
      <c r="B749" s="30" t="inlineStr">
        <is>
          <t>I</t>
        </is>
      </c>
      <c r="C749" s="31" t="n">
        <v>9663.4</v>
      </c>
      <c r="D749" s="31" t="n">
        <v>27338.3</v>
      </c>
      <c r="E749" s="31" t="n">
        <v>27361.8</v>
      </c>
      <c r="F749" s="31" t="n">
        <v>27377.4</v>
      </c>
      <c r="G749" s="31" t="n">
        <v>27403.4</v>
      </c>
      <c r="H749" s="31" t="n">
        <v>27403.5</v>
      </c>
      <c r="I749" s="31" t="n">
        <v>27419.1</v>
      </c>
      <c r="J749" s="31" t="n">
        <v>27445.7</v>
      </c>
      <c r="K749" s="31" t="n">
        <v>17782.3</v>
      </c>
      <c r="L749" s="31" t="n">
        <v>17674.9</v>
      </c>
      <c r="M749" s="30" t="inlineStr">
        <is>
          <t>AMR2</t>
        </is>
      </c>
      <c r="N749" s="30" t="inlineStr">
        <is>
          <t>AMR2</t>
        </is>
      </c>
      <c r="O749" s="32" t="n">
        <v>1</v>
      </c>
      <c r="P749" s="32" t="n">
        <v>25</v>
      </c>
      <c r="Q749" s="32" t="n">
        <v>1</v>
      </c>
      <c r="R749" s="31" t="n">
        <v>63.3</v>
      </c>
      <c r="S749" s="31" t="n">
        <v>54.5</v>
      </c>
      <c r="T749" s="30" t="inlineStr">
        <is>
          <t>AMR3</t>
        </is>
      </c>
      <c r="U749" s="31" t="n">
        <v>40.9</v>
      </c>
      <c r="V749" s="31" t="n">
        <v>40.9</v>
      </c>
      <c r="W749" s="30" t="inlineStr">
        <is>
          <t>AMR2</t>
        </is>
      </c>
      <c r="X749" s="32" t="n">
        <v>1</v>
      </c>
      <c r="Y749" s="32" t="n">
        <v>13</v>
      </c>
      <c r="Z749" s="31" t="n">
        <v>8.800000000000001</v>
      </c>
      <c r="AA749" s="32" t="n">
        <v>0</v>
      </c>
      <c r="AB749" s="32" t="n">
        <v>0</v>
      </c>
      <c r="AC749" s="32" t="n">
        <v>0</v>
      </c>
      <c r="AD749" s="32" t="n">
        <v>0</v>
      </c>
      <c r="AE749" s="31" t="n">
        <v>0</v>
      </c>
      <c r="AF749" s="32" t="n">
        <v>0</v>
      </c>
      <c r="AG749" s="31" t="n">
        <v>0</v>
      </c>
      <c r="AH749" s="32" t="n">
        <v>54</v>
      </c>
      <c r="AI749" s="31" t="n">
        <v>57.2</v>
      </c>
      <c r="AJ749" s="31" t="n">
        <v>50.1</v>
      </c>
      <c r="AK749" s="31" t="n">
        <v>0</v>
      </c>
      <c r="AL749" s="30" t="inlineStr">
        <is>
          <t>T-0895</t>
        </is>
      </c>
      <c r="AM749" s="30" t="inlineStr">
        <is>
          <t>I-02-02</t>
        </is>
      </c>
      <c r="AN749" s="30" t="inlineStr">
        <is>
          <t>T-0848</t>
        </is>
      </c>
      <c r="AO749" s="30" t="inlineStr">
        <is>
          <t>I-03-02</t>
        </is>
      </c>
    </row>
    <row r="750">
      <c r="A750" s="30" t="inlineStr">
        <is>
          <t>O0749</t>
        </is>
      </c>
      <c r="B750" s="30" t="inlineStr">
        <is>
          <t>H</t>
        </is>
      </c>
      <c r="C750" s="31" t="n">
        <v>9669.799999999999</v>
      </c>
      <c r="D750" s="31" t="n">
        <v>27485.7</v>
      </c>
      <c r="E750" s="31" t="n">
        <v>27520.2</v>
      </c>
      <c r="F750" s="31" t="n">
        <v>27534.2</v>
      </c>
      <c r="G750" s="31" t="n">
        <v>27560.5</v>
      </c>
      <c r="H750" s="31" t="n">
        <v>27560.6</v>
      </c>
      <c r="I750" s="31" t="n">
        <v>27574.3</v>
      </c>
      <c r="J750" s="31" t="n">
        <v>27600.2</v>
      </c>
      <c r="K750" s="31" t="n">
        <v>17930.4</v>
      </c>
      <c r="L750" s="31" t="n">
        <v>17815.9</v>
      </c>
      <c r="M750" s="30" t="inlineStr">
        <is>
          <t>AMR3</t>
        </is>
      </c>
      <c r="N750" s="30" t="inlineStr">
        <is>
          <t>AMR3</t>
        </is>
      </c>
      <c r="O750" s="32" t="n">
        <v>1</v>
      </c>
      <c r="P750" s="32" t="n">
        <v>25</v>
      </c>
      <c r="Q750" s="32" t="n">
        <v>1</v>
      </c>
      <c r="R750" s="31" t="n">
        <v>62</v>
      </c>
      <c r="S750" s="31" t="n">
        <v>62</v>
      </c>
      <c r="T750" s="30" t="inlineStr">
        <is>
          <t>AMR3</t>
        </is>
      </c>
      <c r="U750" s="31" t="n">
        <v>40.3</v>
      </c>
      <c r="V750" s="31" t="n">
        <v>40.3</v>
      </c>
      <c r="W750" s="30" t="inlineStr">
        <is>
          <t>AMR3</t>
        </is>
      </c>
      <c r="X750" s="32" t="n">
        <v>0</v>
      </c>
      <c r="Y750" s="32" t="n">
        <v>0</v>
      </c>
      <c r="Z750" s="31" t="n">
        <v>0</v>
      </c>
      <c r="AA750" s="32" t="n">
        <v>0</v>
      </c>
      <c r="AB750" s="32" t="n">
        <v>0</v>
      </c>
      <c r="AC750" s="32" t="n">
        <v>0</v>
      </c>
      <c r="AD750" s="32" t="n">
        <v>0</v>
      </c>
      <c r="AE750" s="31" t="n">
        <v>0</v>
      </c>
      <c r="AF750" s="32" t="n">
        <v>1</v>
      </c>
      <c r="AG750" s="31" t="n">
        <v>6</v>
      </c>
      <c r="AH750" s="32" t="n">
        <v>52</v>
      </c>
      <c r="AI750" s="31" t="n">
        <v>54.7</v>
      </c>
      <c r="AJ750" s="31" t="n">
        <v>48.7</v>
      </c>
      <c r="AK750" s="31" t="n">
        <v>11</v>
      </c>
      <c r="AL750" s="30" t="inlineStr">
        <is>
          <t>T-0900</t>
        </is>
      </c>
      <c r="AM750" s="30" t="inlineStr">
        <is>
          <t>H-05-02</t>
        </is>
      </c>
      <c r="AN750" s="30" t="inlineStr">
        <is>
          <t>T-0792</t>
        </is>
      </c>
      <c r="AO750" s="30" t="inlineStr">
        <is>
          <t>H-04-03</t>
        </is>
      </c>
    </row>
    <row r="751">
      <c r="A751" s="30" t="inlineStr">
        <is>
          <t>O0750</t>
        </is>
      </c>
      <c r="B751" s="30" t="inlineStr">
        <is>
          <t>J</t>
        </is>
      </c>
      <c r="C751" s="31" t="n">
        <v>9674.1</v>
      </c>
      <c r="D751" s="31" t="n">
        <v>27356</v>
      </c>
      <c r="E751" s="31" t="n">
        <v>27385.5</v>
      </c>
      <c r="F751" s="31" t="n">
        <v>27397.5</v>
      </c>
      <c r="G751" s="31" t="n">
        <v>27427</v>
      </c>
      <c r="H751" s="31" t="n">
        <v>27427.1</v>
      </c>
      <c r="I751" s="31" t="n">
        <v>27439</v>
      </c>
      <c r="J751" s="31" t="n">
        <v>27472.6</v>
      </c>
      <c r="K751" s="31" t="n">
        <v>17798.5</v>
      </c>
      <c r="L751" s="31" t="n">
        <v>17681.9</v>
      </c>
      <c r="M751" s="30" t="inlineStr">
        <is>
          <t>AMR1</t>
        </is>
      </c>
      <c r="N751" s="30" t="inlineStr">
        <is>
          <t>AMR1</t>
        </is>
      </c>
      <c r="O751" s="32" t="n">
        <v>1</v>
      </c>
      <c r="P751" s="32" t="n">
        <v>25</v>
      </c>
      <c r="Q751" s="32" t="n">
        <v>1</v>
      </c>
      <c r="R751" s="31" t="n">
        <v>63.2</v>
      </c>
      <c r="S751" s="31" t="n">
        <v>63.2</v>
      </c>
      <c r="T751" s="30" t="inlineStr">
        <is>
          <t>AMR1</t>
        </is>
      </c>
      <c r="U751" s="31" t="n">
        <v>43.7</v>
      </c>
      <c r="V751" s="31" t="n">
        <v>43.7</v>
      </c>
      <c r="W751" s="30" t="inlineStr">
        <is>
          <t>AMR1</t>
        </is>
      </c>
      <c r="X751" s="32" t="n">
        <v>0</v>
      </c>
      <c r="Y751" s="32" t="n">
        <v>0</v>
      </c>
      <c r="Z751" s="31" t="n">
        <v>0</v>
      </c>
      <c r="AA751" s="32" t="n">
        <v>0</v>
      </c>
      <c r="AB751" s="32" t="n">
        <v>0</v>
      </c>
      <c r="AC751" s="32" t="n">
        <v>0</v>
      </c>
      <c r="AD751" s="32" t="n">
        <v>0</v>
      </c>
      <c r="AE751" s="31" t="n">
        <v>0</v>
      </c>
      <c r="AF751" s="32" t="n">
        <v>1</v>
      </c>
      <c r="AG751" s="31" t="n">
        <v>1</v>
      </c>
      <c r="AH751" s="32" t="n">
        <v>68</v>
      </c>
      <c r="AI751" s="31" t="n">
        <v>68.3</v>
      </c>
      <c r="AJ751" s="31" t="n">
        <v>42.2</v>
      </c>
      <c r="AK751" s="31" t="n">
        <v>6</v>
      </c>
      <c r="AL751" s="30" t="inlineStr">
        <is>
          <t>T-0896</t>
        </is>
      </c>
      <c r="AM751" s="30" t="inlineStr">
        <is>
          <t>J-02-01</t>
        </is>
      </c>
      <c r="AN751" s="30" t="inlineStr">
        <is>
          <t>T-0714</t>
        </is>
      </c>
      <c r="AO751" s="30" t="inlineStr">
        <is>
          <t>J-04-01</t>
        </is>
      </c>
    </row>
    <row r="752">
      <c r="A752" s="30" t="inlineStr">
        <is>
          <t>O0751</t>
        </is>
      </c>
      <c r="B752" s="30" t="inlineStr">
        <is>
          <t>D</t>
        </is>
      </c>
      <c r="C752" s="31" t="n">
        <v>9677.700000000001</v>
      </c>
      <c r="D752" s="31" t="n">
        <v>27554.2</v>
      </c>
      <c r="E752" s="31" t="n">
        <v>27577.7</v>
      </c>
      <c r="F752" s="31" t="n">
        <v>27589.3</v>
      </c>
      <c r="G752" s="31" t="n">
        <v>27614</v>
      </c>
      <c r="H752" s="31" t="n">
        <v>29797.9</v>
      </c>
      <c r="I752" s="31" t="n">
        <v>29816.6</v>
      </c>
      <c r="J752" s="31" t="n">
        <v>29863.3</v>
      </c>
      <c r="K752" s="31" t="n">
        <v>20185.6</v>
      </c>
      <c r="L752" s="31" t="n">
        <v>17876.5</v>
      </c>
      <c r="M752" s="30" t="inlineStr">
        <is>
          <t>AMR2</t>
        </is>
      </c>
      <c r="N752" s="30" t="inlineStr">
        <is>
          <t>AMR2</t>
        </is>
      </c>
      <c r="O752" s="32" t="n">
        <v>1</v>
      </c>
      <c r="P752" s="32" t="n">
        <v>25</v>
      </c>
      <c r="Q752" s="32" t="n">
        <v>5</v>
      </c>
      <c r="R752" s="31" t="n">
        <v>57.9</v>
      </c>
      <c r="S752" s="31" t="n">
        <v>55.4</v>
      </c>
      <c r="T752" s="30" t="inlineStr">
        <is>
          <t>AMR3</t>
        </is>
      </c>
      <c r="U752" s="31" t="n">
        <v>49</v>
      </c>
      <c r="V752" s="31" t="n">
        <v>49</v>
      </c>
      <c r="W752" s="30" t="inlineStr">
        <is>
          <t>AMR2</t>
        </is>
      </c>
      <c r="X752" s="32" t="n">
        <v>1</v>
      </c>
      <c r="Y752" s="32" t="n">
        <v>11</v>
      </c>
      <c r="Z752" s="31" t="n">
        <v>2.5</v>
      </c>
      <c r="AA752" s="32" t="n">
        <v>0</v>
      </c>
      <c r="AB752" s="32" t="n">
        <v>0</v>
      </c>
      <c r="AC752" s="32" t="n">
        <v>0</v>
      </c>
      <c r="AD752" s="32" t="n">
        <v>1</v>
      </c>
      <c r="AE752" s="31" t="n">
        <v>14.2</v>
      </c>
      <c r="AF752" s="32" t="n">
        <v>1</v>
      </c>
      <c r="AG752" s="31" t="n">
        <v>9.199999999999999</v>
      </c>
      <c r="AH752" s="32" t="n">
        <v>60</v>
      </c>
      <c r="AI752" s="31" t="n">
        <v>61.7</v>
      </c>
      <c r="AJ752" s="31" t="n">
        <v>49.3</v>
      </c>
      <c r="AK752" s="31" t="n">
        <v>14.2</v>
      </c>
      <c r="AL752" s="30" t="inlineStr">
        <is>
          <t>T-0901</t>
        </is>
      </c>
      <c r="AM752" s="30" t="inlineStr">
        <is>
          <t>D-01-01</t>
        </is>
      </c>
      <c r="AN752" s="30" t="inlineStr">
        <is>
          <t>T-0894</t>
        </is>
      </c>
      <c r="AO752" s="30" t="inlineStr">
        <is>
          <t>D-01-03</t>
        </is>
      </c>
    </row>
    <row r="753">
      <c r="A753" s="30" t="inlineStr">
        <is>
          <t>O0752</t>
        </is>
      </c>
      <c r="B753" s="30" t="inlineStr">
        <is>
          <t>E</t>
        </is>
      </c>
      <c r="C753" s="31" t="n">
        <v>9681.9</v>
      </c>
      <c r="D753" s="31" t="n">
        <v>27445.8</v>
      </c>
      <c r="E753" s="31" t="n">
        <v>27469.3</v>
      </c>
      <c r="F753" s="31" t="n">
        <v>27485</v>
      </c>
      <c r="G753" s="31" t="n">
        <v>27509.5</v>
      </c>
      <c r="H753" s="31" t="n">
        <v>27509.6</v>
      </c>
      <c r="I753" s="31" t="n">
        <v>27520.7</v>
      </c>
      <c r="J753" s="31" t="n">
        <v>27554.1</v>
      </c>
      <c r="K753" s="31" t="n">
        <v>17872.2</v>
      </c>
      <c r="L753" s="31" t="n">
        <v>17763.9</v>
      </c>
      <c r="M753" s="30" t="inlineStr">
        <is>
          <t>AMR2</t>
        </is>
      </c>
      <c r="N753" s="30" t="inlineStr">
        <is>
          <t>AMR2</t>
        </is>
      </c>
      <c r="O753" s="32" t="n">
        <v>1</v>
      </c>
      <c r="P753" s="32" t="n">
        <v>25</v>
      </c>
      <c r="Q753" s="32" t="n">
        <v>1</v>
      </c>
      <c r="R753" s="31" t="n">
        <v>61.8</v>
      </c>
      <c r="S753" s="31" t="n">
        <v>61.8</v>
      </c>
      <c r="T753" s="30" t="inlineStr">
        <is>
          <t>AMR2</t>
        </is>
      </c>
      <c r="U753" s="31" t="n">
        <v>43.7</v>
      </c>
      <c r="V753" s="31" t="n">
        <v>43.7</v>
      </c>
      <c r="W753" s="30" t="inlineStr">
        <is>
          <t>AMR2</t>
        </is>
      </c>
      <c r="X753" s="32" t="n">
        <v>0</v>
      </c>
      <c r="Y753" s="32" t="n">
        <v>0</v>
      </c>
      <c r="Z753" s="31" t="n">
        <v>0</v>
      </c>
      <c r="AA753" s="32" t="n">
        <v>0</v>
      </c>
      <c r="AB753" s="32" t="n">
        <v>0</v>
      </c>
      <c r="AC753" s="32" t="n">
        <v>0</v>
      </c>
      <c r="AD753" s="32" t="n">
        <v>0</v>
      </c>
      <c r="AE753" s="31" t="n">
        <v>0</v>
      </c>
      <c r="AF753" s="32" t="n">
        <v>0</v>
      </c>
      <c r="AG753" s="31" t="n">
        <v>0</v>
      </c>
      <c r="AH753" s="32" t="n">
        <v>68</v>
      </c>
      <c r="AI753" s="31" t="n">
        <v>66.90000000000001</v>
      </c>
      <c r="AJ753" s="31" t="n">
        <v>41.3</v>
      </c>
      <c r="AK753" s="31" t="n">
        <v>0</v>
      </c>
      <c r="AL753" s="30" t="inlineStr">
        <is>
          <t>T-0898</t>
        </is>
      </c>
      <c r="AM753" s="30" t="inlineStr">
        <is>
          <t>E-02-02</t>
        </is>
      </c>
      <c r="AN753" s="30" t="inlineStr">
        <is>
          <t>T-0701</t>
        </is>
      </c>
      <c r="AO753" s="30" t="inlineStr">
        <is>
          <t>E-05-02</t>
        </is>
      </c>
    </row>
    <row r="754">
      <c r="A754" s="30" t="inlineStr">
        <is>
          <t>O0753</t>
        </is>
      </c>
      <c r="B754" s="30" t="inlineStr">
        <is>
          <t>G</t>
        </is>
      </c>
      <c r="C754" s="31" t="n">
        <v>9687.9</v>
      </c>
      <c r="D754" s="31" t="n">
        <v>27472.7</v>
      </c>
      <c r="E754" s="31" t="n">
        <v>27496.2</v>
      </c>
      <c r="F754" s="31" t="n">
        <v>27508.6</v>
      </c>
      <c r="G754" s="31" t="n">
        <v>27537.4</v>
      </c>
      <c r="H754" s="31" t="n">
        <v>27537.5</v>
      </c>
      <c r="I754" s="31" t="n">
        <v>27550.2</v>
      </c>
      <c r="J754" s="31" t="n">
        <v>27578.8</v>
      </c>
      <c r="K754" s="31" t="n">
        <v>17890.9</v>
      </c>
      <c r="L754" s="31" t="n">
        <v>17784.8</v>
      </c>
      <c r="M754" s="30" t="inlineStr">
        <is>
          <t>AMR1</t>
        </is>
      </c>
      <c r="N754" s="30" t="inlineStr">
        <is>
          <t>AMR1</t>
        </is>
      </c>
      <c r="O754" s="32" t="n">
        <v>1</v>
      </c>
      <c r="P754" s="32" t="n">
        <v>25</v>
      </c>
      <c r="Q754" s="32" t="n">
        <v>1</v>
      </c>
      <c r="R754" s="31" t="n">
        <v>61.3</v>
      </c>
      <c r="S754" s="31" t="n">
        <v>61.3</v>
      </c>
      <c r="T754" s="30" t="inlineStr">
        <is>
          <t>AMR1</t>
        </is>
      </c>
      <c r="U754" s="31" t="n">
        <v>41</v>
      </c>
      <c r="V754" s="31" t="n">
        <v>41</v>
      </c>
      <c r="W754" s="30" t="inlineStr">
        <is>
          <t>AMR1</t>
        </is>
      </c>
      <c r="X754" s="32" t="n">
        <v>0</v>
      </c>
      <c r="Y754" s="32" t="n">
        <v>0</v>
      </c>
      <c r="Z754" s="31" t="n">
        <v>0</v>
      </c>
      <c r="AA754" s="32" t="n">
        <v>0</v>
      </c>
      <c r="AB754" s="32" t="n">
        <v>0</v>
      </c>
      <c r="AC754" s="32" t="n">
        <v>0</v>
      </c>
      <c r="AD754" s="32" t="n">
        <v>0</v>
      </c>
      <c r="AE754" s="31" t="n">
        <v>0</v>
      </c>
      <c r="AF754" s="32" t="n">
        <v>0</v>
      </c>
      <c r="AG754" s="31" t="n">
        <v>0</v>
      </c>
      <c r="AH754" s="32" t="n">
        <v>60</v>
      </c>
      <c r="AI754" s="31" t="n">
        <v>61</v>
      </c>
      <c r="AJ754" s="31" t="n">
        <v>45</v>
      </c>
      <c r="AK754" s="31" t="n">
        <v>0</v>
      </c>
      <c r="AL754" s="30" t="inlineStr">
        <is>
          <t>T-0899</t>
        </is>
      </c>
      <c r="AM754" s="30" t="inlineStr">
        <is>
          <t>G-02-01</t>
        </is>
      </c>
      <c r="AN754" s="30" t="inlineStr">
        <is>
          <t>T-0707</t>
        </is>
      </c>
      <c r="AO754" s="30" t="inlineStr">
        <is>
          <t>G-04-02</t>
        </is>
      </c>
    </row>
    <row r="755">
      <c r="A755" s="30" t="inlineStr">
        <is>
          <t>O0754</t>
        </is>
      </c>
      <c r="B755" s="30" t="inlineStr">
        <is>
          <t>I</t>
        </is>
      </c>
      <c r="C755" s="31" t="n">
        <v>9692.200000000001</v>
      </c>
      <c r="D755" s="31" t="n">
        <v>27578.9</v>
      </c>
      <c r="E755" s="31" t="n">
        <v>27602.4</v>
      </c>
      <c r="F755" s="31" t="n">
        <v>27612.9</v>
      </c>
      <c r="G755" s="31" t="n">
        <v>27638.1</v>
      </c>
      <c r="H755" s="31" t="n">
        <v>27638.2</v>
      </c>
      <c r="I755" s="31" t="n">
        <v>27650.5</v>
      </c>
      <c r="J755" s="31" t="n">
        <v>27679.5</v>
      </c>
      <c r="K755" s="31" t="n">
        <v>17987.3</v>
      </c>
      <c r="L755" s="31" t="n">
        <v>17886.7</v>
      </c>
      <c r="M755" s="30" t="inlineStr">
        <is>
          <t>AMR1</t>
        </is>
      </c>
      <c r="N755" s="30" t="inlineStr">
        <is>
          <t>AMR1</t>
        </is>
      </c>
      <c r="O755" s="32" t="n">
        <v>1</v>
      </c>
      <c r="P755" s="32" t="n">
        <v>25</v>
      </c>
      <c r="Q755" s="32" t="n">
        <v>0</v>
      </c>
      <c r="R755" s="31" t="n">
        <v>56.5</v>
      </c>
      <c r="S755" s="31" t="n">
        <v>56.5</v>
      </c>
      <c r="T755" s="30" t="inlineStr">
        <is>
          <t>AMR1</t>
        </is>
      </c>
      <c r="U755" s="31" t="n">
        <v>39.5</v>
      </c>
      <c r="V755" s="31" t="n">
        <v>39.5</v>
      </c>
      <c r="W755" s="30" t="inlineStr">
        <is>
          <t>AMR1</t>
        </is>
      </c>
      <c r="X755" s="32" t="n">
        <v>0</v>
      </c>
      <c r="Y755" s="32" t="n">
        <v>0</v>
      </c>
      <c r="Z755" s="31" t="n">
        <v>0</v>
      </c>
      <c r="AA755" s="32" t="n">
        <v>0</v>
      </c>
      <c r="AB755" s="32" t="n">
        <v>0</v>
      </c>
      <c r="AC755" s="32" t="n">
        <v>0</v>
      </c>
      <c r="AD755" s="32" t="n">
        <v>0</v>
      </c>
      <c r="AE755" s="31" t="n">
        <v>0</v>
      </c>
      <c r="AF755" s="32" t="n">
        <v>0</v>
      </c>
      <c r="AG755" s="31" t="n">
        <v>0</v>
      </c>
      <c r="AH755" s="32" t="n">
        <v>56</v>
      </c>
      <c r="AI755" s="31" t="n">
        <v>57.9</v>
      </c>
      <c r="AJ755" s="31" t="n">
        <v>42.6</v>
      </c>
      <c r="AK755" s="31" t="n">
        <v>0</v>
      </c>
      <c r="AL755" s="30" t="inlineStr">
        <is>
          <t>T-0902</t>
        </is>
      </c>
      <c r="AM755" s="30" t="inlineStr">
        <is>
          <t>I-03-02</t>
        </is>
      </c>
      <c r="AN755" s="30" t="inlineStr">
        <is>
          <t>T-0851</t>
        </is>
      </c>
      <c r="AO755" s="30" t="inlineStr">
        <is>
          <t>I-04-02</t>
        </is>
      </c>
    </row>
    <row r="756">
      <c r="A756" s="30" t="inlineStr">
        <is>
          <t>O0755</t>
        </is>
      </c>
      <c r="B756" s="30" t="inlineStr">
        <is>
          <t>D</t>
        </is>
      </c>
      <c r="C756" s="31" t="n">
        <v>9695.6</v>
      </c>
      <c r="D756" s="31" t="n">
        <v>27614.1</v>
      </c>
      <c r="E756" s="31" t="n">
        <v>27626.7</v>
      </c>
      <c r="F756" s="31" t="n">
        <v>27640</v>
      </c>
      <c r="G756" s="31" t="n">
        <v>27666.3</v>
      </c>
      <c r="H756" s="31" t="n">
        <v>28215.9</v>
      </c>
      <c r="I756" s="31" t="n">
        <v>28228.6</v>
      </c>
      <c r="J756" s="31" t="n">
        <v>28259.2</v>
      </c>
      <c r="K756" s="31" t="n">
        <v>18563.6</v>
      </c>
      <c r="L756" s="31" t="n">
        <v>17918.5</v>
      </c>
      <c r="M756" s="30" t="inlineStr">
        <is>
          <t>AMR2</t>
        </is>
      </c>
      <c r="N756" s="30" t="inlineStr">
        <is>
          <t>AMR2</t>
        </is>
      </c>
      <c r="O756" s="32" t="n">
        <v>1</v>
      </c>
      <c r="P756" s="32" t="n">
        <v>12</v>
      </c>
      <c r="Q756" s="32" t="n">
        <v>0</v>
      </c>
      <c r="R756" s="31" t="n">
        <v>48.5</v>
      </c>
      <c r="S756" s="31" t="n">
        <v>48.5</v>
      </c>
      <c r="T756" s="30" t="inlineStr">
        <is>
          <t>AMR2</t>
        </is>
      </c>
      <c r="U756" s="31" t="n">
        <v>41.5</v>
      </c>
      <c r="V756" s="31" t="n">
        <v>41.5</v>
      </c>
      <c r="W756" s="30" t="inlineStr">
        <is>
          <t>AMR2</t>
        </is>
      </c>
      <c r="X756" s="32" t="n">
        <v>0</v>
      </c>
      <c r="Y756" s="32" t="n">
        <v>0</v>
      </c>
      <c r="Z756" s="31" t="n">
        <v>0</v>
      </c>
      <c r="AA756" s="32" t="n">
        <v>0</v>
      </c>
      <c r="AB756" s="32" t="n">
        <v>0</v>
      </c>
      <c r="AC756" s="32" t="n">
        <v>0</v>
      </c>
      <c r="AD756" s="32" t="n">
        <v>0</v>
      </c>
      <c r="AE756" s="31" t="n">
        <v>0</v>
      </c>
      <c r="AF756" s="32" t="n">
        <v>0</v>
      </c>
      <c r="AG756" s="31" t="n">
        <v>0</v>
      </c>
      <c r="AH756" s="32" t="n">
        <v>45</v>
      </c>
      <c r="AI756" s="31" t="n">
        <v>48.1</v>
      </c>
      <c r="AJ756" s="31" t="n">
        <v>47.4</v>
      </c>
      <c r="AK756" s="31" t="n">
        <v>0</v>
      </c>
      <c r="AL756" s="30" t="inlineStr">
        <is>
          <t>T-0903</t>
        </is>
      </c>
      <c r="AM756" s="30" t="inlineStr">
        <is>
          <t>D-06-03</t>
        </is>
      </c>
      <c r="AN756" s="30" t="inlineStr">
        <is>
          <t>T-0823</t>
        </is>
      </c>
      <c r="AO756" s="30" t="inlineStr">
        <is>
          <t>D-04-01</t>
        </is>
      </c>
    </row>
    <row r="757">
      <c r="A757" s="30" t="inlineStr">
        <is>
          <t>O0756</t>
        </is>
      </c>
      <c r="B757" s="30" t="inlineStr">
        <is>
          <t>I</t>
        </is>
      </c>
      <c r="C757" s="31" t="n">
        <v>9701.700000000001</v>
      </c>
      <c r="D757" s="31" t="n">
        <v>27757.9</v>
      </c>
      <c r="E757" s="31" t="n">
        <v>27781.4</v>
      </c>
      <c r="F757" s="31" t="n">
        <v>27793.6</v>
      </c>
      <c r="G757" s="31" t="n">
        <v>27818.9</v>
      </c>
      <c r="H757" s="31" t="n">
        <v>27819</v>
      </c>
      <c r="I757" s="31" t="n">
        <v>27832.6</v>
      </c>
      <c r="J757" s="31" t="n">
        <v>27858</v>
      </c>
      <c r="K757" s="31" t="n">
        <v>18156.3</v>
      </c>
      <c r="L757" s="31" t="n">
        <v>18056.2</v>
      </c>
      <c r="M757" s="30" t="inlineStr">
        <is>
          <t>AMR3</t>
        </is>
      </c>
      <c r="N757" s="30" t="inlineStr">
        <is>
          <t>AMR3</t>
        </is>
      </c>
      <c r="O757" s="32" t="n">
        <v>1</v>
      </c>
      <c r="P757" s="32" t="n">
        <v>25</v>
      </c>
      <c r="Q757" s="32" t="n">
        <v>1</v>
      </c>
      <c r="R757" s="31" t="n">
        <v>57.5</v>
      </c>
      <c r="S757" s="31" t="n">
        <v>57.5</v>
      </c>
      <c r="T757" s="30" t="inlineStr">
        <is>
          <t>AMR3</t>
        </is>
      </c>
      <c r="U757" s="31" t="n">
        <v>38.6</v>
      </c>
      <c r="V757" s="31" t="n">
        <v>38.6</v>
      </c>
      <c r="W757" s="30" t="inlineStr">
        <is>
          <t>AMR3</t>
        </is>
      </c>
      <c r="X757" s="32" t="n">
        <v>0</v>
      </c>
      <c r="Y757" s="32" t="n">
        <v>0</v>
      </c>
      <c r="Z757" s="31" t="n">
        <v>0</v>
      </c>
      <c r="AA757" s="32" t="n">
        <v>0</v>
      </c>
      <c r="AB757" s="32" t="n">
        <v>0</v>
      </c>
      <c r="AC757" s="32" t="n">
        <v>0</v>
      </c>
      <c r="AD757" s="32" t="n">
        <v>0</v>
      </c>
      <c r="AE757" s="31" t="n">
        <v>0</v>
      </c>
      <c r="AF757" s="32" t="n">
        <v>0</v>
      </c>
      <c r="AG757" s="31" t="n">
        <v>0</v>
      </c>
      <c r="AH757" s="32" t="n">
        <v>56</v>
      </c>
      <c r="AI757" s="31" t="n">
        <v>58</v>
      </c>
      <c r="AJ757" s="31" t="n">
        <v>42</v>
      </c>
      <c r="AK757" s="31" t="n">
        <v>0</v>
      </c>
      <c r="AL757" s="30" t="inlineStr">
        <is>
          <t>T-0907</t>
        </is>
      </c>
      <c r="AM757" s="30" t="inlineStr">
        <is>
          <t>I-04-02</t>
        </is>
      </c>
      <c r="AN757" s="30" t="inlineStr">
        <is>
          <t>T-0854</t>
        </is>
      </c>
      <c r="AO757" s="30" t="inlineStr">
        <is>
          <t>I-05-02</t>
        </is>
      </c>
    </row>
    <row r="758">
      <c r="A758" s="30" t="inlineStr">
        <is>
          <t>O0757</t>
        </is>
      </c>
      <c r="B758" s="30" t="inlineStr">
        <is>
          <t>J</t>
        </is>
      </c>
      <c r="C758" s="31" t="n">
        <v>9705.5</v>
      </c>
      <c r="D758" s="31" t="n">
        <v>27679.6</v>
      </c>
      <c r="E758" s="31" t="n">
        <v>27703.1</v>
      </c>
      <c r="F758" s="31" t="n">
        <v>27716.9</v>
      </c>
      <c r="G758" s="31" t="n">
        <v>27746.4</v>
      </c>
      <c r="H758" s="31" t="n">
        <v>27746.5</v>
      </c>
      <c r="I758" s="31" t="n">
        <v>27758.5</v>
      </c>
      <c r="J758" s="31" t="n">
        <v>27789.5</v>
      </c>
      <c r="K758" s="31" t="n">
        <v>18084</v>
      </c>
      <c r="L758" s="31" t="n">
        <v>17974.1</v>
      </c>
      <c r="M758" s="30" t="inlineStr">
        <is>
          <t>AMR1</t>
        </is>
      </c>
      <c r="N758" s="30" t="inlineStr">
        <is>
          <t>AMR1</t>
        </is>
      </c>
      <c r="O758" s="32" t="n">
        <v>1</v>
      </c>
      <c r="P758" s="32" t="n">
        <v>25</v>
      </c>
      <c r="Q758" s="32" t="n">
        <v>1</v>
      </c>
      <c r="R758" s="31" t="n">
        <v>63.4</v>
      </c>
      <c r="S758" s="31" t="n">
        <v>63.4</v>
      </c>
      <c r="T758" s="30" t="inlineStr">
        <is>
          <t>AMR1</t>
        </is>
      </c>
      <c r="U758" s="31" t="n">
        <v>43.6</v>
      </c>
      <c r="V758" s="31" t="n">
        <v>43.6</v>
      </c>
      <c r="W758" s="30" t="inlineStr">
        <is>
          <t>AMR1</t>
        </is>
      </c>
      <c r="X758" s="32" t="n">
        <v>0</v>
      </c>
      <c r="Y758" s="32" t="n">
        <v>0</v>
      </c>
      <c r="Z758" s="31" t="n">
        <v>0</v>
      </c>
      <c r="AA758" s="32" t="n">
        <v>0</v>
      </c>
      <c r="AB758" s="32" t="n">
        <v>0</v>
      </c>
      <c r="AC758" s="32" t="n">
        <v>0</v>
      </c>
      <c r="AD758" s="32" t="n">
        <v>0</v>
      </c>
      <c r="AE758" s="31" t="n">
        <v>0</v>
      </c>
      <c r="AF758" s="32" t="n">
        <v>0</v>
      </c>
      <c r="AG758" s="31" t="n">
        <v>0</v>
      </c>
      <c r="AH758" s="32" t="n">
        <v>68</v>
      </c>
      <c r="AI758" s="31" t="n">
        <v>67.5</v>
      </c>
      <c r="AJ758" s="31" t="n">
        <v>42.3</v>
      </c>
      <c r="AK758" s="31" t="n">
        <v>0</v>
      </c>
      <c r="AL758" s="30" t="inlineStr">
        <is>
          <t>T-0905</t>
        </is>
      </c>
      <c r="AM758" s="30" t="inlineStr">
        <is>
          <t>J-04-01</t>
        </is>
      </c>
      <c r="AN758" s="30" t="inlineStr">
        <is>
          <t>T-0732</t>
        </is>
      </c>
      <c r="AO758" s="30" t="inlineStr">
        <is>
          <t>J-03-01</t>
        </is>
      </c>
    </row>
    <row r="759">
      <c r="A759" s="30" t="inlineStr">
        <is>
          <t>O0758</t>
        </is>
      </c>
      <c r="B759" s="30" t="inlineStr">
        <is>
          <t>F</t>
        </is>
      </c>
      <c r="C759" s="31" t="n">
        <v>9711.799999999999</v>
      </c>
      <c r="D759" s="31" t="n">
        <v>27710</v>
      </c>
      <c r="E759" s="31" t="n">
        <v>27733.5</v>
      </c>
      <c r="F759" s="31" t="n">
        <v>27745.8</v>
      </c>
      <c r="G759" s="31" t="n">
        <v>27776.4</v>
      </c>
      <c r="H759" s="31" t="n">
        <v>27776.5</v>
      </c>
      <c r="I759" s="31" t="n">
        <v>27789.7</v>
      </c>
      <c r="J759" s="31" t="n">
        <v>27821.9</v>
      </c>
      <c r="K759" s="31" t="n">
        <v>18110.1</v>
      </c>
      <c r="L759" s="31" t="n">
        <v>17998.2</v>
      </c>
      <c r="M759" s="30" t="inlineStr">
        <is>
          <t>AMR2</t>
        </is>
      </c>
      <c r="N759" s="30" t="inlineStr">
        <is>
          <t>AMR2</t>
        </is>
      </c>
      <c r="O759" s="32" t="n">
        <v>1</v>
      </c>
      <c r="P759" s="32" t="n">
        <v>25</v>
      </c>
      <c r="Q759" s="32" t="n">
        <v>1</v>
      </c>
      <c r="R759" s="31" t="n">
        <v>63</v>
      </c>
      <c r="S759" s="31" t="n">
        <v>61.2</v>
      </c>
      <c r="T759" s="30" t="inlineStr">
        <is>
          <t>AMR3</t>
        </is>
      </c>
      <c r="U759" s="31" t="n">
        <v>46.1</v>
      </c>
      <c r="V759" s="31" t="n">
        <v>46.1</v>
      </c>
      <c r="W759" s="30" t="inlineStr">
        <is>
          <t>AMR2</t>
        </is>
      </c>
      <c r="X759" s="32" t="n">
        <v>1</v>
      </c>
      <c r="Y759" s="32" t="n">
        <v>9</v>
      </c>
      <c r="Z759" s="31" t="n">
        <v>1.8</v>
      </c>
      <c r="AA759" s="32" t="n">
        <v>0</v>
      </c>
      <c r="AB759" s="32" t="n">
        <v>0</v>
      </c>
      <c r="AC759" s="32" t="n">
        <v>0</v>
      </c>
      <c r="AD759" s="32" t="n">
        <v>0</v>
      </c>
      <c r="AE759" s="31" t="n">
        <v>0</v>
      </c>
      <c r="AF759" s="32" t="n">
        <v>0</v>
      </c>
      <c r="AG759" s="31" t="n">
        <v>0</v>
      </c>
      <c r="AH759" s="32" t="n">
        <v>72</v>
      </c>
      <c r="AI759" s="31" t="n">
        <v>70.59999999999999</v>
      </c>
      <c r="AJ759" s="31" t="n">
        <v>41.2</v>
      </c>
      <c r="AK759" s="31" t="n">
        <v>0</v>
      </c>
      <c r="AL759" s="30" t="inlineStr">
        <is>
          <t>T-0906</t>
        </is>
      </c>
      <c r="AM759" s="30" t="inlineStr">
        <is>
          <t>F-01-01</t>
        </is>
      </c>
      <c r="AN759" s="30" t="inlineStr">
        <is>
          <t>T-0719</t>
        </is>
      </c>
      <c r="AO759" s="30" t="inlineStr">
        <is>
          <t>F-05-01</t>
        </is>
      </c>
    </row>
    <row r="760">
      <c r="A760" s="30" t="inlineStr">
        <is>
          <t>O0759</t>
        </is>
      </c>
      <c r="B760" s="30" t="inlineStr">
        <is>
          <t>B</t>
        </is>
      </c>
      <c r="C760" s="31" t="n">
        <v>9716.799999999999</v>
      </c>
      <c r="D760" s="31" t="n">
        <v>27789.6</v>
      </c>
      <c r="E760" s="31" t="n">
        <v>27813.1</v>
      </c>
      <c r="F760" s="31" t="n">
        <v>27824.9</v>
      </c>
      <c r="G760" s="31" t="n">
        <v>27852.7</v>
      </c>
      <c r="H760" s="31" t="n">
        <v>27852.8</v>
      </c>
      <c r="I760" s="31" t="n">
        <v>27863.8</v>
      </c>
      <c r="J760" s="31" t="n">
        <v>27890.5</v>
      </c>
      <c r="K760" s="31" t="n">
        <v>18173.7</v>
      </c>
      <c r="L760" s="31" t="n">
        <v>18072.8</v>
      </c>
      <c r="M760" s="30" t="inlineStr">
        <is>
          <t>AMR1</t>
        </is>
      </c>
      <c r="N760" s="30" t="inlineStr">
        <is>
          <t>AMR1</t>
        </is>
      </c>
      <c r="O760" s="32" t="n">
        <v>1</v>
      </c>
      <c r="P760" s="32" t="n">
        <v>25</v>
      </c>
      <c r="Q760" s="32" t="n">
        <v>1</v>
      </c>
      <c r="R760" s="31" t="n">
        <v>59.6</v>
      </c>
      <c r="S760" s="31" t="n">
        <v>59.6</v>
      </c>
      <c r="T760" s="30" t="inlineStr">
        <is>
          <t>AMR1</t>
        </is>
      </c>
      <c r="U760" s="31" t="n">
        <v>37.5</v>
      </c>
      <c r="V760" s="31" t="n">
        <v>37.5</v>
      </c>
      <c r="W760" s="30" t="inlineStr">
        <is>
          <t>AMR1</t>
        </is>
      </c>
      <c r="X760" s="32" t="n">
        <v>0</v>
      </c>
      <c r="Y760" s="32" t="n">
        <v>0</v>
      </c>
      <c r="Z760" s="31" t="n">
        <v>0</v>
      </c>
      <c r="AA760" s="32" t="n">
        <v>0</v>
      </c>
      <c r="AB760" s="32" t="n">
        <v>0</v>
      </c>
      <c r="AC760" s="32" t="n">
        <v>0</v>
      </c>
      <c r="AD760" s="32" t="n">
        <v>0</v>
      </c>
      <c r="AE760" s="31" t="n">
        <v>0</v>
      </c>
      <c r="AF760" s="32" t="n">
        <v>0</v>
      </c>
      <c r="AG760" s="31" t="n">
        <v>0</v>
      </c>
      <c r="AH760" s="32" t="n">
        <v>60</v>
      </c>
      <c r="AI760" s="31" t="n">
        <v>60.5</v>
      </c>
      <c r="AJ760" s="31" t="n">
        <v>40.3</v>
      </c>
      <c r="AK760" s="31" t="n">
        <v>0</v>
      </c>
      <c r="AL760" s="30" t="inlineStr">
        <is>
          <t>T-0908</t>
        </is>
      </c>
      <c r="AM760" s="30" t="inlineStr">
        <is>
          <t>B-02-03</t>
        </is>
      </c>
      <c r="AN760" s="30" t="inlineStr">
        <is>
          <t>T-0682</t>
        </is>
      </c>
      <c r="AO760" s="30" t="inlineStr">
        <is>
          <t>B-06-01</t>
        </is>
      </c>
    </row>
    <row r="761">
      <c r="A761" s="30" t="inlineStr">
        <is>
          <t>O0760</t>
        </is>
      </c>
      <c r="B761" s="30" t="inlineStr">
        <is>
          <t>F</t>
        </is>
      </c>
      <c r="C761" s="31" t="n">
        <v>9722.4</v>
      </c>
      <c r="D761" s="31" t="n">
        <v>27858.1</v>
      </c>
      <c r="E761" s="31" t="n">
        <v>27881.6</v>
      </c>
      <c r="F761" s="31" t="n">
        <v>27895.4</v>
      </c>
      <c r="G761" s="31" t="n">
        <v>27924.4</v>
      </c>
      <c r="H761" s="31" t="n">
        <v>27924.5</v>
      </c>
      <c r="I761" s="31" t="n">
        <v>27937.9</v>
      </c>
      <c r="J761" s="31" t="n">
        <v>27968.1</v>
      </c>
      <c r="K761" s="31" t="n">
        <v>18245.7</v>
      </c>
      <c r="L761" s="31" t="n">
        <v>18135.7</v>
      </c>
      <c r="M761" s="30" t="inlineStr">
        <is>
          <t>AMR3</t>
        </is>
      </c>
      <c r="N761" s="30" t="inlineStr">
        <is>
          <t>AMR3</t>
        </is>
      </c>
      <c r="O761" s="32" t="n">
        <v>1</v>
      </c>
      <c r="P761" s="32" t="n">
        <v>25</v>
      </c>
      <c r="Q761" s="32" t="n">
        <v>1</v>
      </c>
      <c r="R761" s="31" t="n">
        <v>64.5</v>
      </c>
      <c r="S761" s="31" t="n">
        <v>64.5</v>
      </c>
      <c r="T761" s="30" t="inlineStr">
        <is>
          <t>AMR3</t>
        </is>
      </c>
      <c r="U761" s="31" t="n">
        <v>45.8</v>
      </c>
      <c r="V761" s="31" t="n">
        <v>45.8</v>
      </c>
      <c r="W761" s="30" t="inlineStr">
        <is>
          <t>AMR3</t>
        </is>
      </c>
      <c r="X761" s="32" t="n">
        <v>0</v>
      </c>
      <c r="Y761" s="32" t="n">
        <v>0</v>
      </c>
      <c r="Z761" s="31" t="n">
        <v>0</v>
      </c>
      <c r="AA761" s="32" t="n">
        <v>0</v>
      </c>
      <c r="AB761" s="32" t="n">
        <v>0</v>
      </c>
      <c r="AC761" s="32" t="n">
        <v>0</v>
      </c>
      <c r="AD761" s="32" t="n">
        <v>0</v>
      </c>
      <c r="AE761" s="31" t="n">
        <v>0</v>
      </c>
      <c r="AF761" s="32" t="n">
        <v>0</v>
      </c>
      <c r="AG761" s="31" t="n">
        <v>0</v>
      </c>
      <c r="AH761" s="32" t="n">
        <v>68</v>
      </c>
      <c r="AI761" s="31" t="n">
        <v>67.5</v>
      </c>
      <c r="AJ761" s="31" t="n">
        <v>42.4</v>
      </c>
      <c r="AK761" s="31" t="n">
        <v>0</v>
      </c>
      <c r="AL761" s="30" t="inlineStr">
        <is>
          <t>T-0910</t>
        </is>
      </c>
      <c r="AM761" s="30" t="inlineStr">
        <is>
          <t>F-05-01</t>
        </is>
      </c>
      <c r="AN761" s="30" t="inlineStr">
        <is>
          <t>T-0728</t>
        </is>
      </c>
      <c r="AO761" s="30" t="inlineStr">
        <is>
          <t>F-06-01</t>
        </is>
      </c>
    </row>
    <row r="762">
      <c r="A762" s="30" t="inlineStr">
        <is>
          <t>O0761</t>
        </is>
      </c>
      <c r="B762" s="30" t="inlineStr">
        <is>
          <t>I</t>
        </is>
      </c>
      <c r="C762" s="31" t="n">
        <v>9727.200000000001</v>
      </c>
      <c r="D762" s="31" t="n">
        <v>27890.6</v>
      </c>
      <c r="E762" s="31" t="n">
        <v>27914.1</v>
      </c>
      <c r="F762" s="31" t="n">
        <v>27925.3</v>
      </c>
      <c r="G762" s="31" t="n">
        <v>27953.5</v>
      </c>
      <c r="H762" s="31" t="n">
        <v>27953.6</v>
      </c>
      <c r="I762" s="31" t="n">
        <v>27967.7</v>
      </c>
      <c r="J762" s="31" t="n">
        <v>27995.5</v>
      </c>
      <c r="K762" s="31" t="n">
        <v>18268.3</v>
      </c>
      <c r="L762" s="31" t="n">
        <v>18163.4</v>
      </c>
      <c r="M762" s="30" t="inlineStr">
        <is>
          <t>AMR1</t>
        </is>
      </c>
      <c r="N762" s="30" t="inlineStr">
        <is>
          <t>AMR1</t>
        </is>
      </c>
      <c r="O762" s="32" t="n">
        <v>1</v>
      </c>
      <c r="P762" s="32" t="n">
        <v>25</v>
      </c>
      <c r="Q762" s="32" t="n">
        <v>1</v>
      </c>
      <c r="R762" s="31" t="n">
        <v>59.5</v>
      </c>
      <c r="S762" s="31" t="n">
        <v>59.5</v>
      </c>
      <c r="T762" s="30" t="inlineStr">
        <is>
          <t>AMR1</t>
        </is>
      </c>
      <c r="U762" s="31" t="n">
        <v>39</v>
      </c>
      <c r="V762" s="31" t="n">
        <v>39</v>
      </c>
      <c r="W762" s="30" t="inlineStr">
        <is>
          <t>AMR1</t>
        </is>
      </c>
      <c r="X762" s="32" t="n">
        <v>0</v>
      </c>
      <c r="Y762" s="32" t="n">
        <v>0</v>
      </c>
      <c r="Z762" s="31" t="n">
        <v>0</v>
      </c>
      <c r="AA762" s="32" t="n">
        <v>0</v>
      </c>
      <c r="AB762" s="32" t="n">
        <v>0</v>
      </c>
      <c r="AC762" s="32" t="n">
        <v>0</v>
      </c>
      <c r="AD762" s="32" t="n">
        <v>0</v>
      </c>
      <c r="AE762" s="31" t="n">
        <v>0</v>
      </c>
      <c r="AF762" s="32" t="n">
        <v>0</v>
      </c>
      <c r="AG762" s="31" t="n">
        <v>0</v>
      </c>
      <c r="AH762" s="32" t="n">
        <v>58</v>
      </c>
      <c r="AI762" s="31" t="n">
        <v>60.4</v>
      </c>
      <c r="AJ762" s="31" t="n">
        <v>44.4</v>
      </c>
      <c r="AK762" s="31" t="n">
        <v>0</v>
      </c>
      <c r="AL762" s="30" t="inlineStr">
        <is>
          <t>T-0911</t>
        </is>
      </c>
      <c r="AM762" s="30" t="inlineStr">
        <is>
          <t>I-05-02</t>
        </is>
      </c>
      <c r="AN762" s="30" t="inlineStr">
        <is>
          <t>T-0857</t>
        </is>
      </c>
      <c r="AO762" s="30" t="inlineStr">
        <is>
          <t>I-06-02</t>
        </is>
      </c>
    </row>
    <row r="763">
      <c r="A763" s="30" t="inlineStr">
        <is>
          <t>O0762</t>
        </is>
      </c>
      <c r="B763" s="30" t="inlineStr">
        <is>
          <t>J</t>
        </is>
      </c>
      <c r="C763" s="31" t="n">
        <v>9732.299999999999</v>
      </c>
      <c r="D763" s="31" t="n">
        <v>27822</v>
      </c>
      <c r="E763" s="31" t="n">
        <v>27845.5</v>
      </c>
      <c r="F763" s="31" t="n">
        <v>27859.6</v>
      </c>
      <c r="G763" s="31" t="n">
        <v>27890</v>
      </c>
      <c r="H763" s="31" t="n">
        <v>28938.1</v>
      </c>
      <c r="I763" s="31" t="n">
        <v>28950.8</v>
      </c>
      <c r="J763" s="31" t="n">
        <v>28985.4</v>
      </c>
      <c r="K763" s="31" t="n">
        <v>19253.1</v>
      </c>
      <c r="L763" s="31" t="n">
        <v>18089.7</v>
      </c>
      <c r="M763" s="30" t="inlineStr">
        <is>
          <t>AMR2</t>
        </is>
      </c>
      <c r="N763" s="30" t="inlineStr">
        <is>
          <t>AMR3</t>
        </is>
      </c>
      <c r="O763" s="32" t="n">
        <v>1</v>
      </c>
      <c r="P763" s="32" t="n">
        <v>25</v>
      </c>
      <c r="Q763" s="32" t="n">
        <v>2</v>
      </c>
      <c r="R763" s="31" t="n">
        <v>65.40000000000001</v>
      </c>
      <c r="S763" s="31" t="n">
        <v>65.40000000000001</v>
      </c>
      <c r="T763" s="30" t="inlineStr">
        <is>
          <t>AMR2</t>
        </is>
      </c>
      <c r="U763" s="31" t="n">
        <v>46</v>
      </c>
      <c r="V763" s="31" t="n">
        <v>46</v>
      </c>
      <c r="W763" s="30" t="inlineStr">
        <is>
          <t>AMR3</t>
        </is>
      </c>
      <c r="X763" s="32" t="n">
        <v>0</v>
      </c>
      <c r="Y763" s="32" t="n">
        <v>0</v>
      </c>
      <c r="Z763" s="31" t="n">
        <v>0</v>
      </c>
      <c r="AA763" s="32" t="n">
        <v>0</v>
      </c>
      <c r="AB763" s="32" t="n">
        <v>0</v>
      </c>
      <c r="AC763" s="32" t="n">
        <v>0</v>
      </c>
      <c r="AD763" s="32" t="n">
        <v>1</v>
      </c>
      <c r="AE763" s="31" t="n">
        <v>2</v>
      </c>
      <c r="AF763" s="32" t="n">
        <v>0</v>
      </c>
      <c r="AG763" s="31" t="n">
        <v>0</v>
      </c>
      <c r="AH763" s="32" t="n">
        <v>68</v>
      </c>
      <c r="AI763" s="31" t="n">
        <v>67.3</v>
      </c>
      <c r="AJ763" s="31" t="n">
        <v>46</v>
      </c>
      <c r="AK763" s="31" t="n">
        <v>2</v>
      </c>
      <c r="AL763" s="30" t="inlineStr">
        <is>
          <t>T-0909</t>
        </is>
      </c>
      <c r="AM763" s="30" t="inlineStr">
        <is>
          <t>J-03-01</t>
        </is>
      </c>
      <c r="AN763" s="30" t="inlineStr">
        <is>
          <t>T-0746</t>
        </is>
      </c>
      <c r="AO763" s="30" t="inlineStr">
        <is>
          <t>J-01-02</t>
        </is>
      </c>
    </row>
    <row r="764">
      <c r="A764" s="30" t="inlineStr">
        <is>
          <t>O0763</t>
        </is>
      </c>
      <c r="B764" s="30" t="inlineStr">
        <is>
          <t>E</t>
        </is>
      </c>
      <c r="C764" s="31" t="n">
        <v>9737.4</v>
      </c>
      <c r="D764" s="31" t="n">
        <v>27936.9</v>
      </c>
      <c r="E764" s="31" t="n">
        <v>27960.4</v>
      </c>
      <c r="F764" s="31" t="n">
        <v>27975.7</v>
      </c>
      <c r="G764" s="31" t="n">
        <v>28003.8</v>
      </c>
      <c r="H764" s="31" t="n">
        <v>28003.9</v>
      </c>
      <c r="I764" s="31" t="n">
        <v>28016.7</v>
      </c>
      <c r="J764" s="31" t="n">
        <v>28051.5</v>
      </c>
      <c r="K764" s="31" t="n">
        <v>18314.1</v>
      </c>
      <c r="L764" s="31" t="n">
        <v>18199.5</v>
      </c>
      <c r="M764" s="30" t="inlineStr">
        <is>
          <t>AMR2</t>
        </is>
      </c>
      <c r="N764" s="30" t="inlineStr">
        <is>
          <t>AMR2</t>
        </is>
      </c>
      <c r="O764" s="32" t="n">
        <v>1</v>
      </c>
      <c r="P764" s="32" t="n">
        <v>25</v>
      </c>
      <c r="Q764" s="32" t="n">
        <v>1</v>
      </c>
      <c r="R764" s="31" t="n">
        <v>63.4</v>
      </c>
      <c r="S764" s="31" t="n">
        <v>63.4</v>
      </c>
      <c r="T764" s="30" t="inlineStr">
        <is>
          <t>AMR2</t>
        </is>
      </c>
      <c r="U764" s="31" t="n">
        <v>48.3</v>
      </c>
      <c r="V764" s="31" t="n">
        <v>48.3</v>
      </c>
      <c r="W764" s="30" t="inlineStr">
        <is>
          <t>AMR2</t>
        </is>
      </c>
      <c r="X764" s="32" t="n">
        <v>0</v>
      </c>
      <c r="Y764" s="32" t="n">
        <v>0</v>
      </c>
      <c r="Z764" s="31" t="n">
        <v>0</v>
      </c>
      <c r="AA764" s="32" t="n">
        <v>0</v>
      </c>
      <c r="AB764" s="32" t="n">
        <v>0</v>
      </c>
      <c r="AC764" s="32" t="n">
        <v>0</v>
      </c>
      <c r="AD764" s="32" t="n">
        <v>0</v>
      </c>
      <c r="AE764" s="31" t="n">
        <v>0</v>
      </c>
      <c r="AF764" s="32" t="n">
        <v>0</v>
      </c>
      <c r="AG764" s="31" t="n">
        <v>0</v>
      </c>
      <c r="AH764" s="32" t="n">
        <v>68</v>
      </c>
      <c r="AI764" s="31" t="n">
        <v>67</v>
      </c>
      <c r="AJ764" s="31" t="n">
        <v>47.5</v>
      </c>
      <c r="AK764" s="31" t="n">
        <v>0</v>
      </c>
      <c r="AL764" s="30" t="inlineStr">
        <is>
          <t>T-0912</t>
        </is>
      </c>
      <c r="AM764" s="30" t="inlineStr">
        <is>
          <t>E-04-02</t>
        </is>
      </c>
      <c r="AN764" s="30" t="inlineStr">
        <is>
          <t>T-0705</t>
        </is>
      </c>
      <c r="AO764" s="30" t="inlineStr">
        <is>
          <t>E-01-03</t>
        </is>
      </c>
    </row>
    <row r="765">
      <c r="A765" s="30" t="inlineStr">
        <is>
          <t>O0764</t>
        </is>
      </c>
      <c r="B765" s="30" t="inlineStr">
        <is>
          <t>C</t>
        </is>
      </c>
      <c r="C765" s="31" t="n">
        <v>9744</v>
      </c>
      <c r="D765" s="31" t="n">
        <v>27995.6</v>
      </c>
      <c r="E765" s="31" t="n">
        <v>28019.1</v>
      </c>
      <c r="F765" s="31" t="n">
        <v>28035.1</v>
      </c>
      <c r="G765" s="31" t="n">
        <v>28054.5</v>
      </c>
      <c r="H765" s="31" t="n">
        <v>28054.6</v>
      </c>
      <c r="I765" s="31" t="n">
        <v>28069.7</v>
      </c>
      <c r="J765" s="31" t="n">
        <v>28094.3</v>
      </c>
      <c r="K765" s="31" t="n">
        <v>18350.3</v>
      </c>
      <c r="L765" s="31" t="n">
        <v>18251.6</v>
      </c>
      <c r="M765" s="30" t="inlineStr">
        <is>
          <t>AMR1</t>
        </is>
      </c>
      <c r="N765" s="30" t="inlineStr">
        <is>
          <t>AMR1</t>
        </is>
      </c>
      <c r="O765" s="32" t="n">
        <v>1</v>
      </c>
      <c r="P765" s="32" t="n">
        <v>25</v>
      </c>
      <c r="Q765" s="32" t="n">
        <v>2</v>
      </c>
      <c r="R765" s="31" t="n">
        <v>57.8</v>
      </c>
      <c r="S765" s="31" t="n">
        <v>57.8</v>
      </c>
      <c r="T765" s="30" t="inlineStr">
        <is>
          <t>AMR1</t>
        </is>
      </c>
      <c r="U765" s="31" t="n">
        <v>39.9</v>
      </c>
      <c r="V765" s="31" t="n">
        <v>39.9</v>
      </c>
      <c r="W765" s="30" t="inlineStr">
        <is>
          <t>AMR1</t>
        </is>
      </c>
      <c r="X765" s="32" t="n">
        <v>0</v>
      </c>
      <c r="Y765" s="32" t="n">
        <v>0</v>
      </c>
      <c r="Z765" s="31" t="n">
        <v>0</v>
      </c>
      <c r="AA765" s="32" t="n">
        <v>0</v>
      </c>
      <c r="AB765" s="32" t="n">
        <v>0</v>
      </c>
      <c r="AC765" s="32" t="n">
        <v>0</v>
      </c>
      <c r="AD765" s="32" t="n">
        <v>0</v>
      </c>
      <c r="AE765" s="31" t="n">
        <v>0</v>
      </c>
      <c r="AF765" s="32" t="n">
        <v>0</v>
      </c>
      <c r="AG765" s="31" t="n">
        <v>0</v>
      </c>
      <c r="AH765" s="32" t="n">
        <v>54</v>
      </c>
      <c r="AI765" s="31" t="n">
        <v>54.7</v>
      </c>
      <c r="AJ765" s="31" t="n">
        <v>43.9</v>
      </c>
      <c r="AK765" s="31" t="n">
        <v>0</v>
      </c>
      <c r="AL765" s="30" t="inlineStr">
        <is>
          <t>T-0914</t>
        </is>
      </c>
      <c r="AM765" s="30" t="inlineStr">
        <is>
          <t>C-06-02</t>
        </is>
      </c>
      <c r="AN765" s="30" t="inlineStr">
        <is>
          <t>T-0778</t>
        </is>
      </c>
      <c r="AO765" s="30" t="inlineStr">
        <is>
          <t>C-02-03</t>
        </is>
      </c>
    </row>
    <row r="766">
      <c r="A766" s="30" t="inlineStr">
        <is>
          <t>O0765</t>
        </is>
      </c>
      <c r="B766" s="30" t="inlineStr">
        <is>
          <t>E</t>
        </is>
      </c>
      <c r="C766" s="31" t="n">
        <v>9750.1</v>
      </c>
      <c r="D766" s="31" t="n">
        <v>28073.4</v>
      </c>
      <c r="E766" s="31" t="n">
        <v>28098.9</v>
      </c>
      <c r="F766" s="31" t="n">
        <v>28112.1</v>
      </c>
      <c r="G766" s="31" t="n">
        <v>28142.6</v>
      </c>
      <c r="H766" s="31" t="n">
        <v>28142.7</v>
      </c>
      <c r="I766" s="31" t="n">
        <v>28155.3</v>
      </c>
      <c r="J766" s="31" t="n">
        <v>28188.6</v>
      </c>
      <c r="K766" s="31" t="n">
        <v>18438.5</v>
      </c>
      <c r="L766" s="31" t="n">
        <v>18323.3</v>
      </c>
      <c r="M766" s="30" t="inlineStr">
        <is>
          <t>AMR3</t>
        </is>
      </c>
      <c r="N766" s="30" t="inlineStr">
        <is>
          <t>AMR3</t>
        </is>
      </c>
      <c r="O766" s="32" t="n">
        <v>1</v>
      </c>
      <c r="P766" s="32" t="n">
        <v>25</v>
      </c>
      <c r="Q766" s="32" t="n">
        <v>1</v>
      </c>
      <c r="R766" s="31" t="n">
        <v>63.7</v>
      </c>
      <c r="S766" s="31" t="n">
        <v>63.7</v>
      </c>
      <c r="T766" s="30" t="inlineStr">
        <is>
          <t>AMR3</t>
        </is>
      </c>
      <c r="U766" s="31" t="n">
        <v>46.6</v>
      </c>
      <c r="V766" s="31" t="n">
        <v>46.6</v>
      </c>
      <c r="W766" s="30" t="inlineStr">
        <is>
          <t>AMR3</t>
        </is>
      </c>
      <c r="X766" s="32" t="n">
        <v>0</v>
      </c>
      <c r="Y766" s="32" t="n">
        <v>0</v>
      </c>
      <c r="Z766" s="31" t="n">
        <v>0</v>
      </c>
      <c r="AA766" s="32" t="n">
        <v>0</v>
      </c>
      <c r="AB766" s="32" t="n">
        <v>0</v>
      </c>
      <c r="AC766" s="32" t="n">
        <v>0</v>
      </c>
      <c r="AD766" s="32" t="n">
        <v>0</v>
      </c>
      <c r="AE766" s="31" t="n">
        <v>0</v>
      </c>
      <c r="AF766" s="32" t="n">
        <v>0</v>
      </c>
      <c r="AG766" s="31" t="n">
        <v>0</v>
      </c>
      <c r="AH766" s="32" t="n">
        <v>68</v>
      </c>
      <c r="AI766" s="31" t="n">
        <v>67</v>
      </c>
      <c r="AJ766" s="31" t="n">
        <v>46.1</v>
      </c>
      <c r="AK766" s="31" t="n">
        <v>2</v>
      </c>
      <c r="AL766" s="30" t="inlineStr">
        <is>
          <t>T-0916</t>
        </is>
      </c>
      <c r="AM766" s="30" t="inlineStr">
        <is>
          <t>E-05-02</t>
        </is>
      </c>
      <c r="AN766" s="30" t="inlineStr">
        <is>
          <t>T-0715</t>
        </is>
      </c>
      <c r="AO766" s="30" t="inlineStr">
        <is>
          <t>E-02-03</t>
        </is>
      </c>
    </row>
    <row r="767">
      <c r="A767" s="30" t="inlineStr">
        <is>
          <t>O0766</t>
        </is>
      </c>
      <c r="B767" s="30" t="inlineStr">
        <is>
          <t>I</t>
        </is>
      </c>
      <c r="C767" s="31" t="n">
        <v>9755.700000000001</v>
      </c>
      <c r="D767" s="31" t="n">
        <v>27968.2</v>
      </c>
      <c r="E767" s="31" t="n">
        <v>27991.7</v>
      </c>
      <c r="F767" s="31" t="n">
        <v>28003.7</v>
      </c>
      <c r="G767" s="31" t="n">
        <v>28032.5</v>
      </c>
      <c r="H767" s="31" t="n">
        <v>28032.6</v>
      </c>
      <c r="I767" s="31" t="n">
        <v>28048.5</v>
      </c>
      <c r="J767" s="31" t="n">
        <v>28073.3</v>
      </c>
      <c r="K767" s="31" t="n">
        <v>18317.6</v>
      </c>
      <c r="L767" s="31" t="n">
        <v>18212.5</v>
      </c>
      <c r="M767" s="30" t="inlineStr">
        <is>
          <t>AMR3</t>
        </is>
      </c>
      <c r="N767" s="30" t="inlineStr">
        <is>
          <t>AMR3</t>
        </is>
      </c>
      <c r="O767" s="32" t="n">
        <v>1</v>
      </c>
      <c r="P767" s="32" t="n">
        <v>25</v>
      </c>
      <c r="Q767" s="32" t="n">
        <v>2</v>
      </c>
      <c r="R767" s="31" t="n">
        <v>60.1</v>
      </c>
      <c r="S767" s="31" t="n">
        <v>60.1</v>
      </c>
      <c r="T767" s="30" t="inlineStr">
        <is>
          <t>AMR3</t>
        </is>
      </c>
      <c r="U767" s="31" t="n">
        <v>40.4</v>
      </c>
      <c r="V767" s="31" t="n">
        <v>40.4</v>
      </c>
      <c r="W767" s="30" t="inlineStr">
        <is>
          <t>AMR3</t>
        </is>
      </c>
      <c r="X767" s="32" t="n">
        <v>0</v>
      </c>
      <c r="Y767" s="32" t="n">
        <v>0</v>
      </c>
      <c r="Z767" s="31" t="n">
        <v>0</v>
      </c>
      <c r="AA767" s="32" t="n">
        <v>0</v>
      </c>
      <c r="AB767" s="32" t="n">
        <v>0</v>
      </c>
      <c r="AC767" s="32" t="n">
        <v>0</v>
      </c>
      <c r="AD767" s="32" t="n">
        <v>0</v>
      </c>
      <c r="AE767" s="31" t="n">
        <v>0</v>
      </c>
      <c r="AF767" s="32" t="n">
        <v>0</v>
      </c>
      <c r="AG767" s="31" t="n">
        <v>0</v>
      </c>
      <c r="AH767" s="32" t="n">
        <v>58</v>
      </c>
      <c r="AI767" s="31" t="n">
        <v>59.3</v>
      </c>
      <c r="AJ767" s="31" t="n">
        <v>45.7</v>
      </c>
      <c r="AK767" s="31" t="n">
        <v>0</v>
      </c>
      <c r="AL767" s="30" t="inlineStr">
        <is>
          <t>T-0913</t>
        </is>
      </c>
      <c r="AM767" s="30" t="inlineStr">
        <is>
          <t>I-06-02</t>
        </is>
      </c>
      <c r="AN767" s="30" t="inlineStr">
        <is>
          <t>T-0864</t>
        </is>
      </c>
      <c r="AO767" s="30" t="inlineStr">
        <is>
          <t>I-02-03</t>
        </is>
      </c>
    </row>
    <row r="768">
      <c r="A768" s="30" t="inlineStr">
        <is>
          <t>O0767</t>
        </is>
      </c>
      <c r="B768" s="30" t="inlineStr">
        <is>
          <t>C</t>
        </is>
      </c>
      <c r="C768" s="31" t="n">
        <v>9762.5</v>
      </c>
      <c r="D768" s="31" t="n">
        <v>28309.6</v>
      </c>
      <c r="E768" s="31" t="n">
        <v>28340.1</v>
      </c>
      <c r="F768" s="31" t="n">
        <v>28363.1</v>
      </c>
      <c r="G768" s="31" t="n">
        <v>28384</v>
      </c>
      <c r="H768" s="31" t="n">
        <v>28457.9</v>
      </c>
      <c r="I768" s="31" t="n">
        <v>28475.6</v>
      </c>
      <c r="J768" s="31" t="n">
        <v>28502.8</v>
      </c>
      <c r="K768" s="31" t="n">
        <v>18740.3</v>
      </c>
      <c r="L768" s="31" t="n">
        <v>18547.1</v>
      </c>
      <c r="M768" s="30" t="inlineStr">
        <is>
          <t>AMR1</t>
        </is>
      </c>
      <c r="N768" s="30" t="inlineStr">
        <is>
          <t>AMR3</t>
        </is>
      </c>
      <c r="O768" s="32" t="n">
        <v>1</v>
      </c>
      <c r="P768" s="32" t="n">
        <v>25</v>
      </c>
      <c r="Q768" s="32" t="n">
        <v>4</v>
      </c>
      <c r="R768" s="31" t="n">
        <v>65.5</v>
      </c>
      <c r="S768" s="31" t="n">
        <v>65.5</v>
      </c>
      <c r="T768" s="30" t="inlineStr">
        <is>
          <t>AMR1</t>
        </is>
      </c>
      <c r="U768" s="31" t="n">
        <v>43.7</v>
      </c>
      <c r="V768" s="31" t="n">
        <v>43.7</v>
      </c>
      <c r="W768" s="30" t="inlineStr">
        <is>
          <t>AMR3</t>
        </is>
      </c>
      <c r="X768" s="32" t="n">
        <v>0</v>
      </c>
      <c r="Y768" s="32" t="n">
        <v>0</v>
      </c>
      <c r="Z768" s="31" t="n">
        <v>0</v>
      </c>
      <c r="AA768" s="32" t="n">
        <v>0</v>
      </c>
      <c r="AB768" s="32" t="n">
        <v>0</v>
      </c>
      <c r="AC768" s="32" t="n">
        <v>0</v>
      </c>
      <c r="AD768" s="32" t="n">
        <v>0</v>
      </c>
      <c r="AE768" s="31" t="n">
        <v>0</v>
      </c>
      <c r="AF768" s="32" t="n">
        <v>1</v>
      </c>
      <c r="AG768" s="31" t="n">
        <v>2</v>
      </c>
      <c r="AH768" s="32" t="n">
        <v>57</v>
      </c>
      <c r="AI768" s="31" t="n">
        <v>59.3</v>
      </c>
      <c r="AJ768" s="31" t="n">
        <v>53</v>
      </c>
      <c r="AK768" s="31" t="n">
        <v>7</v>
      </c>
      <c r="AL768" s="30" t="inlineStr">
        <is>
          <t>T-0923</t>
        </is>
      </c>
      <c r="AM768" s="30" t="inlineStr">
        <is>
          <t>C-01-03</t>
        </is>
      </c>
      <c r="AN768" s="30" t="inlineStr">
        <is>
          <t>T-0785</t>
        </is>
      </c>
      <c r="AO768" s="30" t="inlineStr">
        <is>
          <t>C-01-01</t>
        </is>
      </c>
    </row>
    <row r="769">
      <c r="A769" s="30" t="inlineStr">
        <is>
          <t>O0768</t>
        </is>
      </c>
      <c r="B769" s="30" t="inlineStr">
        <is>
          <t>D</t>
        </is>
      </c>
      <c r="C769" s="31" t="n">
        <v>9766.6</v>
      </c>
      <c r="D769" s="31" t="n">
        <v>28051.6</v>
      </c>
      <c r="E769" s="31" t="n">
        <v>28075.1</v>
      </c>
      <c r="F769" s="31" t="n">
        <v>28091.1</v>
      </c>
      <c r="G769" s="31" t="n">
        <v>28117.4</v>
      </c>
      <c r="H769" s="31" t="n">
        <v>28117.5</v>
      </c>
      <c r="I769" s="31" t="n">
        <v>28132.6</v>
      </c>
      <c r="J769" s="31" t="n">
        <v>28158.5</v>
      </c>
      <c r="K769" s="31" t="n">
        <v>18391.9</v>
      </c>
      <c r="L769" s="31" t="n">
        <v>18285</v>
      </c>
      <c r="M769" s="30" t="inlineStr">
        <is>
          <t>AMR2</t>
        </is>
      </c>
      <c r="N769" s="30" t="inlineStr">
        <is>
          <t>AMR2</t>
        </is>
      </c>
      <c r="O769" s="32" t="n">
        <v>1</v>
      </c>
      <c r="P769" s="32" t="n">
        <v>25</v>
      </c>
      <c r="Q769" s="32" t="n">
        <v>1</v>
      </c>
      <c r="R769" s="31" t="n">
        <v>62.3</v>
      </c>
      <c r="S769" s="31" t="n">
        <v>53.7</v>
      </c>
      <c r="T769" s="30" t="inlineStr">
        <is>
          <t>AMR1</t>
        </is>
      </c>
      <c r="U769" s="31" t="n">
        <v>40.6</v>
      </c>
      <c r="V769" s="31" t="n">
        <v>40.6</v>
      </c>
      <c r="W769" s="30" t="inlineStr">
        <is>
          <t>AMR2</t>
        </is>
      </c>
      <c r="X769" s="32" t="n">
        <v>1</v>
      </c>
      <c r="Y769" s="32" t="n">
        <v>14</v>
      </c>
      <c r="Z769" s="31" t="n">
        <v>8.6</v>
      </c>
      <c r="AA769" s="32" t="n">
        <v>0</v>
      </c>
      <c r="AB769" s="32" t="n">
        <v>0</v>
      </c>
      <c r="AC769" s="32" t="n">
        <v>0</v>
      </c>
      <c r="AD769" s="32" t="n">
        <v>0</v>
      </c>
      <c r="AE769" s="31" t="n">
        <v>0</v>
      </c>
      <c r="AF769" s="32" t="n">
        <v>0</v>
      </c>
      <c r="AG769" s="31" t="n">
        <v>0</v>
      </c>
      <c r="AH769" s="32" t="n">
        <v>56</v>
      </c>
      <c r="AI769" s="31" t="n">
        <v>57.5</v>
      </c>
      <c r="AJ769" s="31" t="n">
        <v>49.3</v>
      </c>
      <c r="AK769" s="31" t="n">
        <v>0</v>
      </c>
      <c r="AL769" s="30" t="inlineStr">
        <is>
          <t>T-0915</t>
        </is>
      </c>
      <c r="AM769" s="30" t="inlineStr">
        <is>
          <t>D-04-03</t>
        </is>
      </c>
      <c r="AN769" s="30" t="inlineStr">
        <is>
          <t>T-0819</t>
        </is>
      </c>
      <c r="AO769" s="30" t="inlineStr">
        <is>
          <t>D-03-01</t>
        </is>
      </c>
    </row>
    <row r="770">
      <c r="A770" s="30" t="inlineStr">
        <is>
          <t>O0769</t>
        </is>
      </c>
      <c r="B770" s="30" t="inlineStr">
        <is>
          <t>D</t>
        </is>
      </c>
      <c r="C770" s="31" t="n">
        <v>9771.1</v>
      </c>
      <c r="D770" s="31" t="n">
        <v>28259.3</v>
      </c>
      <c r="E770" s="31" t="n">
        <v>28282.8</v>
      </c>
      <c r="F770" s="31" t="n">
        <v>28294.6</v>
      </c>
      <c r="G770" s="31" t="n">
        <v>28321.4</v>
      </c>
      <c r="H770" s="31" t="n">
        <v>28321.5</v>
      </c>
      <c r="I770" s="31" t="n">
        <v>28336.3</v>
      </c>
      <c r="J770" s="31" t="n">
        <v>28364.8</v>
      </c>
      <c r="K770" s="31" t="n">
        <v>18593.7</v>
      </c>
      <c r="L770" s="31" t="n">
        <v>18488.2</v>
      </c>
      <c r="M770" s="30" t="inlineStr">
        <is>
          <t>AMR2</t>
        </is>
      </c>
      <c r="N770" s="30" t="inlineStr">
        <is>
          <t>AMR2</t>
        </is>
      </c>
      <c r="O770" s="32" t="n">
        <v>1</v>
      </c>
      <c r="P770" s="32" t="n">
        <v>25</v>
      </c>
      <c r="Q770" s="32" t="n">
        <v>1</v>
      </c>
      <c r="R770" s="31" t="n">
        <v>55.4</v>
      </c>
      <c r="S770" s="31" t="n">
        <v>55.4</v>
      </c>
      <c r="T770" s="30" t="inlineStr">
        <is>
          <t>AMR2</t>
        </is>
      </c>
      <c r="U770" s="31" t="n">
        <v>40.4</v>
      </c>
      <c r="V770" s="31" t="n">
        <v>40.4</v>
      </c>
      <c r="W770" s="30" t="inlineStr">
        <is>
          <t>AMR2</t>
        </is>
      </c>
      <c r="X770" s="32" t="n">
        <v>0</v>
      </c>
      <c r="Y770" s="32" t="n">
        <v>0</v>
      </c>
      <c r="Z770" s="31" t="n">
        <v>0</v>
      </c>
      <c r="AA770" s="32" t="n">
        <v>0</v>
      </c>
      <c r="AB770" s="32" t="n">
        <v>0</v>
      </c>
      <c r="AC770" s="32" t="n">
        <v>0</v>
      </c>
      <c r="AD770" s="32" t="n">
        <v>0</v>
      </c>
      <c r="AE770" s="31" t="n">
        <v>0</v>
      </c>
      <c r="AF770" s="32" t="n">
        <v>0</v>
      </c>
      <c r="AG770" s="31" t="n">
        <v>0</v>
      </c>
      <c r="AH770" s="32" t="n">
        <v>62</v>
      </c>
      <c r="AI770" s="31" t="n">
        <v>63.2</v>
      </c>
      <c r="AJ770" s="31" t="n">
        <v>42.2</v>
      </c>
      <c r="AK770" s="31" t="n">
        <v>0</v>
      </c>
      <c r="AL770" s="30" t="inlineStr">
        <is>
          <t>T-0921</t>
        </is>
      </c>
      <c r="AM770" s="30" t="inlineStr">
        <is>
          <t>D-04-01</t>
        </is>
      </c>
      <c r="AN770" s="30" t="inlineStr">
        <is>
          <t>T-0825</t>
        </is>
      </c>
      <c r="AO770" s="30" t="inlineStr">
        <is>
          <t>D-06-01</t>
        </is>
      </c>
    </row>
    <row r="771">
      <c r="A771" s="30" t="inlineStr">
        <is>
          <t>O0770</t>
        </is>
      </c>
      <c r="B771" s="30" t="inlineStr">
        <is>
          <t>H</t>
        </is>
      </c>
      <c r="C771" s="31" t="n">
        <v>9778.1</v>
      </c>
      <c r="D771" s="31" t="n">
        <v>28094.4</v>
      </c>
      <c r="E771" s="31" t="n">
        <v>28122.9</v>
      </c>
      <c r="F771" s="31" t="n">
        <v>28138.3</v>
      </c>
      <c r="G771" s="31" t="n">
        <v>28162.7</v>
      </c>
      <c r="H771" s="31" t="n">
        <v>28162.8</v>
      </c>
      <c r="I771" s="31" t="n">
        <v>28177.2</v>
      </c>
      <c r="J771" s="31" t="n">
        <v>28202.6</v>
      </c>
      <c r="K771" s="31" t="n">
        <v>18424.5</v>
      </c>
      <c r="L771" s="31" t="n">
        <v>18316.3</v>
      </c>
      <c r="M771" s="30" t="inlineStr">
        <is>
          <t>AMR1</t>
        </is>
      </c>
      <c r="N771" s="30" t="inlineStr">
        <is>
          <t>AMR1</t>
        </is>
      </c>
      <c r="O771" s="32" t="n">
        <v>1</v>
      </c>
      <c r="P771" s="32" t="n">
        <v>25</v>
      </c>
      <c r="Q771" s="32" t="n">
        <v>0</v>
      </c>
      <c r="R771" s="31" t="n">
        <v>60.7</v>
      </c>
      <c r="S771" s="31" t="n">
        <v>60.7</v>
      </c>
      <c r="T771" s="30" t="inlineStr">
        <is>
          <t>AMR1</t>
        </is>
      </c>
      <c r="U771" s="31" t="n">
        <v>39</v>
      </c>
      <c r="V771" s="31" t="n">
        <v>39</v>
      </c>
      <c r="W771" s="30" t="inlineStr">
        <is>
          <t>AMR1</t>
        </is>
      </c>
      <c r="X771" s="32" t="n">
        <v>0</v>
      </c>
      <c r="Y771" s="32" t="n">
        <v>0</v>
      </c>
      <c r="Z771" s="31" t="n">
        <v>0</v>
      </c>
      <c r="AA771" s="32" t="n">
        <v>0</v>
      </c>
      <c r="AB771" s="32" t="n">
        <v>0</v>
      </c>
      <c r="AC771" s="32" t="n">
        <v>0</v>
      </c>
      <c r="AD771" s="32" t="n">
        <v>0</v>
      </c>
      <c r="AE771" s="31" t="n">
        <v>0</v>
      </c>
      <c r="AF771" s="32" t="n">
        <v>0</v>
      </c>
      <c r="AG771" s="31" t="n">
        <v>0</v>
      </c>
      <c r="AH771" s="32" t="n">
        <v>54</v>
      </c>
      <c r="AI771" s="31" t="n">
        <v>56.3</v>
      </c>
      <c r="AJ771" s="31" t="n">
        <v>46.8</v>
      </c>
      <c r="AK771" s="31" t="n">
        <v>5</v>
      </c>
      <c r="AL771" s="30" t="inlineStr">
        <is>
          <t>T-0917</t>
        </is>
      </c>
      <c r="AM771" s="30" t="inlineStr">
        <is>
          <t>H-03-02</t>
        </is>
      </c>
      <c r="AN771" s="30" t="inlineStr">
        <is>
          <t>T-0815</t>
        </is>
      </c>
      <c r="AO771" s="30" t="inlineStr">
        <is>
          <t>H-05-03</t>
        </is>
      </c>
    </row>
    <row r="772">
      <c r="A772" s="30" t="inlineStr">
        <is>
          <t>O0771</t>
        </is>
      </c>
      <c r="B772" s="30" t="inlineStr">
        <is>
          <t>D</t>
        </is>
      </c>
      <c r="C772" s="31" t="n">
        <v>9784.799999999999</v>
      </c>
      <c r="D772" s="31" t="n">
        <v>28158.6</v>
      </c>
      <c r="E772" s="31" t="n">
        <v>28182.1</v>
      </c>
      <c r="F772" s="31" t="n">
        <v>28195.6</v>
      </c>
      <c r="G772" s="31" t="n">
        <v>28215.8</v>
      </c>
      <c r="H772" s="31" t="n">
        <v>28783.7</v>
      </c>
      <c r="I772" s="31" t="n">
        <v>28797</v>
      </c>
      <c r="J772" s="31" t="n">
        <v>28826.3</v>
      </c>
      <c r="K772" s="31" t="n">
        <v>19041.5</v>
      </c>
      <c r="L772" s="31" t="n">
        <v>18373.8</v>
      </c>
      <c r="M772" s="30" t="inlineStr">
        <is>
          <t>AMR2</t>
        </is>
      </c>
      <c r="N772" s="30" t="inlineStr">
        <is>
          <t>AMR2</t>
        </is>
      </c>
      <c r="O772" s="32" t="n">
        <v>1</v>
      </c>
      <c r="P772" s="32" t="n">
        <v>25</v>
      </c>
      <c r="Q772" s="32" t="n">
        <v>1</v>
      </c>
      <c r="R772" s="31" t="n">
        <v>54.5</v>
      </c>
      <c r="S772" s="31" t="n">
        <v>50.5</v>
      </c>
      <c r="T772" s="30" t="inlineStr">
        <is>
          <t>AMR1</t>
        </is>
      </c>
      <c r="U772" s="31" t="n">
        <v>44.3</v>
      </c>
      <c r="V772" s="31" t="n">
        <v>44.3</v>
      </c>
      <c r="W772" s="30" t="inlineStr">
        <is>
          <t>AMR2</t>
        </is>
      </c>
      <c r="X772" s="32" t="n">
        <v>1</v>
      </c>
      <c r="Y772" s="32" t="n">
        <v>10</v>
      </c>
      <c r="Z772" s="31" t="n">
        <v>4</v>
      </c>
      <c r="AA772" s="32" t="n">
        <v>0</v>
      </c>
      <c r="AB772" s="32" t="n">
        <v>0</v>
      </c>
      <c r="AC772" s="32" t="n">
        <v>0</v>
      </c>
      <c r="AD772" s="32" t="n">
        <v>0</v>
      </c>
      <c r="AE772" s="31" t="n">
        <v>0</v>
      </c>
      <c r="AF772" s="32" t="n">
        <v>0</v>
      </c>
      <c r="AG772" s="31" t="n">
        <v>0</v>
      </c>
      <c r="AH772" s="32" t="n">
        <v>53</v>
      </c>
      <c r="AI772" s="31" t="n">
        <v>54.6</v>
      </c>
      <c r="AJ772" s="31" t="n">
        <v>45.2</v>
      </c>
      <c r="AK772" s="31" t="n">
        <v>0</v>
      </c>
      <c r="AL772" s="30" t="inlineStr">
        <is>
          <t>T-0918</t>
        </is>
      </c>
      <c r="AM772" s="30" t="inlineStr">
        <is>
          <t>D-03-01</t>
        </is>
      </c>
      <c r="AN772" s="30" t="inlineStr">
        <is>
          <t>T-0840</t>
        </is>
      </c>
      <c r="AO772" s="30" t="inlineStr">
        <is>
          <t>D-01-02</t>
        </is>
      </c>
    </row>
    <row r="773">
      <c r="A773" s="30" t="inlineStr">
        <is>
          <t>O0772</t>
        </is>
      </c>
      <c r="B773" s="30" t="inlineStr">
        <is>
          <t>D</t>
        </is>
      </c>
      <c r="C773" s="31" t="n">
        <v>9789</v>
      </c>
      <c r="D773" s="31" t="n">
        <v>28364.9</v>
      </c>
      <c r="E773" s="31" t="n">
        <v>28388.4</v>
      </c>
      <c r="F773" s="31" t="n">
        <v>28400</v>
      </c>
      <c r="G773" s="31" t="n">
        <v>28423.4</v>
      </c>
      <c r="H773" s="31" t="n">
        <v>28423.5</v>
      </c>
      <c r="I773" s="31" t="n">
        <v>28438.3</v>
      </c>
      <c r="J773" s="31" t="n">
        <v>28464.2</v>
      </c>
      <c r="K773" s="31" t="n">
        <v>18675.2</v>
      </c>
      <c r="L773" s="31" t="n">
        <v>18575.9</v>
      </c>
      <c r="M773" s="30" t="inlineStr">
        <is>
          <t>AMR2</t>
        </is>
      </c>
      <c r="N773" s="30" t="inlineStr">
        <is>
          <t>AMR2</t>
        </is>
      </c>
      <c r="O773" s="32" t="n">
        <v>1</v>
      </c>
      <c r="P773" s="32" t="n">
        <v>25</v>
      </c>
      <c r="Q773" s="32" t="n">
        <v>2</v>
      </c>
      <c r="R773" s="31" t="n">
        <v>54.2</v>
      </c>
      <c r="S773" s="31" t="n">
        <v>54.2</v>
      </c>
      <c r="T773" s="30" t="inlineStr">
        <is>
          <t>AMR2</t>
        </is>
      </c>
      <c r="U773" s="31" t="n">
        <v>40.2</v>
      </c>
      <c r="V773" s="31" t="n">
        <v>40.2</v>
      </c>
      <c r="W773" s="30" t="inlineStr">
        <is>
          <t>AMR2</t>
        </is>
      </c>
      <c r="X773" s="32" t="n">
        <v>0</v>
      </c>
      <c r="Y773" s="32" t="n">
        <v>0</v>
      </c>
      <c r="Z773" s="31" t="n">
        <v>0</v>
      </c>
      <c r="AA773" s="32" t="n">
        <v>0</v>
      </c>
      <c r="AB773" s="32" t="n">
        <v>0</v>
      </c>
      <c r="AC773" s="32" t="n">
        <v>0</v>
      </c>
      <c r="AD773" s="32" t="n">
        <v>0</v>
      </c>
      <c r="AE773" s="31" t="n">
        <v>0</v>
      </c>
      <c r="AF773" s="32" t="n">
        <v>0</v>
      </c>
      <c r="AG773" s="31" t="n">
        <v>0</v>
      </c>
      <c r="AH773" s="32" t="n">
        <v>58</v>
      </c>
      <c r="AI773" s="31" t="n">
        <v>59.1</v>
      </c>
      <c r="AJ773" s="31" t="n">
        <v>40.1</v>
      </c>
      <c r="AK773" s="31" t="n">
        <v>0</v>
      </c>
      <c r="AL773" s="30" t="inlineStr">
        <is>
          <t>T-0924</t>
        </is>
      </c>
      <c r="AM773" s="30" t="inlineStr">
        <is>
          <t>D-06-01</t>
        </is>
      </c>
      <c r="AN773" s="30" t="inlineStr">
        <is>
          <t>T-0830</t>
        </is>
      </c>
      <c r="AO773" s="30" t="inlineStr">
        <is>
          <t>D-05-01</t>
        </is>
      </c>
    </row>
    <row r="774">
      <c r="A774" s="30" t="inlineStr">
        <is>
          <t>O0773</t>
        </is>
      </c>
      <c r="B774" s="30" t="inlineStr">
        <is>
          <t>I</t>
        </is>
      </c>
      <c r="C774" s="31" t="n">
        <v>9793.9</v>
      </c>
      <c r="D774" s="31" t="n">
        <v>28188.7</v>
      </c>
      <c r="E774" s="31" t="n">
        <v>28212.2</v>
      </c>
      <c r="F774" s="31" t="n">
        <v>28227.6</v>
      </c>
      <c r="G774" s="31" t="n">
        <v>28251.4</v>
      </c>
      <c r="H774" s="31" t="n">
        <v>28251.5</v>
      </c>
      <c r="I774" s="31" t="n">
        <v>28262.7</v>
      </c>
      <c r="J774" s="31" t="n">
        <v>28292.5</v>
      </c>
      <c r="K774" s="31" t="n">
        <v>18498.6</v>
      </c>
      <c r="L774" s="31" t="n">
        <v>18394.8</v>
      </c>
      <c r="M774" s="30" t="inlineStr">
        <is>
          <t>AMR3</t>
        </is>
      </c>
      <c r="N774" s="30" t="inlineStr">
        <is>
          <t>AMR3</t>
        </is>
      </c>
      <c r="O774" s="32" t="n">
        <v>1</v>
      </c>
      <c r="P774" s="32" t="n">
        <v>25</v>
      </c>
      <c r="Q774" s="32" t="n">
        <v>1</v>
      </c>
      <c r="R774" s="31" t="n">
        <v>60.9</v>
      </c>
      <c r="S774" s="31" t="n">
        <v>60.9</v>
      </c>
      <c r="T774" s="30" t="inlineStr">
        <is>
          <t>AMR3</t>
        </is>
      </c>
      <c r="U774" s="31" t="n">
        <v>37.7</v>
      </c>
      <c r="V774" s="31" t="n">
        <v>37.7</v>
      </c>
      <c r="W774" s="30" t="inlineStr">
        <is>
          <t>AMR3</t>
        </is>
      </c>
      <c r="X774" s="32" t="n">
        <v>0</v>
      </c>
      <c r="Y774" s="32" t="n">
        <v>0</v>
      </c>
      <c r="Z774" s="31" t="n">
        <v>0</v>
      </c>
      <c r="AA774" s="32" t="n">
        <v>0</v>
      </c>
      <c r="AB774" s="32" t="n">
        <v>0</v>
      </c>
      <c r="AC774" s="32" t="n">
        <v>0</v>
      </c>
      <c r="AD774" s="32" t="n">
        <v>0</v>
      </c>
      <c r="AE774" s="31" t="n">
        <v>0</v>
      </c>
      <c r="AF774" s="32" t="n">
        <v>0</v>
      </c>
      <c r="AG774" s="31" t="n">
        <v>0</v>
      </c>
      <c r="AH774" s="32" t="n">
        <v>56</v>
      </c>
      <c r="AI774" s="31" t="n">
        <v>59.2</v>
      </c>
      <c r="AJ774" s="31" t="n">
        <v>44.5</v>
      </c>
      <c r="AK774" s="31" t="n">
        <v>0</v>
      </c>
      <c r="AL774" s="30" t="inlineStr">
        <is>
          <t>T-0919</t>
        </is>
      </c>
      <c r="AM774" s="30" t="inlineStr">
        <is>
          <t>I-02-03</t>
        </is>
      </c>
      <c r="AN774" s="30" t="inlineStr">
        <is>
          <t>T-0868</t>
        </is>
      </c>
      <c r="AO774" s="30" t="inlineStr">
        <is>
          <t>I-04-03</t>
        </is>
      </c>
    </row>
    <row r="775">
      <c r="A775" s="30" t="inlineStr">
        <is>
          <t>O0774</t>
        </is>
      </c>
      <c r="B775" s="30" t="inlineStr">
        <is>
          <t>H</t>
        </is>
      </c>
      <c r="C775" s="31" t="n">
        <v>9799.700000000001</v>
      </c>
      <c r="D775" s="31" t="n">
        <v>28202.7</v>
      </c>
      <c r="E775" s="31" t="n">
        <v>28236.2</v>
      </c>
      <c r="F775" s="31" t="n">
        <v>28247</v>
      </c>
      <c r="G775" s="31" t="n">
        <v>28273.8</v>
      </c>
      <c r="H775" s="31" t="n">
        <v>28273.9</v>
      </c>
      <c r="I775" s="31" t="n">
        <v>28286.7</v>
      </c>
      <c r="J775" s="31" t="n">
        <v>28309.5</v>
      </c>
      <c r="K775" s="31" t="n">
        <v>18509.8</v>
      </c>
      <c r="L775" s="31" t="n">
        <v>18403</v>
      </c>
      <c r="M775" s="30" t="inlineStr">
        <is>
          <t>AMR1</t>
        </is>
      </c>
      <c r="N775" s="30" t="inlineStr">
        <is>
          <t>AMR1</t>
        </is>
      </c>
      <c r="O775" s="32" t="n">
        <v>1</v>
      </c>
      <c r="P775" s="32" t="n">
        <v>25</v>
      </c>
      <c r="Q775" s="32" t="n">
        <v>1</v>
      </c>
      <c r="R775" s="31" t="n">
        <v>59.3</v>
      </c>
      <c r="S775" s="31" t="n">
        <v>59.3</v>
      </c>
      <c r="T775" s="30" t="inlineStr">
        <is>
          <t>AMR1</t>
        </is>
      </c>
      <c r="U775" s="31" t="n">
        <v>34.8</v>
      </c>
      <c r="V775" s="31" t="n">
        <v>34.8</v>
      </c>
      <c r="W775" s="30" t="inlineStr">
        <is>
          <t>AMR1</t>
        </is>
      </c>
      <c r="X775" s="32" t="n">
        <v>0</v>
      </c>
      <c r="Y775" s="32" t="n">
        <v>0</v>
      </c>
      <c r="Z775" s="31" t="n">
        <v>0</v>
      </c>
      <c r="AA775" s="32" t="n">
        <v>0</v>
      </c>
      <c r="AB775" s="32" t="n">
        <v>0</v>
      </c>
      <c r="AC775" s="32" t="n">
        <v>0</v>
      </c>
      <c r="AD775" s="32" t="n">
        <v>0</v>
      </c>
      <c r="AE775" s="31" t="n">
        <v>0</v>
      </c>
      <c r="AF775" s="32" t="n">
        <v>1</v>
      </c>
      <c r="AG775" s="31" t="n">
        <v>5</v>
      </c>
      <c r="AH775" s="32" t="n">
        <v>54</v>
      </c>
      <c r="AI775" s="31" t="n">
        <v>56.2</v>
      </c>
      <c r="AJ775" s="31" t="n">
        <v>40.5</v>
      </c>
      <c r="AK775" s="31" t="n">
        <v>10</v>
      </c>
      <c r="AL775" s="30" t="inlineStr">
        <is>
          <t>T-0920</t>
        </is>
      </c>
      <c r="AM775" s="30" t="inlineStr">
        <is>
          <t>H-04-03</t>
        </is>
      </c>
      <c r="AN775" s="30" t="inlineStr">
        <is>
          <t>T-0824</t>
        </is>
      </c>
      <c r="AO775" s="30" t="inlineStr">
        <is>
          <t>H-01-01</t>
        </is>
      </c>
    </row>
    <row r="776">
      <c r="A776" s="30" t="inlineStr">
        <is>
          <t>O0775</t>
        </is>
      </c>
      <c r="B776" s="30" t="inlineStr">
        <is>
          <t>H</t>
        </is>
      </c>
      <c r="C776" s="31" t="n">
        <v>9806</v>
      </c>
      <c r="D776" s="31" t="n">
        <v>28292.6</v>
      </c>
      <c r="E776" s="31" t="n">
        <v>28316.1</v>
      </c>
      <c r="F776" s="31" t="n">
        <v>28329.1</v>
      </c>
      <c r="G776" s="31" t="n">
        <v>28352.9</v>
      </c>
      <c r="H776" s="31" t="n">
        <v>28353</v>
      </c>
      <c r="I776" s="31" t="n">
        <v>28365.8</v>
      </c>
      <c r="J776" s="31" t="n">
        <v>28389</v>
      </c>
      <c r="K776" s="31" t="n">
        <v>18583</v>
      </c>
      <c r="L776" s="31" t="n">
        <v>18486.6</v>
      </c>
      <c r="M776" s="30" t="inlineStr">
        <is>
          <t>AMR3</t>
        </is>
      </c>
      <c r="N776" s="30" t="inlineStr">
        <is>
          <t>AMR3</t>
        </is>
      </c>
      <c r="O776" s="32" t="n">
        <v>1</v>
      </c>
      <c r="P776" s="32" t="n">
        <v>25</v>
      </c>
      <c r="Q776" s="32" t="n">
        <v>1</v>
      </c>
      <c r="R776" s="31" t="n">
        <v>58.5</v>
      </c>
      <c r="S776" s="31" t="n">
        <v>58.5</v>
      </c>
      <c r="T776" s="30" t="inlineStr">
        <is>
          <t>AMR3</t>
        </is>
      </c>
      <c r="U776" s="31" t="n">
        <v>35.3</v>
      </c>
      <c r="V776" s="31" t="n">
        <v>35.3</v>
      </c>
      <c r="W776" s="30" t="inlineStr">
        <is>
          <t>AMR3</t>
        </is>
      </c>
      <c r="X776" s="32" t="n">
        <v>0</v>
      </c>
      <c r="Y776" s="32" t="n">
        <v>0</v>
      </c>
      <c r="Z776" s="31" t="n">
        <v>0</v>
      </c>
      <c r="AA776" s="32" t="n">
        <v>0</v>
      </c>
      <c r="AB776" s="32" t="n">
        <v>0</v>
      </c>
      <c r="AC776" s="32" t="n">
        <v>0</v>
      </c>
      <c r="AD776" s="32" t="n">
        <v>0</v>
      </c>
      <c r="AE776" s="31" t="n">
        <v>0</v>
      </c>
      <c r="AF776" s="32" t="n">
        <v>0</v>
      </c>
      <c r="AG776" s="31" t="n">
        <v>0</v>
      </c>
      <c r="AH776" s="32" t="n">
        <v>54</v>
      </c>
      <c r="AI776" s="31" t="n">
        <v>56.1</v>
      </c>
      <c r="AJ776" s="31" t="n">
        <v>40.2</v>
      </c>
      <c r="AK776" s="31" t="n">
        <v>0</v>
      </c>
      <c r="AL776" s="30" t="inlineStr">
        <is>
          <t>T-0922</t>
        </is>
      </c>
      <c r="AM776" s="30" t="inlineStr">
        <is>
          <t>H-01-01</t>
        </is>
      </c>
      <c r="AN776" s="30" t="inlineStr">
        <is>
          <t>T-0828</t>
        </is>
      </c>
      <c r="AO776" s="30" t="inlineStr">
        <is>
          <t>H-06-02</t>
        </is>
      </c>
    </row>
    <row r="777">
      <c r="A777" s="30" t="inlineStr">
        <is>
          <t>O0776</t>
        </is>
      </c>
      <c r="B777" s="30" t="inlineStr">
        <is>
          <t>J</t>
        </is>
      </c>
      <c r="C777" s="31" t="n">
        <v>9809.4</v>
      </c>
      <c r="D777" s="31" t="n">
        <v>28627.2</v>
      </c>
      <c r="E777" s="31" t="n">
        <v>28657.7</v>
      </c>
      <c r="F777" s="31" t="n">
        <v>28671.3</v>
      </c>
      <c r="G777" s="31" t="n">
        <v>28705.3</v>
      </c>
      <c r="H777" s="31" t="n">
        <v>28705.4</v>
      </c>
      <c r="I777" s="31" t="n">
        <v>28718.9</v>
      </c>
      <c r="J777" s="31" t="n">
        <v>28761.8</v>
      </c>
      <c r="K777" s="31" t="n">
        <v>18952.4</v>
      </c>
      <c r="L777" s="31" t="n">
        <v>18817.8</v>
      </c>
      <c r="M777" s="30" t="inlineStr">
        <is>
          <t>AMR3</t>
        </is>
      </c>
      <c r="N777" s="30" t="inlineStr">
        <is>
          <t>AMR3</t>
        </is>
      </c>
      <c r="O777" s="32" t="n">
        <v>1</v>
      </c>
      <c r="P777" s="32" t="n">
        <v>25</v>
      </c>
      <c r="Q777" s="32" t="n">
        <v>1</v>
      </c>
      <c r="R777" s="31" t="n">
        <v>67.7</v>
      </c>
      <c r="S777" s="31" t="n">
        <v>67.7</v>
      </c>
      <c r="T777" s="30" t="inlineStr">
        <is>
          <t>AMR3</t>
        </is>
      </c>
      <c r="U777" s="31" t="n">
        <v>44.5</v>
      </c>
      <c r="V777" s="31" t="n">
        <v>44.5</v>
      </c>
      <c r="W777" s="30" t="inlineStr">
        <is>
          <t>AMR3</t>
        </is>
      </c>
      <c r="X777" s="32" t="n">
        <v>0</v>
      </c>
      <c r="Y777" s="32" t="n">
        <v>0</v>
      </c>
      <c r="Z777" s="31" t="n">
        <v>0</v>
      </c>
      <c r="AA777" s="32" t="n">
        <v>0</v>
      </c>
      <c r="AB777" s="32" t="n">
        <v>0</v>
      </c>
      <c r="AC777" s="32" t="n">
        <v>0</v>
      </c>
      <c r="AD777" s="32" t="n">
        <v>1</v>
      </c>
      <c r="AE777" s="31" t="n">
        <v>10</v>
      </c>
      <c r="AF777" s="32" t="n">
        <v>2</v>
      </c>
      <c r="AG777" s="31" t="n">
        <v>7</v>
      </c>
      <c r="AH777" s="32" t="n">
        <v>70</v>
      </c>
      <c r="AI777" s="31" t="n">
        <v>70</v>
      </c>
      <c r="AJ777" s="31" t="n">
        <v>47.5</v>
      </c>
      <c r="AK777" s="31" t="n">
        <v>17</v>
      </c>
      <c r="AL777" s="30" t="inlineStr">
        <is>
          <t>T-0932</t>
        </is>
      </c>
      <c r="AM777" s="30" t="inlineStr">
        <is>
          <t>J-05-03</t>
        </is>
      </c>
      <c r="AN777" s="30" t="inlineStr">
        <is>
          <t>T-0744</t>
        </is>
      </c>
      <c r="AO777" s="30" t="inlineStr">
        <is>
          <t>J-06-01</t>
        </is>
      </c>
    </row>
    <row r="778">
      <c r="A778" s="30" t="inlineStr">
        <is>
          <t>O0777</t>
        </is>
      </c>
      <c r="B778" s="30" t="inlineStr">
        <is>
          <t>H</t>
        </is>
      </c>
      <c r="C778" s="31" t="n">
        <v>9814.5</v>
      </c>
      <c r="D778" s="31" t="n">
        <v>28389.1</v>
      </c>
      <c r="E778" s="31" t="n">
        <v>28416.8</v>
      </c>
      <c r="F778" s="31" t="n">
        <v>28432</v>
      </c>
      <c r="G778" s="31" t="n">
        <v>28457.8</v>
      </c>
      <c r="H778" s="31" t="n">
        <v>28561.1</v>
      </c>
      <c r="I778" s="31" t="n">
        <v>28582.4</v>
      </c>
      <c r="J778" s="31" t="n">
        <v>28610.6</v>
      </c>
      <c r="K778" s="31" t="n">
        <v>18796.1</v>
      </c>
      <c r="L778" s="31" t="n">
        <v>18574.6</v>
      </c>
      <c r="M778" s="30" t="inlineStr">
        <is>
          <t>AMR3</t>
        </is>
      </c>
      <c r="N778" s="30" t="inlineStr">
        <is>
          <t>AMR2</t>
        </is>
      </c>
      <c r="O778" s="32" t="n">
        <v>1</v>
      </c>
      <c r="P778" s="32" t="n">
        <v>25</v>
      </c>
      <c r="Q778" s="32" t="n">
        <v>14</v>
      </c>
      <c r="R778" s="31" t="n">
        <v>63.5</v>
      </c>
      <c r="S778" s="31" t="n">
        <v>63.5</v>
      </c>
      <c r="T778" s="30" t="inlineStr">
        <is>
          <t>AMR3</t>
        </is>
      </c>
      <c r="U778" s="31" t="n">
        <v>49.7</v>
      </c>
      <c r="V778" s="31" t="n">
        <v>49.7</v>
      </c>
      <c r="W778" s="30" t="inlineStr">
        <is>
          <t>AMR2</t>
        </is>
      </c>
      <c r="X778" s="32" t="n">
        <v>0</v>
      </c>
      <c r="Y778" s="32" t="n">
        <v>0</v>
      </c>
      <c r="Z778" s="31" t="n">
        <v>0</v>
      </c>
      <c r="AA778" s="32" t="n">
        <v>0</v>
      </c>
      <c r="AB778" s="32" t="n">
        <v>0</v>
      </c>
      <c r="AC778" s="32" t="n">
        <v>0</v>
      </c>
      <c r="AD778" s="32" t="n">
        <v>0</v>
      </c>
      <c r="AE778" s="31" t="n">
        <v>0</v>
      </c>
      <c r="AF778" s="32" t="n">
        <v>0</v>
      </c>
      <c r="AG778" s="31" t="n">
        <v>0</v>
      </c>
      <c r="AH778" s="32" t="n">
        <v>64</v>
      </c>
      <c r="AI778" s="31" t="n">
        <v>66.7</v>
      </c>
      <c r="AJ778" s="31" t="n">
        <v>47.3</v>
      </c>
      <c r="AK778" s="31" t="n">
        <v>4.2</v>
      </c>
      <c r="AL778" s="30" t="inlineStr">
        <is>
          <t>T-0926</t>
        </is>
      </c>
      <c r="AM778" s="30" t="inlineStr">
        <is>
          <t>H-06-02</t>
        </is>
      </c>
      <c r="AN778" s="30" t="inlineStr">
        <is>
          <t>T-0837</t>
        </is>
      </c>
      <c r="AO778" s="30" t="inlineStr">
        <is>
          <t>H-01-03</t>
        </is>
      </c>
    </row>
    <row r="779">
      <c r="A779" s="30" t="inlineStr">
        <is>
          <t>O0778</t>
        </is>
      </c>
      <c r="B779" s="30" t="inlineStr">
        <is>
          <t>I</t>
        </is>
      </c>
      <c r="C779" s="31" t="n">
        <v>9819.200000000001</v>
      </c>
      <c r="D779" s="31" t="n">
        <v>28384.1</v>
      </c>
      <c r="E779" s="31" t="n">
        <v>28401.1</v>
      </c>
      <c r="F779" s="31" t="n">
        <v>28416.6</v>
      </c>
      <c r="G779" s="31" t="n">
        <v>28442.6</v>
      </c>
      <c r="H779" s="31" t="n">
        <v>28442.7</v>
      </c>
      <c r="I779" s="31" t="n">
        <v>28452.6</v>
      </c>
      <c r="J779" s="31" t="n">
        <v>28484.8</v>
      </c>
      <c r="K779" s="31" t="n">
        <v>18665.6</v>
      </c>
      <c r="L779" s="31" t="n">
        <v>18564.9</v>
      </c>
      <c r="M779" s="30" t="inlineStr">
        <is>
          <t>AMR1</t>
        </is>
      </c>
      <c r="N779" s="30" t="inlineStr">
        <is>
          <t>AMR1</t>
        </is>
      </c>
      <c r="O779" s="32" t="n">
        <v>1</v>
      </c>
      <c r="P779" s="32" t="n">
        <v>12</v>
      </c>
      <c r="Q779" s="32" t="n">
        <v>1</v>
      </c>
      <c r="R779" s="31" t="n">
        <v>49.6</v>
      </c>
      <c r="S779" s="31" t="n">
        <v>49.6</v>
      </c>
      <c r="T779" s="30" t="inlineStr">
        <is>
          <t>AMR1</t>
        </is>
      </c>
      <c r="U779" s="31" t="n">
        <v>37.7</v>
      </c>
      <c r="V779" s="31" t="n">
        <v>37.7</v>
      </c>
      <c r="W779" s="30" t="inlineStr">
        <is>
          <t>AMR1</t>
        </is>
      </c>
      <c r="X779" s="32" t="n">
        <v>0</v>
      </c>
      <c r="Y779" s="32" t="n">
        <v>0</v>
      </c>
      <c r="Z779" s="31" t="n">
        <v>0</v>
      </c>
      <c r="AA779" s="32" t="n">
        <v>0</v>
      </c>
      <c r="AB779" s="32" t="n">
        <v>0</v>
      </c>
      <c r="AC779" s="32" t="n">
        <v>0</v>
      </c>
      <c r="AD779" s="32" t="n">
        <v>1</v>
      </c>
      <c r="AE779" s="31" t="n">
        <v>4</v>
      </c>
      <c r="AF779" s="32" t="n">
        <v>0</v>
      </c>
      <c r="AG779" s="31" t="n">
        <v>0</v>
      </c>
      <c r="AH779" s="32" t="n">
        <v>43</v>
      </c>
      <c r="AI779" s="31" t="n">
        <v>47.3</v>
      </c>
      <c r="AJ779" s="31" t="n">
        <v>44.1</v>
      </c>
      <c r="AK779" s="31" t="n">
        <v>9.199999999999999</v>
      </c>
      <c r="AL779" s="30" t="inlineStr">
        <is>
          <t>T-0925</t>
        </is>
      </c>
      <c r="AM779" s="30" t="inlineStr">
        <is>
          <t>I-04-03</t>
        </is>
      </c>
      <c r="AN779" s="30" t="inlineStr">
        <is>
          <t>T-0870</t>
        </is>
      </c>
      <c r="AO779" s="30" t="inlineStr">
        <is>
          <t>I-03-03</t>
        </is>
      </c>
    </row>
    <row r="780">
      <c r="A780" s="30" t="inlineStr">
        <is>
          <t>O0779</t>
        </is>
      </c>
      <c r="B780" s="30" t="inlineStr">
        <is>
          <t>F</t>
        </is>
      </c>
      <c r="C780" s="31" t="n">
        <v>9822.9</v>
      </c>
      <c r="D780" s="31" t="n">
        <v>28586.4</v>
      </c>
      <c r="E780" s="31" t="n">
        <v>28609.9</v>
      </c>
      <c r="F780" s="31" t="n">
        <v>28624.3</v>
      </c>
      <c r="G780" s="31" t="n">
        <v>28656.3</v>
      </c>
      <c r="H780" s="31" t="n">
        <v>28656.4</v>
      </c>
      <c r="I780" s="31" t="n">
        <v>28670.3</v>
      </c>
      <c r="J780" s="31" t="n">
        <v>28704.5</v>
      </c>
      <c r="K780" s="31" t="n">
        <v>18881.6</v>
      </c>
      <c r="L780" s="31" t="n">
        <v>18763.5</v>
      </c>
      <c r="M780" s="30" t="inlineStr">
        <is>
          <t>AMR1</t>
        </is>
      </c>
      <c r="N780" s="30" t="inlineStr">
        <is>
          <t>AMR1</t>
        </is>
      </c>
      <c r="O780" s="32" t="n">
        <v>1</v>
      </c>
      <c r="P780" s="32" t="n">
        <v>25</v>
      </c>
      <c r="Q780" s="32" t="n">
        <v>2</v>
      </c>
      <c r="R780" s="31" t="n">
        <v>68.90000000000001</v>
      </c>
      <c r="S780" s="31" t="n">
        <v>68.90000000000001</v>
      </c>
      <c r="T780" s="30" t="inlineStr">
        <is>
          <t>AMR1</t>
        </is>
      </c>
      <c r="U780" s="31" t="n">
        <v>46.3</v>
      </c>
      <c r="V780" s="31" t="n">
        <v>46.3</v>
      </c>
      <c r="W780" s="30" t="inlineStr">
        <is>
          <t>AMR1</t>
        </is>
      </c>
      <c r="X780" s="32" t="n">
        <v>0</v>
      </c>
      <c r="Y780" s="32" t="n">
        <v>0</v>
      </c>
      <c r="Z780" s="31" t="n">
        <v>0</v>
      </c>
      <c r="AA780" s="32" t="n">
        <v>0</v>
      </c>
      <c r="AB780" s="32" t="n">
        <v>0</v>
      </c>
      <c r="AC780" s="32" t="n">
        <v>0</v>
      </c>
      <c r="AD780" s="32" t="n">
        <v>0</v>
      </c>
      <c r="AE780" s="31" t="n">
        <v>0</v>
      </c>
      <c r="AF780" s="32" t="n">
        <v>0</v>
      </c>
      <c r="AG780" s="31" t="n">
        <v>0</v>
      </c>
      <c r="AH780" s="32" t="n">
        <v>72</v>
      </c>
      <c r="AI780" s="31" t="n">
        <v>71.40000000000001</v>
      </c>
      <c r="AJ780" s="31" t="n">
        <v>46.6</v>
      </c>
      <c r="AK780" s="31" t="n">
        <v>0</v>
      </c>
      <c r="AL780" s="30" t="inlineStr">
        <is>
          <t>T-0930</t>
        </is>
      </c>
      <c r="AM780" s="30" t="inlineStr">
        <is>
          <t>F-06-01</t>
        </is>
      </c>
      <c r="AN780" s="30" t="inlineStr">
        <is>
          <t>T-0731</t>
        </is>
      </c>
      <c r="AO780" s="30" t="inlineStr">
        <is>
          <t>F-02-02</t>
        </is>
      </c>
    </row>
    <row r="781">
      <c r="A781" s="30" t="inlineStr">
        <is>
          <t>O0780</t>
        </is>
      </c>
      <c r="B781" s="30" t="inlineStr">
        <is>
          <t>B</t>
        </is>
      </c>
      <c r="C781" s="31" t="n">
        <v>9826</v>
      </c>
      <c r="D781" s="31" t="n">
        <v>28464.3</v>
      </c>
      <c r="E781" s="31" t="n">
        <v>28487.8</v>
      </c>
      <c r="F781" s="31" t="n">
        <v>28499</v>
      </c>
      <c r="G781" s="31" t="n">
        <v>28521.7</v>
      </c>
      <c r="H781" s="31" t="n">
        <v>28521.8</v>
      </c>
      <c r="I781" s="31" t="n">
        <v>28532.6</v>
      </c>
      <c r="J781" s="31" t="n">
        <v>28561</v>
      </c>
      <c r="K781" s="31" t="n">
        <v>18735</v>
      </c>
      <c r="L781" s="31" t="n">
        <v>18638.3</v>
      </c>
      <c r="M781" s="30" t="inlineStr">
        <is>
          <t>AMR2</t>
        </is>
      </c>
      <c r="N781" s="30" t="inlineStr">
        <is>
          <t>AMR2</t>
        </is>
      </c>
      <c r="O781" s="32" t="n">
        <v>1</v>
      </c>
      <c r="P781" s="32" t="n">
        <v>25</v>
      </c>
      <c r="Q781" s="32" t="n">
        <v>2</v>
      </c>
      <c r="R781" s="31" t="n">
        <v>56.3</v>
      </c>
      <c r="S781" s="31" t="n">
        <v>56.3</v>
      </c>
      <c r="T781" s="30" t="inlineStr">
        <is>
          <t>AMR2</t>
        </is>
      </c>
      <c r="U781" s="31" t="n">
        <v>42.4</v>
      </c>
      <c r="V781" s="31" t="n">
        <v>42.4</v>
      </c>
      <c r="W781" s="30" t="inlineStr">
        <is>
          <t>AMR2</t>
        </is>
      </c>
      <c r="X781" s="32" t="n">
        <v>0</v>
      </c>
      <c r="Y781" s="32" t="n">
        <v>0</v>
      </c>
      <c r="Z781" s="31" t="n">
        <v>0</v>
      </c>
      <c r="AA781" s="32" t="n">
        <v>0</v>
      </c>
      <c r="AB781" s="32" t="n">
        <v>0</v>
      </c>
      <c r="AC781" s="32" t="n">
        <v>0</v>
      </c>
      <c r="AD781" s="32" t="n">
        <v>0</v>
      </c>
      <c r="AE781" s="31" t="n">
        <v>0</v>
      </c>
      <c r="AF781" s="32" t="n">
        <v>0</v>
      </c>
      <c r="AG781" s="31" t="n">
        <v>0</v>
      </c>
      <c r="AH781" s="32" t="n">
        <v>54</v>
      </c>
      <c r="AI781" s="31" t="n">
        <v>55.4</v>
      </c>
      <c r="AJ781" s="31" t="n">
        <v>41.2</v>
      </c>
      <c r="AK781" s="31" t="n">
        <v>0</v>
      </c>
      <c r="AL781" s="30" t="inlineStr">
        <is>
          <t>T-0927</t>
        </is>
      </c>
      <c r="AM781" s="30" t="inlineStr">
        <is>
          <t>B-06-01</t>
        </is>
      </c>
      <c r="AN781" s="30" t="inlineStr">
        <is>
          <t>T-0687</t>
        </is>
      </c>
      <c r="AO781" s="30" t="inlineStr">
        <is>
          <t>B-06-03</t>
        </is>
      </c>
    </row>
    <row r="782">
      <c r="A782" s="30" t="inlineStr">
        <is>
          <t>O0781</t>
        </is>
      </c>
      <c r="B782" s="30" t="inlineStr">
        <is>
          <t>D</t>
        </is>
      </c>
      <c r="C782" s="31" t="n">
        <v>9831.4</v>
      </c>
      <c r="D782" s="31" t="n">
        <v>28484.9</v>
      </c>
      <c r="E782" s="31" t="n">
        <v>28511.4</v>
      </c>
      <c r="F782" s="31" t="n">
        <v>28526.1</v>
      </c>
      <c r="G782" s="31" t="n">
        <v>28548.4</v>
      </c>
      <c r="H782" s="31" t="n">
        <v>28548.5</v>
      </c>
      <c r="I782" s="31" t="n">
        <v>28560.8</v>
      </c>
      <c r="J782" s="31" t="n">
        <v>28586.3</v>
      </c>
      <c r="K782" s="31" t="n">
        <v>18754.9</v>
      </c>
      <c r="L782" s="31" t="n">
        <v>18653.5</v>
      </c>
      <c r="M782" s="30" t="inlineStr">
        <is>
          <t>AMR1</t>
        </is>
      </c>
      <c r="N782" s="30" t="inlineStr">
        <is>
          <t>AMR1</t>
        </is>
      </c>
      <c r="O782" s="32" t="n">
        <v>1</v>
      </c>
      <c r="P782" s="32" t="n">
        <v>25</v>
      </c>
      <c r="Q782" s="32" t="n">
        <v>1</v>
      </c>
      <c r="R782" s="31" t="n">
        <v>57</v>
      </c>
      <c r="S782" s="31" t="n">
        <v>57</v>
      </c>
      <c r="T782" s="30" t="inlineStr">
        <is>
          <t>AMR1</t>
        </is>
      </c>
      <c r="U782" s="31" t="n">
        <v>37.5</v>
      </c>
      <c r="V782" s="31" t="n">
        <v>37.5</v>
      </c>
      <c r="W782" s="30" t="inlineStr">
        <is>
          <t>AMR1</t>
        </is>
      </c>
      <c r="X782" s="32" t="n">
        <v>0</v>
      </c>
      <c r="Y782" s="32" t="n">
        <v>0</v>
      </c>
      <c r="Z782" s="31" t="n">
        <v>0</v>
      </c>
      <c r="AA782" s="32" t="n">
        <v>0</v>
      </c>
      <c r="AB782" s="32" t="n">
        <v>0</v>
      </c>
      <c r="AC782" s="32" t="n">
        <v>0</v>
      </c>
      <c r="AD782" s="32" t="n">
        <v>0</v>
      </c>
      <c r="AE782" s="31" t="n">
        <v>0</v>
      </c>
      <c r="AF782" s="32" t="n">
        <v>0</v>
      </c>
      <c r="AG782" s="31" t="n">
        <v>0</v>
      </c>
      <c r="AH782" s="32" t="n">
        <v>56</v>
      </c>
      <c r="AI782" s="31" t="n">
        <v>57.4</v>
      </c>
      <c r="AJ782" s="31" t="n">
        <v>40.9</v>
      </c>
      <c r="AK782" s="31" t="n">
        <v>3</v>
      </c>
      <c r="AL782" s="30" t="inlineStr">
        <is>
          <t>T-0928</t>
        </is>
      </c>
      <c r="AM782" s="30" t="inlineStr">
        <is>
          <t>D-05-01</t>
        </is>
      </c>
      <c r="AN782" s="30" t="inlineStr">
        <is>
          <t>T-0833</t>
        </is>
      </c>
      <c r="AO782" s="30" t="inlineStr">
        <is>
          <t>D-02-01</t>
        </is>
      </c>
    </row>
    <row r="783">
      <c r="A783" s="30" t="inlineStr">
        <is>
          <t>O0782</t>
        </is>
      </c>
      <c r="B783" s="30" t="inlineStr">
        <is>
          <t>A</t>
        </is>
      </c>
      <c r="C783" s="31" t="n">
        <v>9835.5</v>
      </c>
      <c r="D783" s="31" t="n">
        <v>28502.9</v>
      </c>
      <c r="E783" s="31" t="n">
        <v>28535.4</v>
      </c>
      <c r="F783" s="31" t="n">
        <v>28546.1</v>
      </c>
      <c r="G783" s="31" t="n">
        <v>28574.5</v>
      </c>
      <c r="H783" s="31" t="n">
        <v>29376.1</v>
      </c>
      <c r="I783" s="31" t="n">
        <v>29388.6</v>
      </c>
      <c r="J783" s="31" t="n">
        <v>29424.7</v>
      </c>
      <c r="K783" s="31" t="n">
        <v>19589.2</v>
      </c>
      <c r="L783" s="31" t="n">
        <v>18667.4</v>
      </c>
      <c r="M783" s="30" t="inlineStr">
        <is>
          <t>AMR3</t>
        </is>
      </c>
      <c r="N783" s="30" t="inlineStr">
        <is>
          <t>AMR1</t>
        </is>
      </c>
      <c r="O783" s="32" t="n">
        <v>1</v>
      </c>
      <c r="P783" s="32" t="n">
        <v>25</v>
      </c>
      <c r="Q783" s="32" t="n">
        <v>1</v>
      </c>
      <c r="R783" s="31" t="n">
        <v>61.5</v>
      </c>
      <c r="S783" s="31" t="n">
        <v>61.5</v>
      </c>
      <c r="T783" s="30" t="inlineStr">
        <is>
          <t>AMR3</t>
        </is>
      </c>
      <c r="U783" s="31" t="n">
        <v>47.8</v>
      </c>
      <c r="V783" s="31" t="n">
        <v>47.8</v>
      </c>
      <c r="W783" s="30" t="inlineStr">
        <is>
          <t>AMR1</t>
        </is>
      </c>
      <c r="X783" s="32" t="n">
        <v>0</v>
      </c>
      <c r="Y783" s="32" t="n">
        <v>0</v>
      </c>
      <c r="Z783" s="31" t="n">
        <v>0</v>
      </c>
      <c r="AA783" s="32" t="n">
        <v>0</v>
      </c>
      <c r="AB783" s="32" t="n">
        <v>0</v>
      </c>
      <c r="AC783" s="32" t="n">
        <v>0</v>
      </c>
      <c r="AD783" s="32" t="n">
        <v>0</v>
      </c>
      <c r="AE783" s="31" t="n">
        <v>0</v>
      </c>
      <c r="AF783" s="32" t="n">
        <v>1</v>
      </c>
      <c r="AG783" s="31" t="n">
        <v>4</v>
      </c>
      <c r="AH783" s="32" t="n">
        <v>71</v>
      </c>
      <c r="AI783" s="31" t="n">
        <v>69.3</v>
      </c>
      <c r="AJ783" s="31" t="n">
        <v>41.9</v>
      </c>
      <c r="AK783" s="31" t="n">
        <v>9</v>
      </c>
      <c r="AL783" s="30" t="inlineStr">
        <is>
          <t>T-0929</t>
        </is>
      </c>
      <c r="AM783" s="30" t="inlineStr">
        <is>
          <t>A-06-01</t>
        </is>
      </c>
      <c r="AN783" s="30" t="inlineStr">
        <is>
          <t>T-0735</t>
        </is>
      </c>
      <c r="AO783" s="30" t="inlineStr">
        <is>
          <t>A-02-02</t>
        </is>
      </c>
    </row>
    <row r="784">
      <c r="A784" s="30" t="inlineStr">
        <is>
          <t>O0783</t>
        </is>
      </c>
      <c r="B784" s="30" t="inlineStr">
        <is>
          <t>H</t>
        </is>
      </c>
      <c r="C784" s="31" t="n">
        <v>9841.700000000001</v>
      </c>
      <c r="D784" s="31" t="n">
        <v>28826.4</v>
      </c>
      <c r="E784" s="31" t="n">
        <v>28849.9</v>
      </c>
      <c r="F784" s="31" t="n">
        <v>28861.3</v>
      </c>
      <c r="G784" s="31" t="n">
        <v>28886.8</v>
      </c>
      <c r="H784" s="31" t="n">
        <v>28886.9</v>
      </c>
      <c r="I784" s="31" t="n">
        <v>28902</v>
      </c>
      <c r="J784" s="31" t="n">
        <v>28928.4</v>
      </c>
      <c r="K784" s="31" t="n">
        <v>19086.7</v>
      </c>
      <c r="L784" s="31" t="n">
        <v>18984.7</v>
      </c>
      <c r="M784" s="30" t="inlineStr">
        <is>
          <t>AMR2</t>
        </is>
      </c>
      <c r="N784" s="30" t="inlineStr">
        <is>
          <t>AMR2</t>
        </is>
      </c>
      <c r="O784" s="32" t="n">
        <v>1</v>
      </c>
      <c r="P784" s="32" t="n">
        <v>25</v>
      </c>
      <c r="Q784" s="32" t="n">
        <v>2</v>
      </c>
      <c r="R784" s="31" t="n">
        <v>59.4</v>
      </c>
      <c r="S784" s="31" t="n">
        <v>52.1</v>
      </c>
      <c r="T784" s="30" t="inlineStr">
        <is>
          <t>AMR3</t>
        </is>
      </c>
      <c r="U784" s="31" t="n">
        <v>40.7</v>
      </c>
      <c r="V784" s="31" t="n">
        <v>40.7</v>
      </c>
      <c r="W784" s="30" t="inlineStr">
        <is>
          <t>AMR2</t>
        </is>
      </c>
      <c r="X784" s="32" t="n">
        <v>1</v>
      </c>
      <c r="Y784" s="32" t="n">
        <v>11</v>
      </c>
      <c r="Z784" s="31" t="n">
        <v>7.3</v>
      </c>
      <c r="AA784" s="32" t="n">
        <v>0</v>
      </c>
      <c r="AB784" s="32" t="n">
        <v>0</v>
      </c>
      <c r="AC784" s="32" t="n">
        <v>0</v>
      </c>
      <c r="AD784" s="32" t="n">
        <v>0</v>
      </c>
      <c r="AE784" s="31" t="n">
        <v>0</v>
      </c>
      <c r="AF784" s="32" t="n">
        <v>0</v>
      </c>
      <c r="AG784" s="31" t="n">
        <v>0</v>
      </c>
      <c r="AH784" s="32" t="n">
        <v>54</v>
      </c>
      <c r="AI784" s="31" t="n">
        <v>56.1</v>
      </c>
      <c r="AJ784" s="31" t="n">
        <v>45.8</v>
      </c>
      <c r="AK784" s="31" t="n">
        <v>0</v>
      </c>
      <c r="AL784" s="30" t="inlineStr">
        <is>
          <t>T-0937</t>
        </is>
      </c>
      <c r="AM784" s="30" t="inlineStr">
        <is>
          <t>H-06-01</t>
        </is>
      </c>
      <c r="AN784" s="30" t="inlineStr">
        <is>
          <t>T-0847</t>
        </is>
      </c>
      <c r="AO784" s="30" t="inlineStr">
        <is>
          <t>H-01-02</t>
        </is>
      </c>
    </row>
    <row r="785">
      <c r="A785" s="30" t="inlineStr">
        <is>
          <t>O0784</t>
        </is>
      </c>
      <c r="B785" s="30" t="inlineStr">
        <is>
          <t>I</t>
        </is>
      </c>
      <c r="C785" s="31" t="n">
        <v>9845.5</v>
      </c>
      <c r="D785" s="31" t="n">
        <v>28761.9</v>
      </c>
      <c r="E785" s="31" t="n">
        <v>28785.4</v>
      </c>
      <c r="F785" s="31" t="n">
        <v>28799.7</v>
      </c>
      <c r="G785" s="31" t="n">
        <v>28827.3</v>
      </c>
      <c r="H785" s="31" t="n">
        <v>28827.4</v>
      </c>
      <c r="I785" s="31" t="n">
        <v>28838</v>
      </c>
      <c r="J785" s="31" t="n">
        <v>28865.5</v>
      </c>
      <c r="K785" s="31" t="n">
        <v>19020</v>
      </c>
      <c r="L785" s="31" t="n">
        <v>18916.4</v>
      </c>
      <c r="M785" s="30" t="inlineStr">
        <is>
          <t>AMR3</t>
        </is>
      </c>
      <c r="N785" s="30" t="inlineStr">
        <is>
          <t>AMR3</t>
        </is>
      </c>
      <c r="O785" s="32" t="n">
        <v>1</v>
      </c>
      <c r="P785" s="32" t="n">
        <v>25</v>
      </c>
      <c r="Q785" s="32" t="n">
        <v>1</v>
      </c>
      <c r="R785" s="31" t="n">
        <v>63.6</v>
      </c>
      <c r="S785" s="31" t="n">
        <v>55.3</v>
      </c>
      <c r="T785" s="30" t="inlineStr">
        <is>
          <t>AMR1</t>
        </is>
      </c>
      <c r="U785" s="31" t="n">
        <v>38.3</v>
      </c>
      <c r="V785" s="31" t="n">
        <v>38.3</v>
      </c>
      <c r="W785" s="30" t="inlineStr">
        <is>
          <t>AMR3</t>
        </is>
      </c>
      <c r="X785" s="32" t="n">
        <v>1</v>
      </c>
      <c r="Y785" s="32" t="n">
        <v>11</v>
      </c>
      <c r="Z785" s="31" t="n">
        <v>8.300000000000001</v>
      </c>
      <c r="AA785" s="32" t="n">
        <v>0</v>
      </c>
      <c r="AB785" s="32" t="n">
        <v>0</v>
      </c>
      <c r="AC785" s="32" t="n">
        <v>0</v>
      </c>
      <c r="AD785" s="32" t="n">
        <v>1</v>
      </c>
      <c r="AE785" s="31" t="n">
        <v>1.5</v>
      </c>
      <c r="AF785" s="32" t="n">
        <v>0</v>
      </c>
      <c r="AG785" s="31" t="n">
        <v>0</v>
      </c>
      <c r="AH785" s="32" t="n">
        <v>52</v>
      </c>
      <c r="AI785" s="31" t="n">
        <v>54.2</v>
      </c>
      <c r="AJ785" s="31" t="n">
        <v>47.8</v>
      </c>
      <c r="AK785" s="31" t="n">
        <v>1.5</v>
      </c>
      <c r="AL785" s="30" t="inlineStr">
        <is>
          <t>T-0935</t>
        </is>
      </c>
      <c r="AM785" s="30" t="inlineStr">
        <is>
          <t>I-01-01</t>
        </is>
      </c>
      <c r="AN785" s="30" t="inlineStr">
        <is>
          <t>T-0876</t>
        </is>
      </c>
      <c r="AO785" s="30" t="inlineStr">
        <is>
          <t>I-02-01</t>
        </is>
      </c>
    </row>
    <row r="786">
      <c r="A786" s="30" t="inlineStr">
        <is>
          <t>O0785</t>
        </is>
      </c>
      <c r="B786" s="30" t="inlineStr">
        <is>
          <t>I</t>
        </is>
      </c>
      <c r="C786" s="31" t="n">
        <v>9852.4</v>
      </c>
      <c r="D786" s="31" t="n">
        <v>28610.7</v>
      </c>
      <c r="E786" s="31" t="n">
        <v>28634.2</v>
      </c>
      <c r="F786" s="31" t="n">
        <v>28647.3</v>
      </c>
      <c r="G786" s="31" t="n">
        <v>28674.7</v>
      </c>
      <c r="H786" s="31" t="n">
        <v>28674.8</v>
      </c>
      <c r="I786" s="31" t="n">
        <v>28687.7</v>
      </c>
      <c r="J786" s="31" t="n">
        <v>28718.7</v>
      </c>
      <c r="K786" s="31" t="n">
        <v>18866.3</v>
      </c>
      <c r="L786" s="31" t="n">
        <v>18758.3</v>
      </c>
      <c r="M786" s="30" t="inlineStr">
        <is>
          <t>AMR2</t>
        </is>
      </c>
      <c r="N786" s="30" t="inlineStr">
        <is>
          <t>AMR2</t>
        </is>
      </c>
      <c r="O786" s="32" t="n">
        <v>1</v>
      </c>
      <c r="P786" s="32" t="n">
        <v>25</v>
      </c>
      <c r="Q786" s="32" t="n">
        <v>0</v>
      </c>
      <c r="R786" s="31" t="n">
        <v>61.4</v>
      </c>
      <c r="S786" s="31" t="n">
        <v>61.4</v>
      </c>
      <c r="T786" s="30" t="inlineStr">
        <is>
          <t>AMR2</t>
        </is>
      </c>
      <c r="U786" s="31" t="n">
        <v>37.6</v>
      </c>
      <c r="V786" s="31" t="n">
        <v>37.6</v>
      </c>
      <c r="W786" s="30" t="inlineStr">
        <is>
          <t>AMR2</t>
        </is>
      </c>
      <c r="X786" s="32" t="n">
        <v>0</v>
      </c>
      <c r="Y786" s="32" t="n">
        <v>0</v>
      </c>
      <c r="Z786" s="31" t="n">
        <v>0</v>
      </c>
      <c r="AA786" s="32" t="n">
        <v>0</v>
      </c>
      <c r="AB786" s="32" t="n">
        <v>0</v>
      </c>
      <c r="AC786" s="32" t="n">
        <v>0</v>
      </c>
      <c r="AD786" s="32" t="n">
        <v>1</v>
      </c>
      <c r="AE786" s="31" t="n">
        <v>6</v>
      </c>
      <c r="AF786" s="32" t="n">
        <v>1</v>
      </c>
      <c r="AG786" s="31" t="n">
        <v>1</v>
      </c>
      <c r="AH786" s="32" t="n">
        <v>54</v>
      </c>
      <c r="AI786" s="31" t="n">
        <v>56.3</v>
      </c>
      <c r="AJ786" s="31" t="n">
        <v>45.6</v>
      </c>
      <c r="AK786" s="31" t="n">
        <v>6</v>
      </c>
      <c r="AL786" s="30" t="inlineStr">
        <is>
          <t>T-0931</t>
        </is>
      </c>
      <c r="AM786" s="30" t="inlineStr">
        <is>
          <t>I-03-03</t>
        </is>
      </c>
      <c r="AN786" s="30" t="inlineStr">
        <is>
          <t>T-0873</t>
        </is>
      </c>
      <c r="AO786" s="30" t="inlineStr">
        <is>
          <t>I-01-01</t>
        </is>
      </c>
    </row>
    <row r="787">
      <c r="A787" s="30" t="inlineStr">
        <is>
          <t>O0786</t>
        </is>
      </c>
      <c r="B787" s="30" t="inlineStr">
        <is>
          <t>H</t>
        </is>
      </c>
      <c r="C787" s="31" t="n">
        <v>9856.9</v>
      </c>
      <c r="D787" s="31" t="n">
        <v>28704.6</v>
      </c>
      <c r="E787" s="31" t="n">
        <v>28728.1</v>
      </c>
      <c r="F787" s="31" t="n">
        <v>28739.7</v>
      </c>
      <c r="G787" s="31" t="n">
        <v>28762.4</v>
      </c>
      <c r="H787" s="31" t="n">
        <v>28762.5</v>
      </c>
      <c r="I787" s="31" t="n">
        <v>28775.5</v>
      </c>
      <c r="J787" s="31" t="n">
        <v>28799.6</v>
      </c>
      <c r="K787" s="31" t="n">
        <v>18942.7</v>
      </c>
      <c r="L787" s="31" t="n">
        <v>18847.7</v>
      </c>
      <c r="M787" s="30" t="inlineStr">
        <is>
          <t>AMR1</t>
        </is>
      </c>
      <c r="N787" s="30" t="inlineStr">
        <is>
          <t>AMR1</t>
        </is>
      </c>
      <c r="O787" s="32" t="n">
        <v>1</v>
      </c>
      <c r="P787" s="32" t="n">
        <v>25</v>
      </c>
      <c r="Q787" s="32" t="n">
        <v>1</v>
      </c>
      <c r="R787" s="31" t="n">
        <v>56</v>
      </c>
      <c r="S787" s="31" t="n">
        <v>55.3</v>
      </c>
      <c r="T787" s="30" t="inlineStr">
        <is>
          <t>AMR3</t>
        </is>
      </c>
      <c r="U787" s="31" t="n">
        <v>36.4</v>
      </c>
      <c r="V787" s="31" t="n">
        <v>36.4</v>
      </c>
      <c r="W787" s="30" t="inlineStr">
        <is>
          <t>AMR1</t>
        </is>
      </c>
      <c r="X787" s="32" t="n">
        <v>1</v>
      </c>
      <c r="Y787" s="32" t="n">
        <v>3</v>
      </c>
      <c r="Z787" s="31" t="n">
        <v>0.7</v>
      </c>
      <c r="AA787" s="32" t="n">
        <v>0</v>
      </c>
      <c r="AB787" s="32" t="n">
        <v>0</v>
      </c>
      <c r="AC787" s="32" t="n">
        <v>0</v>
      </c>
      <c r="AD787" s="32" t="n">
        <v>0</v>
      </c>
      <c r="AE787" s="31" t="n">
        <v>0</v>
      </c>
      <c r="AF787" s="32" t="n">
        <v>0</v>
      </c>
      <c r="AG787" s="31" t="n">
        <v>0</v>
      </c>
      <c r="AH787" s="32" t="n">
        <v>54</v>
      </c>
      <c r="AI787" s="31" t="n">
        <v>56.1</v>
      </c>
      <c r="AJ787" s="31" t="n">
        <v>38.8</v>
      </c>
      <c r="AK787" s="31" t="n">
        <v>0</v>
      </c>
      <c r="AL787" s="30" t="inlineStr">
        <is>
          <t>T-0933</t>
        </is>
      </c>
      <c r="AM787" s="30" t="inlineStr">
        <is>
          <t>H-01-03</t>
        </is>
      </c>
      <c r="AN787" s="30" t="inlineStr">
        <is>
          <t>T-0841</t>
        </is>
      </c>
      <c r="AO787" s="30" t="inlineStr">
        <is>
          <t>H-06-01</t>
        </is>
      </c>
    </row>
    <row r="788">
      <c r="A788" s="30" t="inlineStr">
        <is>
          <t>O0787</t>
        </is>
      </c>
      <c r="B788" s="30" t="inlineStr">
        <is>
          <t>J</t>
        </is>
      </c>
      <c r="C788" s="31" t="n">
        <v>9862.4</v>
      </c>
      <c r="D788" s="31" t="n">
        <v>29047.1</v>
      </c>
      <c r="E788" s="31" t="n">
        <v>29078.6</v>
      </c>
      <c r="F788" s="31" t="n">
        <v>29091.9</v>
      </c>
      <c r="G788" s="31" t="n">
        <v>29121.4</v>
      </c>
      <c r="H788" s="31" t="n">
        <v>29996.1</v>
      </c>
      <c r="I788" s="31" t="n">
        <v>30010.9</v>
      </c>
      <c r="J788" s="31" t="n">
        <v>30044.7</v>
      </c>
      <c r="K788" s="31" t="n">
        <v>20182.3</v>
      </c>
      <c r="L788" s="31" t="n">
        <v>19184.7</v>
      </c>
      <c r="M788" s="30" t="inlineStr">
        <is>
          <t>AMR1</t>
        </is>
      </c>
      <c r="N788" s="30" t="inlineStr">
        <is>
          <t>AMR3</t>
        </is>
      </c>
      <c r="O788" s="32" t="n">
        <v>1</v>
      </c>
      <c r="P788" s="32" t="n">
        <v>25</v>
      </c>
      <c r="Q788" s="32" t="n">
        <v>0</v>
      </c>
      <c r="R788" s="31" t="n">
        <v>64.5</v>
      </c>
      <c r="S788" s="31" t="n">
        <v>61.3</v>
      </c>
      <c r="T788" s="30" t="inlineStr">
        <is>
          <t>AMR3</t>
        </is>
      </c>
      <c r="U788" s="31" t="n">
        <v>46.8</v>
      </c>
      <c r="V788" s="31" t="n">
        <v>46.8</v>
      </c>
      <c r="W788" s="30" t="inlineStr">
        <is>
          <t>AMR3</t>
        </is>
      </c>
      <c r="X788" s="32" t="n">
        <v>1</v>
      </c>
      <c r="Y788" s="32" t="n">
        <v>11</v>
      </c>
      <c r="Z788" s="31" t="n">
        <v>3.2</v>
      </c>
      <c r="AA788" s="32" t="n">
        <v>0</v>
      </c>
      <c r="AB788" s="32" t="n">
        <v>0</v>
      </c>
      <c r="AC788" s="32" t="n">
        <v>0</v>
      </c>
      <c r="AD788" s="32" t="n">
        <v>0</v>
      </c>
      <c r="AE788" s="31" t="n">
        <v>0</v>
      </c>
      <c r="AF788" s="32" t="n">
        <v>1</v>
      </c>
      <c r="AG788" s="31" t="n">
        <v>3</v>
      </c>
      <c r="AH788" s="32" t="n">
        <v>67</v>
      </c>
      <c r="AI788" s="31" t="n">
        <v>67.59999999999999</v>
      </c>
      <c r="AJ788" s="31" t="n">
        <v>47.3</v>
      </c>
      <c r="AK788" s="31" t="n">
        <v>8</v>
      </c>
      <c r="AL788" s="30" t="inlineStr">
        <is>
          <t>T-0944</t>
        </is>
      </c>
      <c r="AM788" s="30" t="inlineStr">
        <is>
          <t>J-01-02</t>
        </is>
      </c>
      <c r="AN788" s="30" t="inlineStr">
        <is>
          <t>T-0774</t>
        </is>
      </c>
      <c r="AO788" s="30" t="inlineStr">
        <is>
          <t>J-04-02</t>
        </is>
      </c>
    </row>
    <row r="789">
      <c r="A789" s="30" t="inlineStr">
        <is>
          <t>O0788</t>
        </is>
      </c>
      <c r="B789" s="30" t="inlineStr">
        <is>
          <t>D</t>
        </is>
      </c>
      <c r="C789" s="31" t="n">
        <v>9869.1</v>
      </c>
      <c r="D789" s="31" t="n">
        <v>28718.8</v>
      </c>
      <c r="E789" s="31" t="n">
        <v>28752.3</v>
      </c>
      <c r="F789" s="31" t="n">
        <v>28763.3</v>
      </c>
      <c r="G789" s="31" t="n">
        <v>28783.6</v>
      </c>
      <c r="H789" s="31" t="n">
        <v>28991.1</v>
      </c>
      <c r="I789" s="31" t="n">
        <v>29002.4</v>
      </c>
      <c r="J789" s="31" t="n">
        <v>29031.1</v>
      </c>
      <c r="K789" s="31" t="n">
        <v>19162</v>
      </c>
      <c r="L789" s="31" t="n">
        <v>18849.7</v>
      </c>
      <c r="M789" s="30" t="inlineStr">
        <is>
          <t>AMR2</t>
        </is>
      </c>
      <c r="N789" s="30" t="inlineStr">
        <is>
          <t>AMR2</t>
        </is>
      </c>
      <c r="O789" s="32" t="n">
        <v>1</v>
      </c>
      <c r="P789" s="32" t="n">
        <v>25</v>
      </c>
      <c r="Q789" s="32" t="n">
        <v>1</v>
      </c>
      <c r="R789" s="31" t="n">
        <v>52.9</v>
      </c>
      <c r="S789" s="31" t="n">
        <v>52.9</v>
      </c>
      <c r="T789" s="30" t="inlineStr">
        <is>
          <t>AMR2</t>
        </is>
      </c>
      <c r="U789" s="31" t="n">
        <v>39.7</v>
      </c>
      <c r="V789" s="31" t="n">
        <v>39.7</v>
      </c>
      <c r="W789" s="30" t="inlineStr">
        <is>
          <t>AMR2</t>
        </is>
      </c>
      <c r="X789" s="32" t="n">
        <v>0</v>
      </c>
      <c r="Y789" s="32" t="n">
        <v>0</v>
      </c>
      <c r="Z789" s="31" t="n">
        <v>0</v>
      </c>
      <c r="AA789" s="32" t="n">
        <v>0</v>
      </c>
      <c r="AB789" s="32" t="n">
        <v>0</v>
      </c>
      <c r="AC789" s="32" t="n">
        <v>0</v>
      </c>
      <c r="AD789" s="32" t="n">
        <v>0</v>
      </c>
      <c r="AE789" s="31" t="n">
        <v>0</v>
      </c>
      <c r="AF789" s="32" t="n">
        <v>1</v>
      </c>
      <c r="AG789" s="31" t="n">
        <v>5</v>
      </c>
      <c r="AH789" s="32" t="n">
        <v>54</v>
      </c>
      <c r="AI789" s="31" t="n">
        <v>55.8</v>
      </c>
      <c r="AJ789" s="31" t="n">
        <v>39</v>
      </c>
      <c r="AK789" s="31" t="n">
        <v>10</v>
      </c>
      <c r="AL789" s="30" t="inlineStr">
        <is>
          <t>T-0934</t>
        </is>
      </c>
      <c r="AM789" s="30" t="inlineStr">
        <is>
          <t>D-02-01</t>
        </is>
      </c>
      <c r="AN789" s="30" t="inlineStr">
        <is>
          <t>T-0855</t>
        </is>
      </c>
      <c r="AO789" s="30" t="inlineStr">
        <is>
          <t>D-03-03</t>
        </is>
      </c>
    </row>
    <row r="790">
      <c r="A790" s="30" t="inlineStr">
        <is>
          <t>O0789</t>
        </is>
      </c>
      <c r="B790" s="30" t="inlineStr">
        <is>
          <t>D</t>
        </is>
      </c>
      <c r="C790" s="31" t="n">
        <v>9872.5</v>
      </c>
      <c r="D790" s="31" t="n">
        <v>28799.7</v>
      </c>
      <c r="E790" s="31" t="n">
        <v>28823.2</v>
      </c>
      <c r="F790" s="31" t="n">
        <v>28838.3</v>
      </c>
      <c r="G790" s="31" t="n">
        <v>28857.8</v>
      </c>
      <c r="H790" s="31" t="n">
        <v>29509.1</v>
      </c>
      <c r="I790" s="31" t="n">
        <v>29539.4</v>
      </c>
      <c r="J790" s="31" t="n">
        <v>29580</v>
      </c>
      <c r="K790" s="31" t="n">
        <v>19707.5</v>
      </c>
      <c r="L790" s="31" t="n">
        <v>18927.2</v>
      </c>
      <c r="M790" s="30" t="inlineStr">
        <is>
          <t>AMR1</t>
        </is>
      </c>
      <c r="N790" s="30" t="inlineStr">
        <is>
          <t>AMR2</t>
        </is>
      </c>
      <c r="O790" s="32" t="n">
        <v>1</v>
      </c>
      <c r="P790" s="32" t="n">
        <v>25</v>
      </c>
      <c r="Q790" s="32" t="n">
        <v>16</v>
      </c>
      <c r="R790" s="31" t="n">
        <v>56.2</v>
      </c>
      <c r="S790" s="31" t="n">
        <v>56.2</v>
      </c>
      <c r="T790" s="30" t="inlineStr">
        <is>
          <t>AMR1</t>
        </is>
      </c>
      <c r="U790" s="31" t="n">
        <v>57.6</v>
      </c>
      <c r="V790" s="31" t="n">
        <v>52.9</v>
      </c>
      <c r="W790" s="30" t="inlineStr">
        <is>
          <t>AMR3</t>
        </is>
      </c>
      <c r="X790" s="32" t="n">
        <v>1</v>
      </c>
      <c r="Y790" s="32" t="n">
        <v>13</v>
      </c>
      <c r="Z790" s="31" t="n">
        <v>4.7</v>
      </c>
      <c r="AA790" s="32" t="n">
        <v>0</v>
      </c>
      <c r="AB790" s="32" t="n">
        <v>0</v>
      </c>
      <c r="AC790" s="32" t="n">
        <v>0</v>
      </c>
      <c r="AD790" s="32" t="n">
        <v>1</v>
      </c>
      <c r="AE790" s="31" t="n">
        <v>9</v>
      </c>
      <c r="AF790" s="32" t="n">
        <v>1</v>
      </c>
      <c r="AG790" s="31" t="n">
        <v>4</v>
      </c>
      <c r="AH790" s="32" t="n">
        <v>73</v>
      </c>
      <c r="AI790" s="31" t="n">
        <v>74.7</v>
      </c>
      <c r="AJ790" s="31" t="n">
        <v>45.3</v>
      </c>
      <c r="AK790" s="31" t="n">
        <v>9</v>
      </c>
      <c r="AL790" s="30" t="inlineStr">
        <is>
          <t>T-0936</t>
        </is>
      </c>
      <c r="AM790" s="30" t="inlineStr">
        <is>
          <t>D-01-02</t>
        </is>
      </c>
      <c r="AN790" s="30" t="inlineStr">
        <is>
          <t>T-0883</t>
        </is>
      </c>
      <c r="AO790" s="30" t="inlineStr">
        <is>
          <t>D-06-02</t>
        </is>
      </c>
    </row>
    <row r="791">
      <c r="A791" s="30" t="inlineStr">
        <is>
          <t>O0790</t>
        </is>
      </c>
      <c r="B791" s="30" t="inlineStr">
        <is>
          <t>I</t>
        </is>
      </c>
      <c r="C791" s="31" t="n">
        <v>9878.299999999999</v>
      </c>
      <c r="D791" s="31" t="n">
        <v>28985.5</v>
      </c>
      <c r="E791" s="31" t="n">
        <v>29009</v>
      </c>
      <c r="F791" s="31" t="n">
        <v>29024.6</v>
      </c>
      <c r="G791" s="31" t="n">
        <v>29052.1</v>
      </c>
      <c r="H791" s="31" t="n">
        <v>29052.2</v>
      </c>
      <c r="I791" s="31" t="n">
        <v>29066.1</v>
      </c>
      <c r="J791" s="31" t="n">
        <v>29094.6</v>
      </c>
      <c r="K791" s="31" t="n">
        <v>19216.3</v>
      </c>
      <c r="L791" s="31" t="n">
        <v>19107.2</v>
      </c>
      <c r="M791" s="30" t="inlineStr">
        <is>
          <t>AMR3</t>
        </is>
      </c>
      <c r="N791" s="30" t="inlineStr">
        <is>
          <t>AMR3</t>
        </is>
      </c>
      <c r="O791" s="32" t="n">
        <v>1</v>
      </c>
      <c r="P791" s="32" t="n">
        <v>25</v>
      </c>
      <c r="Q791" s="32" t="n">
        <v>1</v>
      </c>
      <c r="R791" s="31" t="n">
        <v>64.8</v>
      </c>
      <c r="S791" s="31" t="n">
        <v>60.1</v>
      </c>
      <c r="T791" s="30" t="inlineStr">
        <is>
          <t>AMR2</t>
        </is>
      </c>
      <c r="U791" s="31" t="n">
        <v>42.1</v>
      </c>
      <c r="V791" s="31" t="n">
        <v>42.1</v>
      </c>
      <c r="W791" s="30" t="inlineStr">
        <is>
          <t>AMR3</t>
        </is>
      </c>
      <c r="X791" s="32" t="n">
        <v>1</v>
      </c>
      <c r="Y791" s="32" t="n">
        <v>13</v>
      </c>
      <c r="Z791" s="31" t="n">
        <v>4.7</v>
      </c>
      <c r="AA791" s="32" t="n">
        <v>0</v>
      </c>
      <c r="AB791" s="32" t="n">
        <v>0</v>
      </c>
      <c r="AC791" s="32" t="n">
        <v>0</v>
      </c>
      <c r="AD791" s="32" t="n">
        <v>1</v>
      </c>
      <c r="AE791" s="31" t="n">
        <v>2</v>
      </c>
      <c r="AF791" s="32" t="n">
        <v>0</v>
      </c>
      <c r="AG791" s="31" t="n">
        <v>0</v>
      </c>
      <c r="AH791" s="32" t="n">
        <v>52</v>
      </c>
      <c r="AI791" s="31" t="n">
        <v>54.2</v>
      </c>
      <c r="AJ791" s="31" t="n">
        <v>52.8</v>
      </c>
      <c r="AK791" s="31" t="n">
        <v>2</v>
      </c>
      <c r="AL791" s="30" t="inlineStr">
        <is>
          <t>T-0942</t>
        </is>
      </c>
      <c r="AM791" s="30" t="inlineStr">
        <is>
          <t>I-02-01</t>
        </is>
      </c>
      <c r="AN791" s="30" t="inlineStr">
        <is>
          <t>T-0878</t>
        </is>
      </c>
      <c r="AO791" s="30" t="inlineStr">
        <is>
          <t>I-01-03</t>
        </is>
      </c>
    </row>
    <row r="792">
      <c r="A792" s="30" t="inlineStr">
        <is>
          <t>O0791</t>
        </is>
      </c>
      <c r="B792" s="30" t="inlineStr">
        <is>
          <t>D</t>
        </is>
      </c>
      <c r="C792" s="31" t="n">
        <v>9881.9</v>
      </c>
      <c r="D792" s="31" t="n">
        <v>28857.9</v>
      </c>
      <c r="E792" s="31" t="n">
        <v>28870.9</v>
      </c>
      <c r="F792" s="31" t="n">
        <v>28881.5</v>
      </c>
      <c r="G792" s="31" t="n">
        <v>28903.7</v>
      </c>
      <c r="H792" s="31" t="n">
        <v>28903.8</v>
      </c>
      <c r="I792" s="31" t="n">
        <v>28912.3</v>
      </c>
      <c r="J792" s="31" t="n">
        <v>28943.8</v>
      </c>
      <c r="K792" s="31" t="n">
        <v>19061.9</v>
      </c>
      <c r="L792" s="31" t="n">
        <v>18976</v>
      </c>
      <c r="M792" s="30" t="inlineStr">
        <is>
          <t>AMR1</t>
        </is>
      </c>
      <c r="N792" s="30" t="inlineStr">
        <is>
          <t>AMR1</t>
        </is>
      </c>
      <c r="O792" s="32" t="n">
        <v>1</v>
      </c>
      <c r="P792" s="32" t="n">
        <v>12</v>
      </c>
      <c r="Q792" s="32" t="n">
        <v>1</v>
      </c>
      <c r="R792" s="31" t="n">
        <v>44.1</v>
      </c>
      <c r="S792" s="31" t="n">
        <v>44.1</v>
      </c>
      <c r="T792" s="30" t="inlineStr">
        <is>
          <t>AMR1</t>
        </is>
      </c>
      <c r="U792" s="31" t="n">
        <v>37.7</v>
      </c>
      <c r="V792" s="31" t="n">
        <v>37.7</v>
      </c>
      <c r="W792" s="30" t="inlineStr">
        <is>
          <t>AMR1</t>
        </is>
      </c>
      <c r="X792" s="32" t="n">
        <v>0</v>
      </c>
      <c r="Y792" s="32" t="n">
        <v>0</v>
      </c>
      <c r="Z792" s="31" t="n">
        <v>0</v>
      </c>
      <c r="AA792" s="32" t="n">
        <v>0</v>
      </c>
      <c r="AB792" s="32" t="n">
        <v>0</v>
      </c>
      <c r="AC792" s="32" t="n">
        <v>0</v>
      </c>
      <c r="AD792" s="32" t="n">
        <v>1</v>
      </c>
      <c r="AE792" s="31" t="n">
        <v>4</v>
      </c>
      <c r="AF792" s="32" t="n">
        <v>0</v>
      </c>
      <c r="AG792" s="31" t="n">
        <v>0</v>
      </c>
      <c r="AH792" s="32" t="n">
        <v>39</v>
      </c>
      <c r="AI792" s="31" t="n">
        <v>42.3</v>
      </c>
      <c r="AJ792" s="31" t="n">
        <v>38.5</v>
      </c>
      <c r="AK792" s="31" t="n">
        <v>5</v>
      </c>
      <c r="AL792" s="30" t="inlineStr">
        <is>
          <t>T-0938</t>
        </is>
      </c>
      <c r="AM792" s="30" t="inlineStr">
        <is>
          <t>D-01-04</t>
        </is>
      </c>
      <c r="AN792" s="30" t="inlineStr">
        <is>
          <t>T-0844</t>
        </is>
      </c>
      <c r="AO792" s="30" t="inlineStr">
        <is>
          <t>D-02-02</t>
        </is>
      </c>
    </row>
    <row r="793">
      <c r="A793" s="30" t="inlineStr">
        <is>
          <t>O0792</t>
        </is>
      </c>
      <c r="B793" s="30" t="inlineStr">
        <is>
          <t>J</t>
        </is>
      </c>
      <c r="C793" s="31" t="n">
        <v>9887.4</v>
      </c>
      <c r="D793" s="31" t="n">
        <v>28865.6</v>
      </c>
      <c r="E793" s="31" t="n">
        <v>28895.1</v>
      </c>
      <c r="F793" s="31" t="n">
        <v>28907.3</v>
      </c>
      <c r="G793" s="31" t="n">
        <v>28938</v>
      </c>
      <c r="H793" s="31" t="n">
        <v>29121.5</v>
      </c>
      <c r="I793" s="31" t="n">
        <v>29135.7</v>
      </c>
      <c r="J793" s="31" t="n">
        <v>29169.4</v>
      </c>
      <c r="K793" s="31" t="n">
        <v>19282</v>
      </c>
      <c r="L793" s="31" t="n">
        <v>18978.2</v>
      </c>
      <c r="M793" s="30" t="inlineStr">
        <is>
          <t>AMR3</t>
        </is>
      </c>
      <c r="N793" s="30" t="inlineStr">
        <is>
          <t>AMR1</t>
        </is>
      </c>
      <c r="O793" s="32" t="n">
        <v>1</v>
      </c>
      <c r="P793" s="32" t="n">
        <v>25</v>
      </c>
      <c r="Q793" s="32" t="n">
        <v>1</v>
      </c>
      <c r="R793" s="31" t="n">
        <v>62.2</v>
      </c>
      <c r="S793" s="31" t="n">
        <v>62.2</v>
      </c>
      <c r="T793" s="30" t="inlineStr">
        <is>
          <t>AMR3</t>
        </is>
      </c>
      <c r="U793" s="31" t="n">
        <v>46.1</v>
      </c>
      <c r="V793" s="31" t="n">
        <v>46.1</v>
      </c>
      <c r="W793" s="30" t="inlineStr">
        <is>
          <t>AMR1</t>
        </is>
      </c>
      <c r="X793" s="32" t="n">
        <v>0</v>
      </c>
      <c r="Y793" s="32" t="n">
        <v>0</v>
      </c>
      <c r="Z793" s="31" t="n">
        <v>0</v>
      </c>
      <c r="AA793" s="32" t="n">
        <v>0</v>
      </c>
      <c r="AB793" s="32" t="n">
        <v>0</v>
      </c>
      <c r="AC793" s="32" t="n">
        <v>0</v>
      </c>
      <c r="AD793" s="32" t="n">
        <v>0</v>
      </c>
      <c r="AE793" s="31" t="n">
        <v>0</v>
      </c>
      <c r="AF793" s="32" t="n">
        <v>1</v>
      </c>
      <c r="AG793" s="31" t="n">
        <v>1</v>
      </c>
      <c r="AH793" s="32" t="n">
        <v>71</v>
      </c>
      <c r="AI793" s="31" t="n">
        <v>70.7</v>
      </c>
      <c r="AJ793" s="31" t="n">
        <v>43.6</v>
      </c>
      <c r="AK793" s="31" t="n">
        <v>6</v>
      </c>
      <c r="AL793" s="30" t="inlineStr">
        <is>
          <t>T-0939</t>
        </is>
      </c>
      <c r="AM793" s="30" t="inlineStr">
        <is>
          <t>J-06-01</t>
        </is>
      </c>
      <c r="AN793" s="30" t="inlineStr">
        <is>
          <t>T-0749</t>
        </is>
      </c>
      <c r="AO793" s="30" t="inlineStr">
        <is>
          <t>J-05-01</t>
        </is>
      </c>
    </row>
    <row r="794">
      <c r="A794" s="30" t="inlineStr">
        <is>
          <t>O0793</t>
        </is>
      </c>
      <c r="B794" s="30" t="inlineStr">
        <is>
          <t>D</t>
        </is>
      </c>
      <c r="C794" s="31" t="n">
        <v>9892.6</v>
      </c>
      <c r="D794" s="31" t="n">
        <v>28928.5</v>
      </c>
      <c r="E794" s="31" t="n">
        <v>28952</v>
      </c>
      <c r="F794" s="31" t="n">
        <v>28966.5</v>
      </c>
      <c r="G794" s="31" t="n">
        <v>28991</v>
      </c>
      <c r="H794" s="31" t="n">
        <v>29094</v>
      </c>
      <c r="I794" s="31" t="n">
        <v>29104.3</v>
      </c>
      <c r="J794" s="31" t="n">
        <v>29135.3</v>
      </c>
      <c r="K794" s="31" t="n">
        <v>19242.7</v>
      </c>
      <c r="L794" s="31" t="n">
        <v>19035.9</v>
      </c>
      <c r="M794" s="30" t="inlineStr">
        <is>
          <t>AMR2</t>
        </is>
      </c>
      <c r="N794" s="30" t="inlineStr">
        <is>
          <t>AMR2</t>
        </is>
      </c>
      <c r="O794" s="32" t="n">
        <v>1</v>
      </c>
      <c r="P794" s="32" t="n">
        <v>25</v>
      </c>
      <c r="Q794" s="32" t="n">
        <v>0</v>
      </c>
      <c r="R794" s="31" t="n">
        <v>60.6</v>
      </c>
      <c r="S794" s="31" t="n">
        <v>60.6</v>
      </c>
      <c r="T794" s="30" t="inlineStr">
        <is>
          <t>AMR2</t>
        </is>
      </c>
      <c r="U794" s="31" t="n">
        <v>40.6</v>
      </c>
      <c r="V794" s="31" t="n">
        <v>40.6</v>
      </c>
      <c r="W794" s="30" t="inlineStr">
        <is>
          <t>AMR2</t>
        </is>
      </c>
      <c r="X794" s="32" t="n">
        <v>0</v>
      </c>
      <c r="Y794" s="32" t="n">
        <v>0</v>
      </c>
      <c r="Z794" s="31" t="n">
        <v>0</v>
      </c>
      <c r="AA794" s="32" t="n">
        <v>0</v>
      </c>
      <c r="AB794" s="32" t="n">
        <v>0</v>
      </c>
      <c r="AC794" s="32" t="n">
        <v>0</v>
      </c>
      <c r="AD794" s="32" t="n">
        <v>0</v>
      </c>
      <c r="AE794" s="31" t="n">
        <v>0</v>
      </c>
      <c r="AF794" s="32" t="n">
        <v>0</v>
      </c>
      <c r="AG794" s="31" t="n">
        <v>0</v>
      </c>
      <c r="AH794" s="32" t="n">
        <v>53</v>
      </c>
      <c r="AI794" s="31" t="n">
        <v>55.5</v>
      </c>
      <c r="AJ794" s="31" t="n">
        <v>48.3</v>
      </c>
      <c r="AK794" s="31" t="n">
        <v>0</v>
      </c>
      <c r="AL794" s="30" t="inlineStr">
        <is>
          <t>T-0940</t>
        </is>
      </c>
      <c r="AM794" s="30" t="inlineStr">
        <is>
          <t>D-02-02</t>
        </is>
      </c>
      <c r="AN794" s="30" t="inlineStr">
        <is>
          <t>T-0860</t>
        </is>
      </c>
      <c r="AO794" s="30" t="inlineStr">
        <is>
          <t>D-03-02</t>
        </is>
      </c>
    </row>
    <row r="795">
      <c r="A795" s="30" t="inlineStr">
        <is>
          <t>O0794</t>
        </is>
      </c>
      <c r="B795" s="30" t="inlineStr">
        <is>
          <t>C</t>
        </is>
      </c>
      <c r="C795" s="31" t="n">
        <v>9896.9</v>
      </c>
      <c r="D795" s="31" t="n">
        <v>28943.9</v>
      </c>
      <c r="E795" s="31" t="n">
        <v>28976.4</v>
      </c>
      <c r="F795" s="31" t="n">
        <v>28986.9</v>
      </c>
      <c r="G795" s="31" t="n">
        <v>29007.4</v>
      </c>
      <c r="H795" s="31" t="n">
        <v>29007.5</v>
      </c>
      <c r="I795" s="31" t="n">
        <v>29019.3</v>
      </c>
      <c r="J795" s="31" t="n">
        <v>29047</v>
      </c>
      <c r="K795" s="31" t="n">
        <v>19150.1</v>
      </c>
      <c r="L795" s="31" t="n">
        <v>19047</v>
      </c>
      <c r="M795" s="30" t="inlineStr">
        <is>
          <t>AMR1</t>
        </is>
      </c>
      <c r="N795" s="30" t="inlineStr">
        <is>
          <t>AMR1</t>
        </is>
      </c>
      <c r="O795" s="32" t="n">
        <v>1</v>
      </c>
      <c r="P795" s="32" t="n">
        <v>25</v>
      </c>
      <c r="Q795" s="32" t="n">
        <v>1</v>
      </c>
      <c r="R795" s="31" t="n">
        <v>52.6</v>
      </c>
      <c r="S795" s="31" t="n">
        <v>52.6</v>
      </c>
      <c r="T795" s="30" t="inlineStr">
        <is>
          <t>AMR1</t>
        </is>
      </c>
      <c r="U795" s="31" t="n">
        <v>37.7</v>
      </c>
      <c r="V795" s="31" t="n">
        <v>37.7</v>
      </c>
      <c r="W795" s="30" t="inlineStr">
        <is>
          <t>AMR1</t>
        </is>
      </c>
      <c r="X795" s="32" t="n">
        <v>0</v>
      </c>
      <c r="Y795" s="32" t="n">
        <v>0</v>
      </c>
      <c r="Z795" s="31" t="n">
        <v>0</v>
      </c>
      <c r="AA795" s="32" t="n">
        <v>0</v>
      </c>
      <c r="AB795" s="32" t="n">
        <v>0</v>
      </c>
      <c r="AC795" s="32" t="n">
        <v>0</v>
      </c>
      <c r="AD795" s="32" t="n">
        <v>1</v>
      </c>
      <c r="AE795" s="31" t="n">
        <v>2</v>
      </c>
      <c r="AF795" s="32" t="n">
        <v>1</v>
      </c>
      <c r="AG795" s="31" t="n">
        <v>4</v>
      </c>
      <c r="AH795" s="32" t="n">
        <v>54</v>
      </c>
      <c r="AI795" s="31" t="n">
        <v>54.8</v>
      </c>
      <c r="AJ795" s="31" t="n">
        <v>37.2</v>
      </c>
      <c r="AK795" s="31" t="n">
        <v>11</v>
      </c>
      <c r="AL795" s="30" t="inlineStr">
        <is>
          <t>T-0941</t>
        </is>
      </c>
      <c r="AM795" s="30" t="inlineStr">
        <is>
          <t>C-01-01</t>
        </is>
      </c>
      <c r="AN795" s="30" t="inlineStr">
        <is>
          <t>T-0800</t>
        </is>
      </c>
      <c r="AO795" s="30" t="inlineStr">
        <is>
          <t>C-05-01</t>
        </is>
      </c>
    </row>
    <row r="796">
      <c r="A796" s="30" t="inlineStr">
        <is>
          <t>O0795</t>
        </is>
      </c>
      <c r="B796" s="30" t="inlineStr">
        <is>
          <t>D</t>
        </is>
      </c>
      <c r="C796" s="31" t="n">
        <v>9903.700000000001</v>
      </c>
      <c r="D796" s="31" t="n">
        <v>29031.2</v>
      </c>
      <c r="E796" s="31" t="n">
        <v>29054.7</v>
      </c>
      <c r="F796" s="31" t="n">
        <v>29069.2</v>
      </c>
      <c r="G796" s="31" t="n">
        <v>29093.9</v>
      </c>
      <c r="H796" s="31" t="n">
        <v>29557.1</v>
      </c>
      <c r="I796" s="31" t="n">
        <v>29586.3</v>
      </c>
      <c r="J796" s="31" t="n">
        <v>29617.6</v>
      </c>
      <c r="K796" s="31" t="n">
        <v>19713.9</v>
      </c>
      <c r="L796" s="31" t="n">
        <v>19127.5</v>
      </c>
      <c r="M796" s="30" t="inlineStr">
        <is>
          <t>AMR2</t>
        </is>
      </c>
      <c r="N796" s="30" t="inlineStr">
        <is>
          <t>AMR3</t>
        </is>
      </c>
      <c r="O796" s="32" t="n">
        <v>1</v>
      </c>
      <c r="P796" s="32" t="n">
        <v>25</v>
      </c>
      <c r="Q796" s="32" t="n">
        <v>16</v>
      </c>
      <c r="R796" s="31" t="n">
        <v>60</v>
      </c>
      <c r="S796" s="31" t="n">
        <v>60</v>
      </c>
      <c r="T796" s="30" t="inlineStr">
        <is>
          <t>AMR2</t>
        </is>
      </c>
      <c r="U796" s="31" t="n">
        <v>57.4</v>
      </c>
      <c r="V796" s="31" t="n">
        <v>57.4</v>
      </c>
      <c r="W796" s="30" t="inlineStr">
        <is>
          <t>AMR3</t>
        </is>
      </c>
      <c r="X796" s="32" t="n">
        <v>0</v>
      </c>
      <c r="Y796" s="32" t="n">
        <v>0</v>
      </c>
      <c r="Z796" s="31" t="n">
        <v>0</v>
      </c>
      <c r="AA796" s="32" t="n">
        <v>0</v>
      </c>
      <c r="AB796" s="32" t="n">
        <v>0</v>
      </c>
      <c r="AC796" s="32" t="n">
        <v>0</v>
      </c>
      <c r="AD796" s="32" t="n">
        <v>0</v>
      </c>
      <c r="AE796" s="31" t="n">
        <v>0</v>
      </c>
      <c r="AF796" s="32" t="n">
        <v>0</v>
      </c>
      <c r="AG796" s="31" t="n">
        <v>0</v>
      </c>
      <c r="AH796" s="32" t="n">
        <v>72</v>
      </c>
      <c r="AI796" s="31" t="n">
        <v>74.3</v>
      </c>
      <c r="AJ796" s="31" t="n">
        <v>48.9</v>
      </c>
      <c r="AK796" s="31" t="n">
        <v>0</v>
      </c>
      <c r="AL796" s="30" t="inlineStr">
        <is>
          <t>T-0943</t>
        </is>
      </c>
      <c r="AM796" s="30" t="inlineStr">
        <is>
          <t>D-03-03</t>
        </is>
      </c>
      <c r="AN796" s="30" t="inlineStr">
        <is>
          <t>T-0890</t>
        </is>
      </c>
      <c r="AO796" s="30" t="inlineStr">
        <is>
          <t>D-05-03</t>
        </is>
      </c>
    </row>
    <row r="797">
      <c r="A797" s="30" t="inlineStr">
        <is>
          <t>O0796</t>
        </is>
      </c>
      <c r="B797" s="30" t="inlineStr">
        <is>
          <t>I</t>
        </is>
      </c>
      <c r="C797" s="31" t="n">
        <v>9910.5</v>
      </c>
      <c r="D797" s="31" t="n">
        <v>29094.7</v>
      </c>
      <c r="E797" s="31" t="n">
        <v>29118.2</v>
      </c>
      <c r="F797" s="31" t="n">
        <v>29130.8</v>
      </c>
      <c r="G797" s="31" t="n">
        <v>29154.9</v>
      </c>
      <c r="H797" s="31" t="n">
        <v>29155</v>
      </c>
      <c r="I797" s="31" t="n">
        <v>29169.9</v>
      </c>
      <c r="J797" s="31" t="n">
        <v>29194.7</v>
      </c>
      <c r="K797" s="31" t="n">
        <v>19284.2</v>
      </c>
      <c r="L797" s="31" t="n">
        <v>19184.2</v>
      </c>
      <c r="M797" s="30" t="inlineStr">
        <is>
          <t>AMR3</t>
        </is>
      </c>
      <c r="N797" s="30" t="inlineStr">
        <is>
          <t>AMR3</t>
        </is>
      </c>
      <c r="O797" s="32" t="n">
        <v>1</v>
      </c>
      <c r="P797" s="32" t="n">
        <v>25</v>
      </c>
      <c r="Q797" s="32" t="n">
        <v>1</v>
      </c>
      <c r="R797" s="31" t="n">
        <v>58.4</v>
      </c>
      <c r="S797" s="31" t="n">
        <v>58.4</v>
      </c>
      <c r="T797" s="30" t="inlineStr">
        <is>
          <t>AMR3</t>
        </is>
      </c>
      <c r="U797" s="31" t="n">
        <v>37.9</v>
      </c>
      <c r="V797" s="31" t="n">
        <v>37.9</v>
      </c>
      <c r="W797" s="30" t="inlineStr">
        <is>
          <t>AMR3</t>
        </is>
      </c>
      <c r="X797" s="32" t="n">
        <v>0</v>
      </c>
      <c r="Y797" s="32" t="n">
        <v>0</v>
      </c>
      <c r="Z797" s="31" t="n">
        <v>0</v>
      </c>
      <c r="AA797" s="32" t="n">
        <v>0</v>
      </c>
      <c r="AB797" s="32" t="n">
        <v>0</v>
      </c>
      <c r="AC797" s="32" t="n">
        <v>0</v>
      </c>
      <c r="AD797" s="32" t="n">
        <v>0</v>
      </c>
      <c r="AE797" s="31" t="n">
        <v>0</v>
      </c>
      <c r="AF797" s="32" t="n">
        <v>0</v>
      </c>
      <c r="AG797" s="31" t="n">
        <v>0</v>
      </c>
      <c r="AH797" s="32" t="n">
        <v>54</v>
      </c>
      <c r="AI797" s="31" t="n">
        <v>57.7</v>
      </c>
      <c r="AJ797" s="31" t="n">
        <v>42.2</v>
      </c>
      <c r="AK797" s="31" t="n">
        <v>0</v>
      </c>
      <c r="AL797" s="30" t="inlineStr">
        <is>
          <t>T-0945</t>
        </is>
      </c>
      <c r="AM797" s="30" t="inlineStr">
        <is>
          <t>I-01-03</t>
        </is>
      </c>
      <c r="AN797" s="30" t="inlineStr">
        <is>
          <t>T-0881</t>
        </is>
      </c>
      <c r="AO797" s="30" t="inlineStr">
        <is>
          <t>I-03-01</t>
        </is>
      </c>
    </row>
    <row r="798">
      <c r="A798" s="30" t="inlineStr">
        <is>
          <t>O0797</t>
        </is>
      </c>
      <c r="B798" s="30" t="inlineStr">
        <is>
          <t>I</t>
        </is>
      </c>
      <c r="C798" s="31" t="n">
        <v>9916.299999999999</v>
      </c>
      <c r="D798" s="31" t="n">
        <v>29283.3</v>
      </c>
      <c r="E798" s="31" t="n">
        <v>29306.8</v>
      </c>
      <c r="F798" s="31" t="n">
        <v>29321.3</v>
      </c>
      <c r="G798" s="31" t="n">
        <v>29349</v>
      </c>
      <c r="H798" s="31" t="n">
        <v>29349.1</v>
      </c>
      <c r="I798" s="31" t="n">
        <v>29362.8</v>
      </c>
      <c r="J798" s="31" t="n">
        <v>29392.7</v>
      </c>
      <c r="K798" s="31" t="n">
        <v>19476.4</v>
      </c>
      <c r="L798" s="31" t="n">
        <v>19367</v>
      </c>
      <c r="M798" s="30" t="inlineStr">
        <is>
          <t>AMR2</t>
        </is>
      </c>
      <c r="N798" s="30" t="inlineStr">
        <is>
          <t>AMR2</t>
        </is>
      </c>
      <c r="O798" s="32" t="n">
        <v>1</v>
      </c>
      <c r="P798" s="32" t="n">
        <v>25</v>
      </c>
      <c r="Q798" s="32" t="n">
        <v>1</v>
      </c>
      <c r="R798" s="31" t="n">
        <v>62.3</v>
      </c>
      <c r="S798" s="31" t="n">
        <v>62.3</v>
      </c>
      <c r="T798" s="30" t="inlineStr">
        <is>
          <t>AMR2</t>
        </is>
      </c>
      <c r="U798" s="31" t="n">
        <v>40</v>
      </c>
      <c r="V798" s="31" t="n">
        <v>40</v>
      </c>
      <c r="W798" s="30" t="inlineStr">
        <is>
          <t>AMR2</t>
        </is>
      </c>
      <c r="X798" s="32" t="n">
        <v>0</v>
      </c>
      <c r="Y798" s="32" t="n">
        <v>0</v>
      </c>
      <c r="Z798" s="31" t="n">
        <v>0</v>
      </c>
      <c r="AA798" s="32" t="n">
        <v>0</v>
      </c>
      <c r="AB798" s="32" t="n">
        <v>0</v>
      </c>
      <c r="AC798" s="32" t="n">
        <v>0</v>
      </c>
      <c r="AD798" s="32" t="n">
        <v>0</v>
      </c>
      <c r="AE798" s="31" t="n">
        <v>0</v>
      </c>
      <c r="AF798" s="32" t="n">
        <v>0</v>
      </c>
      <c r="AG798" s="31" t="n">
        <v>0</v>
      </c>
      <c r="AH798" s="32" t="n">
        <v>60</v>
      </c>
      <c r="AI798" s="31" t="n">
        <v>61.1</v>
      </c>
      <c r="AJ798" s="31" t="n">
        <v>48.2</v>
      </c>
      <c r="AK798" s="31" t="n">
        <v>0</v>
      </c>
      <c r="AL798" s="30" t="inlineStr">
        <is>
          <t>T-0950</t>
        </is>
      </c>
      <c r="AM798" s="30" t="inlineStr">
        <is>
          <t>I-04-01</t>
        </is>
      </c>
      <c r="AN798" s="30" t="inlineStr">
        <is>
          <t>T-0887</t>
        </is>
      </c>
      <c r="AO798" s="30" t="inlineStr">
        <is>
          <t>I-05-01</t>
        </is>
      </c>
    </row>
    <row r="799">
      <c r="A799" s="30" t="inlineStr">
        <is>
          <t>O0798</t>
        </is>
      </c>
      <c r="B799" s="30" t="inlineStr">
        <is>
          <t>D</t>
        </is>
      </c>
      <c r="C799" s="31" t="n">
        <v>9920</v>
      </c>
      <c r="D799" s="31" t="n">
        <v>29192.8</v>
      </c>
      <c r="E799" s="31" t="n">
        <v>29207.8</v>
      </c>
      <c r="F799" s="31" t="n">
        <v>29222.4</v>
      </c>
      <c r="G799" s="31" t="n">
        <v>29243</v>
      </c>
      <c r="H799" s="31" t="n">
        <v>29243.1</v>
      </c>
      <c r="I799" s="31" t="n">
        <v>29252.5</v>
      </c>
      <c r="J799" s="31" t="n">
        <v>29283.2</v>
      </c>
      <c r="K799" s="31" t="n">
        <v>19363.2</v>
      </c>
      <c r="L799" s="31" t="n">
        <v>19272.8</v>
      </c>
      <c r="M799" s="30" t="inlineStr">
        <is>
          <t>AMR2</t>
        </is>
      </c>
      <c r="N799" s="30" t="inlineStr">
        <is>
          <t>AMR2</t>
        </is>
      </c>
      <c r="O799" s="32" t="n">
        <v>1</v>
      </c>
      <c r="P799" s="32" t="n">
        <v>14</v>
      </c>
      <c r="Q799" s="32" t="n">
        <v>0</v>
      </c>
      <c r="R799" s="31" t="n">
        <v>47.1</v>
      </c>
      <c r="S799" s="31" t="n">
        <v>47.1</v>
      </c>
      <c r="T799" s="30" t="inlineStr">
        <is>
          <t>AMR2</t>
        </is>
      </c>
      <c r="U799" s="31" t="n">
        <v>38.3</v>
      </c>
      <c r="V799" s="31" t="n">
        <v>38.3</v>
      </c>
      <c r="W799" s="30" t="inlineStr">
        <is>
          <t>AMR2</t>
        </is>
      </c>
      <c r="X799" s="32" t="n">
        <v>0</v>
      </c>
      <c r="Y799" s="32" t="n">
        <v>0</v>
      </c>
      <c r="Z799" s="31" t="n">
        <v>0</v>
      </c>
      <c r="AA799" s="32" t="n">
        <v>0</v>
      </c>
      <c r="AB799" s="32" t="n">
        <v>0</v>
      </c>
      <c r="AC799" s="32" t="n">
        <v>0</v>
      </c>
      <c r="AD799" s="32" t="n">
        <v>0</v>
      </c>
      <c r="AE799" s="31" t="n">
        <v>0</v>
      </c>
      <c r="AF799" s="32" t="n">
        <v>0</v>
      </c>
      <c r="AG799" s="31" t="n">
        <v>0</v>
      </c>
      <c r="AH799" s="32" t="n">
        <v>45</v>
      </c>
      <c r="AI799" s="31" t="n">
        <v>47.9</v>
      </c>
      <c r="AJ799" s="31" t="n">
        <v>41.4</v>
      </c>
      <c r="AK799" s="31" t="n">
        <v>1</v>
      </c>
      <c r="AL799" s="30" t="inlineStr">
        <is>
          <t>T-0947</t>
        </is>
      </c>
      <c r="AM799" s="30" t="inlineStr">
        <is>
          <t>D-03-02</t>
        </is>
      </c>
      <c r="AN799" s="30" t="inlineStr">
        <is>
          <t>T-0871</t>
        </is>
      </c>
      <c r="AO799" s="30" t="inlineStr">
        <is>
          <t>D-04-02</t>
        </is>
      </c>
    </row>
    <row r="800">
      <c r="A800" s="30" t="inlineStr">
        <is>
          <t>O0799</t>
        </is>
      </c>
      <c r="B800" s="30" t="inlineStr">
        <is>
          <t>H</t>
        </is>
      </c>
      <c r="C800" s="31" t="n">
        <v>9923.1</v>
      </c>
      <c r="D800" s="31" t="n">
        <v>29135.4</v>
      </c>
      <c r="E800" s="31" t="n">
        <v>29158.9</v>
      </c>
      <c r="F800" s="31" t="n">
        <v>29170.7</v>
      </c>
      <c r="G800" s="31" t="n">
        <v>29192.7</v>
      </c>
      <c r="H800" s="31" t="n">
        <v>29302.4</v>
      </c>
      <c r="I800" s="31" t="n">
        <v>29327.7</v>
      </c>
      <c r="J800" s="31" t="n">
        <v>29356.1</v>
      </c>
      <c r="K800" s="31" t="n">
        <v>19433</v>
      </c>
      <c r="L800" s="31" t="n">
        <v>19212.3</v>
      </c>
      <c r="M800" s="30" t="inlineStr">
        <is>
          <t>AMR2</t>
        </is>
      </c>
      <c r="N800" s="30" t="inlineStr">
        <is>
          <t>AMR3</t>
        </is>
      </c>
      <c r="O800" s="32" t="n">
        <v>1</v>
      </c>
      <c r="P800" s="32" t="n">
        <v>25</v>
      </c>
      <c r="Q800" s="32" t="n">
        <v>14</v>
      </c>
      <c r="R800" s="31" t="n">
        <v>55.5</v>
      </c>
      <c r="S800" s="31" t="n">
        <v>55.5</v>
      </c>
      <c r="T800" s="30" t="inlineStr">
        <is>
          <t>AMR2</t>
        </is>
      </c>
      <c r="U800" s="31" t="n">
        <v>53.9</v>
      </c>
      <c r="V800" s="31" t="n">
        <v>53.9</v>
      </c>
      <c r="W800" s="30" t="inlineStr">
        <is>
          <t>AMR3</t>
        </is>
      </c>
      <c r="X800" s="32" t="n">
        <v>0</v>
      </c>
      <c r="Y800" s="32" t="n">
        <v>0</v>
      </c>
      <c r="Z800" s="31" t="n">
        <v>0</v>
      </c>
      <c r="AA800" s="32" t="n">
        <v>0</v>
      </c>
      <c r="AB800" s="32" t="n">
        <v>0</v>
      </c>
      <c r="AC800" s="32" t="n">
        <v>0</v>
      </c>
      <c r="AD800" s="32" t="n">
        <v>0</v>
      </c>
      <c r="AE800" s="31" t="n">
        <v>0</v>
      </c>
      <c r="AF800" s="32" t="n">
        <v>0</v>
      </c>
      <c r="AG800" s="31" t="n">
        <v>0</v>
      </c>
      <c r="AH800" s="32" t="n">
        <v>65</v>
      </c>
      <c r="AI800" s="31" t="n">
        <v>67.5</v>
      </c>
      <c r="AJ800" s="31" t="n">
        <v>43.5</v>
      </c>
      <c r="AK800" s="31" t="n">
        <v>0</v>
      </c>
      <c r="AL800" s="30" t="inlineStr">
        <is>
          <t>T-0946</t>
        </is>
      </c>
      <c r="AM800" s="30" t="inlineStr">
        <is>
          <t>H-01-02</t>
        </is>
      </c>
      <c r="AN800" s="30" t="inlineStr">
        <is>
          <t>T-0861</t>
        </is>
      </c>
      <c r="AO800" s="30" t="inlineStr">
        <is>
          <t>H-02-01</t>
        </is>
      </c>
    </row>
    <row r="801">
      <c r="A801" s="30" t="inlineStr">
        <is>
          <t>O0800</t>
        </is>
      </c>
      <c r="B801" s="30" t="inlineStr">
        <is>
          <t>I</t>
        </is>
      </c>
      <c r="C801" s="31" t="n">
        <v>9929.200000000001</v>
      </c>
      <c r="D801" s="31" t="n">
        <v>29194.8</v>
      </c>
      <c r="E801" s="31" t="n">
        <v>29222.5</v>
      </c>
      <c r="F801" s="31" t="n">
        <v>29234.5</v>
      </c>
      <c r="G801" s="31" t="n">
        <v>29258</v>
      </c>
      <c r="H801" s="31" t="n">
        <v>29258.1</v>
      </c>
      <c r="I801" s="31" t="n">
        <v>29268.9</v>
      </c>
      <c r="J801" s="31" t="n">
        <v>29302.3</v>
      </c>
      <c r="K801" s="31" t="n">
        <v>19373.1</v>
      </c>
      <c r="L801" s="31" t="n">
        <v>19265.6</v>
      </c>
      <c r="M801" s="30" t="inlineStr">
        <is>
          <t>AMR3</t>
        </is>
      </c>
      <c r="N801" s="30" t="inlineStr">
        <is>
          <t>AMR3</t>
        </is>
      </c>
      <c r="O801" s="32" t="n">
        <v>1</v>
      </c>
      <c r="P801" s="32" t="n">
        <v>25</v>
      </c>
      <c r="Q801" s="32" t="n">
        <v>0</v>
      </c>
      <c r="R801" s="31" t="n">
        <v>56.3</v>
      </c>
      <c r="S801" s="31" t="n">
        <v>56.3</v>
      </c>
      <c r="T801" s="30" t="inlineStr">
        <is>
          <t>AMR3</t>
        </is>
      </c>
      <c r="U801" s="31" t="n">
        <v>39.4</v>
      </c>
      <c r="V801" s="31" t="n">
        <v>39.4</v>
      </c>
      <c r="W801" s="30" t="inlineStr">
        <is>
          <t>AMR3</t>
        </is>
      </c>
      <c r="X801" s="32" t="n">
        <v>0</v>
      </c>
      <c r="Y801" s="32" t="n">
        <v>0</v>
      </c>
      <c r="Z801" s="31" t="n">
        <v>0</v>
      </c>
      <c r="AA801" s="32" t="n">
        <v>0</v>
      </c>
      <c r="AB801" s="32" t="n">
        <v>0</v>
      </c>
      <c r="AC801" s="32" t="n">
        <v>0</v>
      </c>
      <c r="AD801" s="32" t="n">
        <v>1</v>
      </c>
      <c r="AE801" s="31" t="n">
        <v>3</v>
      </c>
      <c r="AF801" s="32" t="n">
        <v>0</v>
      </c>
      <c r="AG801" s="31" t="n">
        <v>0</v>
      </c>
      <c r="AH801" s="32" t="n">
        <v>56</v>
      </c>
      <c r="AI801" s="31" t="n">
        <v>57.9</v>
      </c>
      <c r="AJ801" s="31" t="n">
        <v>42.3</v>
      </c>
      <c r="AK801" s="31" t="n">
        <v>7.2</v>
      </c>
      <c r="AL801" s="30" t="inlineStr">
        <is>
          <t>T-0949</t>
        </is>
      </c>
      <c r="AM801" s="30" t="inlineStr">
        <is>
          <t>I-03-01</t>
        </is>
      </c>
      <c r="AN801" s="30" t="inlineStr">
        <is>
          <t>T-0884</t>
        </is>
      </c>
      <c r="AO801" s="30" t="inlineStr">
        <is>
          <t>I-04-01</t>
        </is>
      </c>
    </row>
    <row r="802">
      <c r="A802" s="30" t="inlineStr">
        <is>
          <t>O0801</t>
        </is>
      </c>
      <c r="B802" s="30" t="inlineStr">
        <is>
          <t>J</t>
        </is>
      </c>
      <c r="C802" s="31" t="n">
        <v>9949.299999999999</v>
      </c>
      <c r="D802" s="31" t="n">
        <v>29528.7</v>
      </c>
      <c r="E802" s="31" t="n">
        <v>29552.2</v>
      </c>
      <c r="F802" s="31" t="n">
        <v>29567.2</v>
      </c>
      <c r="G802" s="31" t="n">
        <v>29597.1</v>
      </c>
      <c r="H802" s="31" t="n">
        <v>29597.2</v>
      </c>
      <c r="I802" s="31" t="n">
        <v>29611.5</v>
      </c>
      <c r="J802" s="31" t="n">
        <v>29643.4</v>
      </c>
      <c r="K802" s="31" t="n">
        <v>19694.1</v>
      </c>
      <c r="L802" s="31" t="n">
        <v>19579.4</v>
      </c>
      <c r="M802" s="30" t="inlineStr">
        <is>
          <t>AMR1</t>
        </is>
      </c>
      <c r="N802" s="30" t="inlineStr">
        <is>
          <t>AMR1</t>
        </is>
      </c>
      <c r="O802" s="32" t="n">
        <v>1</v>
      </c>
      <c r="P802" s="32" t="n">
        <v>25</v>
      </c>
      <c r="Q802" s="32" t="n">
        <v>1</v>
      </c>
      <c r="R802" s="31" t="n">
        <v>65</v>
      </c>
      <c r="S802" s="31" t="n">
        <v>65</v>
      </c>
      <c r="T802" s="30" t="inlineStr">
        <is>
          <t>AMR1</t>
        </is>
      </c>
      <c r="U802" s="31" t="n">
        <v>46.9</v>
      </c>
      <c r="V802" s="31" t="n">
        <v>46.9</v>
      </c>
      <c r="W802" s="30" t="inlineStr">
        <is>
          <t>AMR1</t>
        </is>
      </c>
      <c r="X802" s="32" t="n">
        <v>0</v>
      </c>
      <c r="Y802" s="32" t="n">
        <v>0</v>
      </c>
      <c r="Z802" s="31" t="n">
        <v>0</v>
      </c>
      <c r="AA802" s="32" t="n">
        <v>0</v>
      </c>
      <c r="AB802" s="32" t="n">
        <v>0</v>
      </c>
      <c r="AC802" s="32" t="n">
        <v>0</v>
      </c>
      <c r="AD802" s="32" t="n">
        <v>0</v>
      </c>
      <c r="AE802" s="31" t="n">
        <v>0</v>
      </c>
      <c r="AF802" s="32" t="n">
        <v>0</v>
      </c>
      <c r="AG802" s="31" t="n">
        <v>0</v>
      </c>
      <c r="AH802" s="32" t="n">
        <v>68</v>
      </c>
      <c r="AI802" s="31" t="n">
        <v>67.40000000000001</v>
      </c>
      <c r="AJ802" s="31" t="n">
        <v>47.2</v>
      </c>
      <c r="AK802" s="31" t="n">
        <v>0</v>
      </c>
      <c r="AL802" s="30" t="inlineStr">
        <is>
          <t>T-0956</t>
        </is>
      </c>
      <c r="AM802" s="30" t="inlineStr">
        <is>
          <t>J-05-01</t>
        </is>
      </c>
      <c r="AN802" s="30" t="inlineStr">
        <is>
          <t>T-0757</t>
        </is>
      </c>
      <c r="AO802" s="30" t="inlineStr">
        <is>
          <t>J-02-02</t>
        </is>
      </c>
    </row>
    <row r="803">
      <c r="A803" s="30" t="inlineStr">
        <is>
          <t>O0802</t>
        </is>
      </c>
      <c r="B803" s="30" t="inlineStr">
        <is>
          <t>I</t>
        </is>
      </c>
      <c r="C803" s="31" t="n">
        <v>9967</v>
      </c>
      <c r="D803" s="31" t="n">
        <v>29454.4</v>
      </c>
      <c r="E803" s="31" t="n">
        <v>29477.9</v>
      </c>
      <c r="F803" s="31" t="n">
        <v>29490.3</v>
      </c>
      <c r="G803" s="31" t="n">
        <v>29516.8</v>
      </c>
      <c r="H803" s="31" t="n">
        <v>29516.9</v>
      </c>
      <c r="I803" s="31" t="n">
        <v>29530.4</v>
      </c>
      <c r="J803" s="31" t="n">
        <v>29557</v>
      </c>
      <c r="K803" s="31" t="n">
        <v>19590</v>
      </c>
      <c r="L803" s="31" t="n">
        <v>19487.4</v>
      </c>
      <c r="M803" s="30" t="inlineStr">
        <is>
          <t>AMR3</t>
        </is>
      </c>
      <c r="N803" s="30" t="inlineStr">
        <is>
          <t>AMR3</t>
        </is>
      </c>
      <c r="O803" s="32" t="n">
        <v>1</v>
      </c>
      <c r="P803" s="32" t="n">
        <v>25</v>
      </c>
      <c r="Q803" s="32" t="n">
        <v>1</v>
      </c>
      <c r="R803" s="31" t="n">
        <v>59</v>
      </c>
      <c r="S803" s="31" t="n">
        <v>59</v>
      </c>
      <c r="T803" s="30" t="inlineStr">
        <is>
          <t>AMR3</t>
        </is>
      </c>
      <c r="U803" s="31" t="n">
        <v>36.7</v>
      </c>
      <c r="V803" s="31" t="n">
        <v>36.7</v>
      </c>
      <c r="W803" s="30" t="inlineStr">
        <is>
          <t>AMR3</t>
        </is>
      </c>
      <c r="X803" s="32" t="n">
        <v>0</v>
      </c>
      <c r="Y803" s="32" t="n">
        <v>0</v>
      </c>
      <c r="Z803" s="31" t="n">
        <v>0</v>
      </c>
      <c r="AA803" s="32" t="n">
        <v>0</v>
      </c>
      <c r="AB803" s="32" t="n">
        <v>0</v>
      </c>
      <c r="AC803" s="32" t="n">
        <v>0</v>
      </c>
      <c r="AD803" s="32" t="n">
        <v>0</v>
      </c>
      <c r="AE803" s="31" t="n">
        <v>0</v>
      </c>
      <c r="AF803" s="32" t="n">
        <v>0</v>
      </c>
      <c r="AG803" s="31" t="n">
        <v>0</v>
      </c>
      <c r="AH803" s="32" t="n">
        <v>58</v>
      </c>
      <c r="AI803" s="31" t="n">
        <v>60.9</v>
      </c>
      <c r="AJ803" s="31" t="n">
        <v>41.6</v>
      </c>
      <c r="AK803" s="31" t="n">
        <v>0</v>
      </c>
      <c r="AL803" s="30" t="inlineStr">
        <is>
          <t>T-0955</t>
        </is>
      </c>
      <c r="AM803" s="30" t="inlineStr">
        <is>
          <t>I-05-01</t>
        </is>
      </c>
      <c r="AN803" s="30" t="inlineStr">
        <is>
          <t>T-0889</t>
        </is>
      </c>
      <c r="AO803" s="30" t="inlineStr">
        <is>
          <t>I-06-01</t>
        </is>
      </c>
    </row>
    <row r="804">
      <c r="A804" s="30" t="inlineStr">
        <is>
          <t>O0803</t>
        </is>
      </c>
      <c r="B804" s="30" t="inlineStr">
        <is>
          <t>A</t>
        </is>
      </c>
      <c r="C804" s="31" t="n">
        <v>9987.4</v>
      </c>
      <c r="D804" s="31" t="n">
        <v>29314</v>
      </c>
      <c r="E804" s="31" t="n">
        <v>29337.5</v>
      </c>
      <c r="F804" s="31" t="n">
        <v>29349.9</v>
      </c>
      <c r="G804" s="31" t="n">
        <v>29376</v>
      </c>
      <c r="H804" s="31" t="n">
        <v>31658</v>
      </c>
      <c r="I804" s="31" t="n">
        <v>31667.3</v>
      </c>
      <c r="J804" s="31" t="n">
        <v>31706.3</v>
      </c>
      <c r="K804" s="31" t="n">
        <v>21718.9</v>
      </c>
      <c r="L804" s="31" t="n">
        <v>19326.6</v>
      </c>
      <c r="M804" s="30" t="inlineStr">
        <is>
          <t>AMR1</t>
        </is>
      </c>
      <c r="N804" s="30" t="inlineStr">
        <is>
          <t>AMR3</t>
        </is>
      </c>
      <c r="O804" s="32" t="n">
        <v>1</v>
      </c>
      <c r="P804" s="32" t="n">
        <v>25</v>
      </c>
      <c r="Q804" s="32" t="n">
        <v>1</v>
      </c>
      <c r="R804" s="31" t="n">
        <v>60.1</v>
      </c>
      <c r="S804" s="31" t="n">
        <v>60.1</v>
      </c>
      <c r="T804" s="30" t="inlineStr">
        <is>
          <t>AMR1</t>
        </is>
      </c>
      <c r="U804" s="31" t="n">
        <v>48.9</v>
      </c>
      <c r="V804" s="31" t="n">
        <v>48.9</v>
      </c>
      <c r="W804" s="30" t="inlineStr">
        <is>
          <t>AMR3</t>
        </is>
      </c>
      <c r="X804" s="32" t="n">
        <v>0</v>
      </c>
      <c r="Y804" s="32" t="n">
        <v>0</v>
      </c>
      <c r="Z804" s="31" t="n">
        <v>0</v>
      </c>
      <c r="AA804" s="32" t="n">
        <v>0</v>
      </c>
      <c r="AB804" s="32" t="n">
        <v>0</v>
      </c>
      <c r="AC804" s="32" t="n">
        <v>0</v>
      </c>
      <c r="AD804" s="32" t="n">
        <v>0</v>
      </c>
      <c r="AE804" s="31" t="n">
        <v>0</v>
      </c>
      <c r="AF804" s="32" t="n">
        <v>0</v>
      </c>
      <c r="AG804" s="31" t="n">
        <v>0</v>
      </c>
      <c r="AH804" s="32" t="n">
        <v>70</v>
      </c>
      <c r="AI804" s="31" t="n">
        <v>68.7</v>
      </c>
      <c r="AJ804" s="31" t="n">
        <v>41.6</v>
      </c>
      <c r="AK804" s="31" t="n">
        <v>0</v>
      </c>
      <c r="AL804" s="30" t="inlineStr">
        <is>
          <t>T-0951</t>
        </is>
      </c>
      <c r="AM804" s="30" t="inlineStr">
        <is>
          <t>A-05-02</t>
        </is>
      </c>
      <c r="AN804" s="30" t="inlineStr">
        <is>
          <t>T-0783</t>
        </is>
      </c>
      <c r="AO804" s="30" t="inlineStr">
        <is>
          <t>A-02-03</t>
        </is>
      </c>
    </row>
    <row r="805">
      <c r="A805" s="30" t="inlineStr">
        <is>
          <t>O0804</t>
        </is>
      </c>
      <c r="B805" s="30" t="inlineStr">
        <is>
          <t>G</t>
        </is>
      </c>
      <c r="C805" s="31" t="n">
        <v>10007.9</v>
      </c>
      <c r="D805" s="31" t="n">
        <v>29580.1</v>
      </c>
      <c r="E805" s="31" t="n">
        <v>29603.6</v>
      </c>
      <c r="F805" s="31" t="n">
        <v>29616.1</v>
      </c>
      <c r="G805" s="31" t="n">
        <v>29643.5</v>
      </c>
      <c r="H805" s="31" t="n">
        <v>29643.6</v>
      </c>
      <c r="I805" s="31" t="n">
        <v>29657</v>
      </c>
      <c r="J805" s="31" t="n">
        <v>29685.1</v>
      </c>
      <c r="K805" s="31" t="n">
        <v>19677.2</v>
      </c>
      <c r="L805" s="31" t="n">
        <v>19572.2</v>
      </c>
      <c r="M805" s="30" t="inlineStr">
        <is>
          <t>AMR2</t>
        </is>
      </c>
      <c r="N805" s="30" t="inlineStr">
        <is>
          <t>AMR2</t>
        </is>
      </c>
      <c r="O805" s="32" t="n">
        <v>1</v>
      </c>
      <c r="P805" s="32" t="n">
        <v>25</v>
      </c>
      <c r="Q805" s="32" t="n">
        <v>1</v>
      </c>
      <c r="R805" s="31" t="n">
        <v>61.6</v>
      </c>
      <c r="S805" s="31" t="n">
        <v>61.6</v>
      </c>
      <c r="T805" s="30" t="inlineStr">
        <is>
          <t>AMR2</t>
        </is>
      </c>
      <c r="U805" s="31" t="n">
        <v>42.7</v>
      </c>
      <c r="V805" s="31" t="n">
        <v>42.7</v>
      </c>
      <c r="W805" s="30" t="inlineStr">
        <is>
          <t>AMR2</t>
        </is>
      </c>
      <c r="X805" s="32" t="n">
        <v>0</v>
      </c>
      <c r="Y805" s="32" t="n">
        <v>0</v>
      </c>
      <c r="Z805" s="31" t="n">
        <v>0</v>
      </c>
      <c r="AA805" s="32" t="n">
        <v>0</v>
      </c>
      <c r="AB805" s="32" t="n">
        <v>0</v>
      </c>
      <c r="AC805" s="32" t="n">
        <v>0</v>
      </c>
      <c r="AD805" s="32" t="n">
        <v>0</v>
      </c>
      <c r="AE805" s="31" t="n">
        <v>0</v>
      </c>
      <c r="AF805" s="32" t="n">
        <v>0</v>
      </c>
      <c r="AG805" s="31" t="n">
        <v>0</v>
      </c>
      <c r="AH805" s="32" t="n">
        <v>56</v>
      </c>
      <c r="AI805" s="31" t="n">
        <v>57.9</v>
      </c>
      <c r="AJ805" s="31" t="n">
        <v>47</v>
      </c>
      <c r="AK805" s="31" t="n">
        <v>0</v>
      </c>
      <c r="AL805" s="30" t="inlineStr">
        <is>
          <t>T-0957</t>
        </is>
      </c>
      <c r="AM805" s="30" t="inlineStr">
        <is>
          <t>G-05-02</t>
        </is>
      </c>
      <c r="AN805" s="30" t="inlineStr">
        <is>
          <t>T-0722</t>
        </is>
      </c>
      <c r="AO805" s="30" t="inlineStr">
        <is>
          <t>G-06-02</t>
        </is>
      </c>
    </row>
    <row r="806">
      <c r="A806" s="30" t="inlineStr">
        <is>
          <t>O0805</t>
        </is>
      </c>
      <c r="B806" s="30" t="inlineStr">
        <is>
          <t>D</t>
        </is>
      </c>
      <c r="C806" s="31" t="n">
        <v>10030.2</v>
      </c>
      <c r="D806" s="31" t="n">
        <v>29356.2</v>
      </c>
      <c r="E806" s="31" t="n">
        <v>29379.7</v>
      </c>
      <c r="F806" s="31" t="n">
        <v>29391.7</v>
      </c>
      <c r="G806" s="31" t="n">
        <v>29414.4</v>
      </c>
      <c r="H806" s="31" t="n">
        <v>29414.5</v>
      </c>
      <c r="I806" s="31" t="n">
        <v>29425.9</v>
      </c>
      <c r="J806" s="31" t="n">
        <v>29454.3</v>
      </c>
      <c r="K806" s="31" t="n">
        <v>19424.1</v>
      </c>
      <c r="L806" s="31" t="n">
        <v>19326</v>
      </c>
      <c r="M806" s="30" t="inlineStr">
        <is>
          <t>AMR3</t>
        </is>
      </c>
      <c r="N806" s="30" t="inlineStr">
        <is>
          <t>AMR3</t>
        </is>
      </c>
      <c r="O806" s="32" t="n">
        <v>1</v>
      </c>
      <c r="P806" s="32" t="n">
        <v>25</v>
      </c>
      <c r="Q806" s="32" t="n">
        <v>1</v>
      </c>
      <c r="R806" s="31" t="n">
        <v>54.7</v>
      </c>
      <c r="S806" s="31" t="n">
        <v>54.7</v>
      </c>
      <c r="T806" s="30" t="inlineStr">
        <is>
          <t>AMR3</t>
        </is>
      </c>
      <c r="U806" s="31" t="n">
        <v>38.9</v>
      </c>
      <c r="V806" s="31" t="n">
        <v>38.9</v>
      </c>
      <c r="W806" s="30" t="inlineStr">
        <is>
          <t>AMR3</t>
        </is>
      </c>
      <c r="X806" s="32" t="n">
        <v>0</v>
      </c>
      <c r="Y806" s="32" t="n">
        <v>0</v>
      </c>
      <c r="Z806" s="31" t="n">
        <v>0</v>
      </c>
      <c r="AA806" s="32" t="n">
        <v>0</v>
      </c>
      <c r="AB806" s="32" t="n">
        <v>0</v>
      </c>
      <c r="AC806" s="32" t="n">
        <v>0</v>
      </c>
      <c r="AD806" s="32" t="n">
        <v>0</v>
      </c>
      <c r="AE806" s="31" t="n">
        <v>0</v>
      </c>
      <c r="AF806" s="32" t="n">
        <v>0</v>
      </c>
      <c r="AG806" s="31" t="n">
        <v>0</v>
      </c>
      <c r="AH806" s="32" t="n">
        <v>56</v>
      </c>
      <c r="AI806" s="31" t="n">
        <v>58</v>
      </c>
      <c r="AJ806" s="31" t="n">
        <v>40</v>
      </c>
      <c r="AK806" s="31" t="n">
        <v>0</v>
      </c>
      <c r="AL806" s="30" t="inlineStr">
        <is>
          <t>T-0952</t>
        </is>
      </c>
      <c r="AM806" s="30" t="inlineStr">
        <is>
          <t>D-04-02</t>
        </is>
      </c>
      <c r="AN806" s="30" t="inlineStr">
        <is>
          <t>T-0879</t>
        </is>
      </c>
      <c r="AO806" s="30" t="inlineStr">
        <is>
          <t>D-05-02</t>
        </is>
      </c>
    </row>
    <row r="807">
      <c r="A807" s="30" t="inlineStr">
        <is>
          <t>O0806</t>
        </is>
      </c>
      <c r="B807" s="30" t="inlineStr">
        <is>
          <t>A</t>
        </is>
      </c>
      <c r="C807" s="31" t="n">
        <v>10054</v>
      </c>
      <c r="D807" s="31" t="n">
        <v>29392.8</v>
      </c>
      <c r="E807" s="31" t="n">
        <v>29416.3</v>
      </c>
      <c r="F807" s="31" t="n">
        <v>29428.8</v>
      </c>
      <c r="G807" s="31" t="n">
        <v>29459.2</v>
      </c>
      <c r="H807" s="31" t="n">
        <v>30593.2</v>
      </c>
      <c r="I807" s="31" t="n">
        <v>30602.6</v>
      </c>
      <c r="J807" s="31" t="n">
        <v>30639.9</v>
      </c>
      <c r="K807" s="31" t="n">
        <v>20585.9</v>
      </c>
      <c r="L807" s="31" t="n">
        <v>19338.8</v>
      </c>
      <c r="M807" s="30" t="inlineStr">
        <is>
          <t>AMR2</t>
        </is>
      </c>
      <c r="N807" s="30" t="inlineStr">
        <is>
          <t>AMR1</t>
        </is>
      </c>
      <c r="O807" s="32" t="n">
        <v>1</v>
      </c>
      <c r="P807" s="32" t="n">
        <v>25</v>
      </c>
      <c r="Q807" s="32" t="n">
        <v>1</v>
      </c>
      <c r="R807" s="31" t="n">
        <v>62.9</v>
      </c>
      <c r="S807" s="31" t="n">
        <v>62.9</v>
      </c>
      <c r="T807" s="30" t="inlineStr">
        <is>
          <t>AMR2</t>
        </is>
      </c>
      <c r="U807" s="31" t="n">
        <v>45.9</v>
      </c>
      <c r="V807" s="31" t="n">
        <v>45.9</v>
      </c>
      <c r="W807" s="30" t="inlineStr">
        <is>
          <t>AMR1</t>
        </is>
      </c>
      <c r="X807" s="32" t="n">
        <v>0</v>
      </c>
      <c r="Y807" s="32" t="n">
        <v>0</v>
      </c>
      <c r="Z807" s="31" t="n">
        <v>0</v>
      </c>
      <c r="AA807" s="32" t="n">
        <v>0</v>
      </c>
      <c r="AB807" s="32" t="n">
        <v>0</v>
      </c>
      <c r="AC807" s="32" t="n">
        <v>0</v>
      </c>
      <c r="AD807" s="32" t="n">
        <v>0</v>
      </c>
      <c r="AE807" s="31" t="n">
        <v>0</v>
      </c>
      <c r="AF807" s="32" t="n">
        <v>0</v>
      </c>
      <c r="AG807" s="31" t="n">
        <v>0</v>
      </c>
      <c r="AH807" s="32" t="n">
        <v>74</v>
      </c>
      <c r="AI807" s="31" t="n">
        <v>71.7</v>
      </c>
      <c r="AJ807" s="31" t="n">
        <v>41.4</v>
      </c>
      <c r="AK807" s="31" t="n">
        <v>0</v>
      </c>
      <c r="AL807" s="30" t="inlineStr">
        <is>
          <t>T-0953</t>
        </is>
      </c>
      <c r="AM807" s="30" t="inlineStr">
        <is>
          <t>A-02-02</t>
        </is>
      </c>
      <c r="AN807" s="30" t="inlineStr">
        <is>
          <t>T-0743</t>
        </is>
      </c>
      <c r="AO807" s="30" t="inlineStr">
        <is>
          <t>A-01-01</t>
        </is>
      </c>
    </row>
    <row r="808">
      <c r="A808" s="30" t="inlineStr">
        <is>
          <t>O0807</t>
        </is>
      </c>
      <c r="B808" s="30" t="inlineStr">
        <is>
          <t>B</t>
        </is>
      </c>
      <c r="C808" s="31" t="n">
        <v>10071.6</v>
      </c>
      <c r="D808" s="31" t="n">
        <v>29424.8</v>
      </c>
      <c r="E808" s="31" t="n">
        <v>29448.3</v>
      </c>
      <c r="F808" s="31" t="n">
        <v>29459.3</v>
      </c>
      <c r="G808" s="31" t="n">
        <v>29481.3</v>
      </c>
      <c r="H808" s="31" t="n">
        <v>29481.4</v>
      </c>
      <c r="I808" s="31" t="n">
        <v>29494.5</v>
      </c>
      <c r="J808" s="31" t="n">
        <v>29528.6</v>
      </c>
      <c r="K808" s="31" t="n">
        <v>19457</v>
      </c>
      <c r="L808" s="31" t="n">
        <v>19353.2</v>
      </c>
      <c r="M808" s="30" t="inlineStr">
        <is>
          <t>AMR1</t>
        </is>
      </c>
      <c r="N808" s="30" t="inlineStr">
        <is>
          <t>AMR1</t>
        </is>
      </c>
      <c r="O808" s="32" t="n">
        <v>1</v>
      </c>
      <c r="P808" s="32" t="n">
        <v>25</v>
      </c>
      <c r="Q808" s="32" t="n">
        <v>0</v>
      </c>
      <c r="R808" s="31" t="n">
        <v>53.8</v>
      </c>
      <c r="S808" s="31" t="n">
        <v>53.8</v>
      </c>
      <c r="T808" s="30" t="inlineStr">
        <is>
          <t>AMR1</t>
        </is>
      </c>
      <c r="U808" s="31" t="n">
        <v>43.4</v>
      </c>
      <c r="V808" s="31" t="n">
        <v>43.4</v>
      </c>
      <c r="W808" s="30" t="inlineStr">
        <is>
          <t>AMR1</t>
        </is>
      </c>
      <c r="X808" s="32" t="n">
        <v>0</v>
      </c>
      <c r="Y808" s="32" t="n">
        <v>0</v>
      </c>
      <c r="Z808" s="31" t="n">
        <v>0</v>
      </c>
      <c r="AA808" s="32" t="n">
        <v>0</v>
      </c>
      <c r="AB808" s="32" t="n">
        <v>0</v>
      </c>
      <c r="AC808" s="32" t="n">
        <v>0</v>
      </c>
      <c r="AD808" s="32" t="n">
        <v>1</v>
      </c>
      <c r="AE808" s="31" t="n">
        <v>2</v>
      </c>
      <c r="AF808" s="32" t="n">
        <v>0</v>
      </c>
      <c r="AG808" s="31" t="n">
        <v>0</v>
      </c>
      <c r="AH808" s="32" t="n">
        <v>60</v>
      </c>
      <c r="AI808" s="31" t="n">
        <v>60.6</v>
      </c>
      <c r="AJ808" s="31" t="n">
        <v>41.1</v>
      </c>
      <c r="AK808" s="31" t="n">
        <v>2</v>
      </c>
      <c r="AL808" s="30" t="inlineStr">
        <is>
          <t>T-0954</t>
        </is>
      </c>
      <c r="AM808" s="30" t="inlineStr">
        <is>
          <t>B-03-03</t>
        </is>
      </c>
      <c r="AN808" s="30" t="inlineStr">
        <is>
          <t>T-0713</t>
        </is>
      </c>
      <c r="AO808" s="30" t="inlineStr">
        <is>
          <t>B-01-01</t>
        </is>
      </c>
    </row>
    <row r="809">
      <c r="A809" s="30" t="inlineStr">
        <is>
          <t>O0808</t>
        </is>
      </c>
      <c r="B809" s="30" t="inlineStr">
        <is>
          <t>B</t>
        </is>
      </c>
      <c r="C809" s="31" t="n">
        <v>10095.3</v>
      </c>
      <c r="D809" s="31" t="n">
        <v>30150.5</v>
      </c>
      <c r="E809" s="31" t="n">
        <v>30174</v>
      </c>
      <c r="F809" s="31" t="n">
        <v>30188.3</v>
      </c>
      <c r="G809" s="31" t="n">
        <v>30215.8</v>
      </c>
      <c r="H809" s="31" t="n">
        <v>30215.9</v>
      </c>
      <c r="I809" s="31" t="n">
        <v>30229</v>
      </c>
      <c r="J809" s="31" t="n">
        <v>30254.9</v>
      </c>
      <c r="K809" s="31" t="n">
        <v>20159.6</v>
      </c>
      <c r="L809" s="31" t="n">
        <v>20055.2</v>
      </c>
      <c r="M809" s="30" t="inlineStr">
        <is>
          <t>AMR3</t>
        </is>
      </c>
      <c r="N809" s="30" t="inlineStr">
        <is>
          <t>AMR3</t>
        </is>
      </c>
      <c r="O809" s="32" t="n">
        <v>1</v>
      </c>
      <c r="P809" s="32" t="n">
        <v>25</v>
      </c>
      <c r="Q809" s="32" t="n">
        <v>1</v>
      </c>
      <c r="R809" s="31" t="n">
        <v>61.8</v>
      </c>
      <c r="S809" s="31" t="n">
        <v>61.8</v>
      </c>
      <c r="T809" s="30" t="inlineStr">
        <is>
          <t>AMR3</t>
        </is>
      </c>
      <c r="U809" s="31" t="n">
        <v>38.7</v>
      </c>
      <c r="V809" s="31" t="n">
        <v>38.7</v>
      </c>
      <c r="W809" s="30" t="inlineStr">
        <is>
          <t>AMR3</t>
        </is>
      </c>
      <c r="X809" s="32" t="n">
        <v>0</v>
      </c>
      <c r="Y809" s="32" t="n">
        <v>0</v>
      </c>
      <c r="Z809" s="31" t="n">
        <v>0</v>
      </c>
      <c r="AA809" s="32" t="n">
        <v>0</v>
      </c>
      <c r="AB809" s="32" t="n">
        <v>0</v>
      </c>
      <c r="AC809" s="32" t="n">
        <v>0</v>
      </c>
      <c r="AD809" s="32" t="n">
        <v>0</v>
      </c>
      <c r="AE809" s="31" t="n">
        <v>0</v>
      </c>
      <c r="AF809" s="32" t="n">
        <v>0</v>
      </c>
      <c r="AG809" s="31" t="n">
        <v>0</v>
      </c>
      <c r="AH809" s="32" t="n">
        <v>60</v>
      </c>
      <c r="AI809" s="31" t="n">
        <v>60.6</v>
      </c>
      <c r="AJ809" s="31" t="n">
        <v>43.7</v>
      </c>
      <c r="AK809" s="31" t="n">
        <v>0</v>
      </c>
      <c r="AL809" s="30" t="inlineStr">
        <is>
          <t>T-0973</t>
        </is>
      </c>
      <c r="AM809" s="30" t="inlineStr">
        <is>
          <t>B-02-01</t>
        </is>
      </c>
      <c r="AN809" s="30" t="inlineStr">
        <is>
          <t>T-0745</t>
        </is>
      </c>
      <c r="AO809" s="30" t="inlineStr">
        <is>
          <t>B-04-01</t>
        </is>
      </c>
    </row>
    <row r="810">
      <c r="A810" s="30" t="inlineStr">
        <is>
          <t>O0809</t>
        </is>
      </c>
      <c r="B810" s="30" t="inlineStr">
        <is>
          <t>J</t>
        </is>
      </c>
      <c r="C810" s="31" t="n">
        <v>10112.4</v>
      </c>
      <c r="D810" s="31" t="n">
        <v>30198.9</v>
      </c>
      <c r="E810" s="31" t="n">
        <v>30229.4</v>
      </c>
      <c r="F810" s="31" t="n">
        <v>30245.2</v>
      </c>
      <c r="G810" s="31" t="n">
        <v>30275.9</v>
      </c>
      <c r="H810" s="31" t="n">
        <v>30276</v>
      </c>
      <c r="I810" s="31" t="n">
        <v>30285.4</v>
      </c>
      <c r="J810" s="31" t="n">
        <v>30317.8</v>
      </c>
      <c r="K810" s="31" t="n">
        <v>20205.4</v>
      </c>
      <c r="L810" s="31" t="n">
        <v>20086.5</v>
      </c>
      <c r="M810" s="30" t="inlineStr">
        <is>
          <t>AMR2</t>
        </is>
      </c>
      <c r="N810" s="30" t="inlineStr">
        <is>
          <t>AMR2</t>
        </is>
      </c>
      <c r="O810" s="32" t="n">
        <v>1</v>
      </c>
      <c r="P810" s="32" t="n">
        <v>25</v>
      </c>
      <c r="Q810" s="32" t="n">
        <v>1</v>
      </c>
      <c r="R810" s="31" t="n">
        <v>66.59999999999999</v>
      </c>
      <c r="S810" s="31" t="n">
        <v>66.59999999999999</v>
      </c>
      <c r="T810" s="30" t="inlineStr">
        <is>
          <t>AMR2</t>
        </is>
      </c>
      <c r="U810" s="31" t="n">
        <v>41.4</v>
      </c>
      <c r="V810" s="31" t="n">
        <v>41.4</v>
      </c>
      <c r="W810" s="30" t="inlineStr">
        <is>
          <t>AMR2</t>
        </is>
      </c>
      <c r="X810" s="32" t="n">
        <v>0</v>
      </c>
      <c r="Y810" s="32" t="n">
        <v>0</v>
      </c>
      <c r="Z810" s="31" t="n">
        <v>0</v>
      </c>
      <c r="AA810" s="32" t="n">
        <v>0</v>
      </c>
      <c r="AB810" s="32" t="n">
        <v>0</v>
      </c>
      <c r="AC810" s="32" t="n">
        <v>0</v>
      </c>
      <c r="AD810" s="32" t="n">
        <v>1</v>
      </c>
      <c r="AE810" s="31" t="n">
        <v>1</v>
      </c>
      <c r="AF810" s="32" t="n">
        <v>1</v>
      </c>
      <c r="AG810" s="31" t="n">
        <v>2</v>
      </c>
      <c r="AH810" s="32" t="n">
        <v>68</v>
      </c>
      <c r="AI810" s="31" t="n">
        <v>67.5</v>
      </c>
      <c r="AJ810" s="31" t="n">
        <v>43.3</v>
      </c>
      <c r="AK810" s="31" t="n">
        <v>8</v>
      </c>
      <c r="AL810" s="30" t="inlineStr">
        <is>
          <t>T-0975</t>
        </is>
      </c>
      <c r="AM810" s="30" t="inlineStr">
        <is>
          <t>J-04-02</t>
        </is>
      </c>
      <c r="AN810" s="30" t="inlineStr">
        <is>
          <t>T-0782</t>
        </is>
      </c>
      <c r="AO810" s="30" t="inlineStr">
        <is>
          <t>J-05-02</t>
        </is>
      </c>
    </row>
    <row r="811">
      <c r="A811" s="30" t="inlineStr">
        <is>
          <t>O0810</t>
        </is>
      </c>
      <c r="B811" s="30" t="inlineStr">
        <is>
          <t>J</t>
        </is>
      </c>
      <c r="C811" s="31" t="n">
        <v>10130.9</v>
      </c>
      <c r="D811" s="31" t="n">
        <v>29823.1</v>
      </c>
      <c r="E811" s="31" t="n">
        <v>29846.6</v>
      </c>
      <c r="F811" s="31" t="n">
        <v>29858.6</v>
      </c>
      <c r="G811" s="31" t="n">
        <v>29886.6</v>
      </c>
      <c r="H811" s="31" t="n">
        <v>29886.7</v>
      </c>
      <c r="I811" s="31" t="n">
        <v>29900.8</v>
      </c>
      <c r="J811" s="31" t="n">
        <v>29932.7</v>
      </c>
      <c r="K811" s="31" t="n">
        <v>19801.8</v>
      </c>
      <c r="L811" s="31" t="n">
        <v>19692.2</v>
      </c>
      <c r="M811" s="30" t="inlineStr">
        <is>
          <t>AMR3</t>
        </is>
      </c>
      <c r="N811" s="30" t="inlineStr">
        <is>
          <t>AMR3</t>
        </is>
      </c>
      <c r="O811" s="32" t="n">
        <v>1</v>
      </c>
      <c r="P811" s="32" t="n">
        <v>25</v>
      </c>
      <c r="Q811" s="32" t="n">
        <v>1</v>
      </c>
      <c r="R811" s="31" t="n">
        <v>61.7</v>
      </c>
      <c r="S811" s="31" t="n">
        <v>61.7</v>
      </c>
      <c r="T811" s="30" t="inlineStr">
        <is>
          <t>AMR3</t>
        </is>
      </c>
      <c r="U811" s="31" t="n">
        <v>45.7</v>
      </c>
      <c r="V811" s="31" t="n">
        <v>45.7</v>
      </c>
      <c r="W811" s="30" t="inlineStr">
        <is>
          <t>AMR3</t>
        </is>
      </c>
      <c r="X811" s="32" t="n">
        <v>0</v>
      </c>
      <c r="Y811" s="32" t="n">
        <v>0</v>
      </c>
      <c r="Z811" s="31" t="n">
        <v>0</v>
      </c>
      <c r="AA811" s="32" t="n">
        <v>0</v>
      </c>
      <c r="AB811" s="32" t="n">
        <v>0</v>
      </c>
      <c r="AC811" s="32" t="n">
        <v>0</v>
      </c>
      <c r="AD811" s="32" t="n">
        <v>0</v>
      </c>
      <c r="AE811" s="31" t="n">
        <v>0</v>
      </c>
      <c r="AF811" s="32" t="n">
        <v>0</v>
      </c>
      <c r="AG811" s="31" t="n">
        <v>0</v>
      </c>
      <c r="AH811" s="32" t="n">
        <v>66</v>
      </c>
      <c r="AI811" s="31" t="n">
        <v>66.8</v>
      </c>
      <c r="AJ811" s="31" t="n">
        <v>42.7</v>
      </c>
      <c r="AK811" s="31" t="n">
        <v>0</v>
      </c>
      <c r="AL811" s="30" t="inlineStr">
        <is>
          <t>T-0964</t>
        </is>
      </c>
      <c r="AM811" s="30" t="inlineStr">
        <is>
          <t>J-02-02</t>
        </is>
      </c>
      <c r="AN811" s="30" t="inlineStr">
        <is>
          <t>T-0765</t>
        </is>
      </c>
      <c r="AO811" s="30" t="inlineStr">
        <is>
          <t>J-03-02</t>
        </is>
      </c>
    </row>
    <row r="812">
      <c r="A812" s="30" t="inlineStr">
        <is>
          <t>O0811</t>
        </is>
      </c>
      <c r="B812" s="30" t="inlineStr">
        <is>
          <t>J</t>
        </is>
      </c>
      <c r="C812" s="31" t="n">
        <v>10150.2</v>
      </c>
      <c r="D812" s="31" t="n">
        <v>29932.8</v>
      </c>
      <c r="E812" s="31" t="n">
        <v>29956.3</v>
      </c>
      <c r="F812" s="31" t="n">
        <v>29967.9</v>
      </c>
      <c r="G812" s="31" t="n">
        <v>29996</v>
      </c>
      <c r="H812" s="31" t="n">
        <v>31774.7</v>
      </c>
      <c r="I812" s="31" t="n">
        <v>31789</v>
      </c>
      <c r="J812" s="31" t="n">
        <v>31823</v>
      </c>
      <c r="K812" s="31" t="n">
        <v>21672.8</v>
      </c>
      <c r="L812" s="31" t="n">
        <v>19782.6</v>
      </c>
      <c r="M812" s="30" t="inlineStr">
        <is>
          <t>AMR3</t>
        </is>
      </c>
      <c r="N812" s="30" t="inlineStr">
        <is>
          <t>AMR3</t>
        </is>
      </c>
      <c r="O812" s="32" t="n">
        <v>1</v>
      </c>
      <c r="P812" s="32" t="n">
        <v>25</v>
      </c>
      <c r="Q812" s="32" t="n">
        <v>1</v>
      </c>
      <c r="R812" s="31" t="n">
        <v>60.6</v>
      </c>
      <c r="S812" s="31" t="n">
        <v>60.6</v>
      </c>
      <c r="T812" s="30" t="inlineStr">
        <is>
          <t>AMR3</t>
        </is>
      </c>
      <c r="U812" s="31" t="n">
        <v>48</v>
      </c>
      <c r="V812" s="31" t="n">
        <v>48</v>
      </c>
      <c r="W812" s="30" t="inlineStr">
        <is>
          <t>AMR3</t>
        </is>
      </c>
      <c r="X812" s="32" t="n">
        <v>0</v>
      </c>
      <c r="Y812" s="32" t="n">
        <v>0</v>
      </c>
      <c r="Z812" s="31" t="n">
        <v>0</v>
      </c>
      <c r="AA812" s="32" t="n">
        <v>0</v>
      </c>
      <c r="AB812" s="32" t="n">
        <v>0</v>
      </c>
      <c r="AC812" s="32" t="n">
        <v>0</v>
      </c>
      <c r="AD812" s="32" t="n">
        <v>0</v>
      </c>
      <c r="AE812" s="31" t="n">
        <v>0</v>
      </c>
      <c r="AF812" s="32" t="n">
        <v>0</v>
      </c>
      <c r="AG812" s="31" t="n">
        <v>0</v>
      </c>
      <c r="AH812" s="32" t="n">
        <v>67</v>
      </c>
      <c r="AI812" s="31" t="n">
        <v>67.59999999999999</v>
      </c>
      <c r="AJ812" s="31" t="n">
        <v>43.9</v>
      </c>
      <c r="AK812" s="31" t="n">
        <v>0</v>
      </c>
      <c r="AL812" s="30" t="inlineStr">
        <is>
          <t>T-0967</t>
        </is>
      </c>
      <c r="AM812" s="30" t="inlineStr">
        <is>
          <t>J-03-02</t>
        </is>
      </c>
      <c r="AN812" s="30" t="inlineStr">
        <is>
          <t>T-0809</t>
        </is>
      </c>
      <c r="AO812" s="30" t="inlineStr">
        <is>
          <t>J-03-03</t>
        </is>
      </c>
    </row>
    <row r="813">
      <c r="A813" s="30" t="inlineStr">
        <is>
          <t>O0812</t>
        </is>
      </c>
      <c r="B813" s="30" t="inlineStr">
        <is>
          <t>D</t>
        </is>
      </c>
      <c r="C813" s="31" t="n">
        <v>10173</v>
      </c>
      <c r="D813" s="31" t="n">
        <v>29685.2</v>
      </c>
      <c r="E813" s="31" t="n">
        <v>29708.7</v>
      </c>
      <c r="F813" s="31" t="n">
        <v>29720</v>
      </c>
      <c r="G813" s="31" t="n">
        <v>29741.9</v>
      </c>
      <c r="H813" s="31" t="n">
        <v>31109.9</v>
      </c>
      <c r="I813" s="31" t="n">
        <v>31141.3</v>
      </c>
      <c r="J813" s="31" t="n">
        <v>31205</v>
      </c>
      <c r="K813" s="31" t="n">
        <v>21032</v>
      </c>
      <c r="L813" s="31" t="n">
        <v>19512.2</v>
      </c>
      <c r="M813" s="30" t="inlineStr">
        <is>
          <t>AMR2</t>
        </is>
      </c>
      <c r="N813" s="30" t="inlineStr">
        <is>
          <t>AMR3</t>
        </is>
      </c>
      <c r="O813" s="32" t="n">
        <v>1</v>
      </c>
      <c r="P813" s="32" t="n">
        <v>25</v>
      </c>
      <c r="Q813" s="32" t="n">
        <v>16</v>
      </c>
      <c r="R813" s="31" t="n">
        <v>53.2</v>
      </c>
      <c r="S813" s="31" t="n">
        <v>53.2</v>
      </c>
      <c r="T813" s="30" t="inlineStr">
        <is>
          <t>AMR2</t>
        </is>
      </c>
      <c r="U813" s="31" t="n">
        <v>59</v>
      </c>
      <c r="V813" s="31" t="n">
        <v>59</v>
      </c>
      <c r="W813" s="30" t="inlineStr">
        <is>
          <t>AMR3</t>
        </is>
      </c>
      <c r="X813" s="32" t="n">
        <v>0</v>
      </c>
      <c r="Y813" s="32" t="n">
        <v>0</v>
      </c>
      <c r="Z813" s="31" t="n">
        <v>0</v>
      </c>
      <c r="AA813" s="32" t="n">
        <v>0</v>
      </c>
      <c r="AB813" s="32" t="n">
        <v>0</v>
      </c>
      <c r="AC813" s="32" t="n">
        <v>0</v>
      </c>
      <c r="AD813" s="32" t="n">
        <v>3</v>
      </c>
      <c r="AE813" s="31" t="n">
        <v>30.2</v>
      </c>
      <c r="AF813" s="32" t="n">
        <v>2</v>
      </c>
      <c r="AG813" s="31" t="n">
        <v>18.7</v>
      </c>
      <c r="AH813" s="32" t="n">
        <v>75</v>
      </c>
      <c r="AI813" s="31" t="n">
        <v>77.90000000000001</v>
      </c>
      <c r="AJ813" s="31" t="n">
        <v>43.7</v>
      </c>
      <c r="AK813" s="31" t="n">
        <v>30.2</v>
      </c>
      <c r="AL813" s="30" t="inlineStr">
        <is>
          <t>T-0960</t>
        </is>
      </c>
      <c r="AM813" s="30" t="inlineStr">
        <is>
          <t>D-05-02</t>
        </is>
      </c>
      <c r="AN813" s="30" t="inlineStr">
        <is>
          <t>T-0903</t>
        </is>
      </c>
      <c r="AO813" s="30" t="inlineStr">
        <is>
          <t>D-06-03</t>
        </is>
      </c>
    </row>
    <row r="814">
      <c r="A814" s="30" t="inlineStr">
        <is>
          <t>O0813</t>
        </is>
      </c>
      <c r="B814" s="30" t="inlineStr">
        <is>
          <t>I</t>
        </is>
      </c>
      <c r="C814" s="31" t="n">
        <v>10193.7</v>
      </c>
      <c r="D814" s="31" t="n">
        <v>29617.7</v>
      </c>
      <c r="E814" s="31" t="n">
        <v>29641.2</v>
      </c>
      <c r="F814" s="31" t="n">
        <v>29652.8</v>
      </c>
      <c r="G814" s="31" t="n">
        <v>29682.1</v>
      </c>
      <c r="H814" s="31" t="n">
        <v>29682.2</v>
      </c>
      <c r="I814" s="31" t="n">
        <v>29694</v>
      </c>
      <c r="J814" s="31" t="n">
        <v>29724.1</v>
      </c>
      <c r="K814" s="31" t="n">
        <v>19530.4</v>
      </c>
      <c r="L814" s="31" t="n">
        <v>19424</v>
      </c>
      <c r="M814" s="30" t="inlineStr">
        <is>
          <t>AMR3</t>
        </is>
      </c>
      <c r="N814" s="30" t="inlineStr">
        <is>
          <t>AMR3</t>
        </is>
      </c>
      <c r="O814" s="32" t="n">
        <v>1</v>
      </c>
      <c r="P814" s="32" t="n">
        <v>25</v>
      </c>
      <c r="Q814" s="32" t="n">
        <v>2</v>
      </c>
      <c r="R814" s="31" t="n">
        <v>60.2</v>
      </c>
      <c r="S814" s="31" t="n">
        <v>60.2</v>
      </c>
      <c r="T814" s="30" t="inlineStr">
        <is>
          <t>AMR3</t>
        </is>
      </c>
      <c r="U814" s="31" t="n">
        <v>37.6</v>
      </c>
      <c r="V814" s="31" t="n">
        <v>37.6</v>
      </c>
      <c r="W814" s="30" t="inlineStr">
        <is>
          <t>AMR3</t>
        </is>
      </c>
      <c r="X814" s="32" t="n">
        <v>0</v>
      </c>
      <c r="Y814" s="32" t="n">
        <v>0</v>
      </c>
      <c r="Z814" s="31" t="n">
        <v>0</v>
      </c>
      <c r="AA814" s="32" t="n">
        <v>0</v>
      </c>
      <c r="AB814" s="32" t="n">
        <v>0</v>
      </c>
      <c r="AC814" s="32" t="n">
        <v>0</v>
      </c>
      <c r="AD814" s="32" t="n">
        <v>1</v>
      </c>
      <c r="AE814" s="31" t="n">
        <v>4</v>
      </c>
      <c r="AF814" s="32" t="n">
        <v>0</v>
      </c>
      <c r="AG814" s="31" t="n">
        <v>0</v>
      </c>
      <c r="AH814" s="32" t="n">
        <v>58</v>
      </c>
      <c r="AI814" s="31" t="n">
        <v>59.3</v>
      </c>
      <c r="AJ814" s="31" t="n">
        <v>43</v>
      </c>
      <c r="AK814" s="31" t="n">
        <v>4</v>
      </c>
      <c r="AL814" s="30" t="inlineStr">
        <is>
          <t>T-0958</t>
        </is>
      </c>
      <c r="AM814" s="30" t="inlineStr">
        <is>
          <t>I-06-01</t>
        </is>
      </c>
      <c r="AN814" s="30" t="inlineStr">
        <is>
          <t>T-0893</t>
        </is>
      </c>
      <c r="AO814" s="30" t="inlineStr">
        <is>
          <t>I-01-02</t>
        </is>
      </c>
    </row>
    <row r="815">
      <c r="A815" s="30" t="inlineStr">
        <is>
          <t>O0814</t>
        </is>
      </c>
      <c r="B815" s="30" t="inlineStr">
        <is>
          <t>C</t>
        </is>
      </c>
      <c r="C815" s="31" t="n">
        <v>10214.7</v>
      </c>
      <c r="D815" s="31" t="n">
        <v>29643.5</v>
      </c>
      <c r="E815" s="31" t="n">
        <v>29667</v>
      </c>
      <c r="F815" s="31" t="n">
        <v>29682.8</v>
      </c>
      <c r="G815" s="31" t="n">
        <v>29705.5</v>
      </c>
      <c r="H815" s="31" t="n">
        <v>29705.6</v>
      </c>
      <c r="I815" s="31" t="n">
        <v>29718.4</v>
      </c>
      <c r="J815" s="31" t="n">
        <v>29747.5</v>
      </c>
      <c r="K815" s="31" t="n">
        <v>19532.8</v>
      </c>
      <c r="L815" s="31" t="n">
        <v>19428.8</v>
      </c>
      <c r="M815" s="30" t="inlineStr">
        <is>
          <t>AMR1</t>
        </is>
      </c>
      <c r="N815" s="30" t="inlineStr">
        <is>
          <t>AMR1</t>
        </is>
      </c>
      <c r="O815" s="32" t="n">
        <v>1</v>
      </c>
      <c r="P815" s="32" t="n">
        <v>25</v>
      </c>
      <c r="Q815" s="32" t="n">
        <v>1</v>
      </c>
      <c r="R815" s="31" t="n">
        <v>60.1</v>
      </c>
      <c r="S815" s="31" t="n">
        <v>53.3</v>
      </c>
      <c r="T815" s="30" t="inlineStr">
        <is>
          <t>AMR2</t>
        </is>
      </c>
      <c r="U815" s="31" t="n">
        <v>42</v>
      </c>
      <c r="V815" s="31" t="n">
        <v>42</v>
      </c>
      <c r="W815" s="30" t="inlineStr">
        <is>
          <t>AMR1</t>
        </is>
      </c>
      <c r="X815" s="32" t="n">
        <v>1</v>
      </c>
      <c r="Y815" s="32" t="n">
        <v>9</v>
      </c>
      <c r="Z815" s="31" t="n">
        <v>6.8</v>
      </c>
      <c r="AA815" s="32" t="n">
        <v>0</v>
      </c>
      <c r="AB815" s="32" t="n">
        <v>0</v>
      </c>
      <c r="AC815" s="32" t="n">
        <v>0</v>
      </c>
      <c r="AD815" s="32" t="n">
        <v>0</v>
      </c>
      <c r="AE815" s="31" t="n">
        <v>0</v>
      </c>
      <c r="AF815" s="32" t="n">
        <v>0</v>
      </c>
      <c r="AG815" s="31" t="n">
        <v>0</v>
      </c>
      <c r="AH815" s="32" t="n">
        <v>54</v>
      </c>
      <c r="AI815" s="31" t="n">
        <v>54.9</v>
      </c>
      <c r="AJ815" s="31" t="n">
        <v>49</v>
      </c>
      <c r="AK815" s="31" t="n">
        <v>0</v>
      </c>
      <c r="AL815" s="30" t="inlineStr">
        <is>
          <t>T-0959</t>
        </is>
      </c>
      <c r="AM815" s="30" t="inlineStr">
        <is>
          <t>C-05-01</t>
        </is>
      </c>
      <c r="AN815" s="30" t="inlineStr">
        <is>
          <t>T-0802</t>
        </is>
      </c>
      <c r="AO815" s="30" t="inlineStr">
        <is>
          <t>C-03-03</t>
        </is>
      </c>
    </row>
    <row r="816">
      <c r="A816" s="30" t="inlineStr">
        <is>
          <t>O0815</t>
        </is>
      </c>
      <c r="B816" s="30" t="inlineStr">
        <is>
          <t>E</t>
        </is>
      </c>
      <c r="C816" s="31" t="n">
        <v>10239.5</v>
      </c>
      <c r="D816" s="31" t="n">
        <v>29742</v>
      </c>
      <c r="E816" s="31" t="n">
        <v>29762</v>
      </c>
      <c r="F816" s="31" t="n">
        <v>29773.1</v>
      </c>
      <c r="G816" s="31" t="n">
        <v>29797.8</v>
      </c>
      <c r="H816" s="31" t="n">
        <v>30131.8</v>
      </c>
      <c r="I816" s="31" t="n">
        <v>30145.4</v>
      </c>
      <c r="J816" s="31" t="n">
        <v>30181.7</v>
      </c>
      <c r="K816" s="31" t="n">
        <v>19942.2</v>
      </c>
      <c r="L816" s="31" t="n">
        <v>19502.5</v>
      </c>
      <c r="M816" s="30" t="inlineStr">
        <is>
          <t>AMR2</t>
        </is>
      </c>
      <c r="N816" s="30" t="inlineStr">
        <is>
          <t>AMR1</t>
        </is>
      </c>
      <c r="O816" s="32" t="n">
        <v>1</v>
      </c>
      <c r="P816" s="32" t="n">
        <v>14</v>
      </c>
      <c r="Q816" s="32" t="n">
        <v>0</v>
      </c>
      <c r="R816" s="31" t="n">
        <v>48.5</v>
      </c>
      <c r="S816" s="31" t="n">
        <v>48.5</v>
      </c>
      <c r="T816" s="30" t="inlineStr">
        <is>
          <t>AMR2</t>
        </is>
      </c>
      <c r="U816" s="31" t="n">
        <v>47.6</v>
      </c>
      <c r="V816" s="31" t="n">
        <v>47.6</v>
      </c>
      <c r="W816" s="30" t="inlineStr">
        <is>
          <t>AMR1</t>
        </is>
      </c>
      <c r="X816" s="32" t="n">
        <v>0</v>
      </c>
      <c r="Y816" s="32" t="n">
        <v>0</v>
      </c>
      <c r="Z816" s="31" t="n">
        <v>0</v>
      </c>
      <c r="AA816" s="32" t="n">
        <v>0</v>
      </c>
      <c r="AB816" s="32" t="n">
        <v>0</v>
      </c>
      <c r="AC816" s="32" t="n">
        <v>0</v>
      </c>
      <c r="AD816" s="32" t="n">
        <v>0</v>
      </c>
      <c r="AE816" s="31" t="n">
        <v>0</v>
      </c>
      <c r="AF816" s="32" t="n">
        <v>1</v>
      </c>
      <c r="AG816" s="31" t="n">
        <v>1</v>
      </c>
      <c r="AH816" s="32" t="n">
        <v>58</v>
      </c>
      <c r="AI816" s="31" t="n">
        <v>58.2</v>
      </c>
      <c r="AJ816" s="31" t="n">
        <v>41.5</v>
      </c>
      <c r="AK816" s="31" t="n">
        <v>6</v>
      </c>
      <c r="AL816" s="30" t="inlineStr">
        <is>
          <t>T-0962</t>
        </is>
      </c>
      <c r="AM816" s="30" t="inlineStr">
        <is>
          <t>E-01-03</t>
        </is>
      </c>
      <c r="AN816" s="30" t="inlineStr">
        <is>
          <t>T-0725</t>
        </is>
      </c>
      <c r="AO816" s="30" t="inlineStr">
        <is>
          <t>E-06-02</t>
        </is>
      </c>
    </row>
    <row r="817">
      <c r="A817" s="30" t="inlineStr">
        <is>
          <t>O0816</t>
        </is>
      </c>
      <c r="B817" s="30" t="inlineStr">
        <is>
          <t>I</t>
        </is>
      </c>
      <c r="C817" s="31" t="n">
        <v>10260.2</v>
      </c>
      <c r="D817" s="31" t="n">
        <v>29724.2</v>
      </c>
      <c r="E817" s="31" t="n">
        <v>29747.7</v>
      </c>
      <c r="F817" s="31" t="n">
        <v>29758.3</v>
      </c>
      <c r="G817" s="31" t="n">
        <v>29784</v>
      </c>
      <c r="H817" s="31" t="n">
        <v>29784.1</v>
      </c>
      <c r="I817" s="31" t="n">
        <v>29797.8</v>
      </c>
      <c r="J817" s="31" t="n">
        <v>29823</v>
      </c>
      <c r="K817" s="31" t="n">
        <v>19562.8</v>
      </c>
      <c r="L817" s="31" t="n">
        <v>19464</v>
      </c>
      <c r="M817" s="30" t="inlineStr">
        <is>
          <t>AMR3</t>
        </is>
      </c>
      <c r="N817" s="30" t="inlineStr">
        <is>
          <t>AMR3</t>
        </is>
      </c>
      <c r="O817" s="32" t="n">
        <v>1</v>
      </c>
      <c r="P817" s="32" t="n">
        <v>25</v>
      </c>
      <c r="Q817" s="32" t="n">
        <v>1</v>
      </c>
      <c r="R817" s="31" t="n">
        <v>58</v>
      </c>
      <c r="S817" s="31" t="n">
        <v>58</v>
      </c>
      <c r="T817" s="30" t="inlineStr">
        <is>
          <t>AMR3</t>
        </is>
      </c>
      <c r="U817" s="31" t="n">
        <v>40.6</v>
      </c>
      <c r="V817" s="31" t="n">
        <v>40.6</v>
      </c>
      <c r="W817" s="30" t="inlineStr">
        <is>
          <t>AMR3</t>
        </is>
      </c>
      <c r="X817" s="32" t="n">
        <v>0</v>
      </c>
      <c r="Y817" s="32" t="n">
        <v>0</v>
      </c>
      <c r="Z817" s="31" t="n">
        <v>0</v>
      </c>
      <c r="AA817" s="32" t="n">
        <v>0</v>
      </c>
      <c r="AB817" s="32" t="n">
        <v>0</v>
      </c>
      <c r="AC817" s="32" t="n">
        <v>0</v>
      </c>
      <c r="AD817" s="32" t="n">
        <v>0</v>
      </c>
      <c r="AE817" s="31" t="n">
        <v>0</v>
      </c>
      <c r="AF817" s="32" t="n">
        <v>0</v>
      </c>
      <c r="AG817" s="31" t="n">
        <v>0</v>
      </c>
      <c r="AH817" s="32" t="n">
        <v>52</v>
      </c>
      <c r="AI817" s="31" t="n">
        <v>54.2</v>
      </c>
      <c r="AJ817" s="31" t="n">
        <v>44.5</v>
      </c>
      <c r="AK817" s="31" t="n">
        <v>0</v>
      </c>
      <c r="AL817" s="30" t="inlineStr">
        <is>
          <t>T-0961</t>
        </is>
      </c>
      <c r="AM817" s="30" t="inlineStr">
        <is>
          <t>I-01-02</t>
        </is>
      </c>
      <c r="AN817" s="30" t="inlineStr">
        <is>
          <t>T-0895</t>
        </is>
      </c>
      <c r="AO817" s="30" t="inlineStr">
        <is>
          <t>I-02-02</t>
        </is>
      </c>
    </row>
    <row r="818">
      <c r="A818" s="30" t="inlineStr">
        <is>
          <t>O0817</t>
        </is>
      </c>
      <c r="B818" s="30" t="inlineStr">
        <is>
          <t>C</t>
        </is>
      </c>
      <c r="C818" s="31" t="n">
        <v>10283.3</v>
      </c>
      <c r="D818" s="31" t="n">
        <v>29747.6</v>
      </c>
      <c r="E818" s="31" t="n">
        <v>29772.1</v>
      </c>
      <c r="F818" s="31" t="n">
        <v>29783</v>
      </c>
      <c r="G818" s="31" t="n">
        <v>29802.8</v>
      </c>
      <c r="H818" s="31" t="n">
        <v>29802.9</v>
      </c>
      <c r="I818" s="31" t="n">
        <v>29816.5</v>
      </c>
      <c r="J818" s="31" t="n">
        <v>29841.9</v>
      </c>
      <c r="K818" s="31" t="n">
        <v>19558.6</v>
      </c>
      <c r="L818" s="31" t="n">
        <v>19464.3</v>
      </c>
      <c r="M818" s="30" t="inlineStr">
        <is>
          <t>AMR1</t>
        </is>
      </c>
      <c r="N818" s="30" t="inlineStr">
        <is>
          <t>AMR1</t>
        </is>
      </c>
      <c r="O818" s="32" t="n">
        <v>1</v>
      </c>
      <c r="P818" s="32" t="n">
        <v>25</v>
      </c>
      <c r="Q818" s="32" t="n">
        <v>1</v>
      </c>
      <c r="R818" s="31" t="n">
        <v>52.3</v>
      </c>
      <c r="S818" s="31" t="n">
        <v>52.3</v>
      </c>
      <c r="T818" s="30" t="inlineStr">
        <is>
          <t>AMR1</t>
        </is>
      </c>
      <c r="U818" s="31" t="n">
        <v>39.2</v>
      </c>
      <c r="V818" s="31" t="n">
        <v>39.2</v>
      </c>
      <c r="W818" s="30" t="inlineStr">
        <is>
          <t>AMR1</t>
        </is>
      </c>
      <c r="X818" s="32" t="n">
        <v>0</v>
      </c>
      <c r="Y818" s="32" t="n">
        <v>0</v>
      </c>
      <c r="Z818" s="31" t="n">
        <v>0</v>
      </c>
      <c r="AA818" s="32" t="n">
        <v>0</v>
      </c>
      <c r="AB818" s="32" t="n">
        <v>0</v>
      </c>
      <c r="AC818" s="32" t="n">
        <v>0</v>
      </c>
      <c r="AD818" s="32" t="n">
        <v>0</v>
      </c>
      <c r="AE818" s="31" t="n">
        <v>0</v>
      </c>
      <c r="AF818" s="32" t="n">
        <v>0</v>
      </c>
      <c r="AG818" s="31" t="n">
        <v>0</v>
      </c>
      <c r="AH818" s="32" t="n">
        <v>54</v>
      </c>
      <c r="AI818" s="31" t="n">
        <v>54.8</v>
      </c>
      <c r="AJ818" s="31" t="n">
        <v>38.4</v>
      </c>
      <c r="AK818" s="31" t="n">
        <v>1</v>
      </c>
      <c r="AL818" s="30" t="inlineStr">
        <is>
          <t>T-0963</t>
        </is>
      </c>
      <c r="AM818" s="30" t="inlineStr">
        <is>
          <t>C-02-03</t>
        </is>
      </c>
      <c r="AN818" s="30" t="inlineStr">
        <is>
          <t>T-0807</t>
        </is>
      </c>
      <c r="AO818" s="30" t="inlineStr">
        <is>
          <t>C-04-03</t>
        </is>
      </c>
    </row>
    <row r="819">
      <c r="A819" s="30" t="inlineStr">
        <is>
          <t>O0818</t>
        </is>
      </c>
      <c r="B819" s="30" t="inlineStr">
        <is>
          <t>E</t>
        </is>
      </c>
      <c r="C819" s="31" t="n">
        <v>10307.5</v>
      </c>
      <c r="D819" s="31" t="n">
        <v>29948.7</v>
      </c>
      <c r="E819" s="31" t="n">
        <v>29980.2</v>
      </c>
      <c r="F819" s="31" t="n">
        <v>29991.1</v>
      </c>
      <c r="G819" s="31" t="n">
        <v>30015.4</v>
      </c>
      <c r="H819" s="31" t="n">
        <v>30015.5</v>
      </c>
      <c r="I819" s="31" t="n">
        <v>30026.3</v>
      </c>
      <c r="J819" s="31" t="n">
        <v>30066.9</v>
      </c>
      <c r="K819" s="31" t="n">
        <v>19759.4</v>
      </c>
      <c r="L819" s="31" t="n">
        <v>19641.2</v>
      </c>
      <c r="M819" s="30" t="inlineStr">
        <is>
          <t>AMR1</t>
        </is>
      </c>
      <c r="N819" s="30" t="inlineStr">
        <is>
          <t>AMR1</t>
        </is>
      </c>
      <c r="O819" s="32" t="n">
        <v>1</v>
      </c>
      <c r="P819" s="32" t="n">
        <v>25</v>
      </c>
      <c r="Q819" s="32" t="n">
        <v>1</v>
      </c>
      <c r="R819" s="31" t="n">
        <v>56.8</v>
      </c>
      <c r="S819" s="31" t="n">
        <v>56.8</v>
      </c>
      <c r="T819" s="30" t="inlineStr">
        <is>
          <t>AMR1</t>
        </is>
      </c>
      <c r="U819" s="31" t="n">
        <v>45.1</v>
      </c>
      <c r="V819" s="31" t="n">
        <v>45.1</v>
      </c>
      <c r="W819" s="30" t="inlineStr">
        <is>
          <t>AMR1</t>
        </is>
      </c>
      <c r="X819" s="32" t="n">
        <v>0</v>
      </c>
      <c r="Y819" s="32" t="n">
        <v>0</v>
      </c>
      <c r="Z819" s="31" t="n">
        <v>0</v>
      </c>
      <c r="AA819" s="32" t="n">
        <v>0</v>
      </c>
      <c r="AB819" s="32" t="n">
        <v>0</v>
      </c>
      <c r="AC819" s="32" t="n">
        <v>0</v>
      </c>
      <c r="AD819" s="32" t="n">
        <v>1</v>
      </c>
      <c r="AE819" s="31" t="n">
        <v>7</v>
      </c>
      <c r="AF819" s="32" t="n">
        <v>2</v>
      </c>
      <c r="AG819" s="31" t="n">
        <v>5</v>
      </c>
      <c r="AH819" s="32" t="n">
        <v>66</v>
      </c>
      <c r="AI819" s="31" t="n">
        <v>65.40000000000001</v>
      </c>
      <c r="AJ819" s="31" t="n">
        <v>37.7</v>
      </c>
      <c r="AK819" s="31" t="n">
        <v>15</v>
      </c>
      <c r="AL819" s="30" t="inlineStr">
        <is>
          <t>T-0968</t>
        </is>
      </c>
      <c r="AM819" s="30" t="inlineStr">
        <is>
          <t>E-02-03</t>
        </is>
      </c>
      <c r="AN819" s="30" t="inlineStr">
        <is>
          <t>T-0723</t>
        </is>
      </c>
      <c r="AO819" s="30" t="inlineStr">
        <is>
          <t>E-03-03</t>
        </is>
      </c>
    </row>
    <row r="820">
      <c r="A820" s="30" t="inlineStr">
        <is>
          <t>O0819</t>
        </is>
      </c>
      <c r="B820" s="30" t="inlineStr">
        <is>
          <t>C</t>
        </is>
      </c>
      <c r="C820" s="31" t="n">
        <v>10323.8</v>
      </c>
      <c r="D820" s="31" t="n">
        <v>29842</v>
      </c>
      <c r="E820" s="31" t="n">
        <v>29870.5</v>
      </c>
      <c r="F820" s="31" t="n">
        <v>29884.7</v>
      </c>
      <c r="G820" s="31" t="n">
        <v>29904.7</v>
      </c>
      <c r="H820" s="31" t="n">
        <v>29904.8</v>
      </c>
      <c r="I820" s="31" t="n">
        <v>29916.3</v>
      </c>
      <c r="J820" s="31" t="n">
        <v>29948.6</v>
      </c>
      <c r="K820" s="31" t="n">
        <v>19624.8</v>
      </c>
      <c r="L820" s="31" t="n">
        <v>19518.2</v>
      </c>
      <c r="M820" s="30" t="inlineStr">
        <is>
          <t>AMR1</t>
        </is>
      </c>
      <c r="N820" s="30" t="inlineStr">
        <is>
          <t>AMR1</t>
        </is>
      </c>
      <c r="O820" s="32" t="n">
        <v>1</v>
      </c>
      <c r="P820" s="32" t="n">
        <v>25</v>
      </c>
      <c r="Q820" s="32" t="n">
        <v>0</v>
      </c>
      <c r="R820" s="31" t="n">
        <v>55</v>
      </c>
      <c r="S820" s="31" t="n">
        <v>55</v>
      </c>
      <c r="T820" s="30" t="inlineStr">
        <is>
          <t>AMR1</t>
        </is>
      </c>
      <c r="U820" s="31" t="n">
        <v>37</v>
      </c>
      <c r="V820" s="31" t="n">
        <v>37</v>
      </c>
      <c r="W820" s="30" t="inlineStr">
        <is>
          <t>AMR1</t>
        </is>
      </c>
      <c r="X820" s="32" t="n">
        <v>0</v>
      </c>
      <c r="Y820" s="32" t="n">
        <v>0</v>
      </c>
      <c r="Z820" s="31" t="n">
        <v>0</v>
      </c>
      <c r="AA820" s="32" t="n">
        <v>0</v>
      </c>
      <c r="AB820" s="32" t="n">
        <v>0</v>
      </c>
      <c r="AC820" s="32" t="n">
        <v>0</v>
      </c>
      <c r="AD820" s="32" t="n">
        <v>1</v>
      </c>
      <c r="AE820" s="31" t="n">
        <v>6</v>
      </c>
      <c r="AF820" s="32" t="n">
        <v>1</v>
      </c>
      <c r="AG820" s="31" t="n">
        <v>1</v>
      </c>
      <c r="AH820" s="32" t="n">
        <v>54</v>
      </c>
      <c r="AI820" s="31" t="n">
        <v>55.9</v>
      </c>
      <c r="AJ820" s="31" t="n">
        <v>39.6</v>
      </c>
      <c r="AK820" s="31" t="n">
        <v>11</v>
      </c>
      <c r="AL820" s="30" t="inlineStr">
        <is>
          <t>T-0965</t>
        </is>
      </c>
      <c r="AM820" s="30" t="inlineStr">
        <is>
          <t>C-03-03</t>
        </is>
      </c>
      <c r="AN820" s="30" t="inlineStr">
        <is>
          <t>T-0817</t>
        </is>
      </c>
      <c r="AO820" s="30" t="inlineStr">
        <is>
          <t>C-04-01</t>
        </is>
      </c>
    </row>
    <row r="821">
      <c r="A821" s="30" t="inlineStr">
        <is>
          <t>O0820</t>
        </is>
      </c>
      <c r="B821" s="30" t="inlineStr">
        <is>
          <t>F</t>
        </is>
      </c>
      <c r="C821" s="31" t="n">
        <v>10340.3</v>
      </c>
      <c r="D821" s="31" t="n">
        <v>29863.4</v>
      </c>
      <c r="E821" s="31" t="n">
        <v>29894.9</v>
      </c>
      <c r="F821" s="31" t="n">
        <v>29906.5</v>
      </c>
      <c r="G821" s="31" t="n">
        <v>29939.4</v>
      </c>
      <c r="H821" s="31" t="n">
        <v>29939.5</v>
      </c>
      <c r="I821" s="31" t="n">
        <v>29952.3</v>
      </c>
      <c r="J821" s="31" t="n">
        <v>29987.5</v>
      </c>
      <c r="K821" s="31" t="n">
        <v>19647.2</v>
      </c>
      <c r="L821" s="31" t="n">
        <v>19523.1</v>
      </c>
      <c r="M821" s="30" t="inlineStr">
        <is>
          <t>AMR2</t>
        </is>
      </c>
      <c r="N821" s="30" t="inlineStr">
        <is>
          <t>AMR2</t>
        </is>
      </c>
      <c r="O821" s="32" t="n">
        <v>1</v>
      </c>
      <c r="P821" s="32" t="n">
        <v>25</v>
      </c>
      <c r="Q821" s="32" t="n">
        <v>1</v>
      </c>
      <c r="R821" s="31" t="n">
        <v>64.59999999999999</v>
      </c>
      <c r="S821" s="31" t="n">
        <v>64.59999999999999</v>
      </c>
      <c r="T821" s="30" t="inlineStr">
        <is>
          <t>AMR2</t>
        </is>
      </c>
      <c r="U821" s="31" t="n">
        <v>43.6</v>
      </c>
      <c r="V821" s="31" t="n">
        <v>43.6</v>
      </c>
      <c r="W821" s="30" t="inlineStr">
        <is>
          <t>AMR2</t>
        </is>
      </c>
      <c r="X821" s="32" t="n">
        <v>0</v>
      </c>
      <c r="Y821" s="32" t="n">
        <v>0</v>
      </c>
      <c r="Z821" s="31" t="n">
        <v>0</v>
      </c>
      <c r="AA821" s="32" t="n">
        <v>0</v>
      </c>
      <c r="AB821" s="32" t="n">
        <v>0</v>
      </c>
      <c r="AC821" s="32" t="n">
        <v>0</v>
      </c>
      <c r="AD821" s="32" t="n">
        <v>1</v>
      </c>
      <c r="AE821" s="31" t="n">
        <v>5</v>
      </c>
      <c r="AF821" s="32" t="n">
        <v>1</v>
      </c>
      <c r="AG821" s="31" t="n">
        <v>3</v>
      </c>
      <c r="AH821" s="32" t="n">
        <v>72</v>
      </c>
      <c r="AI821" s="31" t="n">
        <v>70.7</v>
      </c>
      <c r="AJ821" s="31" t="n">
        <v>40.3</v>
      </c>
      <c r="AK821" s="31" t="n">
        <v>13</v>
      </c>
      <c r="AL821" s="30" t="inlineStr">
        <is>
          <t>T-0966</t>
        </is>
      </c>
      <c r="AM821" s="30" t="inlineStr">
        <is>
          <t>F-02-02</t>
        </is>
      </c>
      <c r="AN821" s="30" t="inlineStr">
        <is>
          <t>T-0738</t>
        </is>
      </c>
      <c r="AO821" s="30" t="inlineStr">
        <is>
          <t>F-03-02</t>
        </is>
      </c>
    </row>
    <row r="822">
      <c r="A822" s="30" t="inlineStr">
        <is>
          <t>O0821</t>
        </is>
      </c>
      <c r="B822" s="30" t="inlineStr">
        <is>
          <t>G</t>
        </is>
      </c>
      <c r="C822" s="31" t="n">
        <v>10362.9</v>
      </c>
      <c r="D822" s="31" t="n">
        <v>30418.1</v>
      </c>
      <c r="E822" s="31" t="n">
        <v>30441.6</v>
      </c>
      <c r="F822" s="31" t="n">
        <v>30456</v>
      </c>
      <c r="G822" s="31" t="n">
        <v>30480.6</v>
      </c>
      <c r="H822" s="31" t="n">
        <v>30480.7</v>
      </c>
      <c r="I822" s="31" t="n">
        <v>30494.9</v>
      </c>
      <c r="J822" s="31" t="n">
        <v>30527</v>
      </c>
      <c r="K822" s="31" t="n">
        <v>20164.1</v>
      </c>
      <c r="L822" s="31" t="n">
        <v>20055.2</v>
      </c>
      <c r="M822" s="30" t="inlineStr">
        <is>
          <t>AMR1</t>
        </is>
      </c>
      <c r="N822" s="30" t="inlineStr">
        <is>
          <t>AMR1</t>
        </is>
      </c>
      <c r="O822" s="32" t="n">
        <v>1</v>
      </c>
      <c r="P822" s="32" t="n">
        <v>25</v>
      </c>
      <c r="Q822" s="32" t="n">
        <v>1</v>
      </c>
      <c r="R822" s="31" t="n">
        <v>60.7</v>
      </c>
      <c r="S822" s="31" t="n">
        <v>60.7</v>
      </c>
      <c r="T822" s="30" t="inlineStr">
        <is>
          <t>AMR1</t>
        </is>
      </c>
      <c r="U822" s="31" t="n">
        <v>43.5</v>
      </c>
      <c r="V822" s="31" t="n">
        <v>43.5</v>
      </c>
      <c r="W822" s="30" t="inlineStr">
        <is>
          <t>AMR1</t>
        </is>
      </c>
      <c r="X822" s="32" t="n">
        <v>0</v>
      </c>
      <c r="Y822" s="32" t="n">
        <v>0</v>
      </c>
      <c r="Z822" s="31" t="n">
        <v>0</v>
      </c>
      <c r="AA822" s="32" t="n">
        <v>0</v>
      </c>
      <c r="AB822" s="32" t="n">
        <v>0</v>
      </c>
      <c r="AC822" s="32" t="n">
        <v>0</v>
      </c>
      <c r="AD822" s="32" t="n">
        <v>0</v>
      </c>
      <c r="AE822" s="31" t="n">
        <v>0</v>
      </c>
      <c r="AF822" s="32" t="n">
        <v>0</v>
      </c>
      <c r="AG822" s="31" t="n">
        <v>0</v>
      </c>
      <c r="AH822" s="32" t="n">
        <v>60</v>
      </c>
      <c r="AI822" s="31" t="n">
        <v>61.9</v>
      </c>
      <c r="AJ822" s="31" t="n">
        <v>46.9</v>
      </c>
      <c r="AK822" s="31" t="n">
        <v>0</v>
      </c>
      <c r="AL822" s="30" t="inlineStr">
        <is>
          <t>T-0980</t>
        </is>
      </c>
      <c r="AM822" s="30" t="inlineStr">
        <is>
          <t>G-05-03</t>
        </is>
      </c>
      <c r="AN822" s="30" t="inlineStr">
        <is>
          <t>T-0727</t>
        </is>
      </c>
      <c r="AO822" s="30" t="inlineStr">
        <is>
          <t>G-01-03</t>
        </is>
      </c>
    </row>
    <row r="823">
      <c r="A823" s="30" t="inlineStr">
        <is>
          <t>O0822</t>
        </is>
      </c>
      <c r="B823" s="30" t="inlineStr">
        <is>
          <t>E</t>
        </is>
      </c>
      <c r="C823" s="31" t="n">
        <v>10379.3</v>
      </c>
      <c r="D823" s="31" t="n">
        <v>30067</v>
      </c>
      <c r="E823" s="31" t="n">
        <v>30092.5</v>
      </c>
      <c r="F823" s="31" t="n">
        <v>30105.5</v>
      </c>
      <c r="G823" s="31" t="n">
        <v>30131.7</v>
      </c>
      <c r="H823" s="31" t="n">
        <v>32610.3</v>
      </c>
      <c r="I823" s="31" t="n">
        <v>32624.1</v>
      </c>
      <c r="J823" s="31" t="n">
        <v>32664.4</v>
      </c>
      <c r="K823" s="31" t="n">
        <v>22285.1</v>
      </c>
      <c r="L823" s="31" t="n">
        <v>19687.7</v>
      </c>
      <c r="M823" s="30" t="inlineStr">
        <is>
          <t>AMR1</t>
        </is>
      </c>
      <c r="N823" s="30" t="inlineStr">
        <is>
          <t>AMR3</t>
        </is>
      </c>
      <c r="O823" s="32" t="n">
        <v>1</v>
      </c>
      <c r="P823" s="32" t="n">
        <v>25</v>
      </c>
      <c r="Q823" s="32" t="n">
        <v>0</v>
      </c>
      <c r="R823" s="31" t="n">
        <v>60</v>
      </c>
      <c r="S823" s="31" t="n">
        <v>60</v>
      </c>
      <c r="T823" s="30" t="inlineStr">
        <is>
          <t>AMR1</t>
        </is>
      </c>
      <c r="U823" s="31" t="n">
        <v>49.3</v>
      </c>
      <c r="V823" s="31" t="n">
        <v>49.3</v>
      </c>
      <c r="W823" s="30" t="inlineStr">
        <is>
          <t>AMR3</t>
        </is>
      </c>
      <c r="X823" s="32" t="n">
        <v>0</v>
      </c>
      <c r="Y823" s="32" t="n">
        <v>0</v>
      </c>
      <c r="Z823" s="31" t="n">
        <v>0</v>
      </c>
      <c r="AA823" s="32" t="n">
        <v>0</v>
      </c>
      <c r="AB823" s="32" t="n">
        <v>0</v>
      </c>
      <c r="AC823" s="32" t="n">
        <v>0</v>
      </c>
      <c r="AD823" s="32" t="n">
        <v>1</v>
      </c>
      <c r="AE823" s="31" t="n">
        <v>4</v>
      </c>
      <c r="AF823" s="32" t="n">
        <v>0</v>
      </c>
      <c r="AG823" s="31" t="n">
        <v>0</v>
      </c>
      <c r="AH823" s="32" t="n">
        <v>68</v>
      </c>
      <c r="AI823" s="31" t="n">
        <v>67</v>
      </c>
      <c r="AJ823" s="31" t="n">
        <v>45.8</v>
      </c>
      <c r="AK823" s="31" t="n">
        <v>6</v>
      </c>
      <c r="AL823" s="30" t="inlineStr">
        <is>
          <t>T-0971</t>
        </is>
      </c>
      <c r="AM823" s="30" t="inlineStr">
        <is>
          <t>E-03-03</t>
        </is>
      </c>
      <c r="AN823" s="30" t="inlineStr">
        <is>
          <t>T-0772</t>
        </is>
      </c>
      <c r="AO823" s="30" t="inlineStr">
        <is>
          <t>E-05-03</t>
        </is>
      </c>
    </row>
    <row r="824">
      <c r="A824" s="30" t="inlineStr">
        <is>
          <t>O0823</t>
        </is>
      </c>
      <c r="B824" s="30" t="inlineStr">
        <is>
          <t>H</t>
        </is>
      </c>
      <c r="C824" s="31" t="n">
        <v>10398.4</v>
      </c>
      <c r="D824" s="31" t="n">
        <v>29987.6</v>
      </c>
      <c r="E824" s="31" t="n">
        <v>30012.1</v>
      </c>
      <c r="F824" s="31" t="n">
        <v>30025</v>
      </c>
      <c r="G824" s="31" t="n">
        <v>30047.2</v>
      </c>
      <c r="H824" s="31" t="n">
        <v>30047.3</v>
      </c>
      <c r="I824" s="31" t="n">
        <v>30059.7</v>
      </c>
      <c r="J824" s="31" t="n">
        <v>30085.4</v>
      </c>
      <c r="K824" s="31" t="n">
        <v>19687</v>
      </c>
      <c r="L824" s="31" t="n">
        <v>19589.2</v>
      </c>
      <c r="M824" s="30" t="inlineStr">
        <is>
          <t>AMR2</t>
        </is>
      </c>
      <c r="N824" s="30" t="inlineStr">
        <is>
          <t>AMR2</t>
        </is>
      </c>
      <c r="O824" s="32" t="n">
        <v>1</v>
      </c>
      <c r="P824" s="32" t="n">
        <v>25</v>
      </c>
      <c r="Q824" s="32" t="n">
        <v>1</v>
      </c>
      <c r="R824" s="31" t="n">
        <v>56.8</v>
      </c>
      <c r="S824" s="31" t="n">
        <v>56.8</v>
      </c>
      <c r="T824" s="30" t="inlineStr">
        <is>
          <t>AMR2</t>
        </is>
      </c>
      <c r="U824" s="31" t="n">
        <v>39.3</v>
      </c>
      <c r="V824" s="31" t="n">
        <v>39.3</v>
      </c>
      <c r="W824" s="30" t="inlineStr">
        <is>
          <t>AMR2</t>
        </is>
      </c>
      <c r="X824" s="32" t="n">
        <v>0</v>
      </c>
      <c r="Y824" s="32" t="n">
        <v>0</v>
      </c>
      <c r="Z824" s="31" t="n">
        <v>0</v>
      </c>
      <c r="AA824" s="32" t="n">
        <v>0</v>
      </c>
      <c r="AB824" s="32" t="n">
        <v>0</v>
      </c>
      <c r="AC824" s="32" t="n">
        <v>0</v>
      </c>
      <c r="AD824" s="32" t="n">
        <v>0</v>
      </c>
      <c r="AE824" s="31" t="n">
        <v>0</v>
      </c>
      <c r="AF824" s="32" t="n">
        <v>0</v>
      </c>
      <c r="AG824" s="31" t="n">
        <v>0</v>
      </c>
      <c r="AH824" s="32" t="n">
        <v>52</v>
      </c>
      <c r="AI824" s="31" t="n">
        <v>54.2</v>
      </c>
      <c r="AJ824" s="31" t="n">
        <v>42.5</v>
      </c>
      <c r="AK824" s="31" t="n">
        <v>1</v>
      </c>
      <c r="AL824" s="30" t="inlineStr">
        <is>
          <t>T-0969</t>
        </is>
      </c>
      <c r="AM824" s="30" t="inlineStr">
        <is>
          <t>H-02-01</t>
        </is>
      </c>
      <c r="AN824" s="30" t="inlineStr">
        <is>
          <t>T-0866</t>
        </is>
      </c>
      <c r="AO824" s="30" t="inlineStr">
        <is>
          <t>H-02-03</t>
        </is>
      </c>
    </row>
    <row r="825">
      <c r="A825" s="30" t="inlineStr">
        <is>
          <t>O0824</t>
        </is>
      </c>
      <c r="B825" s="30" t="inlineStr">
        <is>
          <t>B</t>
        </is>
      </c>
      <c r="C825" s="31" t="n">
        <v>10419.8</v>
      </c>
      <c r="D825" s="31" t="n">
        <v>30044.8</v>
      </c>
      <c r="E825" s="31" t="n">
        <v>30068.3</v>
      </c>
      <c r="F825" s="31" t="n">
        <v>30079.8</v>
      </c>
      <c r="G825" s="31" t="n">
        <v>30105.1</v>
      </c>
      <c r="H825" s="31" t="n">
        <v>30105.2</v>
      </c>
      <c r="I825" s="31" t="n">
        <v>30118.7</v>
      </c>
      <c r="J825" s="31" t="n">
        <v>30150.4</v>
      </c>
      <c r="K825" s="31" t="n">
        <v>19730.6</v>
      </c>
      <c r="L825" s="31" t="n">
        <v>19625</v>
      </c>
      <c r="M825" s="30" t="inlineStr">
        <is>
          <t>AMR3</t>
        </is>
      </c>
      <c r="N825" s="30" t="inlineStr">
        <is>
          <t>AMR3</t>
        </is>
      </c>
      <c r="O825" s="32" t="n">
        <v>1</v>
      </c>
      <c r="P825" s="32" t="n">
        <v>25</v>
      </c>
      <c r="Q825" s="32" t="n">
        <v>1</v>
      </c>
      <c r="R825" s="31" t="n">
        <v>56.8</v>
      </c>
      <c r="S825" s="31" t="n">
        <v>50.4</v>
      </c>
      <c r="T825" s="30" t="inlineStr">
        <is>
          <t>AMR2</t>
        </is>
      </c>
      <c r="U825" s="31" t="n">
        <v>44.8</v>
      </c>
      <c r="V825" s="31" t="n">
        <v>44.8</v>
      </c>
      <c r="W825" s="30" t="inlineStr">
        <is>
          <t>AMR3</t>
        </is>
      </c>
      <c r="X825" s="32" t="n">
        <v>1</v>
      </c>
      <c r="Y825" s="32" t="n">
        <v>11</v>
      </c>
      <c r="Z825" s="31" t="n">
        <v>6.4</v>
      </c>
      <c r="AA825" s="32" t="n">
        <v>0</v>
      </c>
      <c r="AB825" s="32" t="n">
        <v>0</v>
      </c>
      <c r="AC825" s="32" t="n">
        <v>0</v>
      </c>
      <c r="AD825" s="32" t="n">
        <v>0</v>
      </c>
      <c r="AE825" s="31" t="n">
        <v>0</v>
      </c>
      <c r="AF825" s="32" t="n">
        <v>0</v>
      </c>
      <c r="AG825" s="31" t="n">
        <v>0</v>
      </c>
      <c r="AH825" s="32" t="n">
        <v>60</v>
      </c>
      <c r="AI825" s="31" t="n">
        <v>60.7</v>
      </c>
      <c r="AJ825" s="31" t="n">
        <v>44.8</v>
      </c>
      <c r="AK825" s="31" t="n">
        <v>0</v>
      </c>
      <c r="AL825" s="30" t="inlineStr">
        <is>
          <t>T-0970</t>
        </is>
      </c>
      <c r="AM825" s="30" t="inlineStr">
        <is>
          <t>B-01-01</t>
        </is>
      </c>
      <c r="AN825" s="30" t="inlineStr">
        <is>
          <t>T-0724</t>
        </is>
      </c>
      <c r="AO825" s="30" t="inlineStr">
        <is>
          <t>B-02-01</t>
        </is>
      </c>
    </row>
    <row r="826">
      <c r="A826" s="30" t="inlineStr">
        <is>
          <t>O0825</t>
        </is>
      </c>
      <c r="B826" s="30" t="inlineStr">
        <is>
          <t>E</t>
        </is>
      </c>
      <c r="C826" s="31" t="n">
        <v>10439.9</v>
      </c>
      <c r="D826" s="31" t="n">
        <v>30429</v>
      </c>
      <c r="E826" s="31" t="n">
        <v>30465.5</v>
      </c>
      <c r="F826" s="31" t="n">
        <v>30477.3</v>
      </c>
      <c r="G826" s="31" t="n">
        <v>30507.2</v>
      </c>
      <c r="H826" s="31" t="n">
        <v>30507.3</v>
      </c>
      <c r="I826" s="31" t="n">
        <v>30520.3</v>
      </c>
      <c r="J826" s="31" t="n">
        <v>30556.4</v>
      </c>
      <c r="K826" s="31" t="n">
        <v>20116.5</v>
      </c>
      <c r="L826" s="31" t="n">
        <v>19989.1</v>
      </c>
      <c r="M826" s="30" t="inlineStr">
        <is>
          <t>AMR2</t>
        </is>
      </c>
      <c r="N826" s="30" t="inlineStr">
        <is>
          <t>AMR2</t>
        </is>
      </c>
      <c r="O826" s="32" t="n">
        <v>1</v>
      </c>
      <c r="P826" s="32" t="n">
        <v>25</v>
      </c>
      <c r="Q826" s="32" t="n">
        <v>2</v>
      </c>
      <c r="R826" s="31" t="n">
        <v>60.9</v>
      </c>
      <c r="S826" s="31" t="n">
        <v>60.9</v>
      </c>
      <c r="T826" s="30" t="inlineStr">
        <is>
          <t>AMR2</t>
        </is>
      </c>
      <c r="U826" s="31" t="n">
        <v>49.6</v>
      </c>
      <c r="V826" s="31" t="n">
        <v>49.6</v>
      </c>
      <c r="W826" s="30" t="inlineStr">
        <is>
          <t>AMR2</t>
        </is>
      </c>
      <c r="X826" s="32" t="n">
        <v>0</v>
      </c>
      <c r="Y826" s="32" t="n">
        <v>0</v>
      </c>
      <c r="Z826" s="31" t="n">
        <v>0</v>
      </c>
      <c r="AA826" s="32" t="n">
        <v>0</v>
      </c>
      <c r="AB826" s="32" t="n">
        <v>0</v>
      </c>
      <c r="AC826" s="32" t="n">
        <v>0</v>
      </c>
      <c r="AD826" s="32" t="n">
        <v>0</v>
      </c>
      <c r="AE826" s="31" t="n">
        <v>0</v>
      </c>
      <c r="AF826" s="32" t="n">
        <v>1</v>
      </c>
      <c r="AG826" s="31" t="n">
        <v>8</v>
      </c>
      <c r="AH826" s="32" t="n">
        <v>70</v>
      </c>
      <c r="AI826" s="31" t="n">
        <v>68.7</v>
      </c>
      <c r="AJ826" s="31" t="n">
        <v>45.6</v>
      </c>
      <c r="AK826" s="31" t="n">
        <v>13</v>
      </c>
      <c r="AL826" s="30" t="inlineStr">
        <is>
          <t>T-0981</t>
        </is>
      </c>
      <c r="AM826" s="30" t="inlineStr">
        <is>
          <t>E-06-02</t>
        </is>
      </c>
      <c r="AN826" s="30" t="inlineStr">
        <is>
          <t>T-0729</t>
        </is>
      </c>
      <c r="AO826" s="30" t="inlineStr">
        <is>
          <t>E-04-03</t>
        </is>
      </c>
    </row>
    <row r="827">
      <c r="A827" s="30" t="inlineStr">
        <is>
          <t>O0826</t>
        </is>
      </c>
      <c r="B827" s="30" t="inlineStr">
        <is>
          <t>F</t>
        </is>
      </c>
      <c r="C827" s="31" t="n">
        <v>10464.3</v>
      </c>
      <c r="D827" s="31" t="n">
        <v>30085.5</v>
      </c>
      <c r="E827" s="31" t="n">
        <v>30116</v>
      </c>
      <c r="F827" s="31" t="n">
        <v>30126.7</v>
      </c>
      <c r="G827" s="31" t="n">
        <v>30156.7</v>
      </c>
      <c r="H827" s="31" t="n">
        <v>30156.8</v>
      </c>
      <c r="I827" s="31" t="n">
        <v>30168.1</v>
      </c>
      <c r="J827" s="31" t="n">
        <v>30198.8</v>
      </c>
      <c r="K827" s="31" t="n">
        <v>19734.5</v>
      </c>
      <c r="L827" s="31" t="n">
        <v>19621.2</v>
      </c>
      <c r="M827" s="30" t="inlineStr">
        <is>
          <t>AMR2</t>
        </is>
      </c>
      <c r="N827" s="30" t="inlineStr">
        <is>
          <t>AMR2</t>
        </is>
      </c>
      <c r="O827" s="32" t="n">
        <v>1</v>
      </c>
      <c r="P827" s="32" t="n">
        <v>25</v>
      </c>
      <c r="Q827" s="32" t="n">
        <v>0</v>
      </c>
      <c r="R827" s="31" t="n">
        <v>61.6</v>
      </c>
      <c r="S827" s="31" t="n">
        <v>61.6</v>
      </c>
      <c r="T827" s="30" t="inlineStr">
        <is>
          <t>AMR2</t>
        </is>
      </c>
      <c r="U827" s="31" t="n">
        <v>40.7</v>
      </c>
      <c r="V827" s="31" t="n">
        <v>40.7</v>
      </c>
      <c r="W827" s="30" t="inlineStr">
        <is>
          <t>AMR2</t>
        </is>
      </c>
      <c r="X827" s="32" t="n">
        <v>0</v>
      </c>
      <c r="Y827" s="32" t="n">
        <v>0</v>
      </c>
      <c r="Z827" s="31" t="n">
        <v>0</v>
      </c>
      <c r="AA827" s="32" t="n">
        <v>0</v>
      </c>
      <c r="AB827" s="32" t="n">
        <v>0</v>
      </c>
      <c r="AC827" s="32" t="n">
        <v>0</v>
      </c>
      <c r="AD827" s="32" t="n">
        <v>1</v>
      </c>
      <c r="AE827" s="31" t="n">
        <v>2</v>
      </c>
      <c r="AF827" s="32" t="n">
        <v>1</v>
      </c>
      <c r="AG827" s="31" t="n">
        <v>2</v>
      </c>
      <c r="AH827" s="32" t="n">
        <v>70</v>
      </c>
      <c r="AI827" s="31" t="n">
        <v>69.09999999999999</v>
      </c>
      <c r="AJ827" s="31" t="n">
        <v>35.1</v>
      </c>
      <c r="AK827" s="31" t="n">
        <v>9</v>
      </c>
      <c r="AL827" s="30" t="inlineStr">
        <is>
          <t>T-0972</t>
        </is>
      </c>
      <c r="AM827" s="30" t="inlineStr">
        <is>
          <t>F-03-02</t>
        </is>
      </c>
      <c r="AN827" s="30" t="inlineStr">
        <is>
          <t>T-0750</t>
        </is>
      </c>
      <c r="AO827" s="30" t="inlineStr">
        <is>
          <t>F-05-02</t>
        </is>
      </c>
    </row>
    <row r="828">
      <c r="A828" s="30" t="inlineStr">
        <is>
          <t>O0827</t>
        </is>
      </c>
      <c r="B828" s="30" t="inlineStr">
        <is>
          <t>F</t>
        </is>
      </c>
      <c r="C828" s="31" t="n">
        <v>10488.8</v>
      </c>
      <c r="D828" s="31" t="n">
        <v>30181.8</v>
      </c>
      <c r="E828" s="31" t="n">
        <v>30205.3</v>
      </c>
      <c r="F828" s="31" t="n">
        <v>30219.7</v>
      </c>
      <c r="G828" s="31" t="n">
        <v>30248.5</v>
      </c>
      <c r="H828" s="31" t="n">
        <v>31549.3</v>
      </c>
      <c r="I828" s="31" t="n">
        <v>31563.5</v>
      </c>
      <c r="J828" s="31" t="n">
        <v>31593.7</v>
      </c>
      <c r="K828" s="31" t="n">
        <v>21104.9</v>
      </c>
      <c r="L828" s="31" t="n">
        <v>19693</v>
      </c>
      <c r="M828" s="30" t="inlineStr">
        <is>
          <t>AMR1</t>
        </is>
      </c>
      <c r="N828" s="30" t="inlineStr">
        <is>
          <t>AMR3</t>
        </is>
      </c>
      <c r="O828" s="32" t="n">
        <v>1</v>
      </c>
      <c r="P828" s="32" t="n">
        <v>25</v>
      </c>
      <c r="Q828" s="32" t="n">
        <v>0</v>
      </c>
      <c r="R828" s="31" t="n">
        <v>64.90000000000001</v>
      </c>
      <c r="S828" s="31" t="n">
        <v>64.90000000000001</v>
      </c>
      <c r="T828" s="30" t="inlineStr">
        <is>
          <t>AMR1</t>
        </is>
      </c>
      <c r="U828" s="31" t="n">
        <v>45.2</v>
      </c>
      <c r="V828" s="31" t="n">
        <v>45.2</v>
      </c>
      <c r="W828" s="30" t="inlineStr">
        <is>
          <t>AMR3</t>
        </is>
      </c>
      <c r="X828" s="32" t="n">
        <v>0</v>
      </c>
      <c r="Y828" s="32" t="n">
        <v>0</v>
      </c>
      <c r="Z828" s="31" t="n">
        <v>0</v>
      </c>
      <c r="AA828" s="32" t="n">
        <v>0</v>
      </c>
      <c r="AB828" s="32" t="n">
        <v>0</v>
      </c>
      <c r="AC828" s="32" t="n">
        <v>0</v>
      </c>
      <c r="AD828" s="32" t="n">
        <v>0</v>
      </c>
      <c r="AE828" s="31" t="n">
        <v>0</v>
      </c>
      <c r="AF828" s="32" t="n">
        <v>0</v>
      </c>
      <c r="AG828" s="31" t="n">
        <v>0</v>
      </c>
      <c r="AH828" s="32" t="n">
        <v>69</v>
      </c>
      <c r="AI828" s="31" t="n">
        <v>68.2</v>
      </c>
      <c r="AJ828" s="31" t="n">
        <v>42.9</v>
      </c>
      <c r="AK828" s="31" t="n">
        <v>0</v>
      </c>
      <c r="AL828" s="30" t="inlineStr">
        <is>
          <t>T-0974</t>
        </is>
      </c>
      <c r="AM828" s="30" t="inlineStr">
        <is>
          <t>F-05-02</t>
        </is>
      </c>
      <c r="AN828" s="30" t="inlineStr">
        <is>
          <t>T-0776</t>
        </is>
      </c>
      <c r="AO828" s="30" t="inlineStr">
        <is>
          <t>F-06-02</t>
        </is>
      </c>
    </row>
    <row r="829">
      <c r="A829" s="30" t="inlineStr">
        <is>
          <t>O0828</t>
        </is>
      </c>
      <c r="B829" s="30" t="inlineStr">
        <is>
          <t>B</t>
        </is>
      </c>
      <c r="C829" s="31" t="n">
        <v>10503.8</v>
      </c>
      <c r="D829" s="31" t="n">
        <v>30314.1</v>
      </c>
      <c r="E829" s="31" t="n">
        <v>30363.1</v>
      </c>
      <c r="F829" s="31" t="n">
        <v>30376.5</v>
      </c>
      <c r="G829" s="31" t="n">
        <v>30397.7</v>
      </c>
      <c r="H829" s="31" t="n">
        <v>30397.8</v>
      </c>
      <c r="I829" s="31" t="n">
        <v>30406.7</v>
      </c>
      <c r="J829" s="31" t="n">
        <v>30455.7</v>
      </c>
      <c r="K829" s="31" t="n">
        <v>19951.9</v>
      </c>
      <c r="L829" s="31" t="n">
        <v>19810.3</v>
      </c>
      <c r="M829" s="30" t="inlineStr">
        <is>
          <t>AMR3</t>
        </is>
      </c>
      <c r="N829" s="30" t="inlineStr">
        <is>
          <t>AMR3</t>
        </is>
      </c>
      <c r="O829" s="32" t="n">
        <v>1</v>
      </c>
      <c r="P829" s="32" t="n">
        <v>15</v>
      </c>
      <c r="Q829" s="32" t="n">
        <v>1</v>
      </c>
      <c r="R829" s="31" t="n">
        <v>48.6</v>
      </c>
      <c r="S829" s="31" t="n">
        <v>48.6</v>
      </c>
      <c r="T829" s="30" t="inlineStr">
        <is>
          <t>AMR3</t>
        </is>
      </c>
      <c r="U829" s="31" t="n">
        <v>39.9</v>
      </c>
      <c r="V829" s="31" t="n">
        <v>39.9</v>
      </c>
      <c r="W829" s="30" t="inlineStr">
        <is>
          <t>AMR3</t>
        </is>
      </c>
      <c r="X829" s="32" t="n">
        <v>0</v>
      </c>
      <c r="Y829" s="32" t="n">
        <v>0</v>
      </c>
      <c r="Z829" s="31" t="n">
        <v>0</v>
      </c>
      <c r="AA829" s="32" t="n">
        <v>0</v>
      </c>
      <c r="AB829" s="32" t="n">
        <v>0</v>
      </c>
      <c r="AC829" s="32" t="n">
        <v>0</v>
      </c>
      <c r="AD829" s="32" t="n">
        <v>1</v>
      </c>
      <c r="AE829" s="31" t="n">
        <v>19.2</v>
      </c>
      <c r="AF829" s="32" t="n">
        <v>3</v>
      </c>
      <c r="AG829" s="31" t="n">
        <v>24.3</v>
      </c>
      <c r="AH829" s="32" t="n">
        <v>54</v>
      </c>
      <c r="AI829" s="31" t="n">
        <v>58.3</v>
      </c>
      <c r="AJ829" s="31" t="n">
        <v>39.3</v>
      </c>
      <c r="AK829" s="31" t="n">
        <v>43.9</v>
      </c>
      <c r="AL829" s="30" t="inlineStr">
        <is>
          <t>T-0979</t>
        </is>
      </c>
      <c r="AM829" s="30" t="inlineStr">
        <is>
          <t>B-04-01</t>
        </is>
      </c>
      <c r="AN829" s="30" t="inlineStr">
        <is>
          <t>T-0763</t>
        </is>
      </c>
      <c r="AO829" s="30" t="inlineStr">
        <is>
          <t>B-05-01</t>
        </is>
      </c>
    </row>
    <row r="830">
      <c r="A830" s="30" t="inlineStr">
        <is>
          <t>O0829</t>
        </is>
      </c>
      <c r="B830" s="30" t="inlineStr">
        <is>
          <t>F</t>
        </is>
      </c>
      <c r="C830" s="31" t="n">
        <v>10528.5</v>
      </c>
      <c r="D830" s="31" t="n">
        <v>30299.6</v>
      </c>
      <c r="E830" s="31" t="n">
        <v>30323.1</v>
      </c>
      <c r="F830" s="31" t="n">
        <v>30339.3</v>
      </c>
      <c r="G830" s="31" t="n">
        <v>30372.9</v>
      </c>
      <c r="H830" s="31" t="n">
        <v>30373</v>
      </c>
      <c r="I830" s="31" t="n">
        <v>30383.8</v>
      </c>
      <c r="J830" s="31" t="n">
        <v>30418</v>
      </c>
      <c r="K830" s="31" t="n">
        <v>19889.5</v>
      </c>
      <c r="L830" s="31" t="n">
        <v>19771.1</v>
      </c>
      <c r="M830" s="30" t="inlineStr">
        <is>
          <t>AMR1</t>
        </is>
      </c>
      <c r="N830" s="30" t="inlineStr">
        <is>
          <t>AMR1</t>
        </is>
      </c>
      <c r="O830" s="32" t="n">
        <v>1</v>
      </c>
      <c r="P830" s="32" t="n">
        <v>25</v>
      </c>
      <c r="Q830" s="32" t="n">
        <v>1</v>
      </c>
      <c r="R830" s="31" t="n">
        <v>69.90000000000001</v>
      </c>
      <c r="S830" s="31" t="n">
        <v>69.90000000000001</v>
      </c>
      <c r="T830" s="30" t="inlineStr">
        <is>
          <t>AMR1</t>
        </is>
      </c>
      <c r="U830" s="31" t="n">
        <v>45.7</v>
      </c>
      <c r="V830" s="31" t="n">
        <v>45.7</v>
      </c>
      <c r="W830" s="30" t="inlineStr">
        <is>
          <t>AMR1</t>
        </is>
      </c>
      <c r="X830" s="32" t="n">
        <v>0</v>
      </c>
      <c r="Y830" s="32" t="n">
        <v>0</v>
      </c>
      <c r="Z830" s="31" t="n">
        <v>0</v>
      </c>
      <c r="AA830" s="32" t="n">
        <v>0</v>
      </c>
      <c r="AB830" s="32" t="n">
        <v>0</v>
      </c>
      <c r="AC830" s="32" t="n">
        <v>0</v>
      </c>
      <c r="AD830" s="32" t="n">
        <v>0</v>
      </c>
      <c r="AE830" s="31" t="n">
        <v>0</v>
      </c>
      <c r="AF830" s="32" t="n">
        <v>0</v>
      </c>
      <c r="AG830" s="31" t="n">
        <v>0</v>
      </c>
      <c r="AH830" s="32" t="n">
        <v>72</v>
      </c>
      <c r="AI830" s="31" t="n">
        <v>70.59999999999999</v>
      </c>
      <c r="AJ830" s="31" t="n">
        <v>47.7</v>
      </c>
      <c r="AK830" s="31" t="n">
        <v>0</v>
      </c>
      <c r="AL830" s="30" t="inlineStr">
        <is>
          <t>T-0977</t>
        </is>
      </c>
      <c r="AM830" s="30" t="inlineStr">
        <is>
          <t>F-02-03</t>
        </is>
      </c>
      <c r="AN830" s="30" t="inlineStr">
        <is>
          <t>T-0760</t>
        </is>
      </c>
      <c r="AO830" s="30" t="inlineStr">
        <is>
          <t>F-04-02</t>
        </is>
      </c>
    </row>
    <row r="831">
      <c r="A831" s="30" t="inlineStr">
        <is>
          <t>O0830</t>
        </is>
      </c>
      <c r="B831" s="30" t="inlineStr">
        <is>
          <t>G</t>
        </is>
      </c>
      <c r="C831" s="31" t="n">
        <v>10551.5</v>
      </c>
      <c r="D831" s="31" t="n">
        <v>30255</v>
      </c>
      <c r="E831" s="31" t="n">
        <v>30278.5</v>
      </c>
      <c r="F831" s="31" t="n">
        <v>30289.4</v>
      </c>
      <c r="G831" s="31" t="n">
        <v>30314</v>
      </c>
      <c r="H831" s="31" t="n">
        <v>30882.2</v>
      </c>
      <c r="I831" s="31" t="n">
        <v>30909.5</v>
      </c>
      <c r="J831" s="31" t="n">
        <v>30938.9</v>
      </c>
      <c r="K831" s="31" t="n">
        <v>20387.4</v>
      </c>
      <c r="L831" s="31" t="n">
        <v>19703.5</v>
      </c>
      <c r="M831" s="30" t="inlineStr">
        <is>
          <t>AMR3</t>
        </is>
      </c>
      <c r="N831" s="30" t="inlineStr">
        <is>
          <t>AMR2</t>
        </is>
      </c>
      <c r="O831" s="32" t="n">
        <v>1</v>
      </c>
      <c r="P831" s="32" t="n">
        <v>25</v>
      </c>
      <c r="Q831" s="32" t="n">
        <v>16</v>
      </c>
      <c r="R831" s="31" t="n">
        <v>58</v>
      </c>
      <c r="S831" s="31" t="n">
        <v>58</v>
      </c>
      <c r="T831" s="30" t="inlineStr">
        <is>
          <t>AMR3</t>
        </is>
      </c>
      <c r="U831" s="31" t="n">
        <v>56.9</v>
      </c>
      <c r="V831" s="31" t="n">
        <v>56.9</v>
      </c>
      <c r="W831" s="30" t="inlineStr">
        <is>
          <t>AMR2</t>
        </is>
      </c>
      <c r="X831" s="32" t="n">
        <v>0</v>
      </c>
      <c r="Y831" s="32" t="n">
        <v>0</v>
      </c>
      <c r="Z831" s="31" t="n">
        <v>0</v>
      </c>
      <c r="AA831" s="32" t="n">
        <v>0</v>
      </c>
      <c r="AB831" s="32" t="n">
        <v>0</v>
      </c>
      <c r="AC831" s="32" t="n">
        <v>0</v>
      </c>
      <c r="AD831" s="32" t="n">
        <v>0</v>
      </c>
      <c r="AE831" s="31" t="n">
        <v>0</v>
      </c>
      <c r="AF831" s="32" t="n">
        <v>0</v>
      </c>
      <c r="AG831" s="31" t="n">
        <v>0</v>
      </c>
      <c r="AH831" s="32" t="n">
        <v>70</v>
      </c>
      <c r="AI831" s="31" t="n">
        <v>71.8</v>
      </c>
      <c r="AJ831" s="31" t="n">
        <v>43.9</v>
      </c>
      <c r="AK831" s="31" t="n">
        <v>0</v>
      </c>
      <c r="AL831" s="30" t="inlineStr">
        <is>
          <t>T-0976</t>
        </is>
      </c>
      <c r="AM831" s="30" t="inlineStr">
        <is>
          <t>G-06-02</t>
        </is>
      </c>
      <c r="AN831" s="30" t="inlineStr">
        <is>
          <t>T-0747</t>
        </is>
      </c>
      <c r="AO831" s="30" t="inlineStr">
        <is>
          <t>G-05-01</t>
        </is>
      </c>
    </row>
    <row r="832">
      <c r="A832" s="30" t="inlineStr">
        <is>
          <t>O0831</t>
        </is>
      </c>
      <c r="B832" s="30" t="inlineStr">
        <is>
          <t>D</t>
        </is>
      </c>
      <c r="C832" s="31" t="n">
        <v>10576.2</v>
      </c>
      <c r="D832" s="31" t="n">
        <v>30317.9</v>
      </c>
      <c r="E832" s="31" t="n">
        <v>30347.4</v>
      </c>
      <c r="F832" s="31" t="n">
        <v>30363.2</v>
      </c>
      <c r="G832" s="31" t="n">
        <v>30389.2</v>
      </c>
      <c r="H832" s="31" t="n">
        <v>30389.3</v>
      </c>
      <c r="I832" s="31" t="n">
        <v>30403.3</v>
      </c>
      <c r="J832" s="31" t="n">
        <v>30428.9</v>
      </c>
      <c r="K832" s="31" t="n">
        <v>19852.7</v>
      </c>
      <c r="L832" s="31" t="n">
        <v>19741.7</v>
      </c>
      <c r="M832" s="30" t="inlineStr">
        <is>
          <t>AMR2</t>
        </is>
      </c>
      <c r="N832" s="30" t="inlineStr">
        <is>
          <t>AMR2</t>
        </is>
      </c>
      <c r="O832" s="32" t="n">
        <v>1</v>
      </c>
      <c r="P832" s="32" t="n">
        <v>25</v>
      </c>
      <c r="Q832" s="32" t="n">
        <v>2</v>
      </c>
      <c r="R832" s="31" t="n">
        <v>61</v>
      </c>
      <c r="S832" s="31" t="n">
        <v>61</v>
      </c>
      <c r="T832" s="30" t="inlineStr">
        <is>
          <t>AMR2</t>
        </is>
      </c>
      <c r="U832" s="31" t="n">
        <v>38.3</v>
      </c>
      <c r="V832" s="31" t="n">
        <v>38.3</v>
      </c>
      <c r="W832" s="30" t="inlineStr">
        <is>
          <t>AMR2</t>
        </is>
      </c>
      <c r="X832" s="32" t="n">
        <v>0</v>
      </c>
      <c r="Y832" s="32" t="n">
        <v>0</v>
      </c>
      <c r="Z832" s="31" t="n">
        <v>0</v>
      </c>
      <c r="AA832" s="32" t="n">
        <v>0</v>
      </c>
      <c r="AB832" s="32" t="n">
        <v>0</v>
      </c>
      <c r="AC832" s="32" t="n">
        <v>0</v>
      </c>
      <c r="AD832" s="32" t="n">
        <v>1</v>
      </c>
      <c r="AE832" s="31" t="n">
        <v>1</v>
      </c>
      <c r="AF832" s="32" t="n">
        <v>1</v>
      </c>
      <c r="AG832" s="31" t="n">
        <v>1</v>
      </c>
      <c r="AH832" s="32" t="n">
        <v>58</v>
      </c>
      <c r="AI832" s="31" t="n">
        <v>58.9</v>
      </c>
      <c r="AJ832" s="31" t="n">
        <v>45</v>
      </c>
      <c r="AK832" s="31" t="n">
        <v>7</v>
      </c>
      <c r="AL832" s="30" t="inlineStr">
        <is>
          <t>T-0978</t>
        </is>
      </c>
      <c r="AM832" s="30" t="inlineStr">
        <is>
          <t>D-06-02</t>
        </is>
      </c>
      <c r="AN832" s="30" t="inlineStr">
        <is>
          <t>T-0897</t>
        </is>
      </c>
      <c r="AO832" s="30" t="inlineStr">
        <is>
          <t>D-02-03</t>
        </is>
      </c>
    </row>
    <row r="833">
      <c r="A833" s="30" t="inlineStr">
        <is>
          <t>O0832</t>
        </is>
      </c>
      <c r="B833" s="30" t="inlineStr">
        <is>
          <t>E</t>
        </is>
      </c>
      <c r="C833" s="31" t="n">
        <v>10593.9</v>
      </c>
      <c r="D833" s="31" t="n">
        <v>33679.9</v>
      </c>
      <c r="E833" s="31" t="n">
        <v>33703.4</v>
      </c>
      <c r="F833" s="31" t="n">
        <v>33729.7</v>
      </c>
      <c r="G833" s="31" t="n">
        <v>33756.4</v>
      </c>
      <c r="H833" s="31" t="n">
        <v>33756.5</v>
      </c>
      <c r="I833" s="31" t="n">
        <v>33769.1</v>
      </c>
      <c r="J833" s="31" t="n">
        <v>33801.5</v>
      </c>
      <c r="K833" s="31" t="n">
        <v>23207.6</v>
      </c>
      <c r="L833" s="31" t="n">
        <v>23086</v>
      </c>
      <c r="M833" s="30" t="inlineStr">
        <is>
          <t>AMR3</t>
        </is>
      </c>
      <c r="N833" s="30" t="inlineStr">
        <is>
          <t>AMR3</t>
        </is>
      </c>
      <c r="O833" s="32" t="n">
        <v>1</v>
      </c>
      <c r="P833" s="32" t="n">
        <v>25</v>
      </c>
      <c r="Q833" s="32" t="n">
        <v>1</v>
      </c>
      <c r="R833" s="31" t="n">
        <v>73</v>
      </c>
      <c r="S833" s="31" t="n">
        <v>73</v>
      </c>
      <c r="T833" s="30" t="inlineStr">
        <is>
          <t>AMR3</t>
        </is>
      </c>
      <c r="U833" s="31" t="n">
        <v>45.7</v>
      </c>
      <c r="V833" s="31" t="n">
        <v>45.7</v>
      </c>
      <c r="W833" s="30" t="inlineStr">
        <is>
          <t>AMR3</t>
        </is>
      </c>
      <c r="X833" s="32" t="n">
        <v>0</v>
      </c>
      <c r="Y833" s="32" t="n">
        <v>0</v>
      </c>
      <c r="Z833" s="31" t="n">
        <v>0</v>
      </c>
      <c r="AA833" s="32" t="n">
        <v>0</v>
      </c>
      <c r="AB833" s="32" t="n">
        <v>0</v>
      </c>
      <c r="AC833" s="32" t="n">
        <v>0</v>
      </c>
      <c r="AD833" s="32" t="n">
        <v>0</v>
      </c>
      <c r="AE833" s="31" t="n">
        <v>0</v>
      </c>
      <c r="AF833" s="32" t="n">
        <v>0</v>
      </c>
      <c r="AG833" s="31" t="n">
        <v>0</v>
      </c>
      <c r="AH833" s="32" t="n">
        <v>68</v>
      </c>
      <c r="AI833" s="31" t="n">
        <v>67</v>
      </c>
      <c r="AJ833" s="31" t="n">
        <v>54.5</v>
      </c>
      <c r="AK833" s="31" t="n">
        <v>0</v>
      </c>
      <c r="AL833" s="30" t="inlineStr">
        <is>
          <t>T-1066</t>
        </is>
      </c>
      <c r="AM833" s="30" t="inlineStr">
        <is>
          <t>E-05-01</t>
        </is>
      </c>
      <c r="AN833" s="30" t="inlineStr">
        <is>
          <t>T-0898</t>
        </is>
      </c>
      <c r="AO833" s="30" t="inlineStr">
        <is>
          <t>E-02-02</t>
        </is>
      </c>
    </row>
    <row r="834">
      <c r="A834" s="30" t="inlineStr">
        <is>
          <t>O0833</t>
        </is>
      </c>
      <c r="B834" s="30" t="inlineStr">
        <is>
          <t>C</t>
        </is>
      </c>
      <c r="C834" s="31" t="n">
        <v>10614.3</v>
      </c>
      <c r="D834" s="31" t="n">
        <v>30455.8</v>
      </c>
      <c r="E834" s="31" t="n">
        <v>30489.3</v>
      </c>
      <c r="F834" s="31" t="n">
        <v>30504.1</v>
      </c>
      <c r="G834" s="31" t="n">
        <v>30528.9</v>
      </c>
      <c r="H834" s="31" t="n">
        <v>30615.3</v>
      </c>
      <c r="I834" s="31" t="n">
        <v>30627.6</v>
      </c>
      <c r="J834" s="31" t="n">
        <v>30655.7</v>
      </c>
      <c r="K834" s="31" t="n">
        <v>20041.4</v>
      </c>
      <c r="L834" s="31" t="n">
        <v>19841.5</v>
      </c>
      <c r="M834" s="30" t="inlineStr">
        <is>
          <t>AMR3</t>
        </is>
      </c>
      <c r="N834" s="30" t="inlineStr">
        <is>
          <t>AMR2</t>
        </is>
      </c>
      <c r="O834" s="32" t="n">
        <v>1</v>
      </c>
      <c r="P834" s="32" t="n">
        <v>25</v>
      </c>
      <c r="Q834" s="32" t="n">
        <v>1</v>
      </c>
      <c r="R834" s="31" t="n">
        <v>61.2</v>
      </c>
      <c r="S834" s="31" t="n">
        <v>61.2</v>
      </c>
      <c r="T834" s="30" t="inlineStr">
        <is>
          <t>AMR3</t>
        </is>
      </c>
      <c r="U834" s="31" t="n">
        <v>40.1</v>
      </c>
      <c r="V834" s="31" t="n">
        <v>40.1</v>
      </c>
      <c r="W834" s="30" t="inlineStr">
        <is>
          <t>AMR2</t>
        </is>
      </c>
      <c r="X834" s="32" t="n">
        <v>0</v>
      </c>
      <c r="Y834" s="32" t="n">
        <v>0</v>
      </c>
      <c r="Z834" s="31" t="n">
        <v>0</v>
      </c>
      <c r="AA834" s="32" t="n">
        <v>0</v>
      </c>
      <c r="AB834" s="32" t="n">
        <v>0</v>
      </c>
      <c r="AC834" s="32" t="n">
        <v>0</v>
      </c>
      <c r="AD834" s="32" t="n">
        <v>1</v>
      </c>
      <c r="AE834" s="31" t="n">
        <v>1</v>
      </c>
      <c r="AF834" s="32" t="n">
        <v>1</v>
      </c>
      <c r="AG834" s="31" t="n">
        <v>5</v>
      </c>
      <c r="AH834" s="32" t="n">
        <v>52</v>
      </c>
      <c r="AI834" s="31" t="n">
        <v>54.3</v>
      </c>
      <c r="AJ834" s="31" t="n">
        <v>48.2</v>
      </c>
      <c r="AK834" s="31" t="n">
        <v>11</v>
      </c>
      <c r="AL834" s="30" t="inlineStr">
        <is>
          <t>T-0982</t>
        </is>
      </c>
      <c r="AM834" s="30" t="inlineStr">
        <is>
          <t>C-04-01</t>
        </is>
      </c>
      <c r="AN834" s="30" t="inlineStr">
        <is>
          <t>T-0820</t>
        </is>
      </c>
      <c r="AO834" s="30" t="inlineStr">
        <is>
          <t>C-05-03</t>
        </is>
      </c>
    </row>
    <row r="835">
      <c r="A835" s="30" t="inlineStr">
        <is>
          <t>O0834</t>
        </is>
      </c>
      <c r="B835" s="30" t="inlineStr">
        <is>
          <t>F</t>
        </is>
      </c>
      <c r="C835" s="31" t="n">
        <v>10637.9</v>
      </c>
      <c r="D835" s="31" t="n">
        <v>30760.5</v>
      </c>
      <c r="E835" s="31" t="n">
        <v>30784</v>
      </c>
      <c r="F835" s="31" t="n">
        <v>30797.8</v>
      </c>
      <c r="G835" s="31" t="n">
        <v>30831.9</v>
      </c>
      <c r="H835" s="31" t="n">
        <v>33321.7</v>
      </c>
      <c r="I835" s="31" t="n">
        <v>33335.2</v>
      </c>
      <c r="J835" s="31" t="n">
        <v>33368.3</v>
      </c>
      <c r="K835" s="31" t="n">
        <v>22730.4</v>
      </c>
      <c r="L835" s="31" t="n">
        <v>20122.6</v>
      </c>
      <c r="M835" s="30" t="inlineStr">
        <is>
          <t>AMR2</t>
        </is>
      </c>
      <c r="N835" s="30" t="inlineStr">
        <is>
          <t>AMR2</t>
        </is>
      </c>
      <c r="O835" s="32" t="n">
        <v>1</v>
      </c>
      <c r="P835" s="32" t="n">
        <v>25</v>
      </c>
      <c r="Q835" s="32" t="n">
        <v>2</v>
      </c>
      <c r="R835" s="31" t="n">
        <v>69.59999999999999</v>
      </c>
      <c r="S835" s="31" t="n">
        <v>69.59999999999999</v>
      </c>
      <c r="T835" s="30" t="inlineStr">
        <is>
          <t>AMR2</t>
        </is>
      </c>
      <c r="U835" s="31" t="n">
        <v>47.8</v>
      </c>
      <c r="V835" s="31" t="n">
        <v>47.8</v>
      </c>
      <c r="W835" s="30" t="inlineStr">
        <is>
          <t>AMR2</t>
        </is>
      </c>
      <c r="X835" s="32" t="n">
        <v>0</v>
      </c>
      <c r="Y835" s="32" t="n">
        <v>0</v>
      </c>
      <c r="Z835" s="31" t="n">
        <v>0</v>
      </c>
      <c r="AA835" s="32" t="n">
        <v>0</v>
      </c>
      <c r="AB835" s="32" t="n">
        <v>0</v>
      </c>
      <c r="AC835" s="32" t="n">
        <v>0</v>
      </c>
      <c r="AD835" s="32" t="n">
        <v>0</v>
      </c>
      <c r="AE835" s="31" t="n">
        <v>0</v>
      </c>
      <c r="AF835" s="32" t="n">
        <v>0</v>
      </c>
      <c r="AG835" s="31" t="n">
        <v>0</v>
      </c>
      <c r="AH835" s="32" t="n">
        <v>69</v>
      </c>
      <c r="AI835" s="31" t="n">
        <v>69.2</v>
      </c>
      <c r="AJ835" s="31" t="n">
        <v>48.8</v>
      </c>
      <c r="AK835" s="31" t="n">
        <v>0</v>
      </c>
      <c r="AL835" s="30" t="inlineStr">
        <is>
          <t>T-0989</t>
        </is>
      </c>
      <c r="AM835" s="30" t="inlineStr">
        <is>
          <t>F-04-02</t>
        </is>
      </c>
      <c r="AN835" s="30" t="inlineStr">
        <is>
          <t>T-0801</t>
        </is>
      </c>
      <c r="AO835" s="30" t="inlineStr">
        <is>
          <t>F-04-03</t>
        </is>
      </c>
    </row>
    <row r="836">
      <c r="A836" s="30" t="inlineStr">
        <is>
          <t>O0835</t>
        </is>
      </c>
      <c r="B836" s="30" t="inlineStr">
        <is>
          <t>A</t>
        </is>
      </c>
      <c r="C836" s="31" t="n">
        <v>10660.5</v>
      </c>
      <c r="D836" s="31" t="n">
        <v>30527.1</v>
      </c>
      <c r="E836" s="31" t="n">
        <v>30550.6</v>
      </c>
      <c r="F836" s="31" t="n">
        <v>30567</v>
      </c>
      <c r="G836" s="31" t="n">
        <v>30593.1</v>
      </c>
      <c r="H836" s="31" t="n">
        <v>31121.5</v>
      </c>
      <c r="I836" s="31" t="n">
        <v>31132.6</v>
      </c>
      <c r="J836" s="31" t="n">
        <v>31165.3</v>
      </c>
      <c r="K836" s="31" t="n">
        <v>20504.8</v>
      </c>
      <c r="L836" s="31" t="n">
        <v>19866.6</v>
      </c>
      <c r="M836" s="30" t="inlineStr">
        <is>
          <t>AMR1</t>
        </is>
      </c>
      <c r="N836" s="30" t="inlineStr">
        <is>
          <t>AMR2</t>
        </is>
      </c>
      <c r="O836" s="32" t="n">
        <v>1</v>
      </c>
      <c r="P836" s="32" t="n">
        <v>25</v>
      </c>
      <c r="Q836" s="32" t="n">
        <v>1</v>
      </c>
      <c r="R836" s="31" t="n">
        <v>64.09999999999999</v>
      </c>
      <c r="S836" s="31" t="n">
        <v>55.1</v>
      </c>
      <c r="T836" s="30" t="inlineStr">
        <is>
          <t>AMR3</t>
        </is>
      </c>
      <c r="U836" s="31" t="n">
        <v>44.6</v>
      </c>
      <c r="V836" s="31" t="n">
        <v>44.6</v>
      </c>
      <c r="W836" s="30" t="inlineStr">
        <is>
          <t>AMR2</t>
        </is>
      </c>
      <c r="X836" s="32" t="n">
        <v>1</v>
      </c>
      <c r="Y836" s="32" t="n">
        <v>13</v>
      </c>
      <c r="Z836" s="31" t="n">
        <v>9</v>
      </c>
      <c r="AA836" s="32" t="n">
        <v>0</v>
      </c>
      <c r="AB836" s="32" t="n">
        <v>0</v>
      </c>
      <c r="AC836" s="32" t="n">
        <v>0</v>
      </c>
      <c r="AD836" s="32" t="n">
        <v>0</v>
      </c>
      <c r="AE836" s="31" t="n">
        <v>0</v>
      </c>
      <c r="AF836" s="32" t="n">
        <v>0</v>
      </c>
      <c r="AG836" s="31" t="n">
        <v>0</v>
      </c>
      <c r="AH836" s="32" t="n">
        <v>70</v>
      </c>
      <c r="AI836" s="31" t="n">
        <v>68.5</v>
      </c>
      <c r="AJ836" s="31" t="n">
        <v>41.3</v>
      </c>
      <c r="AK836" s="31" t="n">
        <v>0</v>
      </c>
      <c r="AL836" s="30" t="inlineStr">
        <is>
          <t>T-0983</t>
        </is>
      </c>
      <c r="AM836" s="30" t="inlineStr">
        <is>
          <t>A-04-02</t>
        </is>
      </c>
      <c r="AN836" s="30" t="inlineStr">
        <is>
          <t>T-0748</t>
        </is>
      </c>
      <c r="AO836" s="30" t="inlineStr">
        <is>
          <t>A-06-02</t>
        </is>
      </c>
    </row>
    <row r="837">
      <c r="A837" s="30" t="inlineStr">
        <is>
          <t>O0836</t>
        </is>
      </c>
      <c r="B837" s="30" t="inlineStr">
        <is>
          <t>H</t>
        </is>
      </c>
      <c r="C837" s="31" t="n">
        <v>10681.8</v>
      </c>
      <c r="D837" s="31" t="n">
        <v>30529</v>
      </c>
      <c r="E837" s="31" t="n">
        <v>30594.2</v>
      </c>
      <c r="F837" s="31" t="n">
        <v>30610.1</v>
      </c>
      <c r="G837" s="31" t="n">
        <v>30634.6</v>
      </c>
      <c r="H837" s="31" t="n">
        <v>30640</v>
      </c>
      <c r="I837" s="31" t="n">
        <v>30664.3</v>
      </c>
      <c r="J837" s="31" t="n">
        <v>30694.9</v>
      </c>
      <c r="K837" s="31" t="n">
        <v>20013.1</v>
      </c>
      <c r="L837" s="31" t="n">
        <v>19847.2</v>
      </c>
      <c r="M837" s="30" t="inlineStr">
        <is>
          <t>AMR3</t>
        </is>
      </c>
      <c r="N837" s="30" t="inlineStr">
        <is>
          <t>AMR1</t>
        </is>
      </c>
      <c r="O837" s="32" t="n">
        <v>1</v>
      </c>
      <c r="P837" s="32" t="n">
        <v>12</v>
      </c>
      <c r="Q837" s="32" t="n">
        <v>14</v>
      </c>
      <c r="R837" s="31" t="n">
        <v>51.2</v>
      </c>
      <c r="S837" s="31" t="n">
        <v>51.2</v>
      </c>
      <c r="T837" s="30" t="inlineStr">
        <is>
          <t>AMR3</t>
        </is>
      </c>
      <c r="U837" s="31" t="n">
        <v>50.2</v>
      </c>
      <c r="V837" s="31" t="n">
        <v>50.2</v>
      </c>
      <c r="W837" s="30" t="inlineStr">
        <is>
          <t>AMR1</t>
        </is>
      </c>
      <c r="X837" s="32" t="n">
        <v>0</v>
      </c>
      <c r="Y837" s="32" t="n">
        <v>0</v>
      </c>
      <c r="Z837" s="31" t="n">
        <v>0</v>
      </c>
      <c r="AA837" s="32" t="n">
        <v>0</v>
      </c>
      <c r="AB837" s="32" t="n">
        <v>0</v>
      </c>
      <c r="AC837" s="32" t="n">
        <v>0</v>
      </c>
      <c r="AD837" s="32" t="n">
        <v>1</v>
      </c>
      <c r="AE837" s="31" t="n">
        <v>3</v>
      </c>
      <c r="AF837" s="32" t="n">
        <v>2</v>
      </c>
      <c r="AG837" s="31" t="n">
        <v>29.6</v>
      </c>
      <c r="AH837" s="32" t="n">
        <v>66</v>
      </c>
      <c r="AI837" s="31" t="n">
        <v>67.90000000000001</v>
      </c>
      <c r="AJ837" s="31" t="n">
        <v>46.4</v>
      </c>
      <c r="AK837" s="31" t="n">
        <v>46.2</v>
      </c>
      <c r="AL837" s="30" t="inlineStr">
        <is>
          <t>T-0985</t>
        </is>
      </c>
      <c r="AM837" s="30" t="inlineStr">
        <is>
          <t>H-02-03</t>
        </is>
      </c>
      <c r="AN837" s="30" t="inlineStr">
        <is>
          <t>T-0869</t>
        </is>
      </c>
      <c r="AO837" s="30" t="inlineStr">
        <is>
          <t>H-04-01</t>
        </is>
      </c>
    </row>
    <row r="838">
      <c r="A838" s="30" t="inlineStr">
        <is>
          <t>O0837</t>
        </is>
      </c>
      <c r="B838" s="30" t="inlineStr">
        <is>
          <t>C</t>
        </is>
      </c>
      <c r="C838" s="31" t="n">
        <v>10698</v>
      </c>
      <c r="D838" s="31" t="n">
        <v>30556.5</v>
      </c>
      <c r="E838" s="31" t="n">
        <v>30580</v>
      </c>
      <c r="F838" s="31" t="n">
        <v>30594.3</v>
      </c>
      <c r="G838" s="31" t="n">
        <v>30615.2</v>
      </c>
      <c r="H838" s="31" t="n">
        <v>30634.7</v>
      </c>
      <c r="I838" s="31" t="n">
        <v>30649.2</v>
      </c>
      <c r="J838" s="31" t="n">
        <v>30679.6</v>
      </c>
      <c r="K838" s="31" t="n">
        <v>19981.6</v>
      </c>
      <c r="L838" s="31" t="n">
        <v>19858.5</v>
      </c>
      <c r="M838" s="30" t="inlineStr">
        <is>
          <t>AMR2</t>
        </is>
      </c>
      <c r="N838" s="30" t="inlineStr">
        <is>
          <t>AMR3</t>
        </is>
      </c>
      <c r="O838" s="32" t="n">
        <v>1</v>
      </c>
      <c r="P838" s="32" t="n">
        <v>25</v>
      </c>
      <c r="Q838" s="32" t="n">
        <v>3</v>
      </c>
      <c r="R838" s="31" t="n">
        <v>56.8</v>
      </c>
      <c r="S838" s="31" t="n">
        <v>56.8</v>
      </c>
      <c r="T838" s="30" t="inlineStr">
        <is>
          <t>AMR2</t>
        </is>
      </c>
      <c r="U838" s="31" t="n">
        <v>43.1</v>
      </c>
      <c r="V838" s="31" t="n">
        <v>43.1</v>
      </c>
      <c r="W838" s="30" t="inlineStr">
        <is>
          <t>AMR3</t>
        </is>
      </c>
      <c r="X838" s="32" t="n">
        <v>0</v>
      </c>
      <c r="Y838" s="32" t="n">
        <v>0</v>
      </c>
      <c r="Z838" s="31" t="n">
        <v>0</v>
      </c>
      <c r="AA838" s="32" t="n">
        <v>0</v>
      </c>
      <c r="AB838" s="32" t="n">
        <v>0</v>
      </c>
      <c r="AC838" s="32" t="n">
        <v>0</v>
      </c>
      <c r="AD838" s="32" t="n">
        <v>0</v>
      </c>
      <c r="AE838" s="31" t="n">
        <v>0</v>
      </c>
      <c r="AF838" s="32" t="n">
        <v>0</v>
      </c>
      <c r="AG838" s="31" t="n">
        <v>0</v>
      </c>
      <c r="AH838" s="32" t="n">
        <v>56</v>
      </c>
      <c r="AI838" s="31" t="n">
        <v>59.2</v>
      </c>
      <c r="AJ838" s="31" t="n">
        <v>44.4</v>
      </c>
      <c r="AK838" s="31" t="n">
        <v>0</v>
      </c>
      <c r="AL838" s="30" t="inlineStr">
        <is>
          <t>T-0984</t>
        </is>
      </c>
      <c r="AM838" s="30" t="inlineStr">
        <is>
          <t>C-04-03</t>
        </is>
      </c>
      <c r="AN838" s="30" t="inlineStr">
        <is>
          <t>T-0826</t>
        </is>
      </c>
      <c r="AO838" s="30" t="inlineStr">
        <is>
          <t>C-03-01</t>
        </is>
      </c>
    </row>
    <row r="839">
      <c r="A839" s="30" t="inlineStr">
        <is>
          <t>O0838</t>
        </is>
      </c>
      <c r="B839" s="30" t="inlineStr">
        <is>
          <t>G</t>
        </is>
      </c>
      <c r="C839" s="31" t="n">
        <v>10717.6</v>
      </c>
      <c r="D839" s="31" t="n">
        <v>30695</v>
      </c>
      <c r="E839" s="31" t="n">
        <v>30727.5</v>
      </c>
      <c r="F839" s="31" t="n">
        <v>30741.3</v>
      </c>
      <c r="G839" s="31" t="n">
        <v>30771.5</v>
      </c>
      <c r="H839" s="31" t="n">
        <v>30771.6</v>
      </c>
      <c r="I839" s="31" t="n">
        <v>30781.9</v>
      </c>
      <c r="J839" s="31" t="n">
        <v>30808.5</v>
      </c>
      <c r="K839" s="31" t="n">
        <v>20090.9</v>
      </c>
      <c r="L839" s="31" t="n">
        <v>19977.4</v>
      </c>
      <c r="M839" s="30" t="inlineStr">
        <is>
          <t>AMR1</t>
        </is>
      </c>
      <c r="N839" s="30" t="inlineStr">
        <is>
          <t>AMR1</t>
        </is>
      </c>
      <c r="O839" s="32" t="n">
        <v>1</v>
      </c>
      <c r="P839" s="32" t="n">
        <v>25</v>
      </c>
      <c r="Q839" s="32" t="n">
        <v>1</v>
      </c>
      <c r="R839" s="31" t="n">
        <v>64.09999999999999</v>
      </c>
      <c r="S839" s="31" t="n">
        <v>64.09999999999999</v>
      </c>
      <c r="T839" s="30" t="inlineStr">
        <is>
          <t>AMR1</t>
        </is>
      </c>
      <c r="U839" s="31" t="n">
        <v>36.5</v>
      </c>
      <c r="V839" s="31" t="n">
        <v>36.5</v>
      </c>
      <c r="W839" s="30" t="inlineStr">
        <is>
          <t>AMR1</t>
        </is>
      </c>
      <c r="X839" s="32" t="n">
        <v>0</v>
      </c>
      <c r="Y839" s="32" t="n">
        <v>0</v>
      </c>
      <c r="Z839" s="31" t="n">
        <v>0</v>
      </c>
      <c r="AA839" s="32" t="n">
        <v>0</v>
      </c>
      <c r="AB839" s="32" t="n">
        <v>0</v>
      </c>
      <c r="AC839" s="32" t="n">
        <v>0</v>
      </c>
      <c r="AD839" s="32" t="n">
        <v>0</v>
      </c>
      <c r="AE839" s="31" t="n">
        <v>0</v>
      </c>
      <c r="AF839" s="32" t="n">
        <v>1</v>
      </c>
      <c r="AG839" s="31" t="n">
        <v>4</v>
      </c>
      <c r="AH839" s="32" t="n">
        <v>60</v>
      </c>
      <c r="AI839" s="31" t="n">
        <v>61.1</v>
      </c>
      <c r="AJ839" s="31" t="n">
        <v>43.3</v>
      </c>
      <c r="AK839" s="31" t="n">
        <v>9</v>
      </c>
      <c r="AL839" s="30" t="inlineStr">
        <is>
          <t>T-0988</t>
        </is>
      </c>
      <c r="AM839" s="30" t="inlineStr">
        <is>
          <t>G-01-03</t>
        </is>
      </c>
      <c r="AN839" s="30" t="inlineStr">
        <is>
          <t>T-0737</t>
        </is>
      </c>
      <c r="AO839" s="30" t="inlineStr">
        <is>
          <t>G-02-03</t>
        </is>
      </c>
    </row>
    <row r="840">
      <c r="A840" s="30" t="inlineStr">
        <is>
          <t>O0839</t>
        </is>
      </c>
      <c r="B840" s="30" t="inlineStr">
        <is>
          <t>C</t>
        </is>
      </c>
      <c r="C840" s="31" t="n">
        <v>10742.5</v>
      </c>
      <c r="D840" s="31" t="n">
        <v>30655.8</v>
      </c>
      <c r="E840" s="31" t="n">
        <v>30679.3</v>
      </c>
      <c r="F840" s="31" t="n">
        <v>30692.8</v>
      </c>
      <c r="G840" s="31" t="n">
        <v>30718.1</v>
      </c>
      <c r="H840" s="31" t="n">
        <v>30718.2</v>
      </c>
      <c r="I840" s="31" t="n">
        <v>30731.4</v>
      </c>
      <c r="J840" s="31" t="n">
        <v>30760.4</v>
      </c>
      <c r="K840" s="31" t="n">
        <v>20017.9</v>
      </c>
      <c r="L840" s="31" t="n">
        <v>19913.3</v>
      </c>
      <c r="M840" s="30" t="inlineStr">
        <is>
          <t>AMR2</t>
        </is>
      </c>
      <c r="N840" s="30" t="inlineStr">
        <is>
          <t>AMR2</t>
        </is>
      </c>
      <c r="O840" s="32" t="n">
        <v>1</v>
      </c>
      <c r="P840" s="32" t="n">
        <v>25</v>
      </c>
      <c r="Q840" s="32" t="n">
        <v>0</v>
      </c>
      <c r="R840" s="31" t="n">
        <v>59.6</v>
      </c>
      <c r="S840" s="31" t="n">
        <v>59.6</v>
      </c>
      <c r="T840" s="30" t="inlineStr">
        <is>
          <t>AMR2</t>
        </is>
      </c>
      <c r="U840" s="31" t="n">
        <v>41.5</v>
      </c>
      <c r="V840" s="31" t="n">
        <v>41.5</v>
      </c>
      <c r="W840" s="30" t="inlineStr">
        <is>
          <t>AMR2</t>
        </is>
      </c>
      <c r="X840" s="32" t="n">
        <v>0</v>
      </c>
      <c r="Y840" s="32" t="n">
        <v>0</v>
      </c>
      <c r="Z840" s="31" t="n">
        <v>0</v>
      </c>
      <c r="AA840" s="32" t="n">
        <v>0</v>
      </c>
      <c r="AB840" s="32" t="n">
        <v>0</v>
      </c>
      <c r="AC840" s="32" t="n">
        <v>0</v>
      </c>
      <c r="AD840" s="32" t="n">
        <v>0</v>
      </c>
      <c r="AE840" s="31" t="n">
        <v>0</v>
      </c>
      <c r="AF840" s="32" t="n">
        <v>0</v>
      </c>
      <c r="AG840" s="31" t="n">
        <v>0</v>
      </c>
      <c r="AH840" s="32" t="n">
        <v>54</v>
      </c>
      <c r="AI840" s="31" t="n">
        <v>55.8</v>
      </c>
      <c r="AJ840" s="31" t="n">
        <v>48.7</v>
      </c>
      <c r="AK840" s="31" t="n">
        <v>0</v>
      </c>
      <c r="AL840" s="30" t="inlineStr">
        <is>
          <t>T-0986</t>
        </is>
      </c>
      <c r="AM840" s="30" t="inlineStr">
        <is>
          <t>C-03-01</t>
        </is>
      </c>
      <c r="AN840" s="30" t="inlineStr">
        <is>
          <t>T-0843</t>
        </is>
      </c>
      <c r="AO840" s="30" t="inlineStr">
        <is>
          <t>C-06-01</t>
        </is>
      </c>
    </row>
    <row r="841">
      <c r="A841" s="30" t="inlineStr">
        <is>
          <t>O0840</t>
        </is>
      </c>
      <c r="B841" s="30" t="inlineStr">
        <is>
          <t>E</t>
        </is>
      </c>
      <c r="C841" s="31" t="n">
        <v>10760.5</v>
      </c>
      <c r="D841" s="31" t="n">
        <v>30679.7</v>
      </c>
      <c r="E841" s="31" t="n">
        <v>30703.2</v>
      </c>
      <c r="F841" s="31" t="n">
        <v>30718.2</v>
      </c>
      <c r="G841" s="31" t="n">
        <v>30745.8</v>
      </c>
      <c r="H841" s="31" t="n">
        <v>30745.9</v>
      </c>
      <c r="I841" s="31" t="n">
        <v>30757.5</v>
      </c>
      <c r="J841" s="31" t="n">
        <v>30787.9</v>
      </c>
      <c r="K841" s="31" t="n">
        <v>20027.4</v>
      </c>
      <c r="L841" s="31" t="n">
        <v>19919.2</v>
      </c>
      <c r="M841" s="30" t="inlineStr">
        <is>
          <t>AMR3</t>
        </is>
      </c>
      <c r="N841" s="30" t="inlineStr">
        <is>
          <t>AMR3</t>
        </is>
      </c>
      <c r="O841" s="32" t="n">
        <v>1</v>
      </c>
      <c r="P841" s="32" t="n">
        <v>25</v>
      </c>
      <c r="Q841" s="32" t="n">
        <v>1</v>
      </c>
      <c r="R841" s="31" t="n">
        <v>61.6</v>
      </c>
      <c r="S841" s="31" t="n">
        <v>61.6</v>
      </c>
      <c r="T841" s="30" t="inlineStr">
        <is>
          <t>AMR3</t>
        </is>
      </c>
      <c r="U841" s="31" t="n">
        <v>42.7</v>
      </c>
      <c r="V841" s="31" t="n">
        <v>42.7</v>
      </c>
      <c r="W841" s="30" t="inlineStr">
        <is>
          <t>AMR3</t>
        </is>
      </c>
      <c r="X841" s="32" t="n">
        <v>0</v>
      </c>
      <c r="Y841" s="32" t="n">
        <v>0</v>
      </c>
      <c r="Z841" s="31" t="n">
        <v>0</v>
      </c>
      <c r="AA841" s="32" t="n">
        <v>0</v>
      </c>
      <c r="AB841" s="32" t="n">
        <v>0</v>
      </c>
      <c r="AC841" s="32" t="n">
        <v>0</v>
      </c>
      <c r="AD841" s="32" t="n">
        <v>0</v>
      </c>
      <c r="AE841" s="31" t="n">
        <v>0</v>
      </c>
      <c r="AF841" s="32" t="n">
        <v>0</v>
      </c>
      <c r="AG841" s="31" t="n">
        <v>0</v>
      </c>
      <c r="AH841" s="32" t="n">
        <v>68</v>
      </c>
      <c r="AI841" s="31" t="n">
        <v>68</v>
      </c>
      <c r="AJ841" s="31" t="n">
        <v>40.1</v>
      </c>
      <c r="AK841" s="31" t="n">
        <v>0</v>
      </c>
      <c r="AL841" s="30" t="inlineStr">
        <is>
          <t>T-0987</t>
        </is>
      </c>
      <c r="AM841" s="30" t="inlineStr">
        <is>
          <t>E-04-03</t>
        </is>
      </c>
      <c r="AN841" s="30" t="inlineStr">
        <is>
          <t>T-0736</t>
        </is>
      </c>
      <c r="AO841" s="30" t="inlineStr">
        <is>
          <t>E-02-01</t>
        </is>
      </c>
    </row>
    <row r="842">
      <c r="A842" s="30" t="inlineStr">
        <is>
          <t>O0841</t>
        </is>
      </c>
      <c r="B842" s="30" t="inlineStr">
        <is>
          <t>E</t>
        </is>
      </c>
      <c r="C842" s="31" t="n">
        <v>10782.1</v>
      </c>
      <c r="D842" s="31" t="n">
        <v>30939</v>
      </c>
      <c r="E842" s="31" t="n">
        <v>30962.5</v>
      </c>
      <c r="F842" s="31" t="n">
        <v>30977.9</v>
      </c>
      <c r="G842" s="31" t="n">
        <v>31010.2</v>
      </c>
      <c r="H842" s="31" t="n">
        <v>31010.3</v>
      </c>
      <c r="I842" s="31" t="n">
        <v>31024.3</v>
      </c>
      <c r="J842" s="31" t="n">
        <v>31055.5</v>
      </c>
      <c r="K842" s="31" t="n">
        <v>20273.4</v>
      </c>
      <c r="L842" s="31" t="n">
        <v>20156.9</v>
      </c>
      <c r="M842" s="30" t="inlineStr">
        <is>
          <t>AMR2</t>
        </is>
      </c>
      <c r="N842" s="30" t="inlineStr">
        <is>
          <t>AMR2</t>
        </is>
      </c>
      <c r="O842" s="32" t="n">
        <v>1</v>
      </c>
      <c r="P842" s="32" t="n">
        <v>25</v>
      </c>
      <c r="Q842" s="32" t="n">
        <v>2</v>
      </c>
      <c r="R842" s="31" t="n">
        <v>65.90000000000001</v>
      </c>
      <c r="S842" s="31" t="n">
        <v>65.90000000000001</v>
      </c>
      <c r="T842" s="30" t="inlineStr">
        <is>
          <t>AMR2</t>
        </is>
      </c>
      <c r="U842" s="31" t="n">
        <v>45.9</v>
      </c>
      <c r="V842" s="31" t="n">
        <v>45.9</v>
      </c>
      <c r="W842" s="30" t="inlineStr">
        <is>
          <t>AMR2</t>
        </is>
      </c>
      <c r="X842" s="32" t="n">
        <v>0</v>
      </c>
      <c r="Y842" s="32" t="n">
        <v>0</v>
      </c>
      <c r="Z842" s="31" t="n">
        <v>0</v>
      </c>
      <c r="AA842" s="32" t="n">
        <v>0</v>
      </c>
      <c r="AB842" s="32" t="n">
        <v>0</v>
      </c>
      <c r="AC842" s="32" t="n">
        <v>0</v>
      </c>
      <c r="AD842" s="32" t="n">
        <v>0</v>
      </c>
      <c r="AE842" s="31" t="n">
        <v>0</v>
      </c>
      <c r="AF842" s="32" t="n">
        <v>0</v>
      </c>
      <c r="AG842" s="31" t="n">
        <v>0</v>
      </c>
      <c r="AH842" s="32" t="n">
        <v>70</v>
      </c>
      <c r="AI842" s="31" t="n">
        <v>69.5</v>
      </c>
      <c r="AJ842" s="31" t="n">
        <v>46.9</v>
      </c>
      <c r="AK842" s="31" t="n">
        <v>0</v>
      </c>
      <c r="AL842" s="30" t="inlineStr">
        <is>
          <t>T-0994</t>
        </is>
      </c>
      <c r="AM842" s="30" t="inlineStr">
        <is>
          <t>E-06-01</t>
        </is>
      </c>
      <c r="AN842" s="30" t="inlineStr">
        <is>
          <t>T-0762</t>
        </is>
      </c>
      <c r="AO842" s="30" t="inlineStr">
        <is>
          <t>E-01-01</t>
        </is>
      </c>
    </row>
    <row r="843">
      <c r="A843" s="30" t="inlineStr">
        <is>
          <t>O0842</t>
        </is>
      </c>
      <c r="B843" s="30" t="inlineStr">
        <is>
          <t>C</t>
        </is>
      </c>
      <c r="C843" s="31" t="n">
        <v>10800.8</v>
      </c>
      <c r="D843" s="31" t="n">
        <v>30808.6</v>
      </c>
      <c r="E843" s="31" t="n">
        <v>30835.1</v>
      </c>
      <c r="F843" s="31" t="n">
        <v>30846.4</v>
      </c>
      <c r="G843" s="31" t="n">
        <v>30869.4</v>
      </c>
      <c r="H843" s="31" t="n">
        <v>31989.1</v>
      </c>
      <c r="I843" s="31" t="n">
        <v>32003.7</v>
      </c>
      <c r="J843" s="31" t="n">
        <v>32033.4</v>
      </c>
      <c r="K843" s="31" t="n">
        <v>21232.6</v>
      </c>
      <c r="L843" s="31" t="n">
        <v>20007.8</v>
      </c>
      <c r="M843" s="30" t="inlineStr">
        <is>
          <t>AMR1</t>
        </is>
      </c>
      <c r="N843" s="30" t="inlineStr">
        <is>
          <t>AMR3</t>
        </is>
      </c>
      <c r="O843" s="32" t="n">
        <v>1</v>
      </c>
      <c r="P843" s="32" t="n">
        <v>25</v>
      </c>
      <c r="Q843" s="32" t="n">
        <v>2</v>
      </c>
      <c r="R843" s="31" t="n">
        <v>56.7</v>
      </c>
      <c r="S843" s="31" t="n">
        <v>56.7</v>
      </c>
      <c r="T843" s="30" t="inlineStr">
        <is>
          <t>AMR1</t>
        </is>
      </c>
      <c r="U843" s="31" t="n">
        <v>44.4</v>
      </c>
      <c r="V843" s="31" t="n">
        <v>44.4</v>
      </c>
      <c r="W843" s="30" t="inlineStr">
        <is>
          <t>AMR3</t>
        </is>
      </c>
      <c r="X843" s="32" t="n">
        <v>0</v>
      </c>
      <c r="Y843" s="32" t="n">
        <v>0</v>
      </c>
      <c r="Z843" s="31" t="n">
        <v>0</v>
      </c>
      <c r="AA843" s="32" t="n">
        <v>0</v>
      </c>
      <c r="AB843" s="32" t="n">
        <v>0</v>
      </c>
      <c r="AC843" s="32" t="n">
        <v>0</v>
      </c>
      <c r="AD843" s="32" t="n">
        <v>0</v>
      </c>
      <c r="AE843" s="31" t="n">
        <v>0</v>
      </c>
      <c r="AF843" s="32" t="n">
        <v>0</v>
      </c>
      <c r="AG843" s="31" t="n">
        <v>0</v>
      </c>
      <c r="AH843" s="32" t="n">
        <v>54</v>
      </c>
      <c r="AI843" s="31" t="n">
        <v>54.8</v>
      </c>
      <c r="AJ843" s="31" t="n">
        <v>47.3</v>
      </c>
      <c r="AK843" s="31" t="n">
        <v>3</v>
      </c>
      <c r="AL843" s="30" t="inlineStr">
        <is>
          <t>T-0991</t>
        </is>
      </c>
      <c r="AM843" s="30" t="inlineStr">
        <is>
          <t>C-06-01</t>
        </is>
      </c>
      <c r="AN843" s="30" t="inlineStr">
        <is>
          <t>T-0875</t>
        </is>
      </c>
      <c r="AO843" s="30" t="inlineStr">
        <is>
          <t>C-03-02</t>
        </is>
      </c>
    </row>
    <row r="844">
      <c r="A844" s="30" t="inlineStr">
        <is>
          <t>O0843</t>
        </is>
      </c>
      <c r="B844" s="30" t="inlineStr">
        <is>
          <t>E</t>
        </is>
      </c>
      <c r="C844" s="31" t="n">
        <v>10819.8</v>
      </c>
      <c r="D844" s="31" t="n">
        <v>30788</v>
      </c>
      <c r="E844" s="31" t="n">
        <v>30811.5</v>
      </c>
      <c r="F844" s="31" t="n">
        <v>30827</v>
      </c>
      <c r="G844" s="31" t="n">
        <v>30856.4</v>
      </c>
      <c r="H844" s="31" t="n">
        <v>30856.5</v>
      </c>
      <c r="I844" s="31" t="n">
        <v>30870</v>
      </c>
      <c r="J844" s="31" t="n">
        <v>30903.3</v>
      </c>
      <c r="K844" s="31" t="n">
        <v>20083.5</v>
      </c>
      <c r="L844" s="31" t="n">
        <v>19968.2</v>
      </c>
      <c r="M844" s="30" t="inlineStr">
        <is>
          <t>AMR3</t>
        </is>
      </c>
      <c r="N844" s="30" t="inlineStr">
        <is>
          <t>AMR3</t>
        </is>
      </c>
      <c r="O844" s="32" t="n">
        <v>1</v>
      </c>
      <c r="P844" s="32" t="n">
        <v>25</v>
      </c>
      <c r="Q844" s="32" t="n">
        <v>1</v>
      </c>
      <c r="R844" s="31" t="n">
        <v>65.5</v>
      </c>
      <c r="S844" s="31" t="n">
        <v>65.5</v>
      </c>
      <c r="T844" s="30" t="inlineStr">
        <is>
          <t>AMR3</t>
        </is>
      </c>
      <c r="U844" s="31" t="n">
        <v>44.5</v>
      </c>
      <c r="V844" s="31" t="n">
        <v>44.5</v>
      </c>
      <c r="W844" s="30" t="inlineStr">
        <is>
          <t>AMR3</t>
        </is>
      </c>
      <c r="X844" s="32" t="n">
        <v>0</v>
      </c>
      <c r="Y844" s="32" t="n">
        <v>0</v>
      </c>
      <c r="Z844" s="31" t="n">
        <v>0</v>
      </c>
      <c r="AA844" s="32" t="n">
        <v>0</v>
      </c>
      <c r="AB844" s="32" t="n">
        <v>0</v>
      </c>
      <c r="AC844" s="32" t="n">
        <v>0</v>
      </c>
      <c r="AD844" s="32" t="n">
        <v>0</v>
      </c>
      <c r="AE844" s="31" t="n">
        <v>0</v>
      </c>
      <c r="AF844" s="32" t="n">
        <v>0</v>
      </c>
      <c r="AG844" s="31" t="n">
        <v>0</v>
      </c>
      <c r="AH844" s="32" t="n">
        <v>70</v>
      </c>
      <c r="AI844" s="31" t="n">
        <v>69.40000000000001</v>
      </c>
      <c r="AJ844" s="31" t="n">
        <v>45.8</v>
      </c>
      <c r="AK844" s="31" t="n">
        <v>0</v>
      </c>
      <c r="AL844" s="30" t="inlineStr">
        <is>
          <t>T-0990</t>
        </is>
      </c>
      <c r="AM844" s="30" t="inlineStr">
        <is>
          <t>E-02-01</t>
        </is>
      </c>
      <c r="AN844" s="30" t="inlineStr">
        <is>
          <t>T-0758</t>
        </is>
      </c>
      <c r="AO844" s="30" t="inlineStr">
        <is>
          <t>E-06-01</t>
        </is>
      </c>
    </row>
    <row r="845">
      <c r="A845" s="30" t="inlineStr">
        <is>
          <t>O0844</t>
        </is>
      </c>
      <c r="B845" s="30" t="inlineStr">
        <is>
          <t>D</t>
        </is>
      </c>
      <c r="C845" s="31" t="n">
        <v>10841.8</v>
      </c>
      <c r="D845" s="31" t="n">
        <v>30869.5</v>
      </c>
      <c r="E845" s="31" t="n">
        <v>30880.8</v>
      </c>
      <c r="F845" s="31" t="n">
        <v>30892.8</v>
      </c>
      <c r="G845" s="31" t="n">
        <v>30913.7</v>
      </c>
      <c r="H845" s="31" t="n">
        <v>30913.8</v>
      </c>
      <c r="I845" s="31" t="n">
        <v>30927.1</v>
      </c>
      <c r="J845" s="31" t="n">
        <v>30952.9</v>
      </c>
      <c r="K845" s="31" t="n">
        <v>20111.1</v>
      </c>
      <c r="L845" s="31" t="n">
        <v>20027.7</v>
      </c>
      <c r="M845" s="30" t="inlineStr">
        <is>
          <t>AMR1</t>
        </is>
      </c>
      <c r="N845" s="30" t="inlineStr">
        <is>
          <t>AMR1</t>
        </is>
      </c>
      <c r="O845" s="32" t="n">
        <v>1</v>
      </c>
      <c r="P845" s="32" t="n">
        <v>11</v>
      </c>
      <c r="Q845" s="32" t="n">
        <v>1</v>
      </c>
      <c r="R845" s="31" t="n">
        <v>42.9</v>
      </c>
      <c r="S845" s="31" t="n">
        <v>42.9</v>
      </c>
      <c r="T845" s="30" t="inlineStr">
        <is>
          <t>AMR1</t>
        </is>
      </c>
      <c r="U845" s="31" t="n">
        <v>40.8</v>
      </c>
      <c r="V845" s="31" t="n">
        <v>40.8</v>
      </c>
      <c r="W845" s="30" t="inlineStr">
        <is>
          <t>AMR1</t>
        </is>
      </c>
      <c r="X845" s="32" t="n">
        <v>0</v>
      </c>
      <c r="Y845" s="32" t="n">
        <v>0</v>
      </c>
      <c r="Z845" s="31" t="n">
        <v>0</v>
      </c>
      <c r="AA845" s="32" t="n">
        <v>0</v>
      </c>
      <c r="AB845" s="32" t="n">
        <v>0</v>
      </c>
      <c r="AC845" s="32" t="n">
        <v>0</v>
      </c>
      <c r="AD845" s="32" t="n">
        <v>0</v>
      </c>
      <c r="AE845" s="31" t="n">
        <v>0</v>
      </c>
      <c r="AF845" s="32" t="n">
        <v>0</v>
      </c>
      <c r="AG845" s="31" t="n">
        <v>0</v>
      </c>
      <c r="AH845" s="32" t="n">
        <v>38</v>
      </c>
      <c r="AI845" s="31" t="n">
        <v>41.6</v>
      </c>
      <c r="AJ845" s="31" t="n">
        <v>41.7</v>
      </c>
      <c r="AK845" s="31" t="n">
        <v>0</v>
      </c>
      <c r="AL845" s="30" t="inlineStr">
        <is>
          <t>T-0992</t>
        </is>
      </c>
      <c r="AM845" s="30" t="inlineStr">
        <is>
          <t>D-01-03</t>
        </is>
      </c>
      <c r="AN845" s="30" t="inlineStr">
        <is>
          <t>T-0901</t>
        </is>
      </c>
      <c r="AO845" s="30" t="inlineStr">
        <is>
          <t>D-01-01</t>
        </is>
      </c>
    </row>
    <row r="846">
      <c r="A846" s="30" t="inlineStr">
        <is>
          <t>O0845</t>
        </is>
      </c>
      <c r="B846" s="30" t="inlineStr">
        <is>
          <t>B</t>
        </is>
      </c>
      <c r="C846" s="31" t="n">
        <v>10863.3</v>
      </c>
      <c r="D846" s="31" t="n">
        <v>30903.4</v>
      </c>
      <c r="E846" s="31" t="n">
        <v>30926.9</v>
      </c>
      <c r="F846" s="31" t="n">
        <v>30943.2</v>
      </c>
      <c r="G846" s="31" t="n">
        <v>30965.3</v>
      </c>
      <c r="H846" s="31" t="n">
        <v>30965.4</v>
      </c>
      <c r="I846" s="31" t="n">
        <v>30975.4</v>
      </c>
      <c r="J846" s="31" t="n">
        <v>31006.7</v>
      </c>
      <c r="K846" s="31" t="n">
        <v>20143.4</v>
      </c>
      <c r="L846" s="31" t="n">
        <v>20040.1</v>
      </c>
      <c r="M846" s="30" t="inlineStr">
        <is>
          <t>AMR3</t>
        </is>
      </c>
      <c r="N846" s="30" t="inlineStr">
        <is>
          <t>AMR3</t>
        </is>
      </c>
      <c r="O846" s="32" t="n">
        <v>1</v>
      </c>
      <c r="P846" s="32" t="n">
        <v>25</v>
      </c>
      <c r="Q846" s="32" t="n">
        <v>1</v>
      </c>
      <c r="R846" s="31" t="n">
        <v>60</v>
      </c>
      <c r="S846" s="31" t="n">
        <v>59.4</v>
      </c>
      <c r="T846" s="30" t="inlineStr">
        <is>
          <t>AMR1</t>
        </is>
      </c>
      <c r="U846" s="31" t="n">
        <v>39.5</v>
      </c>
      <c r="V846" s="31" t="n">
        <v>39.5</v>
      </c>
      <c r="W846" s="30" t="inlineStr">
        <is>
          <t>AMR3</t>
        </is>
      </c>
      <c r="X846" s="32" t="n">
        <v>1</v>
      </c>
      <c r="Y846" s="32" t="n">
        <v>13</v>
      </c>
      <c r="Z846" s="31" t="n">
        <v>0.6</v>
      </c>
      <c r="AA846" s="32" t="n">
        <v>0</v>
      </c>
      <c r="AB846" s="32" t="n">
        <v>0</v>
      </c>
      <c r="AC846" s="32" t="n">
        <v>0</v>
      </c>
      <c r="AD846" s="32" t="n">
        <v>0</v>
      </c>
      <c r="AE846" s="31" t="n">
        <v>0</v>
      </c>
      <c r="AF846" s="32" t="n">
        <v>0</v>
      </c>
      <c r="AG846" s="31" t="n">
        <v>0</v>
      </c>
      <c r="AH846" s="32" t="n">
        <v>60</v>
      </c>
      <c r="AI846" s="31" t="n">
        <v>60.5</v>
      </c>
      <c r="AJ846" s="31" t="n">
        <v>42.7</v>
      </c>
      <c r="AK846" s="31" t="n">
        <v>0</v>
      </c>
      <c r="AL846" s="30" t="inlineStr">
        <is>
          <t>T-0993</t>
        </is>
      </c>
      <c r="AM846" s="30" t="inlineStr">
        <is>
          <t>B-05-01</t>
        </is>
      </c>
      <c r="AN846" s="30" t="inlineStr">
        <is>
          <t>T-0769</t>
        </is>
      </c>
      <c r="AO846" s="30" t="inlineStr">
        <is>
          <t>B-01-02</t>
        </is>
      </c>
    </row>
    <row r="847">
      <c r="A847" s="30" t="inlineStr">
        <is>
          <t>O0846</t>
        </is>
      </c>
      <c r="B847" s="30" t="inlineStr">
        <is>
          <t>B</t>
        </is>
      </c>
      <c r="C847" s="31" t="n">
        <v>10880.5</v>
      </c>
      <c r="D847" s="31" t="n">
        <v>31070.4</v>
      </c>
      <c r="E847" s="31" t="n">
        <v>31102.9</v>
      </c>
      <c r="F847" s="31" t="n">
        <v>31113.6</v>
      </c>
      <c r="G847" s="31" t="n">
        <v>31140.9</v>
      </c>
      <c r="H847" s="31" t="n">
        <v>31141</v>
      </c>
      <c r="I847" s="31" t="n">
        <v>31150.3</v>
      </c>
      <c r="J847" s="31" t="n">
        <v>31189</v>
      </c>
      <c r="K847" s="31" t="n">
        <v>20308.5</v>
      </c>
      <c r="L847" s="31" t="n">
        <v>20189.9</v>
      </c>
      <c r="M847" s="30" t="inlineStr">
        <is>
          <t>AMR1</t>
        </is>
      </c>
      <c r="N847" s="30" t="inlineStr">
        <is>
          <t>AMR1</t>
        </is>
      </c>
      <c r="O847" s="32" t="n">
        <v>1</v>
      </c>
      <c r="P847" s="32" t="n">
        <v>25</v>
      </c>
      <c r="Q847" s="32" t="n">
        <v>1</v>
      </c>
      <c r="R847" s="31" t="n">
        <v>58</v>
      </c>
      <c r="S847" s="31" t="n">
        <v>58</v>
      </c>
      <c r="T847" s="30" t="inlineStr">
        <is>
          <t>AMR1</t>
        </is>
      </c>
      <c r="U847" s="31" t="n">
        <v>42.6</v>
      </c>
      <c r="V847" s="31" t="n">
        <v>42.6</v>
      </c>
      <c r="W847" s="30" t="inlineStr">
        <is>
          <t>AMR1</t>
        </is>
      </c>
      <c r="X847" s="32" t="n">
        <v>0</v>
      </c>
      <c r="Y847" s="32" t="n">
        <v>0</v>
      </c>
      <c r="Z847" s="31" t="n">
        <v>0</v>
      </c>
      <c r="AA847" s="32" t="n">
        <v>0</v>
      </c>
      <c r="AB847" s="32" t="n">
        <v>0</v>
      </c>
      <c r="AC847" s="32" t="n">
        <v>0</v>
      </c>
      <c r="AD847" s="32" t="n">
        <v>1</v>
      </c>
      <c r="AE847" s="31" t="n">
        <v>5</v>
      </c>
      <c r="AF847" s="32" t="n">
        <v>1</v>
      </c>
      <c r="AG847" s="31" t="n">
        <v>4</v>
      </c>
      <c r="AH847" s="32" t="n">
        <v>60</v>
      </c>
      <c r="AI847" s="31" t="n">
        <v>60.7</v>
      </c>
      <c r="AJ847" s="31" t="n">
        <v>43.8</v>
      </c>
      <c r="AK847" s="31" t="n">
        <v>14</v>
      </c>
      <c r="AL847" s="30" t="inlineStr">
        <is>
          <t>T-0998</t>
        </is>
      </c>
      <c r="AM847" s="30" t="inlineStr">
        <is>
          <t>B-01-02</t>
        </is>
      </c>
      <c r="AN847" s="30" t="inlineStr">
        <is>
          <t>T-0771</t>
        </is>
      </c>
      <c r="AO847" s="30" t="inlineStr">
        <is>
          <t>B-02-02</t>
        </is>
      </c>
    </row>
    <row r="848">
      <c r="A848" s="30" t="inlineStr">
        <is>
          <t>O0847</t>
        </is>
      </c>
      <c r="B848" s="30" t="inlineStr">
        <is>
          <t>I</t>
        </is>
      </c>
      <c r="C848" s="31" t="n">
        <v>10901.4</v>
      </c>
      <c r="D848" s="31" t="n">
        <v>30953</v>
      </c>
      <c r="E848" s="31" t="n">
        <v>30986.5</v>
      </c>
      <c r="F848" s="31" t="n">
        <v>31002.4</v>
      </c>
      <c r="G848" s="31" t="n">
        <v>31026.4</v>
      </c>
      <c r="H848" s="31" t="n">
        <v>31026.5</v>
      </c>
      <c r="I848" s="31" t="n">
        <v>31041.3</v>
      </c>
      <c r="J848" s="31" t="n">
        <v>31070.3</v>
      </c>
      <c r="K848" s="31" t="n">
        <v>20168.9</v>
      </c>
      <c r="L848" s="31" t="n">
        <v>20051.6</v>
      </c>
      <c r="M848" s="30" t="inlineStr">
        <is>
          <t>AMR1</t>
        </is>
      </c>
      <c r="N848" s="30" t="inlineStr">
        <is>
          <t>AMR1</t>
        </is>
      </c>
      <c r="O848" s="32" t="n">
        <v>1</v>
      </c>
      <c r="P848" s="32" t="n">
        <v>25</v>
      </c>
      <c r="Q848" s="32" t="n">
        <v>1</v>
      </c>
      <c r="R848" s="31" t="n">
        <v>61.6</v>
      </c>
      <c r="S848" s="31" t="n">
        <v>61.6</v>
      </c>
      <c r="T848" s="30" t="inlineStr">
        <is>
          <t>AMR1</t>
        </is>
      </c>
      <c r="U848" s="31" t="n">
        <v>37.5</v>
      </c>
      <c r="V848" s="31" t="n">
        <v>37.5</v>
      </c>
      <c r="W848" s="30" t="inlineStr">
        <is>
          <t>AMR1</t>
        </is>
      </c>
      <c r="X848" s="32" t="n">
        <v>0</v>
      </c>
      <c r="Y848" s="32" t="n">
        <v>0</v>
      </c>
      <c r="Z848" s="31" t="n">
        <v>0</v>
      </c>
      <c r="AA848" s="32" t="n">
        <v>0</v>
      </c>
      <c r="AB848" s="32" t="n">
        <v>0</v>
      </c>
      <c r="AC848" s="32" t="n">
        <v>0</v>
      </c>
      <c r="AD848" s="32" t="n">
        <v>1</v>
      </c>
      <c r="AE848" s="31" t="n">
        <v>5</v>
      </c>
      <c r="AF848" s="32" t="n">
        <v>1</v>
      </c>
      <c r="AG848" s="31" t="n">
        <v>5</v>
      </c>
      <c r="AH848" s="32" t="n">
        <v>54</v>
      </c>
      <c r="AI848" s="31" t="n">
        <v>57.2</v>
      </c>
      <c r="AJ848" s="31" t="n">
        <v>45</v>
      </c>
      <c r="AK848" s="31" t="n">
        <v>15</v>
      </c>
      <c r="AL848" s="30" t="inlineStr">
        <is>
          <t>T-0995</t>
        </is>
      </c>
      <c r="AM848" s="30" t="inlineStr">
        <is>
          <t>I-02-02</t>
        </is>
      </c>
      <c r="AN848" s="30" t="inlineStr">
        <is>
          <t>T-0902</t>
        </is>
      </c>
      <c r="AO848" s="30" t="inlineStr">
        <is>
          <t>I-03-02</t>
        </is>
      </c>
    </row>
    <row r="849">
      <c r="A849" s="30" t="inlineStr">
        <is>
          <t>O0848</t>
        </is>
      </c>
      <c r="B849" s="30" t="inlineStr">
        <is>
          <t>A</t>
        </is>
      </c>
      <c r="C849" s="31" t="n">
        <v>10920.8</v>
      </c>
      <c r="D849" s="31" t="n">
        <v>31055.6</v>
      </c>
      <c r="E849" s="31" t="n">
        <v>31079.1</v>
      </c>
      <c r="F849" s="31" t="n">
        <v>31090.5</v>
      </c>
      <c r="G849" s="31" t="n">
        <v>31121.4</v>
      </c>
      <c r="H849" s="31" t="n">
        <v>31346.2</v>
      </c>
      <c r="I849" s="31" t="n">
        <v>31359.3</v>
      </c>
      <c r="J849" s="31" t="n">
        <v>31393.5</v>
      </c>
      <c r="K849" s="31" t="n">
        <v>20472.7</v>
      </c>
      <c r="L849" s="31" t="n">
        <v>20134.8</v>
      </c>
      <c r="M849" s="30" t="inlineStr">
        <is>
          <t>AMR2</t>
        </is>
      </c>
      <c r="N849" s="30" t="inlineStr">
        <is>
          <t>AMR2</t>
        </is>
      </c>
      <c r="O849" s="32" t="n">
        <v>1</v>
      </c>
      <c r="P849" s="32" t="n">
        <v>25</v>
      </c>
      <c r="Q849" s="32" t="n">
        <v>2</v>
      </c>
      <c r="R849" s="31" t="n">
        <v>62.3</v>
      </c>
      <c r="S849" s="31" t="n">
        <v>62.3</v>
      </c>
      <c r="T849" s="30" t="inlineStr">
        <is>
          <t>AMR2</t>
        </is>
      </c>
      <c r="U849" s="31" t="n">
        <v>46.5</v>
      </c>
      <c r="V849" s="31" t="n">
        <v>46.5</v>
      </c>
      <c r="W849" s="30" t="inlineStr">
        <is>
          <t>AMR2</t>
        </is>
      </c>
      <c r="X849" s="32" t="n">
        <v>0</v>
      </c>
      <c r="Y849" s="32" t="n">
        <v>0</v>
      </c>
      <c r="Z849" s="31" t="n">
        <v>0</v>
      </c>
      <c r="AA849" s="32" t="n">
        <v>0</v>
      </c>
      <c r="AB849" s="32" t="n">
        <v>0</v>
      </c>
      <c r="AC849" s="32" t="n">
        <v>0</v>
      </c>
      <c r="AD849" s="32" t="n">
        <v>0</v>
      </c>
      <c r="AE849" s="31" t="n">
        <v>0</v>
      </c>
      <c r="AF849" s="32" t="n">
        <v>0</v>
      </c>
      <c r="AG849" s="31" t="n">
        <v>0</v>
      </c>
      <c r="AH849" s="32" t="n">
        <v>75</v>
      </c>
      <c r="AI849" s="31" t="n">
        <v>72.40000000000001</v>
      </c>
      <c r="AJ849" s="31" t="n">
        <v>40.7</v>
      </c>
      <c r="AK849" s="31" t="n">
        <v>0</v>
      </c>
      <c r="AL849" s="30" t="inlineStr">
        <is>
          <t>T-0997</t>
        </is>
      </c>
      <c r="AM849" s="30" t="inlineStr">
        <is>
          <t>A-01-01</t>
        </is>
      </c>
      <c r="AN849" s="30" t="inlineStr">
        <is>
          <t>T-0770</t>
        </is>
      </c>
      <c r="AO849" s="30" t="inlineStr">
        <is>
          <t>A-01-03</t>
        </is>
      </c>
    </row>
    <row r="850">
      <c r="A850" s="30" t="inlineStr">
        <is>
          <t>O0849</t>
        </is>
      </c>
      <c r="B850" s="30" t="inlineStr">
        <is>
          <t>G</t>
        </is>
      </c>
      <c r="C850" s="31" t="n">
        <v>10944</v>
      </c>
      <c r="D850" s="31" t="n">
        <v>31006.8</v>
      </c>
      <c r="E850" s="31" t="n">
        <v>31030.3</v>
      </c>
      <c r="F850" s="31" t="n">
        <v>31040.9</v>
      </c>
      <c r="G850" s="31" t="n">
        <v>31065.5</v>
      </c>
      <c r="H850" s="31" t="n">
        <v>31065.6</v>
      </c>
      <c r="I850" s="31" t="n">
        <v>31079.5</v>
      </c>
      <c r="J850" s="31" t="n">
        <v>31109.8</v>
      </c>
      <c r="K850" s="31" t="n">
        <v>20165.8</v>
      </c>
      <c r="L850" s="31" t="n">
        <v>20062.8</v>
      </c>
      <c r="M850" s="30" t="inlineStr">
        <is>
          <t>AMR3</t>
        </is>
      </c>
      <c r="N850" s="30" t="inlineStr">
        <is>
          <t>AMR3</t>
        </is>
      </c>
      <c r="O850" s="32" t="n">
        <v>1</v>
      </c>
      <c r="P850" s="32" t="n">
        <v>25</v>
      </c>
      <c r="Q850" s="32" t="n">
        <v>1</v>
      </c>
      <c r="R850" s="31" t="n">
        <v>56.9</v>
      </c>
      <c r="S850" s="31" t="n">
        <v>56.9</v>
      </c>
      <c r="T850" s="30" t="inlineStr">
        <is>
          <t>AMR3</t>
        </is>
      </c>
      <c r="U850" s="31" t="n">
        <v>42.9</v>
      </c>
      <c r="V850" s="31" t="n">
        <v>42.9</v>
      </c>
      <c r="W850" s="30" t="inlineStr">
        <is>
          <t>AMR3</t>
        </is>
      </c>
      <c r="X850" s="32" t="n">
        <v>0</v>
      </c>
      <c r="Y850" s="32" t="n">
        <v>0</v>
      </c>
      <c r="Z850" s="31" t="n">
        <v>0</v>
      </c>
      <c r="AA850" s="32" t="n">
        <v>0</v>
      </c>
      <c r="AB850" s="32" t="n">
        <v>0</v>
      </c>
      <c r="AC850" s="32" t="n">
        <v>0</v>
      </c>
      <c r="AD850" s="32" t="n">
        <v>0</v>
      </c>
      <c r="AE850" s="31" t="n">
        <v>0</v>
      </c>
      <c r="AF850" s="32" t="n">
        <v>0</v>
      </c>
      <c r="AG850" s="31" t="n">
        <v>0</v>
      </c>
      <c r="AH850" s="32" t="n">
        <v>58</v>
      </c>
      <c r="AI850" s="31" t="n">
        <v>60.4</v>
      </c>
      <c r="AJ850" s="31" t="n">
        <v>42.5</v>
      </c>
      <c r="AK850" s="31" t="n">
        <v>0</v>
      </c>
      <c r="AL850" s="30" t="inlineStr">
        <is>
          <t>T-0996</t>
        </is>
      </c>
      <c r="AM850" s="30" t="inlineStr">
        <is>
          <t>G-05-01</t>
        </is>
      </c>
      <c r="AN850" s="30" t="inlineStr">
        <is>
          <t>T-0756</t>
        </is>
      </c>
      <c r="AO850" s="30" t="inlineStr">
        <is>
          <t>G-03-03</t>
        </is>
      </c>
    </row>
    <row r="851">
      <c r="A851" s="30" t="inlineStr">
        <is>
          <t>O0850</t>
        </is>
      </c>
      <c r="B851" s="30" t="inlineStr">
        <is>
          <t>B</t>
        </is>
      </c>
      <c r="C851" s="31" t="n">
        <v>10960.3</v>
      </c>
      <c r="D851" s="31" t="n">
        <v>31205.1</v>
      </c>
      <c r="E851" s="31" t="n">
        <v>31236.6</v>
      </c>
      <c r="F851" s="31" t="n">
        <v>31248.6</v>
      </c>
      <c r="G851" s="31" t="n">
        <v>31274.3</v>
      </c>
      <c r="H851" s="31" t="n">
        <v>31274.4</v>
      </c>
      <c r="I851" s="31" t="n">
        <v>31289.2</v>
      </c>
      <c r="J851" s="31" t="n">
        <v>31317.5</v>
      </c>
      <c r="K851" s="31" t="n">
        <v>20357.2</v>
      </c>
      <c r="L851" s="31" t="n">
        <v>20244.8</v>
      </c>
      <c r="M851" s="30" t="inlineStr">
        <is>
          <t>AMR3</t>
        </is>
      </c>
      <c r="N851" s="30" t="inlineStr">
        <is>
          <t>AMR3</t>
        </is>
      </c>
      <c r="O851" s="32" t="n">
        <v>1</v>
      </c>
      <c r="P851" s="32" t="n">
        <v>25</v>
      </c>
      <c r="Q851" s="32" t="n">
        <v>1</v>
      </c>
      <c r="R851" s="31" t="n">
        <v>57.7</v>
      </c>
      <c r="S851" s="31" t="n">
        <v>57.7</v>
      </c>
      <c r="T851" s="30" t="inlineStr">
        <is>
          <t>AMR3</t>
        </is>
      </c>
      <c r="U851" s="31" t="n">
        <v>42.7</v>
      </c>
      <c r="V851" s="31" t="n">
        <v>42.7</v>
      </c>
      <c r="W851" s="30" t="inlineStr">
        <is>
          <t>AMR3</t>
        </is>
      </c>
      <c r="X851" s="32" t="n">
        <v>0</v>
      </c>
      <c r="Y851" s="32" t="n">
        <v>0</v>
      </c>
      <c r="Z851" s="31" t="n">
        <v>0</v>
      </c>
      <c r="AA851" s="32" t="n">
        <v>0</v>
      </c>
      <c r="AB851" s="32" t="n">
        <v>0</v>
      </c>
      <c r="AC851" s="32" t="n">
        <v>0</v>
      </c>
      <c r="AD851" s="32" t="n">
        <v>0</v>
      </c>
      <c r="AE851" s="31" t="n">
        <v>0</v>
      </c>
      <c r="AF851" s="32" t="n">
        <v>1</v>
      </c>
      <c r="AG851" s="31" t="n">
        <v>3</v>
      </c>
      <c r="AH851" s="32" t="n">
        <v>60</v>
      </c>
      <c r="AI851" s="31" t="n">
        <v>60.7</v>
      </c>
      <c r="AJ851" s="31" t="n">
        <v>43.6</v>
      </c>
      <c r="AK851" s="31" t="n">
        <v>8</v>
      </c>
      <c r="AL851" s="30" t="inlineStr">
        <is>
          <t>T-1001</t>
        </is>
      </c>
      <c r="AM851" s="30" t="inlineStr">
        <is>
          <t>B-02-02</t>
        </is>
      </c>
      <c r="AN851" s="30" t="inlineStr">
        <is>
          <t>T-0779</t>
        </is>
      </c>
      <c r="AO851" s="30" t="inlineStr">
        <is>
          <t>B-03-02</t>
        </is>
      </c>
    </row>
    <row r="852">
      <c r="A852" s="30" t="inlineStr">
        <is>
          <t>O0851</t>
        </is>
      </c>
      <c r="B852" s="30" t="inlineStr">
        <is>
          <t>B</t>
        </is>
      </c>
      <c r="C852" s="31" t="n">
        <v>10979.2</v>
      </c>
      <c r="D852" s="31" t="n">
        <v>31317.6</v>
      </c>
      <c r="E852" s="31" t="n">
        <v>31352.1</v>
      </c>
      <c r="F852" s="31" t="n">
        <v>31366.9</v>
      </c>
      <c r="G852" s="31" t="n">
        <v>31390</v>
      </c>
      <c r="H852" s="31" t="n">
        <v>32044.9</v>
      </c>
      <c r="I852" s="31" t="n">
        <v>32055.7</v>
      </c>
      <c r="J852" s="31" t="n">
        <v>32087.8</v>
      </c>
      <c r="K852" s="31" t="n">
        <v>21108.6</v>
      </c>
      <c r="L852" s="31" t="n">
        <v>20338.4</v>
      </c>
      <c r="M852" s="30" t="inlineStr">
        <is>
          <t>AMR3</t>
        </is>
      </c>
      <c r="N852" s="30" t="inlineStr">
        <is>
          <t>AMR1</t>
        </is>
      </c>
      <c r="O852" s="32" t="n">
        <v>1</v>
      </c>
      <c r="P852" s="32" t="n">
        <v>25</v>
      </c>
      <c r="Q852" s="32" t="n">
        <v>1</v>
      </c>
      <c r="R852" s="31" t="n">
        <v>58.7</v>
      </c>
      <c r="S852" s="31" t="n">
        <v>58.7</v>
      </c>
      <c r="T852" s="30" t="inlineStr">
        <is>
          <t>AMR3</t>
        </is>
      </c>
      <c r="U852" s="31" t="n">
        <v>44.1</v>
      </c>
      <c r="V852" s="31" t="n">
        <v>44.1</v>
      </c>
      <c r="W852" s="30" t="inlineStr">
        <is>
          <t>AMR1</t>
        </is>
      </c>
      <c r="X852" s="32" t="n">
        <v>0</v>
      </c>
      <c r="Y852" s="32" t="n">
        <v>0</v>
      </c>
      <c r="Z852" s="31" t="n">
        <v>0</v>
      </c>
      <c r="AA852" s="32" t="n">
        <v>0</v>
      </c>
      <c r="AB852" s="32" t="n">
        <v>0</v>
      </c>
      <c r="AC852" s="32" t="n">
        <v>0</v>
      </c>
      <c r="AD852" s="32" t="n">
        <v>0</v>
      </c>
      <c r="AE852" s="31" t="n">
        <v>0</v>
      </c>
      <c r="AF852" s="32" t="n">
        <v>1</v>
      </c>
      <c r="AG852" s="31" t="n">
        <v>6</v>
      </c>
      <c r="AH852" s="32" t="n">
        <v>57</v>
      </c>
      <c r="AI852" s="31" t="n">
        <v>58.3</v>
      </c>
      <c r="AJ852" s="31" t="n">
        <v>46</v>
      </c>
      <c r="AK852" s="31" t="n">
        <v>11</v>
      </c>
      <c r="AL852" s="30" t="inlineStr">
        <is>
          <t>T-1004</t>
        </is>
      </c>
      <c r="AM852" s="30" t="inlineStr">
        <is>
          <t>B-03-02</t>
        </is>
      </c>
      <c r="AN852" s="30" t="inlineStr">
        <is>
          <t>T-0849</t>
        </is>
      </c>
      <c r="AO852" s="30" t="inlineStr">
        <is>
          <t>B-05-02</t>
        </is>
      </c>
    </row>
    <row r="853">
      <c r="A853" s="30" t="inlineStr">
        <is>
          <t>O0852</t>
        </is>
      </c>
      <c r="B853" s="30" t="inlineStr">
        <is>
          <t>E</t>
        </is>
      </c>
      <c r="C853" s="31" t="n">
        <v>10997.3</v>
      </c>
      <c r="D853" s="31" t="n">
        <v>31165.4</v>
      </c>
      <c r="E853" s="31" t="n">
        <v>31188.9</v>
      </c>
      <c r="F853" s="31" t="n">
        <v>31204.8</v>
      </c>
      <c r="G853" s="31" t="n">
        <v>31234.6</v>
      </c>
      <c r="H853" s="31" t="n">
        <v>31234.7</v>
      </c>
      <c r="I853" s="31" t="n">
        <v>31247.3</v>
      </c>
      <c r="J853" s="31" t="n">
        <v>31280.1</v>
      </c>
      <c r="K853" s="31" t="n">
        <v>20282.8</v>
      </c>
      <c r="L853" s="31" t="n">
        <v>20168.1</v>
      </c>
      <c r="M853" s="30" t="inlineStr">
        <is>
          <t>AMR2</t>
        </is>
      </c>
      <c r="N853" s="30" t="inlineStr">
        <is>
          <t>AMR2</t>
        </is>
      </c>
      <c r="O853" s="32" t="n">
        <v>1</v>
      </c>
      <c r="P853" s="32" t="n">
        <v>25</v>
      </c>
      <c r="Q853" s="32" t="n">
        <v>1</v>
      </c>
      <c r="R853" s="31" t="n">
        <v>66.3</v>
      </c>
      <c r="S853" s="31" t="n">
        <v>66.3</v>
      </c>
      <c r="T853" s="30" t="inlineStr">
        <is>
          <t>AMR2</t>
        </is>
      </c>
      <c r="U853" s="31" t="n">
        <v>46.1</v>
      </c>
      <c r="V853" s="31" t="n">
        <v>46.1</v>
      </c>
      <c r="W853" s="30" t="inlineStr">
        <is>
          <t>AMR2</t>
        </is>
      </c>
      <c r="X853" s="32" t="n">
        <v>0</v>
      </c>
      <c r="Y853" s="32" t="n">
        <v>0</v>
      </c>
      <c r="Z853" s="31" t="n">
        <v>0</v>
      </c>
      <c r="AA853" s="32" t="n">
        <v>0</v>
      </c>
      <c r="AB853" s="32" t="n">
        <v>0</v>
      </c>
      <c r="AC853" s="32" t="n">
        <v>0</v>
      </c>
      <c r="AD853" s="32" t="n">
        <v>0</v>
      </c>
      <c r="AE853" s="31" t="n">
        <v>0</v>
      </c>
      <c r="AF853" s="32" t="n">
        <v>0</v>
      </c>
      <c r="AG853" s="31" t="n">
        <v>0</v>
      </c>
      <c r="AH853" s="32" t="n">
        <v>66</v>
      </c>
      <c r="AI853" s="31" t="n">
        <v>66.40000000000001</v>
      </c>
      <c r="AJ853" s="31" t="n">
        <v>48.2</v>
      </c>
      <c r="AK853" s="31" t="n">
        <v>0</v>
      </c>
      <c r="AL853" s="30" t="inlineStr">
        <is>
          <t>T-0999</t>
        </is>
      </c>
      <c r="AM853" s="30" t="inlineStr">
        <is>
          <t>E-01-01</t>
        </is>
      </c>
      <c r="AN853" s="30" t="inlineStr">
        <is>
          <t>T-0766</t>
        </is>
      </c>
      <c r="AO853" s="30" t="inlineStr">
        <is>
          <t>E-03-02</t>
        </is>
      </c>
    </row>
    <row r="854">
      <c r="A854" s="30" t="inlineStr">
        <is>
          <t>O0853</t>
        </is>
      </c>
      <c r="B854" s="30" t="inlineStr">
        <is>
          <t>C</t>
        </is>
      </c>
      <c r="C854" s="31" t="n">
        <v>11016.1</v>
      </c>
      <c r="D854" s="31" t="n">
        <v>31189.1</v>
      </c>
      <c r="E854" s="31" t="n">
        <v>31212.6</v>
      </c>
      <c r="F854" s="31" t="n">
        <v>31223.2</v>
      </c>
      <c r="G854" s="31" t="n">
        <v>31243.5</v>
      </c>
      <c r="H854" s="31" t="n">
        <v>31243.6</v>
      </c>
      <c r="I854" s="31" t="n">
        <v>31257.3</v>
      </c>
      <c r="J854" s="31" t="n">
        <v>31299.2</v>
      </c>
      <c r="K854" s="31" t="n">
        <v>20283.1</v>
      </c>
      <c r="L854" s="31" t="n">
        <v>20173</v>
      </c>
      <c r="M854" s="30" t="inlineStr">
        <is>
          <t>AMR1</t>
        </is>
      </c>
      <c r="N854" s="30" t="inlineStr">
        <is>
          <t>AMR1</t>
        </is>
      </c>
      <c r="O854" s="32" t="n">
        <v>1</v>
      </c>
      <c r="P854" s="32" t="n">
        <v>25</v>
      </c>
      <c r="Q854" s="32" t="n">
        <v>1</v>
      </c>
      <c r="R854" s="31" t="n">
        <v>52.5</v>
      </c>
      <c r="S854" s="31" t="n">
        <v>52.5</v>
      </c>
      <c r="T854" s="30" t="inlineStr">
        <is>
          <t>AMR1</t>
        </is>
      </c>
      <c r="U854" s="31" t="n">
        <v>42.8</v>
      </c>
      <c r="V854" s="31" t="n">
        <v>42.8</v>
      </c>
      <c r="W854" s="30" t="inlineStr">
        <is>
          <t>AMR1</t>
        </is>
      </c>
      <c r="X854" s="32" t="n">
        <v>0</v>
      </c>
      <c r="Y854" s="32" t="n">
        <v>0</v>
      </c>
      <c r="Z854" s="31" t="n">
        <v>0</v>
      </c>
      <c r="AA854" s="32" t="n">
        <v>0</v>
      </c>
      <c r="AB854" s="32" t="n">
        <v>0</v>
      </c>
      <c r="AC854" s="32" t="n">
        <v>0</v>
      </c>
      <c r="AD854" s="32" t="n">
        <v>1</v>
      </c>
      <c r="AE854" s="31" t="n">
        <v>13</v>
      </c>
      <c r="AF854" s="32" t="n">
        <v>1</v>
      </c>
      <c r="AG854" s="31" t="n">
        <v>8</v>
      </c>
      <c r="AH854" s="32" t="n">
        <v>54</v>
      </c>
      <c r="AI854" s="31" t="n">
        <v>54.8</v>
      </c>
      <c r="AJ854" s="31" t="n">
        <v>42.2</v>
      </c>
      <c r="AK854" s="31" t="n">
        <v>13</v>
      </c>
      <c r="AL854" s="30" t="inlineStr">
        <is>
          <t>T-1000</t>
        </is>
      </c>
      <c r="AM854" s="30" t="inlineStr">
        <is>
          <t>C-05-03</t>
        </is>
      </c>
      <c r="AN854" s="30" t="inlineStr">
        <is>
          <t>T-0850</t>
        </is>
      </c>
      <c r="AO854" s="30" t="inlineStr">
        <is>
          <t>C-01-02</t>
        </is>
      </c>
    </row>
    <row r="855">
      <c r="A855" s="30" t="inlineStr">
        <is>
          <t>O0854</t>
        </is>
      </c>
      <c r="B855" s="30" t="inlineStr">
        <is>
          <t>C</t>
        </is>
      </c>
      <c r="C855" s="31" t="n">
        <v>11041</v>
      </c>
      <c r="D855" s="31" t="n">
        <v>31363.9</v>
      </c>
      <c r="E855" s="31" t="n">
        <v>31375.9</v>
      </c>
      <c r="F855" s="31" t="n">
        <v>31387</v>
      </c>
      <c r="G855" s="31" t="n">
        <v>31408.7</v>
      </c>
      <c r="H855" s="31" t="n">
        <v>31408.8</v>
      </c>
      <c r="I855" s="31" t="n">
        <v>31419.1</v>
      </c>
      <c r="J855" s="31" t="n">
        <v>31446.7</v>
      </c>
      <c r="K855" s="31" t="n">
        <v>20405.7</v>
      </c>
      <c r="L855" s="31" t="n">
        <v>20322.9</v>
      </c>
      <c r="M855" s="30" t="inlineStr">
        <is>
          <t>AMR1</t>
        </is>
      </c>
      <c r="N855" s="30" t="inlineStr">
        <is>
          <t>AMR1</t>
        </is>
      </c>
      <c r="O855" s="32" t="n">
        <v>1</v>
      </c>
      <c r="P855" s="32" t="n">
        <v>12</v>
      </c>
      <c r="Q855" s="32" t="n">
        <v>1</v>
      </c>
      <c r="R855" s="31" t="n">
        <v>44.1</v>
      </c>
      <c r="S855" s="31" t="n">
        <v>44.1</v>
      </c>
      <c r="T855" s="30" t="inlineStr">
        <is>
          <t>AMR1</t>
        </is>
      </c>
      <c r="U855" s="31" t="n">
        <v>39.1</v>
      </c>
      <c r="V855" s="31" t="n">
        <v>39.1</v>
      </c>
      <c r="W855" s="30" t="inlineStr">
        <is>
          <t>AMR1</t>
        </is>
      </c>
      <c r="X855" s="32" t="n">
        <v>0</v>
      </c>
      <c r="Y855" s="32" t="n">
        <v>0</v>
      </c>
      <c r="Z855" s="31" t="n">
        <v>0</v>
      </c>
      <c r="AA855" s="32" t="n">
        <v>0</v>
      </c>
      <c r="AB855" s="32" t="n">
        <v>0</v>
      </c>
      <c r="AC855" s="32" t="n">
        <v>0</v>
      </c>
      <c r="AD855" s="32" t="n">
        <v>0</v>
      </c>
      <c r="AE855" s="31" t="n">
        <v>0</v>
      </c>
      <c r="AF855" s="32" t="n">
        <v>0</v>
      </c>
      <c r="AG855" s="31" t="n">
        <v>0</v>
      </c>
      <c r="AH855" s="32" t="n">
        <v>39</v>
      </c>
      <c r="AI855" s="31" t="n">
        <v>42.3</v>
      </c>
      <c r="AJ855" s="31" t="n">
        <v>40.4</v>
      </c>
      <c r="AK855" s="31" t="n">
        <v>0</v>
      </c>
      <c r="AL855" s="30" t="inlineStr">
        <is>
          <t>T-1005</t>
        </is>
      </c>
      <c r="AM855" s="30" t="inlineStr">
        <is>
          <t>C-01-02</t>
        </is>
      </c>
      <c r="AN855" s="30" t="inlineStr">
        <is>
          <t>T-0865</t>
        </is>
      </c>
      <c r="AO855" s="30" t="inlineStr">
        <is>
          <t>C-02-01</t>
        </is>
      </c>
    </row>
    <row r="856">
      <c r="A856" s="30" t="inlineStr">
        <is>
          <t>O0855</t>
        </is>
      </c>
      <c r="B856" s="30" t="inlineStr">
        <is>
          <t>A</t>
        </is>
      </c>
      <c r="C856" s="31" t="n">
        <v>11061.4</v>
      </c>
      <c r="D856" s="31" t="n">
        <v>31280.2</v>
      </c>
      <c r="E856" s="31" t="n">
        <v>31303.7</v>
      </c>
      <c r="F856" s="31" t="n">
        <v>31318.7</v>
      </c>
      <c r="G856" s="31" t="n">
        <v>31346.1</v>
      </c>
      <c r="H856" s="31" t="n">
        <v>31962.2</v>
      </c>
      <c r="I856" s="31" t="n">
        <v>31974.1</v>
      </c>
      <c r="J856" s="31" t="n">
        <v>32008.5</v>
      </c>
      <c r="K856" s="31" t="n">
        <v>20947.1</v>
      </c>
      <c r="L856" s="31" t="n">
        <v>20218.8</v>
      </c>
      <c r="M856" s="30" t="inlineStr">
        <is>
          <t>AMR2</t>
        </is>
      </c>
      <c r="N856" s="30" t="inlineStr">
        <is>
          <t>AMR2</t>
        </is>
      </c>
      <c r="O856" s="32" t="n">
        <v>1</v>
      </c>
      <c r="P856" s="32" t="n">
        <v>25</v>
      </c>
      <c r="Q856" s="32" t="n">
        <v>1</v>
      </c>
      <c r="R856" s="31" t="n">
        <v>64.8</v>
      </c>
      <c r="S856" s="31" t="n">
        <v>64.8</v>
      </c>
      <c r="T856" s="30" t="inlineStr">
        <is>
          <t>AMR2</t>
        </is>
      </c>
      <c r="U856" s="31" t="n">
        <v>46.9</v>
      </c>
      <c r="V856" s="31" t="n">
        <v>46.9</v>
      </c>
      <c r="W856" s="30" t="inlineStr">
        <is>
          <t>AMR2</t>
        </is>
      </c>
      <c r="X856" s="32" t="n">
        <v>0</v>
      </c>
      <c r="Y856" s="32" t="n">
        <v>0</v>
      </c>
      <c r="Z856" s="31" t="n">
        <v>0</v>
      </c>
      <c r="AA856" s="32" t="n">
        <v>0</v>
      </c>
      <c r="AB856" s="32" t="n">
        <v>0</v>
      </c>
      <c r="AC856" s="32" t="n">
        <v>0</v>
      </c>
      <c r="AD856" s="32" t="n">
        <v>0</v>
      </c>
      <c r="AE856" s="31" t="n">
        <v>0</v>
      </c>
      <c r="AF856" s="32" t="n">
        <v>0</v>
      </c>
      <c r="AG856" s="31" t="n">
        <v>0</v>
      </c>
      <c r="AH856" s="32" t="n">
        <v>69</v>
      </c>
      <c r="AI856" s="31" t="n">
        <v>67.90000000000001</v>
      </c>
      <c r="AJ856" s="31" t="n">
        <v>44.3</v>
      </c>
      <c r="AK856" s="31" t="n">
        <v>0</v>
      </c>
      <c r="AL856" s="30" t="inlineStr">
        <is>
          <t>T-1002</t>
        </is>
      </c>
      <c r="AM856" s="30" t="inlineStr">
        <is>
          <t>A-06-02</t>
        </is>
      </c>
      <c r="AN856" s="30" t="inlineStr">
        <is>
          <t>T-0788</t>
        </is>
      </c>
      <c r="AO856" s="30" t="inlineStr">
        <is>
          <t>A-03-03</t>
        </is>
      </c>
    </row>
    <row r="857">
      <c r="A857" s="30" t="inlineStr">
        <is>
          <t>O0856</t>
        </is>
      </c>
      <c r="B857" s="30" t="inlineStr">
        <is>
          <t>D</t>
        </is>
      </c>
      <c r="C857" s="31" t="n">
        <v>11080.8</v>
      </c>
      <c r="D857" s="31" t="n">
        <v>31299.3</v>
      </c>
      <c r="E857" s="31" t="n">
        <v>31327.8</v>
      </c>
      <c r="F857" s="31" t="n">
        <v>31340.9</v>
      </c>
      <c r="G857" s="31" t="n">
        <v>31363.8</v>
      </c>
      <c r="H857" s="31" t="n">
        <v>31442.2</v>
      </c>
      <c r="I857" s="31" t="n">
        <v>31454.1</v>
      </c>
      <c r="J857" s="31" t="n">
        <v>31482.6</v>
      </c>
      <c r="K857" s="31" t="n">
        <v>20401.8</v>
      </c>
      <c r="L857" s="31" t="n">
        <v>20218.5</v>
      </c>
      <c r="M857" s="30" t="inlineStr">
        <is>
          <t>AMR1</t>
        </is>
      </c>
      <c r="N857" s="30" t="inlineStr">
        <is>
          <t>AMR3</t>
        </is>
      </c>
      <c r="O857" s="32" t="n">
        <v>1</v>
      </c>
      <c r="P857" s="32" t="n">
        <v>25</v>
      </c>
      <c r="Q857" s="32" t="n">
        <v>1</v>
      </c>
      <c r="R857" s="31" t="n">
        <v>57.6</v>
      </c>
      <c r="S857" s="31" t="n">
        <v>57.6</v>
      </c>
      <c r="T857" s="30" t="inlineStr">
        <is>
          <t>AMR1</t>
        </is>
      </c>
      <c r="U857" s="31" t="n">
        <v>38.1</v>
      </c>
      <c r="V857" s="31" t="n">
        <v>38.1</v>
      </c>
      <c r="W857" s="30" t="inlineStr">
        <is>
          <t>AMR3</t>
        </is>
      </c>
      <c r="X857" s="32" t="n">
        <v>0</v>
      </c>
      <c r="Y857" s="32" t="n">
        <v>0</v>
      </c>
      <c r="Z857" s="31" t="n">
        <v>0</v>
      </c>
      <c r="AA857" s="32" t="n">
        <v>0</v>
      </c>
      <c r="AB857" s="32" t="n">
        <v>0</v>
      </c>
      <c r="AC857" s="32" t="n">
        <v>0</v>
      </c>
      <c r="AD857" s="32" t="n">
        <v>0</v>
      </c>
      <c r="AE857" s="31" t="n">
        <v>0</v>
      </c>
      <c r="AF857" s="32" t="n">
        <v>0</v>
      </c>
      <c r="AG857" s="31" t="n">
        <v>0</v>
      </c>
      <c r="AH857" s="32" t="n">
        <v>56</v>
      </c>
      <c r="AI857" s="31" t="n">
        <v>57.8</v>
      </c>
      <c r="AJ857" s="31" t="n">
        <v>42.1</v>
      </c>
      <c r="AK857" s="31" t="n">
        <v>5</v>
      </c>
      <c r="AL857" s="30" t="inlineStr">
        <is>
          <t>T-1003</t>
        </is>
      </c>
      <c r="AM857" s="30" t="inlineStr">
        <is>
          <t>D-01-01</t>
        </is>
      </c>
      <c r="AN857" s="30" t="inlineStr">
        <is>
          <t>T-0915</t>
        </is>
      </c>
      <c r="AO857" s="30" t="inlineStr">
        <is>
          <t>D-04-03</t>
        </is>
      </c>
    </row>
    <row r="858">
      <c r="A858" s="30" t="inlineStr">
        <is>
          <t>O0857</t>
        </is>
      </c>
      <c r="B858" s="30" t="inlineStr">
        <is>
          <t>G</t>
        </is>
      </c>
      <c r="C858" s="31" t="n">
        <v>11103.2</v>
      </c>
      <c r="D858" s="31" t="n">
        <v>31393.6</v>
      </c>
      <c r="E858" s="31" t="n">
        <v>31429.1</v>
      </c>
      <c r="F858" s="31" t="n">
        <v>31441.6</v>
      </c>
      <c r="G858" s="31" t="n">
        <v>31469</v>
      </c>
      <c r="H858" s="31" t="n">
        <v>31469.1</v>
      </c>
      <c r="I858" s="31" t="n">
        <v>31481.1</v>
      </c>
      <c r="J858" s="31" t="n">
        <v>31508.5</v>
      </c>
      <c r="K858" s="31" t="n">
        <v>20405.3</v>
      </c>
      <c r="L858" s="31" t="n">
        <v>20290.4</v>
      </c>
      <c r="M858" s="30" t="inlineStr">
        <is>
          <t>AMR2</t>
        </is>
      </c>
      <c r="N858" s="30" t="inlineStr">
        <is>
          <t>AMR2</t>
        </is>
      </c>
      <c r="O858" s="32" t="n">
        <v>1</v>
      </c>
      <c r="P858" s="32" t="n">
        <v>25</v>
      </c>
      <c r="Q858" s="32" t="n">
        <v>1</v>
      </c>
      <c r="R858" s="31" t="n">
        <v>60</v>
      </c>
      <c r="S858" s="31" t="n">
        <v>60</v>
      </c>
      <c r="T858" s="30" t="inlineStr">
        <is>
          <t>AMR2</t>
        </is>
      </c>
      <c r="U858" s="31" t="n">
        <v>39.2</v>
      </c>
      <c r="V858" s="31" t="n">
        <v>39.2</v>
      </c>
      <c r="W858" s="30" t="inlineStr">
        <is>
          <t>AMR2</t>
        </is>
      </c>
      <c r="X858" s="32" t="n">
        <v>0</v>
      </c>
      <c r="Y858" s="32" t="n">
        <v>0</v>
      </c>
      <c r="Z858" s="31" t="n">
        <v>0</v>
      </c>
      <c r="AA858" s="32" t="n">
        <v>0</v>
      </c>
      <c r="AB858" s="32" t="n">
        <v>0</v>
      </c>
      <c r="AC858" s="32" t="n">
        <v>0</v>
      </c>
      <c r="AD858" s="32" t="n">
        <v>0</v>
      </c>
      <c r="AE858" s="31" t="n">
        <v>0</v>
      </c>
      <c r="AF858" s="32" t="n">
        <v>1</v>
      </c>
      <c r="AG858" s="31" t="n">
        <v>7</v>
      </c>
      <c r="AH858" s="32" t="n">
        <v>60</v>
      </c>
      <c r="AI858" s="31" t="n">
        <v>60.9</v>
      </c>
      <c r="AJ858" s="31" t="n">
        <v>41.9</v>
      </c>
      <c r="AK858" s="31" t="n">
        <v>12</v>
      </c>
      <c r="AL858" s="30" t="inlineStr">
        <is>
          <t>T-1007</t>
        </is>
      </c>
      <c r="AM858" s="30" t="inlineStr">
        <is>
          <t>G-02-03</t>
        </is>
      </c>
      <c r="AN858" s="30" t="inlineStr">
        <is>
          <t>T-0780</t>
        </is>
      </c>
      <c r="AO858" s="30" t="inlineStr">
        <is>
          <t>G-06-01</t>
        </is>
      </c>
    </row>
    <row r="859">
      <c r="A859" s="30" t="inlineStr">
        <is>
          <t>O0858</t>
        </is>
      </c>
      <c r="B859" s="30" t="inlineStr">
        <is>
          <t>D</t>
        </is>
      </c>
      <c r="C859" s="31" t="n">
        <v>11125.1</v>
      </c>
      <c r="D859" s="31" t="n">
        <v>31390.1</v>
      </c>
      <c r="E859" s="31" t="n">
        <v>31404.8</v>
      </c>
      <c r="F859" s="31" t="n">
        <v>31418</v>
      </c>
      <c r="G859" s="31" t="n">
        <v>31442.1</v>
      </c>
      <c r="H859" s="31" t="n">
        <v>31544.5</v>
      </c>
      <c r="I859" s="31" t="n">
        <v>31569.8</v>
      </c>
      <c r="J859" s="31" t="n">
        <v>31630.9</v>
      </c>
      <c r="K859" s="31" t="n">
        <v>20505.8</v>
      </c>
      <c r="L859" s="31" t="n">
        <v>20265</v>
      </c>
      <c r="M859" s="30" t="inlineStr">
        <is>
          <t>AMR3</t>
        </is>
      </c>
      <c r="N859" s="30" t="inlineStr">
        <is>
          <t>AMR1</t>
        </is>
      </c>
      <c r="O859" s="32" t="n">
        <v>1</v>
      </c>
      <c r="P859" s="32" t="n">
        <v>15</v>
      </c>
      <c r="Q859" s="32" t="n">
        <v>16</v>
      </c>
      <c r="R859" s="31" t="n">
        <v>50.7</v>
      </c>
      <c r="S859" s="31" t="n">
        <v>50.7</v>
      </c>
      <c r="T859" s="30" t="inlineStr">
        <is>
          <t>AMR3</t>
        </is>
      </c>
      <c r="U859" s="31" t="n">
        <v>53.1</v>
      </c>
      <c r="V859" s="31" t="n">
        <v>53.1</v>
      </c>
      <c r="W859" s="30" t="inlineStr">
        <is>
          <t>AMR1</t>
        </is>
      </c>
      <c r="X859" s="32" t="n">
        <v>0</v>
      </c>
      <c r="Y859" s="32" t="n">
        <v>0</v>
      </c>
      <c r="Z859" s="31" t="n">
        <v>0</v>
      </c>
      <c r="AA859" s="32" t="n">
        <v>0</v>
      </c>
      <c r="AB859" s="32" t="n">
        <v>0</v>
      </c>
      <c r="AC859" s="32" t="n">
        <v>0</v>
      </c>
      <c r="AD859" s="32" t="n">
        <v>4</v>
      </c>
      <c r="AE859" s="31" t="n">
        <v>32.2</v>
      </c>
      <c r="AF859" s="32" t="n">
        <v>2</v>
      </c>
      <c r="AG859" s="31" t="n">
        <v>19.2</v>
      </c>
      <c r="AH859" s="32" t="n">
        <v>59</v>
      </c>
      <c r="AI859" s="31" t="n">
        <v>62.7</v>
      </c>
      <c r="AJ859" s="31" t="n">
        <v>43.5</v>
      </c>
      <c r="AK859" s="31" t="n">
        <v>32.2</v>
      </c>
      <c r="AL859" s="30" t="inlineStr">
        <is>
          <t>T-1006</t>
        </is>
      </c>
      <c r="AM859" s="30" t="inlineStr">
        <is>
          <t>D-02-03</t>
        </is>
      </c>
      <c r="AN859" s="30" t="inlineStr">
        <is>
          <t>T-0918</t>
        </is>
      </c>
      <c r="AO859" s="30" t="inlineStr">
        <is>
          <t>D-03-01</t>
        </is>
      </c>
    </row>
    <row r="860">
      <c r="A860" s="30" t="inlineStr">
        <is>
          <t>O0859</t>
        </is>
      </c>
      <c r="B860" s="30" t="inlineStr">
        <is>
          <t>C</t>
        </is>
      </c>
      <c r="C860" s="31" t="n">
        <v>11149.1</v>
      </c>
      <c r="D860" s="31" t="n">
        <v>31446.8</v>
      </c>
      <c r="E860" s="31" t="n">
        <v>31470.3</v>
      </c>
      <c r="F860" s="31" t="n">
        <v>31483.6</v>
      </c>
      <c r="G860" s="31" t="n">
        <v>31504.1</v>
      </c>
      <c r="H860" s="31" t="n">
        <v>31504.2</v>
      </c>
      <c r="I860" s="31" t="n">
        <v>31516</v>
      </c>
      <c r="J860" s="31" t="n">
        <v>31544.4</v>
      </c>
      <c r="K860" s="31" t="n">
        <v>20395.3</v>
      </c>
      <c r="L860" s="31" t="n">
        <v>20297.7</v>
      </c>
      <c r="M860" s="30" t="inlineStr">
        <is>
          <t>AMR1</t>
        </is>
      </c>
      <c r="N860" s="30" t="inlineStr">
        <is>
          <t>AMR1</t>
        </is>
      </c>
      <c r="O860" s="32" t="n">
        <v>1</v>
      </c>
      <c r="P860" s="32" t="n">
        <v>25</v>
      </c>
      <c r="Q860" s="32" t="n">
        <v>1</v>
      </c>
      <c r="R860" s="31" t="n">
        <v>55.4</v>
      </c>
      <c r="S860" s="31" t="n">
        <v>55.4</v>
      </c>
      <c r="T860" s="30" t="inlineStr">
        <is>
          <t>AMR1</t>
        </is>
      </c>
      <c r="U860" s="31" t="n">
        <v>41.4</v>
      </c>
      <c r="V860" s="31" t="n">
        <v>41.4</v>
      </c>
      <c r="W860" s="30" t="inlineStr">
        <is>
          <t>AMR1</t>
        </is>
      </c>
      <c r="X860" s="32" t="n">
        <v>0</v>
      </c>
      <c r="Y860" s="32" t="n">
        <v>0</v>
      </c>
      <c r="Z860" s="31" t="n">
        <v>0</v>
      </c>
      <c r="AA860" s="32" t="n">
        <v>0</v>
      </c>
      <c r="AB860" s="32" t="n">
        <v>0</v>
      </c>
      <c r="AC860" s="32" t="n">
        <v>0</v>
      </c>
      <c r="AD860" s="32" t="n">
        <v>0</v>
      </c>
      <c r="AE860" s="31" t="n">
        <v>0</v>
      </c>
      <c r="AF860" s="32" t="n">
        <v>0</v>
      </c>
      <c r="AG860" s="31" t="n">
        <v>0</v>
      </c>
      <c r="AH860" s="32" t="n">
        <v>52</v>
      </c>
      <c r="AI860" s="31" t="n">
        <v>53.8</v>
      </c>
      <c r="AJ860" s="31" t="n">
        <v>43.7</v>
      </c>
      <c r="AK860" s="31" t="n">
        <v>0</v>
      </c>
      <c r="AL860" s="30" t="inlineStr">
        <is>
          <t>T-1008</t>
        </is>
      </c>
      <c r="AM860" s="30" t="inlineStr">
        <is>
          <t>C-02-01</t>
        </is>
      </c>
      <c r="AN860" s="30" t="inlineStr">
        <is>
          <t>T-0867</t>
        </is>
      </c>
      <c r="AO860" s="30" t="inlineStr">
        <is>
          <t>C-02-02</t>
        </is>
      </c>
    </row>
    <row r="861">
      <c r="A861" s="30" t="inlineStr">
        <is>
          <t>O0860</t>
        </is>
      </c>
      <c r="B861" s="30" t="inlineStr">
        <is>
          <t>G</t>
        </is>
      </c>
      <c r="C861" s="31" t="n">
        <v>11170</v>
      </c>
      <c r="D861" s="31" t="n">
        <v>31858.9</v>
      </c>
      <c r="E861" s="31" t="n">
        <v>31894.4</v>
      </c>
      <c r="F861" s="31" t="n">
        <v>31909.1</v>
      </c>
      <c r="G861" s="31" t="n">
        <v>31937.6</v>
      </c>
      <c r="H861" s="31" t="n">
        <v>31937.7</v>
      </c>
      <c r="I861" s="31" t="n">
        <v>31952.4</v>
      </c>
      <c r="J861" s="31" t="n">
        <v>31980.8</v>
      </c>
      <c r="K861" s="31" t="n">
        <v>20810.8</v>
      </c>
      <c r="L861" s="31" t="n">
        <v>20688.9</v>
      </c>
      <c r="M861" s="30" t="inlineStr">
        <is>
          <t>AMR1</t>
        </is>
      </c>
      <c r="N861" s="30" t="inlineStr">
        <is>
          <t>AMR1</t>
        </is>
      </c>
      <c r="O861" s="32" t="n">
        <v>1</v>
      </c>
      <c r="P861" s="32" t="n">
        <v>25</v>
      </c>
      <c r="Q861" s="32" t="n">
        <v>1</v>
      </c>
      <c r="R861" s="31" t="n">
        <v>63.3</v>
      </c>
      <c r="S861" s="31" t="n">
        <v>63.3</v>
      </c>
      <c r="T861" s="30" t="inlineStr">
        <is>
          <t>AMR1</t>
        </is>
      </c>
      <c r="U861" s="31" t="n">
        <v>42.7</v>
      </c>
      <c r="V861" s="31" t="n">
        <v>42.7</v>
      </c>
      <c r="W861" s="30" t="inlineStr">
        <is>
          <t>AMR1</t>
        </is>
      </c>
      <c r="X861" s="32" t="n">
        <v>0</v>
      </c>
      <c r="Y861" s="32" t="n">
        <v>0</v>
      </c>
      <c r="Z861" s="31" t="n">
        <v>0</v>
      </c>
      <c r="AA861" s="32" t="n">
        <v>0</v>
      </c>
      <c r="AB861" s="32" t="n">
        <v>0</v>
      </c>
      <c r="AC861" s="32" t="n">
        <v>0</v>
      </c>
      <c r="AD861" s="32" t="n">
        <v>0</v>
      </c>
      <c r="AE861" s="31" t="n">
        <v>0</v>
      </c>
      <c r="AF861" s="32" t="n">
        <v>1</v>
      </c>
      <c r="AG861" s="31" t="n">
        <v>7</v>
      </c>
      <c r="AH861" s="32" t="n">
        <v>60</v>
      </c>
      <c r="AI861" s="31" t="n">
        <v>61.1</v>
      </c>
      <c r="AJ861" s="31" t="n">
        <v>48.7</v>
      </c>
      <c r="AK861" s="31" t="n">
        <v>12</v>
      </c>
      <c r="AL861" s="30" t="inlineStr">
        <is>
          <t>T-1019</t>
        </is>
      </c>
      <c r="AM861" s="30" t="inlineStr">
        <is>
          <t>G-01-01</t>
        </is>
      </c>
      <c r="AN861" s="30" t="inlineStr">
        <is>
          <t>T-0803</t>
        </is>
      </c>
      <c r="AO861" s="30" t="inlineStr">
        <is>
          <t>G-03-01</t>
        </is>
      </c>
    </row>
    <row r="862">
      <c r="A862" s="30" t="inlineStr">
        <is>
          <t>O0861</t>
        </is>
      </c>
      <c r="B862" s="30" t="inlineStr">
        <is>
          <t>F</t>
        </is>
      </c>
      <c r="C862" s="31" t="n">
        <v>11194.6</v>
      </c>
      <c r="D862" s="31" t="n">
        <v>31482.7</v>
      </c>
      <c r="E862" s="31" t="n">
        <v>31506.2</v>
      </c>
      <c r="F862" s="31" t="n">
        <v>31519.5</v>
      </c>
      <c r="G862" s="31" t="n">
        <v>31549.2</v>
      </c>
      <c r="H862" s="31" t="n">
        <v>32312.7</v>
      </c>
      <c r="I862" s="31" t="n">
        <v>32326.9</v>
      </c>
      <c r="J862" s="31" t="n">
        <v>32357.8</v>
      </c>
      <c r="K862" s="31" t="n">
        <v>21163.2</v>
      </c>
      <c r="L862" s="31" t="n">
        <v>20288.1</v>
      </c>
      <c r="M862" s="30" t="inlineStr">
        <is>
          <t>AMR3</t>
        </is>
      </c>
      <c r="N862" s="30" t="inlineStr">
        <is>
          <t>AMR2</t>
        </is>
      </c>
      <c r="O862" s="32" t="n">
        <v>1</v>
      </c>
      <c r="P862" s="32" t="n">
        <v>25</v>
      </c>
      <c r="Q862" s="32" t="n">
        <v>5</v>
      </c>
      <c r="R862" s="31" t="n">
        <v>63.9</v>
      </c>
      <c r="S862" s="31" t="n">
        <v>63.9</v>
      </c>
      <c r="T862" s="30" t="inlineStr">
        <is>
          <t>AMR3</t>
        </is>
      </c>
      <c r="U862" s="31" t="n">
        <v>48.9</v>
      </c>
      <c r="V862" s="31" t="n">
        <v>48.9</v>
      </c>
      <c r="W862" s="30" t="inlineStr">
        <is>
          <t>AMR2</t>
        </is>
      </c>
      <c r="X862" s="32" t="n">
        <v>0</v>
      </c>
      <c r="Y862" s="32" t="n">
        <v>0</v>
      </c>
      <c r="Z862" s="31" t="n">
        <v>0</v>
      </c>
      <c r="AA862" s="32" t="n">
        <v>0</v>
      </c>
      <c r="AB862" s="32" t="n">
        <v>0</v>
      </c>
      <c r="AC862" s="32" t="n">
        <v>0</v>
      </c>
      <c r="AD862" s="32" t="n">
        <v>0</v>
      </c>
      <c r="AE862" s="31" t="n">
        <v>0</v>
      </c>
      <c r="AF862" s="32" t="n">
        <v>0</v>
      </c>
      <c r="AG862" s="31" t="n">
        <v>0</v>
      </c>
      <c r="AH862" s="32" t="n">
        <v>71</v>
      </c>
      <c r="AI862" s="31" t="n">
        <v>70.7</v>
      </c>
      <c r="AJ862" s="31" t="n">
        <v>40.9</v>
      </c>
      <c r="AK862" s="31" t="n">
        <v>0</v>
      </c>
      <c r="AL862" s="30" t="inlineStr">
        <is>
          <t>T-1009</t>
        </is>
      </c>
      <c r="AM862" s="30" t="inlineStr">
        <is>
          <t>F-03-03</t>
        </is>
      </c>
      <c r="AN862" s="30" t="inlineStr">
        <is>
          <t>T-0786</t>
        </is>
      </c>
      <c r="AO862" s="30" t="inlineStr">
        <is>
          <t>F-06-03</t>
        </is>
      </c>
    </row>
    <row r="863">
      <c r="A863" s="30" t="inlineStr">
        <is>
          <t>O0862</t>
        </is>
      </c>
      <c r="B863" s="30" t="inlineStr">
        <is>
          <t>B</t>
        </is>
      </c>
      <c r="C863" s="31" t="n">
        <v>11212.1</v>
      </c>
      <c r="D863" s="31" t="n">
        <v>31508.6</v>
      </c>
      <c r="E863" s="31" t="n">
        <v>31532.1</v>
      </c>
      <c r="F863" s="31" t="n">
        <v>31544</v>
      </c>
      <c r="G863" s="31" t="n">
        <v>31569.1</v>
      </c>
      <c r="H863" s="31" t="n">
        <v>31569.2</v>
      </c>
      <c r="I863" s="31" t="n">
        <v>31577.5</v>
      </c>
      <c r="J863" s="31" t="n">
        <v>31612.4</v>
      </c>
      <c r="K863" s="31" t="n">
        <v>20400.3</v>
      </c>
      <c r="L863" s="31" t="n">
        <v>20296.5</v>
      </c>
      <c r="M863" s="30" t="inlineStr">
        <is>
          <t>AMR2</t>
        </is>
      </c>
      <c r="N863" s="30" t="inlineStr">
        <is>
          <t>AMR2</t>
        </is>
      </c>
      <c r="O863" s="32" t="n">
        <v>1</v>
      </c>
      <c r="P863" s="32" t="n">
        <v>25</v>
      </c>
      <c r="Q863" s="32" t="n">
        <v>1</v>
      </c>
      <c r="R863" s="31" t="n">
        <v>58.6</v>
      </c>
      <c r="S863" s="31" t="n">
        <v>58.6</v>
      </c>
      <c r="T863" s="30" t="inlineStr">
        <is>
          <t>AMR2</t>
        </is>
      </c>
      <c r="U863" s="31" t="n">
        <v>38.4</v>
      </c>
      <c r="V863" s="31" t="n">
        <v>38.4</v>
      </c>
      <c r="W863" s="30" t="inlineStr">
        <is>
          <t>AMR2</t>
        </is>
      </c>
      <c r="X863" s="32" t="n">
        <v>0</v>
      </c>
      <c r="Y863" s="32" t="n">
        <v>0</v>
      </c>
      <c r="Z863" s="31" t="n">
        <v>0</v>
      </c>
      <c r="AA863" s="32" t="n">
        <v>0</v>
      </c>
      <c r="AB863" s="32" t="n">
        <v>0</v>
      </c>
      <c r="AC863" s="32" t="n">
        <v>0</v>
      </c>
      <c r="AD863" s="32" t="n">
        <v>1</v>
      </c>
      <c r="AE863" s="31" t="n">
        <v>6</v>
      </c>
      <c r="AF863" s="32" t="n">
        <v>1</v>
      </c>
      <c r="AG863" s="31" t="n">
        <v>1</v>
      </c>
      <c r="AH863" s="32" t="n">
        <v>56</v>
      </c>
      <c r="AI863" s="31" t="n">
        <v>57.5</v>
      </c>
      <c r="AJ863" s="31" t="n">
        <v>40.2</v>
      </c>
      <c r="AK863" s="31" t="n">
        <v>6</v>
      </c>
      <c r="AL863" s="30" t="inlineStr">
        <is>
          <t>T-1010</t>
        </is>
      </c>
      <c r="AM863" s="30" t="inlineStr">
        <is>
          <t>B-05-03</t>
        </is>
      </c>
      <c r="AN863" s="30" t="inlineStr">
        <is>
          <t>T-0797</t>
        </is>
      </c>
      <c r="AO863" s="30" t="inlineStr">
        <is>
          <t>B-04-02</t>
        </is>
      </c>
    </row>
    <row r="864">
      <c r="A864" s="30" t="inlineStr">
        <is>
          <t>O0863</t>
        </is>
      </c>
      <c r="B864" s="30" t="inlineStr">
        <is>
          <t>J</t>
        </is>
      </c>
      <c r="C864" s="31" t="n">
        <v>11232.6</v>
      </c>
      <c r="D864" s="31" t="n">
        <v>31612.5</v>
      </c>
      <c r="E864" s="31" t="n">
        <v>31641</v>
      </c>
      <c r="F864" s="31" t="n">
        <v>31652.2</v>
      </c>
      <c r="G864" s="31" t="n">
        <v>31685.4</v>
      </c>
      <c r="H864" s="31" t="n">
        <v>31685.5</v>
      </c>
      <c r="I864" s="31" t="n">
        <v>31696.8</v>
      </c>
      <c r="J864" s="31" t="n">
        <v>31726.8</v>
      </c>
      <c r="K864" s="31" t="n">
        <v>20494.2</v>
      </c>
      <c r="L864" s="31" t="n">
        <v>20379.9</v>
      </c>
      <c r="M864" s="30" t="inlineStr">
        <is>
          <t>AMR2</t>
        </is>
      </c>
      <c r="N864" s="30" t="inlineStr">
        <is>
          <t>AMR2</t>
        </is>
      </c>
      <c r="O864" s="32" t="n">
        <v>1</v>
      </c>
      <c r="P864" s="32" t="n">
        <v>25</v>
      </c>
      <c r="Q864" s="32" t="n">
        <v>1</v>
      </c>
      <c r="R864" s="31" t="n">
        <v>64.5</v>
      </c>
      <c r="S864" s="31" t="n">
        <v>64.5</v>
      </c>
      <c r="T864" s="30" t="inlineStr">
        <is>
          <t>AMR2</t>
        </is>
      </c>
      <c r="U864" s="31" t="n">
        <v>42</v>
      </c>
      <c r="V864" s="31" t="n">
        <v>42</v>
      </c>
      <c r="W864" s="30" t="inlineStr">
        <is>
          <t>AMR2</t>
        </is>
      </c>
      <c r="X864" s="32" t="n">
        <v>0</v>
      </c>
      <c r="Y864" s="32" t="n">
        <v>0</v>
      </c>
      <c r="Z864" s="31" t="n">
        <v>0</v>
      </c>
      <c r="AA864" s="32" t="n">
        <v>0</v>
      </c>
      <c r="AB864" s="32" t="n">
        <v>0</v>
      </c>
      <c r="AC864" s="32" t="n">
        <v>0</v>
      </c>
      <c r="AD864" s="32" t="n">
        <v>0</v>
      </c>
      <c r="AE864" s="31" t="n">
        <v>0</v>
      </c>
      <c r="AF864" s="32" t="n">
        <v>0</v>
      </c>
      <c r="AG864" s="31" t="n">
        <v>0</v>
      </c>
      <c r="AH864" s="32" t="n">
        <v>68</v>
      </c>
      <c r="AI864" s="31" t="n">
        <v>67.40000000000001</v>
      </c>
      <c r="AJ864" s="31" t="n">
        <v>41.8</v>
      </c>
      <c r="AK864" s="31" t="n">
        <v>5</v>
      </c>
      <c r="AL864" s="30" t="inlineStr">
        <is>
          <t>T-1012</t>
        </is>
      </c>
      <c r="AM864" s="30" t="inlineStr">
        <is>
          <t>J-05-02</t>
        </is>
      </c>
      <c r="AN864" s="30" t="inlineStr">
        <is>
          <t>T-0804</t>
        </is>
      </c>
      <c r="AO864" s="30" t="inlineStr">
        <is>
          <t>J-02-03</t>
        </is>
      </c>
    </row>
    <row r="865">
      <c r="A865" s="30" t="inlineStr">
        <is>
          <t>O0864</t>
        </is>
      </c>
      <c r="B865" s="30" t="inlineStr">
        <is>
          <t>A</t>
        </is>
      </c>
      <c r="C865" s="31" t="n">
        <v>11253.7</v>
      </c>
      <c r="D865" s="31" t="n">
        <v>31593.8</v>
      </c>
      <c r="E865" s="31" t="n">
        <v>31617.3</v>
      </c>
      <c r="F865" s="31" t="n">
        <v>31628.7</v>
      </c>
      <c r="G865" s="31" t="n">
        <v>31657.9</v>
      </c>
      <c r="H865" s="31" t="n">
        <v>32072</v>
      </c>
      <c r="I865" s="31" t="n">
        <v>32085.1</v>
      </c>
      <c r="J865" s="31" t="n">
        <v>32124.4</v>
      </c>
      <c r="K865" s="31" t="n">
        <v>20870.7</v>
      </c>
      <c r="L865" s="31" t="n">
        <v>20340.1</v>
      </c>
      <c r="M865" s="30" t="inlineStr">
        <is>
          <t>AMR3</t>
        </is>
      </c>
      <c r="N865" s="30" t="inlineStr">
        <is>
          <t>AMR2</t>
        </is>
      </c>
      <c r="O865" s="32" t="n">
        <v>1</v>
      </c>
      <c r="P865" s="32" t="n">
        <v>25</v>
      </c>
      <c r="Q865" s="32" t="n">
        <v>0</v>
      </c>
      <c r="R865" s="31" t="n">
        <v>60.6</v>
      </c>
      <c r="S865" s="31" t="n">
        <v>60.6</v>
      </c>
      <c r="T865" s="30" t="inlineStr">
        <is>
          <t>AMR3</t>
        </is>
      </c>
      <c r="U865" s="31" t="n">
        <v>46.5</v>
      </c>
      <c r="V865" s="31" t="n">
        <v>46.5</v>
      </c>
      <c r="W865" s="30" t="inlineStr">
        <is>
          <t>AMR2</t>
        </is>
      </c>
      <c r="X865" s="32" t="n">
        <v>0</v>
      </c>
      <c r="Y865" s="32" t="n">
        <v>0</v>
      </c>
      <c r="Z865" s="31" t="n">
        <v>0</v>
      </c>
      <c r="AA865" s="32" t="n">
        <v>0</v>
      </c>
      <c r="AB865" s="32" t="n">
        <v>0</v>
      </c>
      <c r="AC865" s="32" t="n">
        <v>0</v>
      </c>
      <c r="AD865" s="32" t="n">
        <v>1</v>
      </c>
      <c r="AE865" s="31" t="n">
        <v>6.6</v>
      </c>
      <c r="AF865" s="32" t="n">
        <v>1</v>
      </c>
      <c r="AG865" s="31" t="n">
        <v>1.6</v>
      </c>
      <c r="AH865" s="32" t="n">
        <v>71</v>
      </c>
      <c r="AI865" s="31" t="n">
        <v>69.5</v>
      </c>
      <c r="AJ865" s="31" t="n">
        <v>40.4</v>
      </c>
      <c r="AK865" s="31" t="n">
        <v>6.6</v>
      </c>
      <c r="AL865" s="30" t="inlineStr">
        <is>
          <t>T-1011</t>
        </is>
      </c>
      <c r="AM865" s="30" t="inlineStr">
        <is>
          <t>A-01-03</t>
        </is>
      </c>
      <c r="AN865" s="30" t="inlineStr">
        <is>
          <t>T-0796</t>
        </is>
      </c>
      <c r="AO865" s="30" t="inlineStr">
        <is>
          <t>A-04-03</t>
        </is>
      </c>
    </row>
    <row r="866">
      <c r="A866" s="30" t="inlineStr">
        <is>
          <t>O0865</t>
        </is>
      </c>
      <c r="B866" s="30" t="inlineStr">
        <is>
          <t>J</t>
        </is>
      </c>
      <c r="C866" s="31" t="n">
        <v>11270.7</v>
      </c>
      <c r="D866" s="31" t="n">
        <v>31706.4</v>
      </c>
      <c r="E866" s="31" t="n">
        <v>31729.9</v>
      </c>
      <c r="F866" s="31" t="n">
        <v>31743.4</v>
      </c>
      <c r="G866" s="31" t="n">
        <v>31774.6</v>
      </c>
      <c r="H866" s="31" t="n">
        <v>32753.6</v>
      </c>
      <c r="I866" s="31" t="n">
        <v>32768.7</v>
      </c>
      <c r="J866" s="31" t="n">
        <v>32802.9</v>
      </c>
      <c r="K866" s="31" t="n">
        <v>21532.2</v>
      </c>
      <c r="L866" s="31" t="n">
        <v>20435.7</v>
      </c>
      <c r="M866" s="30" t="inlineStr">
        <is>
          <t>AMR3</t>
        </is>
      </c>
      <c r="N866" s="30" t="inlineStr">
        <is>
          <t>AMR2</t>
        </is>
      </c>
      <c r="O866" s="32" t="n">
        <v>1</v>
      </c>
      <c r="P866" s="32" t="n">
        <v>25</v>
      </c>
      <c r="Q866" s="32" t="n">
        <v>1</v>
      </c>
      <c r="R866" s="31" t="n">
        <v>66.40000000000001</v>
      </c>
      <c r="S866" s="31" t="n">
        <v>66.40000000000001</v>
      </c>
      <c r="T866" s="30" t="inlineStr">
        <is>
          <t>AMR3</t>
        </is>
      </c>
      <c r="U866" s="31" t="n">
        <v>47.5</v>
      </c>
      <c r="V866" s="31" t="n">
        <v>47.5</v>
      </c>
      <c r="W866" s="30" t="inlineStr">
        <is>
          <t>AMR2</t>
        </is>
      </c>
      <c r="X866" s="32" t="n">
        <v>0</v>
      </c>
      <c r="Y866" s="32" t="n">
        <v>0</v>
      </c>
      <c r="Z866" s="31" t="n">
        <v>0</v>
      </c>
      <c r="AA866" s="32" t="n">
        <v>0</v>
      </c>
      <c r="AB866" s="32" t="n">
        <v>0</v>
      </c>
      <c r="AC866" s="32" t="n">
        <v>0</v>
      </c>
      <c r="AD866" s="32" t="n">
        <v>0</v>
      </c>
      <c r="AE866" s="31" t="n">
        <v>0</v>
      </c>
      <c r="AF866" s="32" t="n">
        <v>0</v>
      </c>
      <c r="AG866" s="31" t="n">
        <v>0</v>
      </c>
      <c r="AH866" s="32" t="n">
        <v>68</v>
      </c>
      <c r="AI866" s="31" t="n">
        <v>68.3</v>
      </c>
      <c r="AJ866" s="31" t="n">
        <v>49.2</v>
      </c>
      <c r="AK866" s="31" t="n">
        <v>0</v>
      </c>
      <c r="AL866" s="30" t="inlineStr">
        <is>
          <t>T-1014</t>
        </is>
      </c>
      <c r="AM866" s="30" t="inlineStr">
        <is>
          <t>J-02-03</t>
        </is>
      </c>
      <c r="AN866" s="30" t="inlineStr">
        <is>
          <t>T-0858</t>
        </is>
      </c>
      <c r="AO866" s="30" t="inlineStr">
        <is>
          <t>J-04-03</t>
        </is>
      </c>
    </row>
    <row r="867">
      <c r="A867" s="30" t="inlineStr">
        <is>
          <t>O0866</t>
        </is>
      </c>
      <c r="B867" s="30" t="inlineStr">
        <is>
          <t>G</t>
        </is>
      </c>
      <c r="C867" s="31" t="n">
        <v>11287.6</v>
      </c>
      <c r="D867" s="31" t="n">
        <v>31631</v>
      </c>
      <c r="E867" s="31" t="n">
        <v>31665.5</v>
      </c>
      <c r="F867" s="31" t="n">
        <v>31677.8</v>
      </c>
      <c r="G867" s="31" t="n">
        <v>31703.7</v>
      </c>
      <c r="H867" s="31" t="n">
        <v>31703.8</v>
      </c>
      <c r="I867" s="31" t="n">
        <v>31717.6</v>
      </c>
      <c r="J867" s="31" t="n">
        <v>31747.9</v>
      </c>
      <c r="K867" s="31" t="n">
        <v>20460.3</v>
      </c>
      <c r="L867" s="31" t="n">
        <v>20343.4</v>
      </c>
      <c r="M867" s="30" t="inlineStr">
        <is>
          <t>AMR1</t>
        </is>
      </c>
      <c r="N867" s="30" t="inlineStr">
        <is>
          <t>AMR1</t>
        </is>
      </c>
      <c r="O867" s="32" t="n">
        <v>1</v>
      </c>
      <c r="P867" s="32" t="n">
        <v>25</v>
      </c>
      <c r="Q867" s="32" t="n">
        <v>2</v>
      </c>
      <c r="R867" s="31" t="n">
        <v>60.7</v>
      </c>
      <c r="S867" s="31" t="n">
        <v>60.7</v>
      </c>
      <c r="T867" s="30" t="inlineStr">
        <is>
          <t>AMR1</t>
        </is>
      </c>
      <c r="U867" s="31" t="n">
        <v>41.3</v>
      </c>
      <c r="V867" s="31" t="n">
        <v>41.3</v>
      </c>
      <c r="W867" s="30" t="inlineStr">
        <is>
          <t>AMR1</t>
        </is>
      </c>
      <c r="X867" s="32" t="n">
        <v>0</v>
      </c>
      <c r="Y867" s="32" t="n">
        <v>0</v>
      </c>
      <c r="Z867" s="31" t="n">
        <v>0</v>
      </c>
      <c r="AA867" s="32" t="n">
        <v>0</v>
      </c>
      <c r="AB867" s="32" t="n">
        <v>0</v>
      </c>
      <c r="AC867" s="32" t="n">
        <v>0</v>
      </c>
      <c r="AD867" s="32" t="n">
        <v>0</v>
      </c>
      <c r="AE867" s="31" t="n">
        <v>0</v>
      </c>
      <c r="AF867" s="32" t="n">
        <v>1</v>
      </c>
      <c r="AG867" s="31" t="n">
        <v>6</v>
      </c>
      <c r="AH867" s="32" t="n">
        <v>60</v>
      </c>
      <c r="AI867" s="31" t="n">
        <v>61.8</v>
      </c>
      <c r="AJ867" s="31" t="n">
        <v>44</v>
      </c>
      <c r="AK867" s="31" t="n">
        <v>11</v>
      </c>
      <c r="AL867" s="30" t="inlineStr">
        <is>
          <t>T-1013</t>
        </is>
      </c>
      <c r="AM867" s="30" t="inlineStr">
        <is>
          <t>G-06-01</t>
        </is>
      </c>
      <c r="AN867" s="30" t="inlineStr">
        <is>
          <t>T-0784</t>
        </is>
      </c>
      <c r="AO867" s="30" t="inlineStr">
        <is>
          <t>G-01-01</t>
        </is>
      </c>
    </row>
    <row r="868">
      <c r="A868" s="30" t="inlineStr">
        <is>
          <t>O0867</t>
        </is>
      </c>
      <c r="B868" s="30" t="inlineStr">
        <is>
          <t>D</t>
        </is>
      </c>
      <c r="C868" s="31" t="n">
        <v>11309.1</v>
      </c>
      <c r="D868" s="31" t="n">
        <v>31726.9</v>
      </c>
      <c r="E868" s="31" t="n">
        <v>31754.4</v>
      </c>
      <c r="F868" s="31" t="n">
        <v>31766.4</v>
      </c>
      <c r="G868" s="31" t="n">
        <v>31786.7</v>
      </c>
      <c r="H868" s="31" t="n">
        <v>31786.8</v>
      </c>
      <c r="I868" s="31" t="n">
        <v>31801.1</v>
      </c>
      <c r="J868" s="31" t="n">
        <v>31836.9</v>
      </c>
      <c r="K868" s="31" t="n">
        <v>20527.8</v>
      </c>
      <c r="L868" s="31" t="n">
        <v>20417.8</v>
      </c>
      <c r="M868" s="30" t="inlineStr">
        <is>
          <t>AMR2</t>
        </is>
      </c>
      <c r="N868" s="30" t="inlineStr">
        <is>
          <t>AMR2</t>
        </is>
      </c>
      <c r="O868" s="32" t="n">
        <v>1</v>
      </c>
      <c r="P868" s="32" t="n">
        <v>25</v>
      </c>
      <c r="Q868" s="32" t="n">
        <v>0</v>
      </c>
      <c r="R868" s="31" t="n">
        <v>53.1</v>
      </c>
      <c r="S868" s="31" t="n">
        <v>53.1</v>
      </c>
      <c r="T868" s="30" t="inlineStr">
        <is>
          <t>AMR2</t>
        </is>
      </c>
      <c r="U868" s="31" t="n">
        <v>39.3</v>
      </c>
      <c r="V868" s="31" t="n">
        <v>39.3</v>
      </c>
      <c r="W868" s="30" t="inlineStr">
        <is>
          <t>AMR2</t>
        </is>
      </c>
      <c r="X868" s="32" t="n">
        <v>0</v>
      </c>
      <c r="Y868" s="32" t="n">
        <v>0</v>
      </c>
      <c r="Z868" s="31" t="n">
        <v>0</v>
      </c>
      <c r="AA868" s="32" t="n">
        <v>0</v>
      </c>
      <c r="AB868" s="32" t="n">
        <v>0</v>
      </c>
      <c r="AC868" s="32" t="n">
        <v>0</v>
      </c>
      <c r="AD868" s="32" t="n">
        <v>1</v>
      </c>
      <c r="AE868" s="31" t="n">
        <v>9</v>
      </c>
      <c r="AF868" s="32" t="n">
        <v>1</v>
      </c>
      <c r="AG868" s="31" t="n">
        <v>4</v>
      </c>
      <c r="AH868" s="32" t="n">
        <v>56</v>
      </c>
      <c r="AI868" s="31" t="n">
        <v>57.4</v>
      </c>
      <c r="AJ868" s="31" t="n">
        <v>39.5</v>
      </c>
      <c r="AK868" s="31" t="n">
        <v>13</v>
      </c>
      <c r="AL868" s="30" t="inlineStr">
        <is>
          <t>T-1015</t>
        </is>
      </c>
      <c r="AM868" s="30" t="inlineStr">
        <is>
          <t>D-03-01</t>
        </is>
      </c>
      <c r="AN868" s="30" t="inlineStr">
        <is>
          <t>T-0921</t>
        </is>
      </c>
      <c r="AO868" s="30" t="inlineStr">
        <is>
          <t>D-04-01</t>
        </is>
      </c>
    </row>
    <row r="869">
      <c r="A869" s="30" t="inlineStr">
        <is>
          <t>O0868</t>
        </is>
      </c>
      <c r="B869" s="30" t="inlineStr">
        <is>
          <t>D</t>
        </is>
      </c>
      <c r="C869" s="31" t="n">
        <v>11327.9</v>
      </c>
      <c r="D869" s="31" t="n">
        <v>31823.1</v>
      </c>
      <c r="E869" s="31" t="n">
        <v>31846.6</v>
      </c>
      <c r="F869" s="31" t="n">
        <v>31859.8</v>
      </c>
      <c r="G869" s="31" t="n">
        <v>31882.3</v>
      </c>
      <c r="H869" s="31" t="n">
        <v>31882.4</v>
      </c>
      <c r="I869" s="31" t="n">
        <v>31896.9</v>
      </c>
      <c r="J869" s="31" t="n">
        <v>31927.1</v>
      </c>
      <c r="K869" s="31" t="n">
        <v>20599.2</v>
      </c>
      <c r="L869" s="31" t="n">
        <v>20495.2</v>
      </c>
      <c r="M869" s="30" t="inlineStr">
        <is>
          <t>AMR3</t>
        </is>
      </c>
      <c r="N869" s="30" t="inlineStr">
        <is>
          <t>AMR3</t>
        </is>
      </c>
      <c r="O869" s="32" t="n">
        <v>1</v>
      </c>
      <c r="P869" s="32" t="n">
        <v>25</v>
      </c>
      <c r="Q869" s="32" t="n">
        <v>1</v>
      </c>
      <c r="R869" s="31" t="n">
        <v>55.7</v>
      </c>
      <c r="S869" s="31" t="n">
        <v>55.7</v>
      </c>
      <c r="T869" s="30" t="inlineStr">
        <is>
          <t>AMR3</t>
        </is>
      </c>
      <c r="U869" s="31" t="n">
        <v>42.8</v>
      </c>
      <c r="V869" s="31" t="n">
        <v>42.8</v>
      </c>
      <c r="W869" s="30" t="inlineStr">
        <is>
          <t>AMR3</t>
        </is>
      </c>
      <c r="X869" s="32" t="n">
        <v>0</v>
      </c>
      <c r="Y869" s="32" t="n">
        <v>0</v>
      </c>
      <c r="Z869" s="31" t="n">
        <v>0</v>
      </c>
      <c r="AA869" s="32" t="n">
        <v>0</v>
      </c>
      <c r="AB869" s="32" t="n">
        <v>0</v>
      </c>
      <c r="AC869" s="32" t="n">
        <v>0</v>
      </c>
      <c r="AD869" s="32" t="n">
        <v>0</v>
      </c>
      <c r="AE869" s="31" t="n">
        <v>0</v>
      </c>
      <c r="AF869" s="32" t="n">
        <v>0</v>
      </c>
      <c r="AG869" s="31" t="n">
        <v>0</v>
      </c>
      <c r="AH869" s="32" t="n">
        <v>58</v>
      </c>
      <c r="AI869" s="31" t="n">
        <v>59</v>
      </c>
      <c r="AJ869" s="31" t="n">
        <v>44.9</v>
      </c>
      <c r="AK869" s="31" t="n">
        <v>0</v>
      </c>
      <c r="AL869" s="30" t="inlineStr">
        <is>
          <t>T-1017</t>
        </is>
      </c>
      <c r="AM869" s="30" t="inlineStr">
        <is>
          <t>D-04-01</t>
        </is>
      </c>
      <c r="AN869" s="30" t="inlineStr">
        <is>
          <t>T-0924</t>
        </is>
      </c>
      <c r="AO869" s="30" t="inlineStr">
        <is>
          <t>D-06-01</t>
        </is>
      </c>
    </row>
    <row r="870">
      <c r="A870" s="30" t="inlineStr">
        <is>
          <t>O0869</t>
        </is>
      </c>
      <c r="B870" s="30" t="inlineStr">
        <is>
          <t>B</t>
        </is>
      </c>
      <c r="C870" s="31" t="n">
        <v>11349.3</v>
      </c>
      <c r="D870" s="31" t="n">
        <v>31748</v>
      </c>
      <c r="E870" s="31" t="n">
        <v>31778.5</v>
      </c>
      <c r="F870" s="31" t="n">
        <v>31791.9</v>
      </c>
      <c r="G870" s="31" t="n">
        <v>31813.8</v>
      </c>
      <c r="H870" s="31" t="n">
        <v>31813.9</v>
      </c>
      <c r="I870" s="31" t="n">
        <v>31827.3</v>
      </c>
      <c r="J870" s="31" t="n">
        <v>31858.8</v>
      </c>
      <c r="K870" s="31" t="n">
        <v>20509.5</v>
      </c>
      <c r="L870" s="31" t="n">
        <v>20398.7</v>
      </c>
      <c r="M870" s="30" t="inlineStr">
        <is>
          <t>AMR1</t>
        </is>
      </c>
      <c r="N870" s="30" t="inlineStr">
        <is>
          <t>AMR1</t>
        </is>
      </c>
      <c r="O870" s="32" t="n">
        <v>1</v>
      </c>
      <c r="P870" s="32" t="n">
        <v>25</v>
      </c>
      <c r="Q870" s="32" t="n">
        <v>1</v>
      </c>
      <c r="R870" s="31" t="n">
        <v>56.9</v>
      </c>
      <c r="S870" s="31" t="n">
        <v>56.9</v>
      </c>
      <c r="T870" s="30" t="inlineStr">
        <is>
          <t>AMR1</t>
        </is>
      </c>
      <c r="U870" s="31" t="n">
        <v>42.5</v>
      </c>
      <c r="V870" s="31" t="n">
        <v>42.5</v>
      </c>
      <c r="W870" s="30" t="inlineStr">
        <is>
          <t>AMR1</t>
        </is>
      </c>
      <c r="X870" s="32" t="n">
        <v>0</v>
      </c>
      <c r="Y870" s="32" t="n">
        <v>0</v>
      </c>
      <c r="Z870" s="31" t="n">
        <v>0</v>
      </c>
      <c r="AA870" s="32" t="n">
        <v>0</v>
      </c>
      <c r="AB870" s="32" t="n">
        <v>0</v>
      </c>
      <c r="AC870" s="32" t="n">
        <v>0</v>
      </c>
      <c r="AD870" s="32" t="n">
        <v>2</v>
      </c>
      <c r="AE870" s="31" t="n">
        <v>3.6</v>
      </c>
      <c r="AF870" s="32" t="n">
        <v>1</v>
      </c>
      <c r="AG870" s="31" t="n">
        <v>2</v>
      </c>
      <c r="AH870" s="32" t="n">
        <v>56</v>
      </c>
      <c r="AI870" s="31" t="n">
        <v>57.5</v>
      </c>
      <c r="AJ870" s="31" t="n">
        <v>42.6</v>
      </c>
      <c r="AK870" s="31" t="n">
        <v>10.6</v>
      </c>
      <c r="AL870" s="30" t="inlineStr">
        <is>
          <t>T-1016</t>
        </is>
      </c>
      <c r="AM870" s="30" t="inlineStr">
        <is>
          <t>B-04-02</t>
        </is>
      </c>
      <c r="AN870" s="30" t="inlineStr">
        <is>
          <t>T-0798</t>
        </is>
      </c>
      <c r="AO870" s="30" t="inlineStr">
        <is>
          <t>B-04-03</t>
        </is>
      </c>
    </row>
    <row r="871">
      <c r="A871" s="30" t="inlineStr">
        <is>
          <t>O0870</t>
        </is>
      </c>
      <c r="B871" s="30" t="inlineStr">
        <is>
          <t>A</t>
        </is>
      </c>
      <c r="C871" s="31" t="n">
        <v>11373.2</v>
      </c>
      <c r="D871" s="31" t="n">
        <v>31905.6</v>
      </c>
      <c r="E871" s="31" t="n">
        <v>31918.6</v>
      </c>
      <c r="F871" s="31" t="n">
        <v>31932.6</v>
      </c>
      <c r="G871" s="31" t="n">
        <v>31962.1</v>
      </c>
      <c r="H871" s="31" t="n">
        <v>32592.1</v>
      </c>
      <c r="I871" s="31" t="n">
        <v>32602.3</v>
      </c>
      <c r="J871" s="31" t="n">
        <v>32639.9</v>
      </c>
      <c r="K871" s="31" t="n">
        <v>21266.7</v>
      </c>
      <c r="L871" s="31" t="n">
        <v>20532.4</v>
      </c>
      <c r="M871" s="30" t="inlineStr">
        <is>
          <t>AMR2</t>
        </is>
      </c>
      <c r="N871" s="30" t="inlineStr">
        <is>
          <t>AMR1</t>
        </is>
      </c>
      <c r="O871" s="32" t="n">
        <v>1</v>
      </c>
      <c r="P871" s="32" t="n">
        <v>12</v>
      </c>
      <c r="Q871" s="32" t="n">
        <v>1</v>
      </c>
      <c r="R871" s="31" t="n">
        <v>52.6</v>
      </c>
      <c r="S871" s="31" t="n">
        <v>52.6</v>
      </c>
      <c r="T871" s="30" t="inlineStr">
        <is>
          <t>AMR2</t>
        </is>
      </c>
      <c r="U871" s="31" t="n">
        <v>47</v>
      </c>
      <c r="V871" s="31" t="n">
        <v>47</v>
      </c>
      <c r="W871" s="30" t="inlineStr">
        <is>
          <t>AMR1</t>
        </is>
      </c>
      <c r="X871" s="32" t="n">
        <v>0</v>
      </c>
      <c r="Y871" s="32" t="n">
        <v>0</v>
      </c>
      <c r="Z871" s="31" t="n">
        <v>0</v>
      </c>
      <c r="AA871" s="32" t="n">
        <v>0</v>
      </c>
      <c r="AB871" s="32" t="n">
        <v>0</v>
      </c>
      <c r="AC871" s="32" t="n">
        <v>0</v>
      </c>
      <c r="AD871" s="32" t="n">
        <v>0</v>
      </c>
      <c r="AE871" s="31" t="n">
        <v>0</v>
      </c>
      <c r="AF871" s="32" t="n">
        <v>0</v>
      </c>
      <c r="AG871" s="31" t="n">
        <v>0</v>
      </c>
      <c r="AH871" s="32" t="n">
        <v>61</v>
      </c>
      <c r="AI871" s="31" t="n">
        <v>60.2</v>
      </c>
      <c r="AJ871" s="31" t="n">
        <v>43.1</v>
      </c>
      <c r="AK871" s="31" t="n">
        <v>1</v>
      </c>
      <c r="AL871" s="30" t="inlineStr">
        <is>
          <t>T-1020</t>
        </is>
      </c>
      <c r="AM871" s="30" t="inlineStr">
        <is>
          <t>A-02-03</t>
        </is>
      </c>
      <c r="AN871" s="30" t="inlineStr">
        <is>
          <t>T-0805</t>
        </is>
      </c>
      <c r="AO871" s="30" t="inlineStr">
        <is>
          <t>A-02-01</t>
        </is>
      </c>
    </row>
    <row r="872">
      <c r="A872" s="30" t="inlineStr">
        <is>
          <t>O0871</t>
        </is>
      </c>
      <c r="B872" s="30" t="inlineStr">
        <is>
          <t>C</t>
        </is>
      </c>
      <c r="C872" s="31" t="n">
        <v>11397.5</v>
      </c>
      <c r="D872" s="31" t="n">
        <v>31837</v>
      </c>
      <c r="E872" s="31" t="n">
        <v>31870.5</v>
      </c>
      <c r="F872" s="31" t="n">
        <v>31883.3</v>
      </c>
      <c r="G872" s="31" t="n">
        <v>31905.5</v>
      </c>
      <c r="H872" s="31" t="n">
        <v>32496.7</v>
      </c>
      <c r="I872" s="31" t="n">
        <v>32509.6</v>
      </c>
      <c r="J872" s="31" t="n">
        <v>32540.6</v>
      </c>
      <c r="K872" s="31" t="n">
        <v>21143.1</v>
      </c>
      <c r="L872" s="31" t="n">
        <v>20439.5</v>
      </c>
      <c r="M872" s="30" t="inlineStr">
        <is>
          <t>AMR2</t>
        </is>
      </c>
      <c r="N872" s="30" t="inlineStr">
        <is>
          <t>AMR3</t>
        </is>
      </c>
      <c r="O872" s="32" t="n">
        <v>1</v>
      </c>
      <c r="P872" s="32" t="n">
        <v>25</v>
      </c>
      <c r="Q872" s="32" t="n">
        <v>0</v>
      </c>
      <c r="R872" s="31" t="n">
        <v>56.6</v>
      </c>
      <c r="S872" s="31" t="n">
        <v>56.6</v>
      </c>
      <c r="T872" s="30" t="inlineStr">
        <is>
          <t>AMR2</t>
        </is>
      </c>
      <c r="U872" s="31" t="n">
        <v>42.1</v>
      </c>
      <c r="V872" s="31" t="n">
        <v>42.1</v>
      </c>
      <c r="W872" s="30" t="inlineStr">
        <is>
          <t>AMR3</t>
        </is>
      </c>
      <c r="X872" s="32" t="n">
        <v>0</v>
      </c>
      <c r="Y872" s="32" t="n">
        <v>0</v>
      </c>
      <c r="Z872" s="31" t="n">
        <v>0</v>
      </c>
      <c r="AA872" s="32" t="n">
        <v>0</v>
      </c>
      <c r="AB872" s="32" t="n">
        <v>0</v>
      </c>
      <c r="AC872" s="32" t="n">
        <v>0</v>
      </c>
      <c r="AD872" s="32" t="n">
        <v>1</v>
      </c>
      <c r="AE872" s="31" t="n">
        <v>1</v>
      </c>
      <c r="AF872" s="32" t="n">
        <v>1</v>
      </c>
      <c r="AG872" s="31" t="n">
        <v>5</v>
      </c>
      <c r="AH872" s="32" t="n">
        <v>53</v>
      </c>
      <c r="AI872" s="31" t="n">
        <v>55.1</v>
      </c>
      <c r="AJ872" s="31" t="n">
        <v>46.3</v>
      </c>
      <c r="AK872" s="31" t="n">
        <v>11</v>
      </c>
      <c r="AL872" s="30" t="inlineStr">
        <is>
          <t>T-1018</t>
        </is>
      </c>
      <c r="AM872" s="30" t="inlineStr">
        <is>
          <t>C-02-02</t>
        </is>
      </c>
      <c r="AN872" s="30" t="inlineStr">
        <is>
          <t>T-0888</t>
        </is>
      </c>
      <c r="AO872" s="30" t="inlineStr">
        <is>
          <t>C-05-02</t>
        </is>
      </c>
    </row>
    <row r="873">
      <c r="A873" s="30" t="inlineStr">
        <is>
          <t>O0872</t>
        </is>
      </c>
      <c r="B873" s="30" t="inlineStr">
        <is>
          <t>J</t>
        </is>
      </c>
      <c r="C873" s="31" t="n">
        <v>11421.2</v>
      </c>
      <c r="D873" s="31" t="n">
        <v>32087.9</v>
      </c>
      <c r="E873" s="31" t="n">
        <v>32111.4</v>
      </c>
      <c r="F873" s="31" t="n">
        <v>32123.1</v>
      </c>
      <c r="G873" s="31" t="n">
        <v>32151.6</v>
      </c>
      <c r="H873" s="31" t="n">
        <v>32151.7</v>
      </c>
      <c r="I873" s="31" t="n">
        <v>32166.7</v>
      </c>
      <c r="J873" s="31" t="n">
        <v>32199.9</v>
      </c>
      <c r="K873" s="31" t="n">
        <v>20778.7</v>
      </c>
      <c r="L873" s="31" t="n">
        <v>20666.7</v>
      </c>
      <c r="M873" s="30" t="inlineStr">
        <is>
          <t>AMR1</t>
        </is>
      </c>
      <c r="N873" s="30" t="inlineStr">
        <is>
          <t>AMR1</t>
        </is>
      </c>
      <c r="O873" s="32" t="n">
        <v>1</v>
      </c>
      <c r="P873" s="32" t="n">
        <v>25</v>
      </c>
      <c r="Q873" s="32" t="n">
        <v>0</v>
      </c>
      <c r="R873" s="31" t="n">
        <v>61.1</v>
      </c>
      <c r="S873" s="31" t="n">
        <v>61.1</v>
      </c>
      <c r="T873" s="30" t="inlineStr">
        <is>
          <t>AMR1</t>
        </is>
      </c>
      <c r="U873" s="31" t="n">
        <v>44.9</v>
      </c>
      <c r="V873" s="31" t="n">
        <v>44.9</v>
      </c>
      <c r="W873" s="30" t="inlineStr">
        <is>
          <t>AMR1</t>
        </is>
      </c>
      <c r="X873" s="32" t="n">
        <v>0</v>
      </c>
      <c r="Y873" s="32" t="n">
        <v>0</v>
      </c>
      <c r="Z873" s="31" t="n">
        <v>0</v>
      </c>
      <c r="AA873" s="32" t="n">
        <v>0</v>
      </c>
      <c r="AB873" s="32" t="n">
        <v>0</v>
      </c>
      <c r="AC873" s="32" t="n">
        <v>0</v>
      </c>
      <c r="AD873" s="32" t="n">
        <v>0</v>
      </c>
      <c r="AE873" s="31" t="n">
        <v>0</v>
      </c>
      <c r="AF873" s="32" t="n">
        <v>0</v>
      </c>
      <c r="AG873" s="31" t="n">
        <v>0</v>
      </c>
      <c r="AH873" s="32" t="n">
        <v>70</v>
      </c>
      <c r="AI873" s="31" t="n">
        <v>69.90000000000001</v>
      </c>
      <c r="AJ873" s="31" t="n">
        <v>42</v>
      </c>
      <c r="AK873" s="31" t="n">
        <v>0</v>
      </c>
      <c r="AL873" s="30" t="inlineStr">
        <is>
          <t>T-1024</t>
        </is>
      </c>
      <c r="AM873" s="30" t="inlineStr">
        <is>
          <t>J-03-03</t>
        </is>
      </c>
      <c r="AN873" s="30" t="inlineStr">
        <is>
          <t>T-0835</t>
        </is>
      </c>
      <c r="AO873" s="30" t="inlineStr">
        <is>
          <t>J-06-02</t>
        </is>
      </c>
    </row>
    <row r="874">
      <c r="A874" s="30" t="inlineStr">
        <is>
          <t>O0873</t>
        </is>
      </c>
      <c r="B874" s="30" t="inlineStr">
        <is>
          <t>C</t>
        </is>
      </c>
      <c r="C874" s="31" t="n">
        <v>11439.8</v>
      </c>
      <c r="D874" s="31" t="n">
        <v>31927.2</v>
      </c>
      <c r="E874" s="31" t="n">
        <v>31950.7</v>
      </c>
      <c r="F874" s="31" t="n">
        <v>31964.6</v>
      </c>
      <c r="G874" s="31" t="n">
        <v>31989</v>
      </c>
      <c r="H874" s="31" t="n">
        <v>32033.5</v>
      </c>
      <c r="I874" s="31" t="n">
        <v>32062.6</v>
      </c>
      <c r="J874" s="31" t="n">
        <v>32104.7</v>
      </c>
      <c r="K874" s="31" t="n">
        <v>20664.9</v>
      </c>
      <c r="L874" s="31" t="n">
        <v>20487.4</v>
      </c>
      <c r="M874" s="30" t="inlineStr">
        <is>
          <t>AMR3</t>
        </is>
      </c>
      <c r="N874" s="30" t="inlineStr">
        <is>
          <t>AMR3</t>
        </is>
      </c>
      <c r="O874" s="32" t="n">
        <v>1</v>
      </c>
      <c r="P874" s="32" t="n">
        <v>25</v>
      </c>
      <c r="Q874" s="32" t="n">
        <v>16</v>
      </c>
      <c r="R874" s="31" t="n">
        <v>60.7</v>
      </c>
      <c r="S874" s="31" t="n">
        <v>60.7</v>
      </c>
      <c r="T874" s="30" t="inlineStr">
        <is>
          <t>AMR3</t>
        </is>
      </c>
      <c r="U874" s="31" t="n">
        <v>57.7</v>
      </c>
      <c r="V874" s="31" t="n">
        <v>57.7</v>
      </c>
      <c r="W874" s="30" t="inlineStr">
        <is>
          <t>AMR3</t>
        </is>
      </c>
      <c r="X874" s="32" t="n">
        <v>0</v>
      </c>
      <c r="Y874" s="32" t="n">
        <v>0</v>
      </c>
      <c r="Z874" s="31" t="n">
        <v>0</v>
      </c>
      <c r="AA874" s="32" t="n">
        <v>0</v>
      </c>
      <c r="AB874" s="32" t="n">
        <v>0</v>
      </c>
      <c r="AC874" s="32" t="n">
        <v>0</v>
      </c>
      <c r="AD874" s="32" t="n">
        <v>1</v>
      </c>
      <c r="AE874" s="31" t="n">
        <v>12</v>
      </c>
      <c r="AF874" s="32" t="n">
        <v>1</v>
      </c>
      <c r="AG874" s="31" t="n">
        <v>7</v>
      </c>
      <c r="AH874" s="32" t="n">
        <v>68</v>
      </c>
      <c r="AI874" s="31" t="n">
        <v>70.59999999999999</v>
      </c>
      <c r="AJ874" s="31" t="n">
        <v>50.4</v>
      </c>
      <c r="AK874" s="31" t="n">
        <v>12</v>
      </c>
      <c r="AL874" s="30" t="inlineStr">
        <is>
          <t>T-1021</t>
        </is>
      </c>
      <c r="AM874" s="30" t="inlineStr">
        <is>
          <t>C-06-03</t>
        </is>
      </c>
      <c r="AN874" s="30" t="inlineStr">
        <is>
          <t>T-0886</t>
        </is>
      </c>
      <c r="AO874" s="30" t="inlineStr">
        <is>
          <t>C-04-02</t>
        </is>
      </c>
    </row>
    <row r="875">
      <c r="A875" s="30" t="inlineStr">
        <is>
          <t>O0874</t>
        </is>
      </c>
      <c r="B875" s="30" t="inlineStr">
        <is>
          <t>B</t>
        </is>
      </c>
      <c r="C875" s="31" t="n">
        <v>11464.4</v>
      </c>
      <c r="D875" s="31" t="n">
        <v>31980.9</v>
      </c>
      <c r="E875" s="31" t="n">
        <v>32004.4</v>
      </c>
      <c r="F875" s="31" t="n">
        <v>32018.1</v>
      </c>
      <c r="G875" s="31" t="n">
        <v>32044.8</v>
      </c>
      <c r="H875" s="31" t="n">
        <v>33343.1</v>
      </c>
      <c r="I875" s="31" t="n">
        <v>33355.3</v>
      </c>
      <c r="J875" s="31" t="n">
        <v>33391.6</v>
      </c>
      <c r="K875" s="31" t="n">
        <v>21927.2</v>
      </c>
      <c r="L875" s="31" t="n">
        <v>20516.5</v>
      </c>
      <c r="M875" s="30" t="inlineStr">
        <is>
          <t>AMR1</t>
        </is>
      </c>
      <c r="N875" s="30" t="inlineStr">
        <is>
          <t>AMR3</t>
        </is>
      </c>
      <c r="O875" s="32" t="n">
        <v>1</v>
      </c>
      <c r="P875" s="32" t="n">
        <v>25</v>
      </c>
      <c r="Q875" s="32" t="n">
        <v>2</v>
      </c>
      <c r="R875" s="31" t="n">
        <v>62</v>
      </c>
      <c r="S875" s="31" t="n">
        <v>58.6</v>
      </c>
      <c r="T875" s="30" t="inlineStr">
        <is>
          <t>AMR3</t>
        </is>
      </c>
      <c r="U875" s="31" t="n">
        <v>44.7</v>
      </c>
      <c r="V875" s="31" t="n">
        <v>44.7</v>
      </c>
      <c r="W875" s="30" t="inlineStr">
        <is>
          <t>AMR3</t>
        </is>
      </c>
      <c r="X875" s="32" t="n">
        <v>1</v>
      </c>
      <c r="Y875" s="32" t="n">
        <v>14</v>
      </c>
      <c r="Z875" s="31" t="n">
        <v>3.4</v>
      </c>
      <c r="AA875" s="32" t="n">
        <v>0</v>
      </c>
      <c r="AB875" s="32" t="n">
        <v>0</v>
      </c>
      <c r="AC875" s="32" t="n">
        <v>0</v>
      </c>
      <c r="AD875" s="32" t="n">
        <v>1</v>
      </c>
      <c r="AE875" s="31" t="n">
        <v>2</v>
      </c>
      <c r="AF875" s="32" t="n">
        <v>0</v>
      </c>
      <c r="AG875" s="31" t="n">
        <v>0</v>
      </c>
      <c r="AH875" s="32" t="n">
        <v>61</v>
      </c>
      <c r="AI875" s="31" t="n">
        <v>61.2</v>
      </c>
      <c r="AJ875" s="31" t="n">
        <v>49.2</v>
      </c>
      <c r="AK875" s="31" t="n">
        <v>2</v>
      </c>
      <c r="AL875" s="30" t="inlineStr">
        <is>
          <t>T-1022</t>
        </is>
      </c>
      <c r="AM875" s="30" t="inlineStr">
        <is>
          <t>B-04-03</t>
        </is>
      </c>
      <c r="AN875" s="30" t="inlineStr">
        <is>
          <t>T-0904</t>
        </is>
      </c>
      <c r="AO875" s="30" t="inlineStr">
        <is>
          <t>B-01-03</t>
        </is>
      </c>
    </row>
    <row r="876">
      <c r="A876" s="30" t="inlineStr">
        <is>
          <t>O0875</t>
        </is>
      </c>
      <c r="B876" s="30" t="inlineStr">
        <is>
          <t>A</t>
        </is>
      </c>
      <c r="C876" s="31" t="n">
        <v>11485.2</v>
      </c>
      <c r="D876" s="31" t="n">
        <v>32008.6</v>
      </c>
      <c r="E876" s="31" t="n">
        <v>32032.1</v>
      </c>
      <c r="F876" s="31" t="n">
        <v>32042.7</v>
      </c>
      <c r="G876" s="31" t="n">
        <v>32071.9</v>
      </c>
      <c r="H876" s="31" t="n">
        <v>34691.6</v>
      </c>
      <c r="I876" s="31" t="n">
        <v>34706.8</v>
      </c>
      <c r="J876" s="31" t="n">
        <v>34740.4</v>
      </c>
      <c r="K876" s="31" t="n">
        <v>23255.2</v>
      </c>
      <c r="L876" s="31" t="n">
        <v>20523.4</v>
      </c>
      <c r="M876" s="30" t="inlineStr">
        <is>
          <t>AMR2</t>
        </is>
      </c>
      <c r="N876" s="30" t="inlineStr">
        <is>
          <t>AMR1</t>
        </is>
      </c>
      <c r="O876" s="32" t="n">
        <v>1</v>
      </c>
      <c r="P876" s="32" t="n">
        <v>25</v>
      </c>
      <c r="Q876" s="32" t="n">
        <v>1</v>
      </c>
      <c r="R876" s="31" t="n">
        <v>60.6</v>
      </c>
      <c r="S876" s="31" t="n">
        <v>60.6</v>
      </c>
      <c r="T876" s="30" t="inlineStr">
        <is>
          <t>AMR2</t>
        </is>
      </c>
      <c r="U876" s="31" t="n">
        <v>51</v>
      </c>
      <c r="V876" s="31" t="n">
        <v>51</v>
      </c>
      <c r="W876" s="30" t="inlineStr">
        <is>
          <t>AMR1</t>
        </is>
      </c>
      <c r="X876" s="32" t="n">
        <v>0</v>
      </c>
      <c r="Y876" s="32" t="n">
        <v>0</v>
      </c>
      <c r="Z876" s="31" t="n">
        <v>0</v>
      </c>
      <c r="AA876" s="32" t="n">
        <v>0</v>
      </c>
      <c r="AB876" s="32" t="n">
        <v>0</v>
      </c>
      <c r="AC876" s="32" t="n">
        <v>0</v>
      </c>
      <c r="AD876" s="32" t="n">
        <v>0</v>
      </c>
      <c r="AE876" s="31" t="n">
        <v>0</v>
      </c>
      <c r="AF876" s="32" t="n">
        <v>0</v>
      </c>
      <c r="AG876" s="31" t="n">
        <v>0</v>
      </c>
      <c r="AH876" s="32" t="n">
        <v>69</v>
      </c>
      <c r="AI876" s="31" t="n">
        <v>67.90000000000001</v>
      </c>
      <c r="AJ876" s="31" t="n">
        <v>44.2</v>
      </c>
      <c r="AK876" s="31" t="n">
        <v>0</v>
      </c>
      <c r="AL876" s="30" t="inlineStr">
        <is>
          <t>T-1023</t>
        </is>
      </c>
      <c r="AM876" s="30" t="inlineStr">
        <is>
          <t>A-03-03</t>
        </is>
      </c>
      <c r="AN876" s="30" t="inlineStr">
        <is>
          <t>T-0859</t>
        </is>
      </c>
      <c r="AO876" s="30" t="inlineStr">
        <is>
          <t>A-06-03</t>
        </is>
      </c>
    </row>
    <row r="877">
      <c r="A877" s="30" t="inlineStr">
        <is>
          <t>O0876</t>
        </is>
      </c>
      <c r="B877" s="30" t="inlineStr">
        <is>
          <t>A</t>
        </is>
      </c>
      <c r="C877" s="31" t="n">
        <v>11502.4</v>
      </c>
      <c r="D877" s="31" t="n">
        <v>32522.1</v>
      </c>
      <c r="E877" s="31" t="n">
        <v>32545.6</v>
      </c>
      <c r="F877" s="31" t="n">
        <v>32561.2</v>
      </c>
      <c r="G877" s="31" t="n">
        <v>32592</v>
      </c>
      <c r="H877" s="31" t="n">
        <v>32727.4</v>
      </c>
      <c r="I877" s="31" t="n">
        <v>32743.2</v>
      </c>
      <c r="J877" s="31" t="n">
        <v>32774.4</v>
      </c>
      <c r="K877" s="31" t="n">
        <v>21272</v>
      </c>
      <c r="L877" s="31" t="n">
        <v>21019.7</v>
      </c>
      <c r="M877" s="30" t="inlineStr">
        <is>
          <t>AMR1</t>
        </is>
      </c>
      <c r="N877" s="30" t="inlineStr">
        <is>
          <t>AMR3</t>
        </is>
      </c>
      <c r="O877" s="32" t="n">
        <v>1</v>
      </c>
      <c r="P877" s="32" t="n">
        <v>25</v>
      </c>
      <c r="Q877" s="32" t="n">
        <v>1</v>
      </c>
      <c r="R877" s="31" t="n">
        <v>68</v>
      </c>
      <c r="S877" s="31" t="n">
        <v>66.2</v>
      </c>
      <c r="T877" s="30" t="inlineStr">
        <is>
          <t>AMR2</t>
        </is>
      </c>
      <c r="U877" s="31" t="n">
        <v>47.7</v>
      </c>
      <c r="V877" s="31" t="n">
        <v>47.7</v>
      </c>
      <c r="W877" s="30" t="inlineStr">
        <is>
          <t>AMR3</t>
        </is>
      </c>
      <c r="X877" s="32" t="n">
        <v>1</v>
      </c>
      <c r="Y877" s="32" t="n">
        <v>9</v>
      </c>
      <c r="Z877" s="31" t="n">
        <v>1.8</v>
      </c>
      <c r="AA877" s="32" t="n">
        <v>0</v>
      </c>
      <c r="AB877" s="32" t="n">
        <v>0</v>
      </c>
      <c r="AC877" s="32" t="n">
        <v>0</v>
      </c>
      <c r="AD877" s="32" t="n">
        <v>0</v>
      </c>
      <c r="AE877" s="31" t="n">
        <v>0</v>
      </c>
      <c r="AF877" s="32" t="n">
        <v>0</v>
      </c>
      <c r="AG877" s="31" t="n">
        <v>0</v>
      </c>
      <c r="AH877" s="32" t="n">
        <v>70</v>
      </c>
      <c r="AI877" s="31" t="n">
        <v>68.59999999999999</v>
      </c>
      <c r="AJ877" s="31" t="n">
        <v>48.3</v>
      </c>
      <c r="AK877" s="31" t="n">
        <v>0</v>
      </c>
      <c r="AL877" s="30" t="inlineStr">
        <is>
          <t>T-1036</t>
        </is>
      </c>
      <c r="AM877" s="30" t="inlineStr">
        <is>
          <t>A-04-03</t>
        </is>
      </c>
      <c r="AN877" s="30" t="inlineStr">
        <is>
          <t>T-0814</t>
        </is>
      </c>
      <c r="AO877" s="30" t="inlineStr">
        <is>
          <t>A-05-03</t>
        </is>
      </c>
    </row>
    <row r="878">
      <c r="A878" s="30" t="inlineStr">
        <is>
          <t>O0877</t>
        </is>
      </c>
      <c r="B878" s="30" t="inlineStr">
        <is>
          <t>I</t>
        </is>
      </c>
      <c r="C878" s="31" t="n">
        <v>11522.5</v>
      </c>
      <c r="D878" s="31" t="n">
        <v>32124.5</v>
      </c>
      <c r="E878" s="31" t="n">
        <v>32159</v>
      </c>
      <c r="F878" s="31" t="n">
        <v>32173.7</v>
      </c>
      <c r="G878" s="31" t="n">
        <v>32199</v>
      </c>
      <c r="H878" s="31" t="n">
        <v>32199.1</v>
      </c>
      <c r="I878" s="31" t="n">
        <v>32212</v>
      </c>
      <c r="J878" s="31" t="n">
        <v>32237.1</v>
      </c>
      <c r="K878" s="31" t="n">
        <v>20714.6</v>
      </c>
      <c r="L878" s="31" t="n">
        <v>20602</v>
      </c>
      <c r="M878" s="30" t="inlineStr">
        <is>
          <t>AMR2</t>
        </is>
      </c>
      <c r="N878" s="30" t="inlineStr">
        <is>
          <t>AMR2</t>
        </is>
      </c>
      <c r="O878" s="32" t="n">
        <v>1</v>
      </c>
      <c r="P878" s="32" t="n">
        <v>25</v>
      </c>
      <c r="Q878" s="32" t="n">
        <v>0</v>
      </c>
      <c r="R878" s="31" t="n">
        <v>60.9</v>
      </c>
      <c r="S878" s="31" t="n">
        <v>60.9</v>
      </c>
      <c r="T878" s="30" t="inlineStr">
        <is>
          <t>AMR2</t>
        </is>
      </c>
      <c r="U878" s="31" t="n">
        <v>35.2</v>
      </c>
      <c r="V878" s="31" t="n">
        <v>35.2</v>
      </c>
      <c r="W878" s="30" t="inlineStr">
        <is>
          <t>AMR2</t>
        </is>
      </c>
      <c r="X878" s="32" t="n">
        <v>0</v>
      </c>
      <c r="Y878" s="32" t="n">
        <v>0</v>
      </c>
      <c r="Z878" s="31" t="n">
        <v>0</v>
      </c>
      <c r="AA878" s="32" t="n">
        <v>0</v>
      </c>
      <c r="AB878" s="32" t="n">
        <v>0</v>
      </c>
      <c r="AC878" s="32" t="n">
        <v>0</v>
      </c>
      <c r="AD878" s="32" t="n">
        <v>0</v>
      </c>
      <c r="AE878" s="31" t="n">
        <v>0</v>
      </c>
      <c r="AF878" s="32" t="n">
        <v>1</v>
      </c>
      <c r="AG878" s="31" t="n">
        <v>6</v>
      </c>
      <c r="AH878" s="32" t="n">
        <v>56</v>
      </c>
      <c r="AI878" s="31" t="n">
        <v>58.8</v>
      </c>
      <c r="AJ878" s="31" t="n">
        <v>42.7</v>
      </c>
      <c r="AK878" s="31" t="n">
        <v>11</v>
      </c>
      <c r="AL878" s="30" t="inlineStr">
        <is>
          <t>T-1026</t>
        </is>
      </c>
      <c r="AM878" s="30" t="inlineStr">
        <is>
          <t>I-03-02</t>
        </is>
      </c>
      <c r="AN878" s="30" t="inlineStr">
        <is>
          <t>T-0907</t>
        </is>
      </c>
      <c r="AO878" s="30" t="inlineStr">
        <is>
          <t>I-04-02</t>
        </is>
      </c>
    </row>
    <row r="879">
      <c r="A879" s="30" t="inlineStr">
        <is>
          <t>O0878</t>
        </is>
      </c>
      <c r="B879" s="30" t="inlineStr">
        <is>
          <t>G</t>
        </is>
      </c>
      <c r="C879" s="31" t="n">
        <v>11541.7</v>
      </c>
      <c r="D879" s="31" t="n">
        <v>32104.8</v>
      </c>
      <c r="E879" s="31" t="n">
        <v>32135.3</v>
      </c>
      <c r="F879" s="31" t="n">
        <v>32151.4</v>
      </c>
      <c r="G879" s="31" t="n">
        <v>32178.3</v>
      </c>
      <c r="H879" s="31" t="n">
        <v>32178.4</v>
      </c>
      <c r="I879" s="31" t="n">
        <v>32192.3</v>
      </c>
      <c r="J879" s="31" t="n">
        <v>32219</v>
      </c>
      <c r="K879" s="31" t="n">
        <v>20677.3</v>
      </c>
      <c r="L879" s="31" t="n">
        <v>20563.1</v>
      </c>
      <c r="M879" s="30" t="inlineStr">
        <is>
          <t>AMR3</t>
        </is>
      </c>
      <c r="N879" s="30" t="inlineStr">
        <is>
          <t>AMR3</t>
        </is>
      </c>
      <c r="O879" s="32" t="n">
        <v>1</v>
      </c>
      <c r="P879" s="32" t="n">
        <v>25</v>
      </c>
      <c r="Q879" s="32" t="n">
        <v>0</v>
      </c>
      <c r="R879" s="31" t="n">
        <v>63.9</v>
      </c>
      <c r="S879" s="31" t="n">
        <v>63.9</v>
      </c>
      <c r="T879" s="30" t="inlineStr">
        <is>
          <t>AMR3</t>
        </is>
      </c>
      <c r="U879" s="31" t="n">
        <v>37.8</v>
      </c>
      <c r="V879" s="31" t="n">
        <v>37.8</v>
      </c>
      <c r="W879" s="30" t="inlineStr">
        <is>
          <t>AMR3</t>
        </is>
      </c>
      <c r="X879" s="32" t="n">
        <v>0</v>
      </c>
      <c r="Y879" s="32" t="n">
        <v>0</v>
      </c>
      <c r="Z879" s="31" t="n">
        <v>0</v>
      </c>
      <c r="AA879" s="32" t="n">
        <v>0</v>
      </c>
      <c r="AB879" s="32" t="n">
        <v>0</v>
      </c>
      <c r="AC879" s="32" t="n">
        <v>0</v>
      </c>
      <c r="AD879" s="32" t="n">
        <v>0</v>
      </c>
      <c r="AE879" s="31" t="n">
        <v>0</v>
      </c>
      <c r="AF879" s="32" t="n">
        <v>1</v>
      </c>
      <c r="AG879" s="31" t="n">
        <v>2</v>
      </c>
      <c r="AH879" s="32" t="n">
        <v>60</v>
      </c>
      <c r="AI879" s="31" t="n">
        <v>62</v>
      </c>
      <c r="AJ879" s="31" t="n">
        <v>45.1</v>
      </c>
      <c r="AK879" s="31" t="n">
        <v>7</v>
      </c>
      <c r="AL879" s="30" t="inlineStr">
        <is>
          <t>T-1025</t>
        </is>
      </c>
      <c r="AM879" s="30" t="inlineStr">
        <is>
          <t>G-03-01</t>
        </is>
      </c>
      <c r="AN879" s="30" t="inlineStr">
        <is>
          <t>T-0811</t>
        </is>
      </c>
      <c r="AO879" s="30" t="inlineStr">
        <is>
          <t>G-01-02</t>
        </is>
      </c>
    </row>
    <row r="880">
      <c r="A880" s="30" t="inlineStr">
        <is>
          <t>O0879</t>
        </is>
      </c>
      <c r="B880" s="30" t="inlineStr">
        <is>
          <t>I</t>
        </is>
      </c>
      <c r="C880" s="31" t="n">
        <v>11563.1</v>
      </c>
      <c r="D880" s="31" t="n">
        <v>32457.5</v>
      </c>
      <c r="E880" s="31" t="n">
        <v>32486</v>
      </c>
      <c r="F880" s="31" t="n">
        <v>32500.3</v>
      </c>
      <c r="G880" s="31" t="n">
        <v>32527.1</v>
      </c>
      <c r="H880" s="31" t="n">
        <v>32527.2</v>
      </c>
      <c r="I880" s="31" t="n">
        <v>32537.9</v>
      </c>
      <c r="J880" s="31" t="n">
        <v>32567.9</v>
      </c>
      <c r="K880" s="31" t="n">
        <v>21004.8</v>
      </c>
      <c r="L880" s="31" t="n">
        <v>20894.4</v>
      </c>
      <c r="M880" s="30" t="inlineStr">
        <is>
          <t>AMR2</t>
        </is>
      </c>
      <c r="N880" s="30" t="inlineStr">
        <is>
          <t>AMR2</t>
        </is>
      </c>
      <c r="O880" s="32" t="n">
        <v>1</v>
      </c>
      <c r="P880" s="32" t="n">
        <v>25</v>
      </c>
      <c r="Q880" s="32" t="n">
        <v>1</v>
      </c>
      <c r="R880" s="31" t="n">
        <v>61.2</v>
      </c>
      <c r="S880" s="31" t="n">
        <v>61.2</v>
      </c>
      <c r="T880" s="30" t="inlineStr">
        <is>
          <t>AMR2</t>
        </is>
      </c>
      <c r="U880" s="31" t="n">
        <v>40.3</v>
      </c>
      <c r="V880" s="31" t="n">
        <v>40.3</v>
      </c>
      <c r="W880" s="30" t="inlineStr">
        <is>
          <t>AMR2</t>
        </is>
      </c>
      <c r="X880" s="32" t="n">
        <v>0</v>
      </c>
      <c r="Y880" s="32" t="n">
        <v>0</v>
      </c>
      <c r="Z880" s="31" t="n">
        <v>0</v>
      </c>
      <c r="AA880" s="32" t="n">
        <v>0</v>
      </c>
      <c r="AB880" s="32" t="n">
        <v>0</v>
      </c>
      <c r="AC880" s="32" t="n">
        <v>0</v>
      </c>
      <c r="AD880" s="32" t="n">
        <v>0</v>
      </c>
      <c r="AE880" s="31" t="n">
        <v>0</v>
      </c>
      <c r="AF880" s="32" t="n">
        <v>0</v>
      </c>
      <c r="AG880" s="31" t="n">
        <v>0</v>
      </c>
      <c r="AH880" s="32" t="n">
        <v>56</v>
      </c>
      <c r="AI880" s="31" t="n">
        <v>57.9</v>
      </c>
      <c r="AJ880" s="31" t="n">
        <v>47.4</v>
      </c>
      <c r="AK880" s="31" t="n">
        <v>5</v>
      </c>
      <c r="AL880" s="30" t="inlineStr">
        <is>
          <t>T-1035</t>
        </is>
      </c>
      <c r="AM880" s="30" t="inlineStr">
        <is>
          <t>I-04-02</t>
        </is>
      </c>
      <c r="AN880" s="30" t="inlineStr">
        <is>
          <t>T-0911</t>
        </is>
      </c>
      <c r="AO880" s="30" t="inlineStr">
        <is>
          <t>I-05-02</t>
        </is>
      </c>
    </row>
    <row r="881">
      <c r="A881" s="30" t="inlineStr">
        <is>
          <t>O0880</t>
        </is>
      </c>
      <c r="B881" s="30" t="inlineStr">
        <is>
          <t>B</t>
        </is>
      </c>
      <c r="C881" s="31" t="n">
        <v>11579.6</v>
      </c>
      <c r="D881" s="31" t="n">
        <v>32200</v>
      </c>
      <c r="E881" s="31" t="n">
        <v>32223.5</v>
      </c>
      <c r="F881" s="31" t="n">
        <v>32236.3</v>
      </c>
      <c r="G881" s="31" t="n">
        <v>32259.6</v>
      </c>
      <c r="H881" s="31" t="n">
        <v>32259.7</v>
      </c>
      <c r="I881" s="31" t="n">
        <v>32271.6</v>
      </c>
      <c r="J881" s="31" t="n">
        <v>32301</v>
      </c>
      <c r="K881" s="31" t="n">
        <v>20721.4</v>
      </c>
      <c r="L881" s="31" t="n">
        <v>20620.4</v>
      </c>
      <c r="M881" s="30" t="inlineStr">
        <is>
          <t>AMR1</t>
        </is>
      </c>
      <c r="N881" s="30" t="inlineStr">
        <is>
          <t>AMR1</t>
        </is>
      </c>
      <c r="O881" s="32" t="n">
        <v>1</v>
      </c>
      <c r="P881" s="32" t="n">
        <v>25</v>
      </c>
      <c r="Q881" s="32" t="n">
        <v>1</v>
      </c>
      <c r="R881" s="31" t="n">
        <v>57.7</v>
      </c>
      <c r="S881" s="31" t="n">
        <v>57.7</v>
      </c>
      <c r="T881" s="30" t="inlineStr">
        <is>
          <t>AMR1</t>
        </is>
      </c>
      <c r="U881" s="31" t="n">
        <v>41</v>
      </c>
      <c r="V881" s="31" t="n">
        <v>41</v>
      </c>
      <c r="W881" s="30" t="inlineStr">
        <is>
          <t>AMR1</t>
        </is>
      </c>
      <c r="X881" s="32" t="n">
        <v>0</v>
      </c>
      <c r="Y881" s="32" t="n">
        <v>0</v>
      </c>
      <c r="Z881" s="31" t="n">
        <v>0</v>
      </c>
      <c r="AA881" s="32" t="n">
        <v>0</v>
      </c>
      <c r="AB881" s="32" t="n">
        <v>0</v>
      </c>
      <c r="AC881" s="32" t="n">
        <v>0</v>
      </c>
      <c r="AD881" s="32" t="n">
        <v>0</v>
      </c>
      <c r="AE881" s="31" t="n">
        <v>0</v>
      </c>
      <c r="AF881" s="32" t="n">
        <v>0</v>
      </c>
      <c r="AG881" s="31" t="n">
        <v>0</v>
      </c>
      <c r="AH881" s="32" t="n">
        <v>58</v>
      </c>
      <c r="AI881" s="31" t="n">
        <v>59</v>
      </c>
      <c r="AJ881" s="31" t="n">
        <v>41.9</v>
      </c>
      <c r="AK881" s="31" t="n">
        <v>0</v>
      </c>
      <c r="AL881" s="30" t="inlineStr">
        <is>
          <t>T-1027</t>
        </is>
      </c>
      <c r="AM881" s="30" t="inlineStr">
        <is>
          <t>B-05-02</t>
        </is>
      </c>
      <c r="AN881" s="30" t="inlineStr">
        <is>
          <t>T-0853</t>
        </is>
      </c>
      <c r="AO881" s="30" t="inlineStr">
        <is>
          <t>B-03-01</t>
        </is>
      </c>
    </row>
    <row r="882">
      <c r="A882" s="30" t="inlineStr">
        <is>
          <t>O0881</t>
        </is>
      </c>
      <c r="B882" s="30" t="inlineStr">
        <is>
          <t>D</t>
        </is>
      </c>
      <c r="C882" s="31" t="n">
        <v>11595.4</v>
      </c>
      <c r="D882" s="31" t="n">
        <v>32219.1</v>
      </c>
      <c r="E882" s="31" t="n">
        <v>32247.6</v>
      </c>
      <c r="F882" s="31" t="n">
        <v>32259.1</v>
      </c>
      <c r="G882" s="31" t="n">
        <v>32286.6</v>
      </c>
      <c r="H882" s="31" t="n">
        <v>32286.7</v>
      </c>
      <c r="I882" s="31" t="n">
        <v>32297.8</v>
      </c>
      <c r="J882" s="31" t="n">
        <v>32327.4</v>
      </c>
      <c r="K882" s="31" t="n">
        <v>20732</v>
      </c>
      <c r="L882" s="31" t="n">
        <v>20623.7</v>
      </c>
      <c r="M882" s="30" t="inlineStr">
        <is>
          <t>AMR3</t>
        </is>
      </c>
      <c r="N882" s="30" t="inlineStr">
        <is>
          <t>AMR3</t>
        </is>
      </c>
      <c r="O882" s="32" t="n">
        <v>1</v>
      </c>
      <c r="P882" s="32" t="n">
        <v>25</v>
      </c>
      <c r="Q882" s="32" t="n">
        <v>2</v>
      </c>
      <c r="R882" s="31" t="n">
        <v>58.2</v>
      </c>
      <c r="S882" s="31" t="n">
        <v>58.2</v>
      </c>
      <c r="T882" s="30" t="inlineStr">
        <is>
          <t>AMR3</t>
        </is>
      </c>
      <c r="U882" s="31" t="n">
        <v>40.2</v>
      </c>
      <c r="V882" s="31" t="n">
        <v>40.2</v>
      </c>
      <c r="W882" s="30" t="inlineStr">
        <is>
          <t>AMR3</t>
        </is>
      </c>
      <c r="X882" s="32" t="n">
        <v>0</v>
      </c>
      <c r="Y882" s="32" t="n">
        <v>0</v>
      </c>
      <c r="Z882" s="31" t="n">
        <v>0</v>
      </c>
      <c r="AA882" s="32" t="n">
        <v>0</v>
      </c>
      <c r="AB882" s="32" t="n">
        <v>0</v>
      </c>
      <c r="AC882" s="32" t="n">
        <v>0</v>
      </c>
      <c r="AD882" s="32" t="n">
        <v>0</v>
      </c>
      <c r="AE882" s="31" t="n">
        <v>0</v>
      </c>
      <c r="AF882" s="32" t="n">
        <v>0</v>
      </c>
      <c r="AG882" s="31" t="n">
        <v>0</v>
      </c>
      <c r="AH882" s="32" t="n">
        <v>58</v>
      </c>
      <c r="AI882" s="31" t="n">
        <v>59.1</v>
      </c>
      <c r="AJ882" s="31" t="n">
        <v>44.1</v>
      </c>
      <c r="AK882" s="31" t="n">
        <v>5</v>
      </c>
      <c r="AL882" s="30" t="inlineStr">
        <is>
          <t>T-1028</t>
        </is>
      </c>
      <c r="AM882" s="30" t="inlineStr">
        <is>
          <t>D-06-01</t>
        </is>
      </c>
      <c r="AN882" s="30" t="inlineStr">
        <is>
          <t>T-0928</t>
        </is>
      </c>
      <c r="AO882" s="30" t="inlineStr">
        <is>
          <t>D-05-01</t>
        </is>
      </c>
    </row>
    <row r="883">
      <c r="A883" s="30" t="inlineStr">
        <is>
          <t>O0882</t>
        </is>
      </c>
      <c r="B883" s="30" t="inlineStr">
        <is>
          <t>G</t>
        </is>
      </c>
      <c r="C883" s="31" t="n">
        <v>11615.8</v>
      </c>
      <c r="D883" s="31" t="n">
        <v>32237.2</v>
      </c>
      <c r="E883" s="31" t="n">
        <v>32271.7</v>
      </c>
      <c r="F883" s="31" t="n">
        <v>32284.7</v>
      </c>
      <c r="G883" s="31" t="n">
        <v>32312.6</v>
      </c>
      <c r="H883" s="31" t="n">
        <v>32774.5</v>
      </c>
      <c r="I883" s="31" t="n">
        <v>32803</v>
      </c>
      <c r="J883" s="31" t="n">
        <v>32832.4</v>
      </c>
      <c r="K883" s="31" t="n">
        <v>21216.6</v>
      </c>
      <c r="L883" s="31" t="n">
        <v>20621.4</v>
      </c>
      <c r="M883" s="30" t="inlineStr">
        <is>
          <t>AMR2</t>
        </is>
      </c>
      <c r="N883" s="30" t="inlineStr">
        <is>
          <t>AMR3</t>
        </is>
      </c>
      <c r="O883" s="32" t="n">
        <v>1</v>
      </c>
      <c r="P883" s="32" t="n">
        <v>25</v>
      </c>
      <c r="Q883" s="32" t="n">
        <v>16</v>
      </c>
      <c r="R883" s="31" t="n">
        <v>61</v>
      </c>
      <c r="S883" s="31" t="n">
        <v>61</v>
      </c>
      <c r="T883" s="30" t="inlineStr">
        <is>
          <t>AMR2</t>
        </is>
      </c>
      <c r="U883" s="31" t="n">
        <v>56.6</v>
      </c>
      <c r="V883" s="31" t="n">
        <v>56.6</v>
      </c>
      <c r="W883" s="30" t="inlineStr">
        <is>
          <t>AMR3</t>
        </is>
      </c>
      <c r="X883" s="32" t="n">
        <v>0</v>
      </c>
      <c r="Y883" s="32" t="n">
        <v>0</v>
      </c>
      <c r="Z883" s="31" t="n">
        <v>0</v>
      </c>
      <c r="AA883" s="32" t="n">
        <v>0</v>
      </c>
      <c r="AB883" s="32" t="n">
        <v>0</v>
      </c>
      <c r="AC883" s="32" t="n">
        <v>0</v>
      </c>
      <c r="AD883" s="32" t="n">
        <v>0</v>
      </c>
      <c r="AE883" s="31" t="n">
        <v>0</v>
      </c>
      <c r="AF883" s="32" t="n">
        <v>1</v>
      </c>
      <c r="AG883" s="31" t="n">
        <v>6</v>
      </c>
      <c r="AH883" s="32" t="n">
        <v>75</v>
      </c>
      <c r="AI883" s="31" t="n">
        <v>75.7</v>
      </c>
      <c r="AJ883" s="31" t="n">
        <v>46.6</v>
      </c>
      <c r="AK883" s="31" t="n">
        <v>11</v>
      </c>
      <c r="AL883" s="30" t="inlineStr">
        <is>
          <t>T-1029</t>
        </is>
      </c>
      <c r="AM883" s="30" t="inlineStr">
        <is>
          <t>G-01-02</t>
        </is>
      </c>
      <c r="AN883" s="30" t="inlineStr">
        <is>
          <t>T-0856</t>
        </is>
      </c>
      <c r="AO883" s="30" t="inlineStr">
        <is>
          <t>G-03-02</t>
        </is>
      </c>
    </row>
    <row r="884">
      <c r="A884" s="30" t="inlineStr">
        <is>
          <t>O0883</t>
        </is>
      </c>
      <c r="B884" s="30" t="inlineStr">
        <is>
          <t>B</t>
        </is>
      </c>
      <c r="C884" s="31" t="n">
        <v>11637.1</v>
      </c>
      <c r="D884" s="31" t="n">
        <v>32301.1</v>
      </c>
      <c r="E884" s="31" t="n">
        <v>32324.6</v>
      </c>
      <c r="F884" s="31" t="n">
        <v>32339.5</v>
      </c>
      <c r="G884" s="31" t="n">
        <v>32362.3</v>
      </c>
      <c r="H884" s="31" t="n">
        <v>32362.4</v>
      </c>
      <c r="I884" s="31" t="n">
        <v>32376.7</v>
      </c>
      <c r="J884" s="31" t="n">
        <v>32405.5</v>
      </c>
      <c r="K884" s="31" t="n">
        <v>20768.4</v>
      </c>
      <c r="L884" s="31" t="n">
        <v>20664</v>
      </c>
      <c r="M884" s="30" t="inlineStr">
        <is>
          <t>AMR1</t>
        </is>
      </c>
      <c r="N884" s="30" t="inlineStr">
        <is>
          <t>AMR1</t>
        </is>
      </c>
      <c r="O884" s="32" t="n">
        <v>1</v>
      </c>
      <c r="P884" s="32" t="n">
        <v>25</v>
      </c>
      <c r="Q884" s="32" t="n">
        <v>0</v>
      </c>
      <c r="R884" s="31" t="n">
        <v>58.5</v>
      </c>
      <c r="S884" s="31" t="n">
        <v>58.5</v>
      </c>
      <c r="T884" s="30" t="inlineStr">
        <is>
          <t>AMR1</t>
        </is>
      </c>
      <c r="U884" s="31" t="n">
        <v>42.9</v>
      </c>
      <c r="V884" s="31" t="n">
        <v>42.9</v>
      </c>
      <c r="W884" s="30" t="inlineStr">
        <is>
          <t>AMR1</t>
        </is>
      </c>
      <c r="X884" s="32" t="n">
        <v>0</v>
      </c>
      <c r="Y884" s="32" t="n">
        <v>0</v>
      </c>
      <c r="Z884" s="31" t="n">
        <v>0</v>
      </c>
      <c r="AA884" s="32" t="n">
        <v>0</v>
      </c>
      <c r="AB884" s="32" t="n">
        <v>0</v>
      </c>
      <c r="AC884" s="32" t="n">
        <v>0</v>
      </c>
      <c r="AD884" s="32" t="n">
        <v>0</v>
      </c>
      <c r="AE884" s="31" t="n">
        <v>0</v>
      </c>
      <c r="AF884" s="32" t="n">
        <v>0</v>
      </c>
      <c r="AG884" s="31" t="n">
        <v>0</v>
      </c>
      <c r="AH884" s="32" t="n">
        <v>58</v>
      </c>
      <c r="AI884" s="31" t="n">
        <v>59</v>
      </c>
      <c r="AJ884" s="31" t="n">
        <v>45.3</v>
      </c>
      <c r="AK884" s="31" t="n">
        <v>0</v>
      </c>
      <c r="AL884" s="30" t="inlineStr">
        <is>
          <t>T-1030</t>
        </is>
      </c>
      <c r="AM884" s="30" t="inlineStr">
        <is>
          <t>B-03-01</t>
        </is>
      </c>
      <c r="AN884" s="30" t="inlineStr">
        <is>
          <t>T-0891</t>
        </is>
      </c>
      <c r="AO884" s="30" t="inlineStr">
        <is>
          <t>B-06-02</t>
        </is>
      </c>
    </row>
    <row r="885">
      <c r="A885" s="30" t="inlineStr">
        <is>
          <t>O0884</t>
        </is>
      </c>
      <c r="B885" s="30" t="inlineStr">
        <is>
          <t>D</t>
        </is>
      </c>
      <c r="C885" s="31" t="n">
        <v>11659.1</v>
      </c>
      <c r="D885" s="31" t="n">
        <v>32327.5</v>
      </c>
      <c r="E885" s="31" t="n">
        <v>32351</v>
      </c>
      <c r="F885" s="31" t="n">
        <v>32366.6</v>
      </c>
      <c r="G885" s="31" t="n">
        <v>32392.6</v>
      </c>
      <c r="H885" s="31" t="n">
        <v>32392.7</v>
      </c>
      <c r="I885" s="31" t="n">
        <v>32408</v>
      </c>
      <c r="J885" s="31" t="n">
        <v>32438.4</v>
      </c>
      <c r="K885" s="31" t="n">
        <v>20779.3</v>
      </c>
      <c r="L885" s="31" t="n">
        <v>20668.4</v>
      </c>
      <c r="M885" s="30" t="inlineStr">
        <is>
          <t>AMR3</t>
        </is>
      </c>
      <c r="N885" s="30" t="inlineStr">
        <is>
          <t>AMR3</t>
        </is>
      </c>
      <c r="O885" s="32" t="n">
        <v>1</v>
      </c>
      <c r="P885" s="32" t="n">
        <v>25</v>
      </c>
      <c r="Q885" s="32" t="n">
        <v>1</v>
      </c>
      <c r="R885" s="31" t="n">
        <v>61.6</v>
      </c>
      <c r="S885" s="31" t="n">
        <v>61.6</v>
      </c>
      <c r="T885" s="30" t="inlineStr">
        <is>
          <t>AMR3</t>
        </is>
      </c>
      <c r="U885" s="31" t="n">
        <v>44.9</v>
      </c>
      <c r="V885" s="31" t="n">
        <v>44.9</v>
      </c>
      <c r="W885" s="30" t="inlineStr">
        <is>
          <t>AMR3</t>
        </is>
      </c>
      <c r="X885" s="32" t="n">
        <v>0</v>
      </c>
      <c r="Y885" s="32" t="n">
        <v>0</v>
      </c>
      <c r="Z885" s="31" t="n">
        <v>0</v>
      </c>
      <c r="AA885" s="32" t="n">
        <v>0</v>
      </c>
      <c r="AB885" s="32" t="n">
        <v>0</v>
      </c>
      <c r="AC885" s="32" t="n">
        <v>0</v>
      </c>
      <c r="AD885" s="32" t="n">
        <v>0</v>
      </c>
      <c r="AE885" s="31" t="n">
        <v>0</v>
      </c>
      <c r="AF885" s="32" t="n">
        <v>0</v>
      </c>
      <c r="AG885" s="31" t="n">
        <v>0</v>
      </c>
      <c r="AH885" s="32" t="n">
        <v>56</v>
      </c>
      <c r="AI885" s="31" t="n">
        <v>57.9</v>
      </c>
      <c r="AJ885" s="31" t="n">
        <v>52.9</v>
      </c>
      <c r="AK885" s="31" t="n">
        <v>0</v>
      </c>
      <c r="AL885" s="30" t="inlineStr">
        <is>
          <t>T-1031</t>
        </is>
      </c>
      <c r="AM885" s="30" t="inlineStr">
        <is>
          <t>D-05-01</t>
        </is>
      </c>
      <c r="AN885" s="30" t="inlineStr">
        <is>
          <t>T-0934</t>
        </is>
      </c>
      <c r="AO885" s="30" t="inlineStr">
        <is>
          <t>D-02-01</t>
        </is>
      </c>
    </row>
    <row r="886">
      <c r="A886" s="30" t="inlineStr">
        <is>
          <t>O0885</t>
        </is>
      </c>
      <c r="B886" s="30" t="inlineStr">
        <is>
          <t>G</t>
        </is>
      </c>
      <c r="C886" s="31" t="n">
        <v>11676.5</v>
      </c>
      <c r="D886" s="31" t="n">
        <v>32357.9</v>
      </c>
      <c r="E886" s="31" t="n">
        <v>32381.4</v>
      </c>
      <c r="F886" s="31" t="n">
        <v>32393.7</v>
      </c>
      <c r="G886" s="31" t="n">
        <v>32421.1</v>
      </c>
      <c r="H886" s="31" t="n">
        <v>32421.2</v>
      </c>
      <c r="I886" s="31" t="n">
        <v>32432</v>
      </c>
      <c r="J886" s="31" t="n">
        <v>32457.4</v>
      </c>
      <c r="K886" s="31" t="n">
        <v>20780.9</v>
      </c>
      <c r="L886" s="31" t="n">
        <v>20681.4</v>
      </c>
      <c r="M886" s="30" t="inlineStr">
        <is>
          <t>AMR2</t>
        </is>
      </c>
      <c r="N886" s="30" t="inlineStr">
        <is>
          <t>AMR2</t>
        </is>
      </c>
      <c r="O886" s="32" t="n">
        <v>1</v>
      </c>
      <c r="P886" s="32" t="n">
        <v>25</v>
      </c>
      <c r="Q886" s="32" t="n">
        <v>0</v>
      </c>
      <c r="R886" s="31" t="n">
        <v>60.6</v>
      </c>
      <c r="S886" s="31" t="n">
        <v>56.9</v>
      </c>
      <c r="T886" s="30" t="inlineStr">
        <is>
          <t>AMR1</t>
        </is>
      </c>
      <c r="U886" s="31" t="n">
        <v>35.9</v>
      </c>
      <c r="V886" s="31" t="n">
        <v>35.9</v>
      </c>
      <c r="W886" s="30" t="inlineStr">
        <is>
          <t>AMR2</t>
        </is>
      </c>
      <c r="X886" s="32" t="n">
        <v>1</v>
      </c>
      <c r="Y886" s="32" t="n">
        <v>10</v>
      </c>
      <c r="Z886" s="31" t="n">
        <v>3.7</v>
      </c>
      <c r="AA886" s="32" t="n">
        <v>0</v>
      </c>
      <c r="AB886" s="32" t="n">
        <v>0</v>
      </c>
      <c r="AC886" s="32" t="n">
        <v>0</v>
      </c>
      <c r="AD886" s="32" t="n">
        <v>0</v>
      </c>
      <c r="AE886" s="31" t="n">
        <v>0</v>
      </c>
      <c r="AF886" s="32" t="n">
        <v>0</v>
      </c>
      <c r="AG886" s="31" t="n">
        <v>0</v>
      </c>
      <c r="AH886" s="32" t="n">
        <v>58</v>
      </c>
      <c r="AI886" s="31" t="n">
        <v>59.5</v>
      </c>
      <c r="AJ886" s="31" t="n">
        <v>39.9</v>
      </c>
      <c r="AK886" s="31" t="n">
        <v>0</v>
      </c>
      <c r="AL886" s="30" t="inlineStr">
        <is>
          <t>T-1032</t>
        </is>
      </c>
      <c r="AM886" s="30" t="inlineStr">
        <is>
          <t>G-03-03</t>
        </is>
      </c>
      <c r="AN886" s="30" t="inlineStr">
        <is>
          <t>T-0827</t>
        </is>
      </c>
      <c r="AO886" s="30" t="inlineStr">
        <is>
          <t>G-04-01</t>
        </is>
      </c>
    </row>
    <row r="887">
      <c r="A887" s="30" t="inlineStr">
        <is>
          <t>O0886</t>
        </is>
      </c>
      <c r="B887" s="30" t="inlineStr">
        <is>
          <t>J</t>
        </is>
      </c>
      <c r="C887" s="31" t="n">
        <v>11696.1</v>
      </c>
      <c r="D887" s="31" t="n">
        <v>32405.6</v>
      </c>
      <c r="E887" s="31" t="n">
        <v>32429.1</v>
      </c>
      <c r="F887" s="31" t="n">
        <v>32442.6</v>
      </c>
      <c r="G887" s="31" t="n">
        <v>32475</v>
      </c>
      <c r="H887" s="31" t="n">
        <v>32475.1</v>
      </c>
      <c r="I887" s="31" t="n">
        <v>32491.3</v>
      </c>
      <c r="J887" s="31" t="n">
        <v>32522</v>
      </c>
      <c r="K887" s="31" t="n">
        <v>20825.9</v>
      </c>
      <c r="L887" s="31" t="n">
        <v>20709.5</v>
      </c>
      <c r="M887" s="30" t="inlineStr">
        <is>
          <t>AMR1</t>
        </is>
      </c>
      <c r="N887" s="30" t="inlineStr">
        <is>
          <t>AMR1</t>
        </is>
      </c>
      <c r="O887" s="32" t="n">
        <v>1</v>
      </c>
      <c r="P887" s="32" t="n">
        <v>25</v>
      </c>
      <c r="Q887" s="32" t="n">
        <v>2</v>
      </c>
      <c r="R887" s="31" t="n">
        <v>65.2</v>
      </c>
      <c r="S887" s="31" t="n">
        <v>65.2</v>
      </c>
      <c r="T887" s="30" t="inlineStr">
        <is>
          <t>AMR1</t>
        </is>
      </c>
      <c r="U887" s="31" t="n">
        <v>47.6</v>
      </c>
      <c r="V887" s="31" t="n">
        <v>47.6</v>
      </c>
      <c r="W887" s="30" t="inlineStr">
        <is>
          <t>AMR1</t>
        </is>
      </c>
      <c r="X887" s="32" t="n">
        <v>0</v>
      </c>
      <c r="Y887" s="32" t="n">
        <v>0</v>
      </c>
      <c r="Z887" s="31" t="n">
        <v>0</v>
      </c>
      <c r="AA887" s="32" t="n">
        <v>0</v>
      </c>
      <c r="AB887" s="32" t="n">
        <v>0</v>
      </c>
      <c r="AC887" s="32" t="n">
        <v>0</v>
      </c>
      <c r="AD887" s="32" t="n">
        <v>0</v>
      </c>
      <c r="AE887" s="31" t="n">
        <v>0</v>
      </c>
      <c r="AF887" s="32" t="n">
        <v>0</v>
      </c>
      <c r="AG887" s="31" t="n">
        <v>0</v>
      </c>
      <c r="AH887" s="32" t="n">
        <v>70</v>
      </c>
      <c r="AI887" s="31" t="n">
        <v>68.90000000000001</v>
      </c>
      <c r="AJ887" s="31" t="n">
        <v>47.4</v>
      </c>
      <c r="AK887" s="31" t="n">
        <v>0</v>
      </c>
      <c r="AL887" s="30" t="inlineStr">
        <is>
          <t>T-1033</t>
        </is>
      </c>
      <c r="AM887" s="30" t="inlineStr">
        <is>
          <t>J-06-02</t>
        </is>
      </c>
      <c r="AN887" s="30" t="inlineStr">
        <is>
          <t>T-0852</t>
        </is>
      </c>
      <c r="AO887" s="30" t="inlineStr">
        <is>
          <t>J-01-03</t>
        </is>
      </c>
    </row>
    <row r="888">
      <c r="A888" s="30" t="inlineStr">
        <is>
          <t>O0887</t>
        </is>
      </c>
      <c r="B888" s="30" t="inlineStr">
        <is>
          <t>C</t>
        </is>
      </c>
      <c r="C888" s="31" t="n">
        <v>11714.2</v>
      </c>
      <c r="D888" s="31" t="n">
        <v>32438.5</v>
      </c>
      <c r="E888" s="31" t="n">
        <v>32462</v>
      </c>
      <c r="F888" s="31" t="n">
        <v>32476.5</v>
      </c>
      <c r="G888" s="31" t="n">
        <v>32496.6</v>
      </c>
      <c r="H888" s="31" t="n">
        <v>32997</v>
      </c>
      <c r="I888" s="31" t="n">
        <v>33010.6</v>
      </c>
      <c r="J888" s="31" t="n">
        <v>33055</v>
      </c>
      <c r="K888" s="31" t="n">
        <v>21340.8</v>
      </c>
      <c r="L888" s="31" t="n">
        <v>20724.3</v>
      </c>
      <c r="M888" s="30" t="inlineStr">
        <is>
          <t>AMR3</t>
        </is>
      </c>
      <c r="N888" s="30" t="inlineStr">
        <is>
          <t>AMR3</t>
        </is>
      </c>
      <c r="O888" s="32" t="n">
        <v>1</v>
      </c>
      <c r="P888" s="32" t="n">
        <v>25</v>
      </c>
      <c r="Q888" s="32" t="n">
        <v>1</v>
      </c>
      <c r="R888" s="31" t="n">
        <v>55.4</v>
      </c>
      <c r="S888" s="31" t="n">
        <v>55.4</v>
      </c>
      <c r="T888" s="30" t="inlineStr">
        <is>
          <t>AMR3</t>
        </is>
      </c>
      <c r="U888" s="31" t="n">
        <v>42.6</v>
      </c>
      <c r="V888" s="31" t="n">
        <v>42.6</v>
      </c>
      <c r="W888" s="30" t="inlineStr">
        <is>
          <t>AMR3</t>
        </is>
      </c>
      <c r="X888" s="32" t="n">
        <v>0</v>
      </c>
      <c r="Y888" s="32" t="n">
        <v>0</v>
      </c>
      <c r="Z888" s="31" t="n">
        <v>0</v>
      </c>
      <c r="AA888" s="32" t="n">
        <v>0</v>
      </c>
      <c r="AB888" s="32" t="n">
        <v>0</v>
      </c>
      <c r="AC888" s="32" t="n">
        <v>0</v>
      </c>
      <c r="AD888" s="32" t="n">
        <v>2</v>
      </c>
      <c r="AE888" s="31" t="n">
        <v>15.6</v>
      </c>
      <c r="AF888" s="32" t="n">
        <v>2</v>
      </c>
      <c r="AG888" s="31" t="n">
        <v>5.6</v>
      </c>
      <c r="AH888" s="32" t="n">
        <v>55</v>
      </c>
      <c r="AI888" s="31" t="n">
        <v>55.6</v>
      </c>
      <c r="AJ888" s="31" t="n">
        <v>44.9</v>
      </c>
      <c r="AK888" s="31" t="n">
        <v>15.6</v>
      </c>
      <c r="AL888" s="30" t="inlineStr">
        <is>
          <t>T-1034</t>
        </is>
      </c>
      <c r="AM888" s="30" t="inlineStr">
        <is>
          <t>C-03-02</t>
        </is>
      </c>
      <c r="AN888" s="30" t="inlineStr">
        <is>
          <t>T-0923</t>
        </is>
      </c>
      <c r="AO888" s="30" t="inlineStr">
        <is>
          <t>C-01-03</t>
        </is>
      </c>
    </row>
    <row r="889">
      <c r="A889" s="30" t="inlineStr">
        <is>
          <t>O0888</t>
        </is>
      </c>
      <c r="B889" s="30" t="inlineStr">
        <is>
          <t>C</t>
        </is>
      </c>
      <c r="C889" s="31" t="n">
        <v>11729.3</v>
      </c>
      <c r="D889" s="31" t="n">
        <v>32568</v>
      </c>
      <c r="E889" s="31" t="n">
        <v>32593.5</v>
      </c>
      <c r="F889" s="31" t="n">
        <v>32607.6</v>
      </c>
      <c r="G889" s="31" t="n">
        <v>32627.5</v>
      </c>
      <c r="H889" s="31" t="n">
        <v>32627.6</v>
      </c>
      <c r="I889" s="31" t="n">
        <v>32638</v>
      </c>
      <c r="J889" s="31" t="n">
        <v>32681.1</v>
      </c>
      <c r="K889" s="31" t="n">
        <v>20951.8</v>
      </c>
      <c r="L889" s="31" t="n">
        <v>20838.7</v>
      </c>
      <c r="M889" s="30" t="inlineStr">
        <is>
          <t>AMR2</t>
        </is>
      </c>
      <c r="N889" s="30" t="inlineStr">
        <is>
          <t>AMR2</t>
        </is>
      </c>
      <c r="O889" s="32" t="n">
        <v>1</v>
      </c>
      <c r="P889" s="32" t="n">
        <v>25</v>
      </c>
      <c r="Q889" s="32" t="n">
        <v>1</v>
      </c>
      <c r="R889" s="31" t="n">
        <v>55.6</v>
      </c>
      <c r="S889" s="31" t="n">
        <v>55.6</v>
      </c>
      <c r="T889" s="30" t="inlineStr">
        <is>
          <t>AMR2</t>
        </is>
      </c>
      <c r="U889" s="31" t="n">
        <v>39.7</v>
      </c>
      <c r="V889" s="31" t="n">
        <v>39.7</v>
      </c>
      <c r="W889" s="30" t="inlineStr">
        <is>
          <t>AMR2</t>
        </is>
      </c>
      <c r="X889" s="32" t="n">
        <v>0</v>
      </c>
      <c r="Y889" s="32" t="n">
        <v>0</v>
      </c>
      <c r="Z889" s="31" t="n">
        <v>0</v>
      </c>
      <c r="AA889" s="32" t="n">
        <v>0</v>
      </c>
      <c r="AB889" s="32" t="n">
        <v>0</v>
      </c>
      <c r="AC889" s="32" t="n">
        <v>0</v>
      </c>
      <c r="AD889" s="32" t="n">
        <v>1</v>
      </c>
      <c r="AE889" s="31" t="n">
        <v>13.7</v>
      </c>
      <c r="AF889" s="32" t="n">
        <v>1</v>
      </c>
      <c r="AG889" s="31" t="n">
        <v>8.699999999999999</v>
      </c>
      <c r="AH889" s="32" t="n">
        <v>52</v>
      </c>
      <c r="AI889" s="31" t="n">
        <v>55.1</v>
      </c>
      <c r="AJ889" s="31" t="n">
        <v>42.2</v>
      </c>
      <c r="AK889" s="31" t="n">
        <v>15.7</v>
      </c>
      <c r="AL889" s="30" t="inlineStr">
        <is>
          <t>T-1038</t>
        </is>
      </c>
      <c r="AM889" s="30" t="inlineStr">
        <is>
          <t>C-04-02</t>
        </is>
      </c>
      <c r="AN889" s="30" t="inlineStr">
        <is>
          <t>T-0914</t>
        </is>
      </c>
      <c r="AO889" s="30" t="inlineStr">
        <is>
          <t>C-06-02</t>
        </is>
      </c>
    </row>
    <row r="890">
      <c r="A890" s="30" t="inlineStr">
        <is>
          <t>O0889</t>
        </is>
      </c>
      <c r="B890" s="30" t="inlineStr">
        <is>
          <t>H</t>
        </is>
      </c>
      <c r="C890" s="31" t="n">
        <v>11744.4</v>
      </c>
      <c r="D890" s="31" t="n">
        <v>32832.5</v>
      </c>
      <c r="E890" s="31" t="n">
        <v>32856</v>
      </c>
      <c r="F890" s="31" t="n">
        <v>32871.5</v>
      </c>
      <c r="G890" s="31" t="n">
        <v>32896.8</v>
      </c>
      <c r="H890" s="31" t="n">
        <v>32896.9</v>
      </c>
      <c r="I890" s="31" t="n">
        <v>32909.7</v>
      </c>
      <c r="J890" s="31" t="n">
        <v>32932.3</v>
      </c>
      <c r="K890" s="31" t="n">
        <v>21187.9</v>
      </c>
      <c r="L890" s="31" t="n">
        <v>21088.1</v>
      </c>
      <c r="M890" s="30" t="inlineStr">
        <is>
          <t>AMR3</t>
        </is>
      </c>
      <c r="N890" s="30" t="inlineStr">
        <is>
          <t>AMR3</t>
        </is>
      </c>
      <c r="O890" s="32" t="n">
        <v>1</v>
      </c>
      <c r="P890" s="32" t="n">
        <v>25</v>
      </c>
      <c r="Q890" s="32" t="n">
        <v>1</v>
      </c>
      <c r="R890" s="31" t="n">
        <v>62.5</v>
      </c>
      <c r="S890" s="31" t="n">
        <v>62.5</v>
      </c>
      <c r="T890" s="30" t="inlineStr">
        <is>
          <t>AMR3</t>
        </is>
      </c>
      <c r="U890" s="31" t="n">
        <v>34.6</v>
      </c>
      <c r="V890" s="31" t="n">
        <v>34.6</v>
      </c>
      <c r="W890" s="30" t="inlineStr">
        <is>
          <t>AMR3</t>
        </is>
      </c>
      <c r="X890" s="32" t="n">
        <v>0</v>
      </c>
      <c r="Y890" s="32" t="n">
        <v>0</v>
      </c>
      <c r="Z890" s="31" t="n">
        <v>0</v>
      </c>
      <c r="AA890" s="32" t="n">
        <v>0</v>
      </c>
      <c r="AB890" s="32" t="n">
        <v>0</v>
      </c>
      <c r="AC890" s="32" t="n">
        <v>0</v>
      </c>
      <c r="AD890" s="32" t="n">
        <v>0</v>
      </c>
      <c r="AE890" s="31" t="n">
        <v>0</v>
      </c>
      <c r="AF890" s="32" t="n">
        <v>0</v>
      </c>
      <c r="AG890" s="31" t="n">
        <v>0</v>
      </c>
      <c r="AH890" s="32" t="n">
        <v>54</v>
      </c>
      <c r="AI890" s="31" t="n">
        <v>56.2</v>
      </c>
      <c r="AJ890" s="31" t="n">
        <v>43.5</v>
      </c>
      <c r="AK890" s="31" t="n">
        <v>0</v>
      </c>
      <c r="AL890" s="30" t="inlineStr">
        <is>
          <t>T-1044</t>
        </is>
      </c>
      <c r="AM890" s="30" t="inlineStr">
        <is>
          <t>H-05-01</t>
        </is>
      </c>
      <c r="AN890" s="30" t="inlineStr">
        <is>
          <t>T-0877</t>
        </is>
      </c>
      <c r="AO890" s="30" t="inlineStr">
        <is>
          <t>H-02-02</t>
        </is>
      </c>
    </row>
    <row r="891">
      <c r="A891" s="30" t="inlineStr">
        <is>
          <t>O0890</t>
        </is>
      </c>
      <c r="B891" s="30" t="inlineStr">
        <is>
          <t>E</t>
        </is>
      </c>
      <c r="C891" s="31" t="n">
        <v>11764.6</v>
      </c>
      <c r="D891" s="31" t="n">
        <v>32540.7</v>
      </c>
      <c r="E891" s="31" t="n">
        <v>32569.2</v>
      </c>
      <c r="F891" s="31" t="n">
        <v>32580.6</v>
      </c>
      <c r="G891" s="31" t="n">
        <v>32610.2</v>
      </c>
      <c r="H891" s="31" t="n">
        <v>34579</v>
      </c>
      <c r="I891" s="31" t="n">
        <v>34591.7</v>
      </c>
      <c r="J891" s="31" t="n">
        <v>34628.5</v>
      </c>
      <c r="K891" s="31" t="n">
        <v>22863.9</v>
      </c>
      <c r="L891" s="31" t="n">
        <v>20776.1</v>
      </c>
      <c r="M891" s="30" t="inlineStr">
        <is>
          <t>AMR3</t>
        </is>
      </c>
      <c r="N891" s="30" t="inlineStr">
        <is>
          <t>AMR1</t>
        </is>
      </c>
      <c r="O891" s="32" t="n">
        <v>1</v>
      </c>
      <c r="P891" s="32" t="n">
        <v>25</v>
      </c>
      <c r="Q891" s="32" t="n">
        <v>1</v>
      </c>
      <c r="R891" s="31" t="n">
        <v>61.8</v>
      </c>
      <c r="S891" s="31" t="n">
        <v>61.8</v>
      </c>
      <c r="T891" s="30" t="inlineStr">
        <is>
          <t>AMR3</t>
        </is>
      </c>
      <c r="U891" s="31" t="n">
        <v>48.7</v>
      </c>
      <c r="V891" s="31" t="n">
        <v>48.7</v>
      </c>
      <c r="W891" s="30" t="inlineStr">
        <is>
          <t>AMR1</t>
        </is>
      </c>
      <c r="X891" s="32" t="n">
        <v>0</v>
      </c>
      <c r="Y891" s="32" t="n">
        <v>0</v>
      </c>
      <c r="Z891" s="31" t="n">
        <v>0</v>
      </c>
      <c r="AA891" s="32" t="n">
        <v>0</v>
      </c>
      <c r="AB891" s="32" t="n">
        <v>0</v>
      </c>
      <c r="AC891" s="32" t="n">
        <v>0</v>
      </c>
      <c r="AD891" s="32" t="n">
        <v>0</v>
      </c>
      <c r="AE891" s="31" t="n">
        <v>0</v>
      </c>
      <c r="AF891" s="32" t="n">
        <v>0</v>
      </c>
      <c r="AG891" s="31" t="n">
        <v>0</v>
      </c>
      <c r="AH891" s="32" t="n">
        <v>69</v>
      </c>
      <c r="AI891" s="31" t="n">
        <v>67.7</v>
      </c>
      <c r="AJ891" s="31" t="n">
        <v>46.3</v>
      </c>
      <c r="AK891" s="31" t="n">
        <v>5</v>
      </c>
      <c r="AL891" s="30" t="inlineStr">
        <is>
          <t>T-1037</t>
        </is>
      </c>
      <c r="AM891" s="30" t="inlineStr">
        <is>
          <t>E-03-02</t>
        </is>
      </c>
      <c r="AN891" s="30" t="inlineStr">
        <is>
          <t>T-0912</t>
        </is>
      </c>
      <c r="AO891" s="30" t="inlineStr">
        <is>
          <t>E-04-02</t>
        </is>
      </c>
    </row>
    <row r="892">
      <c r="A892" s="30" t="inlineStr">
        <is>
          <t>O0891</t>
        </is>
      </c>
      <c r="B892" s="30" t="inlineStr">
        <is>
          <t>E</t>
        </is>
      </c>
      <c r="C892" s="31" t="n">
        <v>11783.4</v>
      </c>
      <c r="D892" s="31" t="n">
        <v>32640</v>
      </c>
      <c r="E892" s="31" t="n">
        <v>32663.5</v>
      </c>
      <c r="F892" s="31" t="n">
        <v>32676.7</v>
      </c>
      <c r="G892" s="31" t="n">
        <v>32703.9</v>
      </c>
      <c r="H892" s="31" t="n">
        <v>32704</v>
      </c>
      <c r="I892" s="31" t="n">
        <v>32713.7</v>
      </c>
      <c r="J892" s="31" t="n">
        <v>32745.1</v>
      </c>
      <c r="K892" s="31" t="n">
        <v>20961.7</v>
      </c>
      <c r="L892" s="31" t="n">
        <v>20856.6</v>
      </c>
      <c r="M892" s="30" t="inlineStr">
        <is>
          <t>AMR1</t>
        </is>
      </c>
      <c r="N892" s="30" t="inlineStr">
        <is>
          <t>AMR1</t>
        </is>
      </c>
      <c r="O892" s="32" t="n">
        <v>1</v>
      </c>
      <c r="P892" s="32" t="n">
        <v>25</v>
      </c>
      <c r="Q892" s="32" t="n">
        <v>1</v>
      </c>
      <c r="R892" s="31" t="n">
        <v>60.4</v>
      </c>
      <c r="S892" s="31" t="n">
        <v>60.4</v>
      </c>
      <c r="T892" s="30" t="inlineStr">
        <is>
          <t>AMR1</t>
        </is>
      </c>
      <c r="U892" s="31" t="n">
        <v>41.7</v>
      </c>
      <c r="V892" s="31" t="n">
        <v>41.7</v>
      </c>
      <c r="W892" s="30" t="inlineStr">
        <is>
          <t>AMR1</t>
        </is>
      </c>
      <c r="X892" s="32" t="n">
        <v>0</v>
      </c>
      <c r="Y892" s="32" t="n">
        <v>0</v>
      </c>
      <c r="Z892" s="31" t="n">
        <v>0</v>
      </c>
      <c r="AA892" s="32" t="n">
        <v>0</v>
      </c>
      <c r="AB892" s="32" t="n">
        <v>0</v>
      </c>
      <c r="AC892" s="32" t="n">
        <v>0</v>
      </c>
      <c r="AD892" s="32" t="n">
        <v>0</v>
      </c>
      <c r="AE892" s="31" t="n">
        <v>0</v>
      </c>
      <c r="AF892" s="32" t="n">
        <v>0</v>
      </c>
      <c r="AG892" s="31" t="n">
        <v>0</v>
      </c>
      <c r="AH892" s="32" t="n">
        <v>68</v>
      </c>
      <c r="AI892" s="31" t="n">
        <v>67.09999999999999</v>
      </c>
      <c r="AJ892" s="31" t="n">
        <v>37.9</v>
      </c>
      <c r="AK892" s="31" t="n">
        <v>0</v>
      </c>
      <c r="AL892" s="30" t="inlineStr">
        <is>
          <t>T-1039</t>
        </is>
      </c>
      <c r="AM892" s="30" t="inlineStr">
        <is>
          <t>E-05-03</t>
        </is>
      </c>
      <c r="AN892" s="30" t="inlineStr">
        <is>
          <t>T-0781</t>
        </is>
      </c>
      <c r="AO892" s="30" t="inlineStr">
        <is>
          <t>E-03-01</t>
        </is>
      </c>
    </row>
    <row r="893">
      <c r="A893" s="30" t="inlineStr">
        <is>
          <t>O0892</t>
        </is>
      </c>
      <c r="B893" s="30" t="inlineStr">
        <is>
          <t>A</t>
        </is>
      </c>
      <c r="C893" s="31" t="n">
        <v>11807.2</v>
      </c>
      <c r="D893" s="31" t="n">
        <v>32664.5</v>
      </c>
      <c r="E893" s="31" t="n">
        <v>32688</v>
      </c>
      <c r="F893" s="31" t="n">
        <v>32699.8</v>
      </c>
      <c r="G893" s="31" t="n">
        <v>32727.3</v>
      </c>
      <c r="H893" s="31" t="n">
        <v>36883.7</v>
      </c>
      <c r="I893" s="31" t="n">
        <v>36903.1</v>
      </c>
      <c r="J893" s="31" t="n">
        <v>36955.5</v>
      </c>
      <c r="K893" s="31" t="n">
        <v>25148.3</v>
      </c>
      <c r="L893" s="31" t="n">
        <v>20857.3</v>
      </c>
      <c r="M893" s="30" t="inlineStr">
        <is>
          <t>AMR3</t>
        </is>
      </c>
      <c r="N893" s="30" t="inlineStr">
        <is>
          <t>AMR2</t>
        </is>
      </c>
      <c r="O893" s="32" t="n">
        <v>1</v>
      </c>
      <c r="P893" s="32" t="n">
        <v>25</v>
      </c>
      <c r="Q893" s="32" t="n">
        <v>4</v>
      </c>
      <c r="R893" s="31" t="n">
        <v>59.3</v>
      </c>
      <c r="S893" s="31" t="n">
        <v>59.3</v>
      </c>
      <c r="T893" s="30" t="inlineStr">
        <is>
          <t>AMR3</t>
        </is>
      </c>
      <c r="U893" s="31" t="n">
        <v>55.5</v>
      </c>
      <c r="V893" s="31" t="n">
        <v>55.5</v>
      </c>
      <c r="W893" s="30" t="inlineStr">
        <is>
          <t>AMR2</t>
        </is>
      </c>
      <c r="X893" s="32" t="n">
        <v>0</v>
      </c>
      <c r="Y893" s="32" t="n">
        <v>0</v>
      </c>
      <c r="Z893" s="31" t="n">
        <v>0</v>
      </c>
      <c r="AA893" s="32" t="n">
        <v>0</v>
      </c>
      <c r="AB893" s="32" t="n">
        <v>0</v>
      </c>
      <c r="AC893" s="32" t="n">
        <v>0</v>
      </c>
      <c r="AD893" s="32" t="n">
        <v>1</v>
      </c>
      <c r="AE893" s="31" t="n">
        <v>16</v>
      </c>
      <c r="AF893" s="32" t="n">
        <v>1</v>
      </c>
      <c r="AG893" s="31" t="n">
        <v>11</v>
      </c>
      <c r="AH893" s="32" t="n">
        <v>73</v>
      </c>
      <c r="AI893" s="31" t="n">
        <v>72.8</v>
      </c>
      <c r="AJ893" s="31" t="n">
        <v>44.3</v>
      </c>
      <c r="AK893" s="31" t="n">
        <v>17.5</v>
      </c>
      <c r="AL893" s="30" t="inlineStr">
        <is>
          <t>T-1040</t>
        </is>
      </c>
      <c r="AM893" s="30" t="inlineStr">
        <is>
          <t>A-02-01</t>
        </is>
      </c>
      <c r="AN893" s="30" t="inlineStr">
        <is>
          <t>T-0983</t>
        </is>
      </c>
      <c r="AO893" s="30" t="inlineStr">
        <is>
          <t>A-04-02</t>
        </is>
      </c>
    </row>
    <row r="894">
      <c r="A894" s="30" t="inlineStr">
        <is>
          <t>O0893</t>
        </is>
      </c>
      <c r="B894" s="30" t="inlineStr">
        <is>
          <t>E</t>
        </is>
      </c>
      <c r="C894" s="31" t="n">
        <v>11830.3</v>
      </c>
      <c r="D894" s="31" t="n">
        <v>32803</v>
      </c>
      <c r="E894" s="31" t="n">
        <v>32826.5</v>
      </c>
      <c r="F894" s="31" t="n">
        <v>32839.7</v>
      </c>
      <c r="G894" s="31" t="n">
        <v>32867</v>
      </c>
      <c r="H894" s="31" t="n">
        <v>32867.1</v>
      </c>
      <c r="I894" s="31" t="n">
        <v>32880.5</v>
      </c>
      <c r="J894" s="31" t="n">
        <v>32915.1</v>
      </c>
      <c r="K894" s="31" t="n">
        <v>21084.8</v>
      </c>
      <c r="L894" s="31" t="n">
        <v>20972.7</v>
      </c>
      <c r="M894" s="30" t="inlineStr">
        <is>
          <t>AMR2</t>
        </is>
      </c>
      <c r="N894" s="30" t="inlineStr">
        <is>
          <t>AMR2</t>
        </is>
      </c>
      <c r="O894" s="32" t="n">
        <v>1</v>
      </c>
      <c r="P894" s="32" t="n">
        <v>25</v>
      </c>
      <c r="Q894" s="32" t="n">
        <v>0</v>
      </c>
      <c r="R894" s="31" t="n">
        <v>61.3</v>
      </c>
      <c r="S894" s="31" t="n">
        <v>54.8</v>
      </c>
      <c r="T894" s="30" t="inlineStr">
        <is>
          <t>AMR1</t>
        </is>
      </c>
      <c r="U894" s="31" t="n">
        <v>47.2</v>
      </c>
      <c r="V894" s="31" t="n">
        <v>47.2</v>
      </c>
      <c r="W894" s="30" t="inlineStr">
        <is>
          <t>AMR2</t>
        </is>
      </c>
      <c r="X894" s="32" t="n">
        <v>1</v>
      </c>
      <c r="Y894" s="32" t="n">
        <v>11</v>
      </c>
      <c r="Z894" s="31" t="n">
        <v>6.5</v>
      </c>
      <c r="AA894" s="32" t="n">
        <v>0</v>
      </c>
      <c r="AB894" s="32" t="n">
        <v>0</v>
      </c>
      <c r="AC894" s="32" t="n">
        <v>0</v>
      </c>
      <c r="AD894" s="32" t="n">
        <v>0</v>
      </c>
      <c r="AE894" s="31" t="n">
        <v>0</v>
      </c>
      <c r="AF894" s="32" t="n">
        <v>0</v>
      </c>
      <c r="AG894" s="31" t="n">
        <v>0</v>
      </c>
      <c r="AH894" s="32" t="n">
        <v>68</v>
      </c>
      <c r="AI894" s="31" t="n">
        <v>67</v>
      </c>
      <c r="AJ894" s="31" t="n">
        <v>45</v>
      </c>
      <c r="AK894" s="31" t="n">
        <v>0</v>
      </c>
      <c r="AL894" s="30" t="inlineStr">
        <is>
          <t>T-1043</t>
        </is>
      </c>
      <c r="AM894" s="30" t="inlineStr">
        <is>
          <t>E-03-01</t>
        </is>
      </c>
      <c r="AN894" s="30" t="inlineStr">
        <is>
          <t>T-0795</t>
        </is>
      </c>
      <c r="AO894" s="30" t="inlineStr">
        <is>
          <t>E-04-01</t>
        </is>
      </c>
    </row>
    <row r="895">
      <c r="A895" s="30" t="inlineStr">
        <is>
          <t>O0894</t>
        </is>
      </c>
      <c r="B895" s="30" t="inlineStr">
        <is>
          <t>J</t>
        </is>
      </c>
      <c r="C895" s="31" t="n">
        <v>11845.9</v>
      </c>
      <c r="D895" s="31" t="n">
        <v>32681.2</v>
      </c>
      <c r="E895" s="31" t="n">
        <v>32711.7</v>
      </c>
      <c r="F895" s="31" t="n">
        <v>32726.7</v>
      </c>
      <c r="G895" s="31" t="n">
        <v>32753.5</v>
      </c>
      <c r="H895" s="31" t="n">
        <v>33486.8</v>
      </c>
      <c r="I895" s="31" t="n">
        <v>33500.2</v>
      </c>
      <c r="J895" s="31" t="n">
        <v>33530.8</v>
      </c>
      <c r="K895" s="31" t="n">
        <v>21684.9</v>
      </c>
      <c r="L895" s="31" t="n">
        <v>20835.3</v>
      </c>
      <c r="M895" s="30" t="inlineStr">
        <is>
          <t>AMR2</t>
        </is>
      </c>
      <c r="N895" s="30" t="inlineStr">
        <is>
          <t>AMR1</t>
        </is>
      </c>
      <c r="O895" s="32" t="n">
        <v>1</v>
      </c>
      <c r="P895" s="32" t="n">
        <v>25</v>
      </c>
      <c r="Q895" s="32" t="n">
        <v>1</v>
      </c>
      <c r="R895" s="31" t="n">
        <v>63.5</v>
      </c>
      <c r="S895" s="31" t="n">
        <v>63.5</v>
      </c>
      <c r="T895" s="30" t="inlineStr">
        <is>
          <t>AMR2</t>
        </is>
      </c>
      <c r="U895" s="31" t="n">
        <v>46.7</v>
      </c>
      <c r="V895" s="31" t="n">
        <v>46.7</v>
      </c>
      <c r="W895" s="30" t="inlineStr">
        <is>
          <t>AMR1</t>
        </is>
      </c>
      <c r="X895" s="32" t="n">
        <v>0</v>
      </c>
      <c r="Y895" s="32" t="n">
        <v>0</v>
      </c>
      <c r="Z895" s="31" t="n">
        <v>0</v>
      </c>
      <c r="AA895" s="32" t="n">
        <v>0</v>
      </c>
      <c r="AB895" s="32" t="n">
        <v>0</v>
      </c>
      <c r="AC895" s="32" t="n">
        <v>0</v>
      </c>
      <c r="AD895" s="32" t="n">
        <v>0</v>
      </c>
      <c r="AE895" s="31" t="n">
        <v>0</v>
      </c>
      <c r="AF895" s="32" t="n">
        <v>1</v>
      </c>
      <c r="AG895" s="31" t="n">
        <v>2</v>
      </c>
      <c r="AH895" s="32" t="n">
        <v>64</v>
      </c>
      <c r="AI895" s="31" t="n">
        <v>63.8</v>
      </c>
      <c r="AJ895" s="31" t="n">
        <v>45.5</v>
      </c>
      <c r="AK895" s="31" t="n">
        <v>7</v>
      </c>
      <c r="AL895" s="30" t="inlineStr">
        <is>
          <t>T-1041</t>
        </is>
      </c>
      <c r="AM895" s="30" t="inlineStr">
        <is>
          <t>J-01-03</t>
        </is>
      </c>
      <c r="AN895" s="30" t="inlineStr">
        <is>
          <t>T-0896</t>
        </is>
      </c>
      <c r="AO895" s="30" t="inlineStr">
        <is>
          <t>J-02-01</t>
        </is>
      </c>
    </row>
    <row r="896">
      <c r="A896" s="30" t="inlineStr">
        <is>
          <t>O0895</t>
        </is>
      </c>
      <c r="B896" s="30" t="inlineStr">
        <is>
          <t>H</t>
        </is>
      </c>
      <c r="C896" s="31" t="n">
        <v>11861.7</v>
      </c>
      <c r="D896" s="31" t="n">
        <v>32745.2</v>
      </c>
      <c r="E896" s="31" t="n">
        <v>32768.7</v>
      </c>
      <c r="F896" s="31" t="n">
        <v>32781.7</v>
      </c>
      <c r="G896" s="31" t="n">
        <v>32805.3</v>
      </c>
      <c r="H896" s="31" t="n">
        <v>32805.4</v>
      </c>
      <c r="I896" s="31" t="n">
        <v>32813.6</v>
      </c>
      <c r="J896" s="31" t="n">
        <v>32845.6</v>
      </c>
      <c r="K896" s="31" t="n">
        <v>20983.9</v>
      </c>
      <c r="L896" s="31" t="n">
        <v>20883.5</v>
      </c>
      <c r="M896" s="30" t="inlineStr">
        <is>
          <t>AMR1</t>
        </is>
      </c>
      <c r="N896" s="30" t="inlineStr">
        <is>
          <t>AMR1</t>
        </is>
      </c>
      <c r="O896" s="32" t="n">
        <v>1</v>
      </c>
      <c r="P896" s="32" t="n">
        <v>25</v>
      </c>
      <c r="Q896" s="32" t="n">
        <v>1</v>
      </c>
      <c r="R896" s="31" t="n">
        <v>58.3</v>
      </c>
      <c r="S896" s="31" t="n">
        <v>58.3</v>
      </c>
      <c r="T896" s="30" t="inlineStr">
        <is>
          <t>AMR1</t>
        </is>
      </c>
      <c r="U896" s="31" t="n">
        <v>33.9</v>
      </c>
      <c r="V896" s="31" t="n">
        <v>33.9</v>
      </c>
      <c r="W896" s="30" t="inlineStr">
        <is>
          <t>AMR1</t>
        </is>
      </c>
      <c r="X896" s="32" t="n">
        <v>0</v>
      </c>
      <c r="Y896" s="32" t="n">
        <v>0</v>
      </c>
      <c r="Z896" s="31" t="n">
        <v>0</v>
      </c>
      <c r="AA896" s="32" t="n">
        <v>0</v>
      </c>
      <c r="AB896" s="32" t="n">
        <v>0</v>
      </c>
      <c r="AC896" s="32" t="n">
        <v>0</v>
      </c>
      <c r="AD896" s="32" t="n">
        <v>1</v>
      </c>
      <c r="AE896" s="31" t="n">
        <v>7</v>
      </c>
      <c r="AF896" s="32" t="n">
        <v>1</v>
      </c>
      <c r="AG896" s="31" t="n">
        <v>2</v>
      </c>
      <c r="AH896" s="32" t="n">
        <v>52</v>
      </c>
      <c r="AI896" s="31" t="n">
        <v>54.7</v>
      </c>
      <c r="AJ896" s="31" t="n">
        <v>38.6</v>
      </c>
      <c r="AK896" s="31" t="n">
        <v>7</v>
      </c>
      <c r="AL896" s="30" t="inlineStr">
        <is>
          <t>T-1042</t>
        </is>
      </c>
      <c r="AM896" s="30" t="inlineStr">
        <is>
          <t>H-04-01</t>
        </is>
      </c>
      <c r="AN896" s="30" t="inlineStr">
        <is>
          <t>T-0872</t>
        </is>
      </c>
      <c r="AO896" s="30" t="inlineStr">
        <is>
          <t>H-05-01</t>
        </is>
      </c>
    </row>
    <row r="897">
      <c r="A897" s="30" t="inlineStr">
        <is>
          <t>O0896</t>
        </is>
      </c>
      <c r="B897" s="30" t="inlineStr">
        <is>
          <t>H</t>
        </is>
      </c>
      <c r="C897" s="31" t="n">
        <v>11880.3</v>
      </c>
      <c r="D897" s="31" t="n">
        <v>33151.7</v>
      </c>
      <c r="E897" s="31" t="n">
        <v>33175.2</v>
      </c>
      <c r="F897" s="31" t="n">
        <v>33191.5</v>
      </c>
      <c r="G897" s="31" t="n">
        <v>33216.7</v>
      </c>
      <c r="H897" s="31" t="n">
        <v>33216.8</v>
      </c>
      <c r="I897" s="31" t="n">
        <v>33227.2</v>
      </c>
      <c r="J897" s="31" t="n">
        <v>33253.4</v>
      </c>
      <c r="K897" s="31" t="n">
        <v>21373.1</v>
      </c>
      <c r="L897" s="31" t="n">
        <v>21271.4</v>
      </c>
      <c r="M897" s="30" t="inlineStr">
        <is>
          <t>AMR2</t>
        </is>
      </c>
      <c r="N897" s="30" t="inlineStr">
        <is>
          <t>AMR2</t>
        </is>
      </c>
      <c r="O897" s="32" t="n">
        <v>1</v>
      </c>
      <c r="P897" s="32" t="n">
        <v>25</v>
      </c>
      <c r="Q897" s="32" t="n">
        <v>0</v>
      </c>
      <c r="R897" s="31" t="n">
        <v>62.4</v>
      </c>
      <c r="S897" s="31" t="n">
        <v>62.4</v>
      </c>
      <c r="T897" s="30" t="inlineStr">
        <is>
          <t>AMR2</t>
        </is>
      </c>
      <c r="U897" s="31" t="n">
        <v>35.8</v>
      </c>
      <c r="V897" s="31" t="n">
        <v>35.8</v>
      </c>
      <c r="W897" s="30" t="inlineStr">
        <is>
          <t>AMR2</t>
        </is>
      </c>
      <c r="X897" s="32" t="n">
        <v>0</v>
      </c>
      <c r="Y897" s="32" t="n">
        <v>0</v>
      </c>
      <c r="Z897" s="31" t="n">
        <v>0</v>
      </c>
      <c r="AA897" s="32" t="n">
        <v>0</v>
      </c>
      <c r="AB897" s="32" t="n">
        <v>0</v>
      </c>
      <c r="AC897" s="32" t="n">
        <v>0</v>
      </c>
      <c r="AD897" s="32" t="n">
        <v>0</v>
      </c>
      <c r="AE897" s="31" t="n">
        <v>0</v>
      </c>
      <c r="AF897" s="32" t="n">
        <v>0</v>
      </c>
      <c r="AG897" s="31" t="n">
        <v>0</v>
      </c>
      <c r="AH897" s="32" t="n">
        <v>54</v>
      </c>
      <c r="AI897" s="31" t="n">
        <v>56.3</v>
      </c>
      <c r="AJ897" s="31" t="n">
        <v>45.3</v>
      </c>
      <c r="AK897" s="31" t="n">
        <v>0</v>
      </c>
      <c r="AL897" s="30" t="inlineStr">
        <is>
          <t>T-1052</t>
        </is>
      </c>
      <c r="AM897" s="30" t="inlineStr">
        <is>
          <t>H-03-03</t>
        </is>
      </c>
      <c r="AN897" s="30" t="inlineStr">
        <is>
          <t>T-0885</t>
        </is>
      </c>
      <c r="AO897" s="30" t="inlineStr">
        <is>
          <t>H-04-02</t>
        </is>
      </c>
    </row>
    <row r="898">
      <c r="A898" s="30" t="inlineStr">
        <is>
          <t>O0897</t>
        </is>
      </c>
      <c r="B898" s="30" t="inlineStr">
        <is>
          <t>C</t>
        </is>
      </c>
      <c r="C898" s="31" t="n">
        <v>11897</v>
      </c>
      <c r="D898" s="31" t="n">
        <v>32932.4</v>
      </c>
      <c r="E898" s="31" t="n">
        <v>32962.9</v>
      </c>
      <c r="F898" s="31" t="n">
        <v>32974.7</v>
      </c>
      <c r="G898" s="31" t="n">
        <v>32996.9</v>
      </c>
      <c r="H898" s="31" t="n">
        <v>33071.2</v>
      </c>
      <c r="I898" s="31" t="n">
        <v>33083.8</v>
      </c>
      <c r="J898" s="31" t="n">
        <v>33111.2</v>
      </c>
      <c r="K898" s="31" t="n">
        <v>21214.2</v>
      </c>
      <c r="L898" s="31" t="n">
        <v>21035.4</v>
      </c>
      <c r="M898" s="30" t="inlineStr">
        <is>
          <t>AMR3</t>
        </is>
      </c>
      <c r="N898" s="30" t="inlineStr">
        <is>
          <t>AMR1</t>
        </is>
      </c>
      <c r="O898" s="32" t="n">
        <v>1</v>
      </c>
      <c r="P898" s="32" t="n">
        <v>25</v>
      </c>
      <c r="Q898" s="32" t="n">
        <v>2</v>
      </c>
      <c r="R898" s="31" t="n">
        <v>55.6</v>
      </c>
      <c r="S898" s="31" t="n">
        <v>55.6</v>
      </c>
      <c r="T898" s="30" t="inlineStr">
        <is>
          <t>AMR3</t>
        </is>
      </c>
      <c r="U898" s="31" t="n">
        <v>40.2</v>
      </c>
      <c r="V898" s="31" t="n">
        <v>40.2</v>
      </c>
      <c r="W898" s="30" t="inlineStr">
        <is>
          <t>AMR1</t>
        </is>
      </c>
      <c r="X898" s="32" t="n">
        <v>0</v>
      </c>
      <c r="Y898" s="32" t="n">
        <v>0</v>
      </c>
      <c r="Z898" s="31" t="n">
        <v>0</v>
      </c>
      <c r="AA898" s="32" t="n">
        <v>0</v>
      </c>
      <c r="AB898" s="32" t="n">
        <v>0</v>
      </c>
      <c r="AC898" s="32" t="n">
        <v>0</v>
      </c>
      <c r="AD898" s="32" t="n">
        <v>0</v>
      </c>
      <c r="AE898" s="31" t="n">
        <v>0</v>
      </c>
      <c r="AF898" s="32" t="n">
        <v>1</v>
      </c>
      <c r="AG898" s="31" t="n">
        <v>2</v>
      </c>
      <c r="AH898" s="32" t="n">
        <v>55</v>
      </c>
      <c r="AI898" s="31" t="n">
        <v>55.5</v>
      </c>
      <c r="AJ898" s="31" t="n">
        <v>42</v>
      </c>
      <c r="AK898" s="31" t="n">
        <v>7</v>
      </c>
      <c r="AL898" s="30" t="inlineStr">
        <is>
          <t>T-1047</t>
        </is>
      </c>
      <c r="AM898" s="30" t="inlineStr">
        <is>
          <t>C-05-02</t>
        </is>
      </c>
      <c r="AN898" s="30" t="inlineStr">
        <is>
          <t>T-0941</t>
        </is>
      </c>
      <c r="AO898" s="30" t="inlineStr">
        <is>
          <t>C-01-01</t>
        </is>
      </c>
    </row>
    <row r="899">
      <c r="A899" s="30" t="inlineStr">
        <is>
          <t>O0898</t>
        </is>
      </c>
      <c r="B899" s="30" t="inlineStr">
        <is>
          <t>J</t>
        </is>
      </c>
      <c r="C899" s="31" t="n">
        <v>11919.7</v>
      </c>
      <c r="D899" s="31" t="n">
        <v>33168.4</v>
      </c>
      <c r="E899" s="31" t="n">
        <v>33198.9</v>
      </c>
      <c r="F899" s="31" t="n">
        <v>33213.8</v>
      </c>
      <c r="G899" s="31" t="n">
        <v>33244</v>
      </c>
      <c r="H899" s="31" t="n">
        <v>33244.1</v>
      </c>
      <c r="I899" s="31" t="n">
        <v>33258.9</v>
      </c>
      <c r="J899" s="31" t="n">
        <v>33286</v>
      </c>
      <c r="K899" s="31" t="n">
        <v>21366.3</v>
      </c>
      <c r="L899" s="31" t="n">
        <v>21248.7</v>
      </c>
      <c r="M899" s="30" t="inlineStr">
        <is>
          <t>AMR3</t>
        </is>
      </c>
      <c r="N899" s="30" t="inlineStr">
        <is>
          <t>AMR3</t>
        </is>
      </c>
      <c r="O899" s="32" t="n">
        <v>1</v>
      </c>
      <c r="P899" s="32" t="n">
        <v>25</v>
      </c>
      <c r="Q899" s="32" t="n">
        <v>1</v>
      </c>
      <c r="R899" s="31" t="n">
        <v>65.2</v>
      </c>
      <c r="S899" s="31" t="n">
        <v>65.2</v>
      </c>
      <c r="T899" s="30" t="inlineStr">
        <is>
          <t>AMR3</t>
        </is>
      </c>
      <c r="U899" s="31" t="n">
        <v>42.6</v>
      </c>
      <c r="V899" s="31" t="n">
        <v>42.6</v>
      </c>
      <c r="W899" s="30" t="inlineStr">
        <is>
          <t>AMR3</t>
        </is>
      </c>
      <c r="X899" s="32" t="n">
        <v>0</v>
      </c>
      <c r="Y899" s="32" t="n">
        <v>0</v>
      </c>
      <c r="Z899" s="31" t="n">
        <v>0</v>
      </c>
      <c r="AA899" s="32" t="n">
        <v>0</v>
      </c>
      <c r="AB899" s="32" t="n">
        <v>0</v>
      </c>
      <c r="AC899" s="32" t="n">
        <v>0</v>
      </c>
      <c r="AD899" s="32" t="n">
        <v>0</v>
      </c>
      <c r="AE899" s="31" t="n">
        <v>0</v>
      </c>
      <c r="AF899" s="32" t="n">
        <v>1</v>
      </c>
      <c r="AG899" s="31" t="n">
        <v>2</v>
      </c>
      <c r="AH899" s="32" t="n">
        <v>68</v>
      </c>
      <c r="AI899" s="31" t="n">
        <v>67.40000000000001</v>
      </c>
      <c r="AJ899" s="31" t="n">
        <v>43.1</v>
      </c>
      <c r="AK899" s="31" t="n">
        <v>7</v>
      </c>
      <c r="AL899" s="30" t="inlineStr">
        <is>
          <t>T-1053</t>
        </is>
      </c>
      <c r="AM899" s="30" t="inlineStr">
        <is>
          <t>J-04-03</t>
        </is>
      </c>
      <c r="AN899" s="30" t="inlineStr">
        <is>
          <t>T-0863</t>
        </is>
      </c>
      <c r="AO899" s="30" t="inlineStr">
        <is>
          <t>J-01-01</t>
        </is>
      </c>
    </row>
    <row r="900">
      <c r="A900" s="30" t="inlineStr">
        <is>
          <t>O0899</t>
        </is>
      </c>
      <c r="B900" s="30" t="inlineStr">
        <is>
          <t>D</t>
        </is>
      </c>
      <c r="C900" s="31" t="n">
        <v>11941.9</v>
      </c>
      <c r="D900" s="31" t="n">
        <v>32845.7</v>
      </c>
      <c r="E900" s="31" t="n">
        <v>32880.2</v>
      </c>
      <c r="F900" s="31" t="n">
        <v>32892.2</v>
      </c>
      <c r="G900" s="31" t="n">
        <v>32916.9</v>
      </c>
      <c r="H900" s="31" t="n">
        <v>32917</v>
      </c>
      <c r="I900" s="31" t="n">
        <v>32929</v>
      </c>
      <c r="J900" s="31" t="n">
        <v>32955.6</v>
      </c>
      <c r="K900" s="31" t="n">
        <v>21013.7</v>
      </c>
      <c r="L900" s="31" t="n">
        <v>20903.8</v>
      </c>
      <c r="M900" s="30" t="inlineStr">
        <is>
          <t>AMR1</t>
        </is>
      </c>
      <c r="N900" s="30" t="inlineStr">
        <is>
          <t>AMR1</t>
        </is>
      </c>
      <c r="O900" s="32" t="n">
        <v>1</v>
      </c>
      <c r="P900" s="32" t="n">
        <v>25</v>
      </c>
      <c r="Q900" s="32" t="n">
        <v>1</v>
      </c>
      <c r="R900" s="31" t="n">
        <v>58.3</v>
      </c>
      <c r="S900" s="31" t="n">
        <v>58.3</v>
      </c>
      <c r="T900" s="30" t="inlineStr">
        <is>
          <t>AMR1</t>
        </is>
      </c>
      <c r="U900" s="31" t="n">
        <v>39.9</v>
      </c>
      <c r="V900" s="31" t="n">
        <v>39.9</v>
      </c>
      <c r="W900" s="30" t="inlineStr">
        <is>
          <t>AMR1</t>
        </is>
      </c>
      <c r="X900" s="32" t="n">
        <v>0</v>
      </c>
      <c r="Y900" s="32" t="n">
        <v>0</v>
      </c>
      <c r="Z900" s="31" t="n">
        <v>0</v>
      </c>
      <c r="AA900" s="32" t="n">
        <v>0</v>
      </c>
      <c r="AB900" s="32" t="n">
        <v>0</v>
      </c>
      <c r="AC900" s="32" t="n">
        <v>0</v>
      </c>
      <c r="AD900" s="32" t="n">
        <v>0</v>
      </c>
      <c r="AE900" s="31" t="n">
        <v>0</v>
      </c>
      <c r="AF900" s="32" t="n">
        <v>1</v>
      </c>
      <c r="AG900" s="31" t="n">
        <v>6</v>
      </c>
      <c r="AH900" s="32" t="n">
        <v>52</v>
      </c>
      <c r="AI900" s="31" t="n">
        <v>54.2</v>
      </c>
      <c r="AJ900" s="31" t="n">
        <v>44.6</v>
      </c>
      <c r="AK900" s="31" t="n">
        <v>11</v>
      </c>
      <c r="AL900" s="30" t="inlineStr">
        <is>
          <t>T-1045</t>
        </is>
      </c>
      <c r="AM900" s="30" t="inlineStr">
        <is>
          <t>D-02-01</t>
        </is>
      </c>
      <c r="AN900" s="30" t="inlineStr">
        <is>
          <t>T-0936</t>
        </is>
      </c>
      <c r="AO900" s="30" t="inlineStr">
        <is>
          <t>D-01-02</t>
        </is>
      </c>
    </row>
    <row r="901">
      <c r="A901" s="30" t="inlineStr">
        <is>
          <t>O0900</t>
        </is>
      </c>
      <c r="B901" s="30" t="inlineStr">
        <is>
          <t>A</t>
        </is>
      </c>
      <c r="C901" s="31" t="n">
        <v>11962</v>
      </c>
      <c r="D901" s="31" t="n">
        <v>32915.2</v>
      </c>
      <c r="E901" s="31" t="n">
        <v>32938.7</v>
      </c>
      <c r="F901" s="31" t="n">
        <v>32953.3</v>
      </c>
      <c r="G901" s="31" t="n">
        <v>32982.7</v>
      </c>
      <c r="H901" s="31" t="n">
        <v>32982.8</v>
      </c>
      <c r="I901" s="31" t="n">
        <v>32992.3</v>
      </c>
      <c r="J901" s="31" t="n">
        <v>33027.7</v>
      </c>
      <c r="K901" s="31" t="n">
        <v>21065.7</v>
      </c>
      <c r="L901" s="31" t="n">
        <v>20953.2</v>
      </c>
      <c r="M901" s="30" t="inlineStr">
        <is>
          <t>AMR2</t>
        </is>
      </c>
      <c r="N901" s="30" t="inlineStr">
        <is>
          <t>AMR2</t>
        </is>
      </c>
      <c r="O901" s="32" t="n">
        <v>1</v>
      </c>
      <c r="P901" s="32" t="n">
        <v>25</v>
      </c>
      <c r="Q901" s="32" t="n">
        <v>1</v>
      </c>
      <c r="R901" s="31" t="n">
        <v>65.59999999999999</v>
      </c>
      <c r="S901" s="31" t="n">
        <v>57.1</v>
      </c>
      <c r="T901" s="30" t="inlineStr">
        <is>
          <t>AMR1</t>
        </is>
      </c>
      <c r="U901" s="31" t="n">
        <v>45.6</v>
      </c>
      <c r="V901" s="31" t="n">
        <v>45.6</v>
      </c>
      <c r="W901" s="30" t="inlineStr">
        <is>
          <t>AMR2</t>
        </is>
      </c>
      <c r="X901" s="32" t="n">
        <v>1</v>
      </c>
      <c r="Y901" s="32" t="n">
        <v>13</v>
      </c>
      <c r="Z901" s="31" t="n">
        <v>8.5</v>
      </c>
      <c r="AA901" s="32" t="n">
        <v>0</v>
      </c>
      <c r="AB901" s="32" t="n">
        <v>0</v>
      </c>
      <c r="AC901" s="32" t="n">
        <v>0</v>
      </c>
      <c r="AD901" s="32" t="n">
        <v>0</v>
      </c>
      <c r="AE901" s="31" t="n">
        <v>0</v>
      </c>
      <c r="AF901" s="32" t="n">
        <v>0</v>
      </c>
      <c r="AG901" s="31" t="n">
        <v>0</v>
      </c>
      <c r="AH901" s="32" t="n">
        <v>70</v>
      </c>
      <c r="AI901" s="31" t="n">
        <v>68.59999999999999</v>
      </c>
      <c r="AJ901" s="31" t="n">
        <v>43.8</v>
      </c>
      <c r="AK901" s="31" t="n">
        <v>0</v>
      </c>
      <c r="AL901" s="30" t="inlineStr">
        <is>
          <t>T-1046</t>
        </is>
      </c>
      <c r="AM901" s="30" t="inlineStr">
        <is>
          <t>A-05-03</t>
        </is>
      </c>
      <c r="AN901" s="30" t="inlineStr">
        <is>
          <t>T-0818</t>
        </is>
      </c>
      <c r="AO901" s="30" t="inlineStr">
        <is>
          <t>A-03-01</t>
        </is>
      </c>
    </row>
    <row r="902">
      <c r="A902" s="30" t="inlineStr">
        <is>
          <t>O0901</t>
        </is>
      </c>
      <c r="B902" s="30" t="inlineStr">
        <is>
          <t>H</t>
        </is>
      </c>
      <c r="C902" s="31" t="n">
        <v>11979.5</v>
      </c>
      <c r="D902" s="31" t="n">
        <v>32955.7</v>
      </c>
      <c r="E902" s="31" t="n">
        <v>32987.2</v>
      </c>
      <c r="F902" s="31" t="n">
        <v>32999.6</v>
      </c>
      <c r="G902" s="31" t="n">
        <v>33024.9</v>
      </c>
      <c r="H902" s="31" t="n">
        <v>33111.3</v>
      </c>
      <c r="I902" s="31" t="n">
        <v>33139.1</v>
      </c>
      <c r="J902" s="31" t="n">
        <v>33187.9</v>
      </c>
      <c r="K902" s="31" t="n">
        <v>21208.4</v>
      </c>
      <c r="L902" s="31" t="n">
        <v>20976.2</v>
      </c>
      <c r="M902" s="30" t="inlineStr">
        <is>
          <t>AMR1</t>
        </is>
      </c>
      <c r="N902" s="30" t="inlineStr">
        <is>
          <t>AMR1</t>
        </is>
      </c>
      <c r="O902" s="32" t="n">
        <v>1</v>
      </c>
      <c r="P902" s="32" t="n">
        <v>25</v>
      </c>
      <c r="Q902" s="32" t="n">
        <v>14</v>
      </c>
      <c r="R902" s="31" t="n">
        <v>59.3</v>
      </c>
      <c r="S902" s="31" t="n">
        <v>59.3</v>
      </c>
      <c r="T902" s="30" t="inlineStr">
        <is>
          <t>AMR1</t>
        </is>
      </c>
      <c r="U902" s="31" t="n">
        <v>51.9</v>
      </c>
      <c r="V902" s="31" t="n">
        <v>51.9</v>
      </c>
      <c r="W902" s="30" t="inlineStr">
        <is>
          <t>AMR1</t>
        </is>
      </c>
      <c r="X902" s="32" t="n">
        <v>0</v>
      </c>
      <c r="Y902" s="32" t="n">
        <v>0</v>
      </c>
      <c r="Z902" s="31" t="n">
        <v>0</v>
      </c>
      <c r="AA902" s="32" t="n">
        <v>0</v>
      </c>
      <c r="AB902" s="32" t="n">
        <v>0</v>
      </c>
      <c r="AC902" s="32" t="n">
        <v>0</v>
      </c>
      <c r="AD902" s="32" t="n">
        <v>2</v>
      </c>
      <c r="AE902" s="31" t="n">
        <v>19.7</v>
      </c>
      <c r="AF902" s="32" t="n">
        <v>2</v>
      </c>
      <c r="AG902" s="31" t="n">
        <v>14.7</v>
      </c>
      <c r="AH902" s="32" t="n">
        <v>71</v>
      </c>
      <c r="AI902" s="31" t="n">
        <v>72.8</v>
      </c>
      <c r="AJ902" s="31" t="n">
        <v>45.3</v>
      </c>
      <c r="AK902" s="31" t="n">
        <v>27.7</v>
      </c>
      <c r="AL902" s="30" t="inlineStr">
        <is>
          <t>T-1048</t>
        </is>
      </c>
      <c r="AM902" s="30" t="inlineStr">
        <is>
          <t>H-02-02</t>
        </is>
      </c>
      <c r="AN902" s="30" t="inlineStr">
        <is>
          <t>T-0882</t>
        </is>
      </c>
      <c r="AO902" s="30" t="inlineStr">
        <is>
          <t>H-03-03</t>
        </is>
      </c>
    </row>
    <row r="903">
      <c r="A903" s="30" t="inlineStr">
        <is>
          <t>O0902</t>
        </is>
      </c>
      <c r="B903" s="30" t="inlineStr">
        <is>
          <t>C</t>
        </is>
      </c>
      <c r="C903" s="31" t="n">
        <v>11998.3</v>
      </c>
      <c r="D903" s="31" t="n">
        <v>33025</v>
      </c>
      <c r="E903" s="31" t="n">
        <v>33039</v>
      </c>
      <c r="F903" s="31" t="n">
        <v>33051.8</v>
      </c>
      <c r="G903" s="31" t="n">
        <v>33071.1</v>
      </c>
      <c r="H903" s="31" t="n">
        <v>33620.6</v>
      </c>
      <c r="I903" s="31" t="n">
        <v>33649.3</v>
      </c>
      <c r="J903" s="31" t="n">
        <v>33679.8</v>
      </c>
      <c r="K903" s="31" t="n">
        <v>21681.5</v>
      </c>
      <c r="L903" s="31" t="n">
        <v>21026.7</v>
      </c>
      <c r="M903" s="30" t="inlineStr">
        <is>
          <t>AMR1</t>
        </is>
      </c>
      <c r="N903" s="30" t="inlineStr">
        <is>
          <t>AMR3</t>
        </is>
      </c>
      <c r="O903" s="32" t="n">
        <v>1</v>
      </c>
      <c r="P903" s="32" t="n">
        <v>14</v>
      </c>
      <c r="Q903" s="32" t="n">
        <v>16</v>
      </c>
      <c r="R903" s="31" t="n">
        <v>45.6</v>
      </c>
      <c r="S903" s="31" t="n">
        <v>45.6</v>
      </c>
      <c r="T903" s="30" t="inlineStr">
        <is>
          <t>AMR1</t>
        </is>
      </c>
      <c r="U903" s="31" t="n">
        <v>57.7</v>
      </c>
      <c r="V903" s="31" t="n">
        <v>57.7</v>
      </c>
      <c r="W903" s="30" t="inlineStr">
        <is>
          <t>AMR3</t>
        </is>
      </c>
      <c r="X903" s="32" t="n">
        <v>0</v>
      </c>
      <c r="Y903" s="32" t="n">
        <v>0</v>
      </c>
      <c r="Z903" s="31" t="n">
        <v>0</v>
      </c>
      <c r="AA903" s="32" t="n">
        <v>0</v>
      </c>
      <c r="AB903" s="32" t="n">
        <v>0</v>
      </c>
      <c r="AC903" s="32" t="n">
        <v>0</v>
      </c>
      <c r="AD903" s="32" t="n">
        <v>0</v>
      </c>
      <c r="AE903" s="31" t="n">
        <v>0</v>
      </c>
      <c r="AF903" s="32" t="n">
        <v>0</v>
      </c>
      <c r="AG903" s="31" t="n">
        <v>0</v>
      </c>
      <c r="AH903" s="32" t="n">
        <v>57</v>
      </c>
      <c r="AI903" s="31" t="n">
        <v>61.1</v>
      </c>
      <c r="AJ903" s="31" t="n">
        <v>44.2</v>
      </c>
      <c r="AK903" s="31" t="n">
        <v>0</v>
      </c>
      <c r="AL903" s="30" t="inlineStr">
        <is>
          <t>T-1049</t>
        </is>
      </c>
      <c r="AM903" s="30" t="inlineStr">
        <is>
          <t>C-06-02</t>
        </is>
      </c>
      <c r="AN903" s="30" t="inlineStr">
        <is>
          <t>T-0959</t>
        </is>
      </c>
      <c r="AO903" s="30" t="inlineStr">
        <is>
          <t>C-05-01</t>
        </is>
      </c>
    </row>
    <row r="904">
      <c r="A904" s="30" t="inlineStr">
        <is>
          <t>O0903</t>
        </is>
      </c>
      <c r="B904" s="30" t="inlineStr">
        <is>
          <t>A</t>
        </is>
      </c>
      <c r="C904" s="31" t="n">
        <v>12022.6</v>
      </c>
      <c r="D904" s="31" t="n">
        <v>33027.8</v>
      </c>
      <c r="E904" s="31" t="n">
        <v>33063.3</v>
      </c>
      <c r="F904" s="31" t="n">
        <v>33076.6</v>
      </c>
      <c r="G904" s="31" t="n">
        <v>33108</v>
      </c>
      <c r="H904" s="31" t="n">
        <v>33108.1</v>
      </c>
      <c r="I904" s="31" t="n">
        <v>33118.8</v>
      </c>
      <c r="J904" s="31" t="n">
        <v>33151.6</v>
      </c>
      <c r="K904" s="31" t="n">
        <v>21129</v>
      </c>
      <c r="L904" s="31" t="n">
        <v>21005.2</v>
      </c>
      <c r="M904" s="30" t="inlineStr">
        <is>
          <t>AMR2</t>
        </is>
      </c>
      <c r="N904" s="30" t="inlineStr">
        <is>
          <t>AMR2</t>
        </is>
      </c>
      <c r="O904" s="32" t="n">
        <v>1</v>
      </c>
      <c r="P904" s="32" t="n">
        <v>25</v>
      </c>
      <c r="Q904" s="32" t="n">
        <v>0</v>
      </c>
      <c r="R904" s="31" t="n">
        <v>65.5</v>
      </c>
      <c r="S904" s="31" t="n">
        <v>65.5</v>
      </c>
      <c r="T904" s="30" t="inlineStr">
        <is>
          <t>AMR2</t>
        </is>
      </c>
      <c r="U904" s="31" t="n">
        <v>44.2</v>
      </c>
      <c r="V904" s="31" t="n">
        <v>44.2</v>
      </c>
      <c r="W904" s="30" t="inlineStr">
        <is>
          <t>AMR2</t>
        </is>
      </c>
      <c r="X904" s="32" t="n">
        <v>0</v>
      </c>
      <c r="Y904" s="32" t="n">
        <v>0</v>
      </c>
      <c r="Z904" s="31" t="n">
        <v>0</v>
      </c>
      <c r="AA904" s="32" t="n">
        <v>0</v>
      </c>
      <c r="AB904" s="32" t="n">
        <v>0</v>
      </c>
      <c r="AC904" s="32" t="n">
        <v>0</v>
      </c>
      <c r="AD904" s="32" t="n">
        <v>0</v>
      </c>
      <c r="AE904" s="31" t="n">
        <v>0</v>
      </c>
      <c r="AF904" s="32" t="n">
        <v>1</v>
      </c>
      <c r="AG904" s="31" t="n">
        <v>7</v>
      </c>
      <c r="AH904" s="32" t="n">
        <v>70</v>
      </c>
      <c r="AI904" s="31" t="n">
        <v>68.7</v>
      </c>
      <c r="AJ904" s="31" t="n">
        <v>43</v>
      </c>
      <c r="AK904" s="31" t="n">
        <v>12</v>
      </c>
      <c r="AL904" s="30" t="inlineStr">
        <is>
          <t>T-1050</t>
        </is>
      </c>
      <c r="AM904" s="30" t="inlineStr">
        <is>
          <t>A-03-01</t>
        </is>
      </c>
      <c r="AN904" s="30" t="inlineStr">
        <is>
          <t>T-0821</t>
        </is>
      </c>
      <c r="AO904" s="30" t="inlineStr">
        <is>
          <t>A-05-01</t>
        </is>
      </c>
    </row>
    <row r="905">
      <c r="A905" s="30" t="inlineStr">
        <is>
          <t>O0904</t>
        </is>
      </c>
      <c r="B905" s="30" t="inlineStr">
        <is>
          <t>D</t>
        </is>
      </c>
      <c r="C905" s="31" t="n">
        <v>12039.9</v>
      </c>
      <c r="D905" s="31" t="n">
        <v>33055.1</v>
      </c>
      <c r="E905" s="31" t="n">
        <v>33087.6</v>
      </c>
      <c r="F905" s="31" t="n">
        <v>33103.2</v>
      </c>
      <c r="G905" s="31" t="n">
        <v>33125.5</v>
      </c>
      <c r="H905" s="31" t="n">
        <v>33125.6</v>
      </c>
      <c r="I905" s="31" t="n">
        <v>33139</v>
      </c>
      <c r="J905" s="31" t="n">
        <v>33168.3</v>
      </c>
      <c r="K905" s="31" t="n">
        <v>21128.4</v>
      </c>
      <c r="L905" s="31" t="n">
        <v>21015.2</v>
      </c>
      <c r="M905" s="30" t="inlineStr">
        <is>
          <t>AMR3</t>
        </is>
      </c>
      <c r="N905" s="30" t="inlineStr">
        <is>
          <t>AMR3</t>
        </is>
      </c>
      <c r="O905" s="32" t="n">
        <v>1</v>
      </c>
      <c r="P905" s="32" t="n">
        <v>25</v>
      </c>
      <c r="Q905" s="32" t="n">
        <v>1</v>
      </c>
      <c r="R905" s="31" t="n">
        <v>59.5</v>
      </c>
      <c r="S905" s="31" t="n">
        <v>59.5</v>
      </c>
      <c r="T905" s="30" t="inlineStr">
        <is>
          <t>AMR3</t>
        </is>
      </c>
      <c r="U905" s="31" t="n">
        <v>41.4</v>
      </c>
      <c r="V905" s="31" t="n">
        <v>41.4</v>
      </c>
      <c r="W905" s="30" t="inlineStr">
        <is>
          <t>AMR3</t>
        </is>
      </c>
      <c r="X905" s="32" t="n">
        <v>0</v>
      </c>
      <c r="Y905" s="32" t="n">
        <v>0</v>
      </c>
      <c r="Z905" s="31" t="n">
        <v>0</v>
      </c>
      <c r="AA905" s="32" t="n">
        <v>0</v>
      </c>
      <c r="AB905" s="32" t="n">
        <v>0</v>
      </c>
      <c r="AC905" s="32" t="n">
        <v>0</v>
      </c>
      <c r="AD905" s="32" t="n">
        <v>1</v>
      </c>
      <c r="AE905" s="31" t="n">
        <v>3</v>
      </c>
      <c r="AF905" s="32" t="n">
        <v>1</v>
      </c>
      <c r="AG905" s="31" t="n">
        <v>4</v>
      </c>
      <c r="AH905" s="32" t="n">
        <v>52</v>
      </c>
      <c r="AI905" s="31" t="n">
        <v>53.8</v>
      </c>
      <c r="AJ905" s="31" t="n">
        <v>47.3</v>
      </c>
      <c r="AK905" s="31" t="n">
        <v>12</v>
      </c>
      <c r="AL905" s="30" t="inlineStr">
        <is>
          <t>T-1051</t>
        </is>
      </c>
      <c r="AM905" s="30" t="inlineStr">
        <is>
          <t>D-01-02</t>
        </is>
      </c>
      <c r="AN905" s="30" t="inlineStr">
        <is>
          <t>T-0938</t>
        </is>
      </c>
      <c r="AO905" s="30" t="inlineStr">
        <is>
          <t>D-01-04</t>
        </is>
      </c>
    </row>
    <row r="906">
      <c r="A906" s="30" t="inlineStr">
        <is>
          <t>O0905</t>
        </is>
      </c>
      <c r="B906" s="30" t="inlineStr">
        <is>
          <t>F</t>
        </is>
      </c>
      <c r="C906" s="31" t="n">
        <v>12064</v>
      </c>
      <c r="D906" s="31" t="n">
        <v>33253.5</v>
      </c>
      <c r="E906" s="31" t="n">
        <v>33277</v>
      </c>
      <c r="F906" s="31" t="n">
        <v>33291.8</v>
      </c>
      <c r="G906" s="31" t="n">
        <v>33321.6</v>
      </c>
      <c r="H906" s="31" t="n">
        <v>34245.6</v>
      </c>
      <c r="I906" s="31" t="n">
        <v>34257.9</v>
      </c>
      <c r="J906" s="31" t="n">
        <v>34293.2</v>
      </c>
      <c r="K906" s="31" t="n">
        <v>22229.2</v>
      </c>
      <c r="L906" s="31" t="n">
        <v>21189.5</v>
      </c>
      <c r="M906" s="30" t="inlineStr">
        <is>
          <t>AMR2</t>
        </is>
      </c>
      <c r="N906" s="30" t="inlineStr">
        <is>
          <t>AMR1</t>
        </is>
      </c>
      <c r="O906" s="32" t="n">
        <v>1</v>
      </c>
      <c r="P906" s="32" t="n">
        <v>25</v>
      </c>
      <c r="Q906" s="32" t="n">
        <v>1</v>
      </c>
      <c r="R906" s="31" t="n">
        <v>67.09999999999999</v>
      </c>
      <c r="S906" s="31" t="n">
        <v>67.09999999999999</v>
      </c>
      <c r="T906" s="30" t="inlineStr">
        <is>
          <t>AMR2</t>
        </is>
      </c>
      <c r="U906" s="31" t="n">
        <v>48.2</v>
      </c>
      <c r="V906" s="31" t="n">
        <v>48.2</v>
      </c>
      <c r="W906" s="30" t="inlineStr">
        <is>
          <t>AMR1</t>
        </is>
      </c>
      <c r="X906" s="32" t="n">
        <v>0</v>
      </c>
      <c r="Y906" s="32" t="n">
        <v>0</v>
      </c>
      <c r="Z906" s="31" t="n">
        <v>0</v>
      </c>
      <c r="AA906" s="32" t="n">
        <v>0</v>
      </c>
      <c r="AB906" s="32" t="n">
        <v>0</v>
      </c>
      <c r="AC906" s="32" t="n">
        <v>0</v>
      </c>
      <c r="AD906" s="32" t="n">
        <v>0</v>
      </c>
      <c r="AE906" s="31" t="n">
        <v>0</v>
      </c>
      <c r="AF906" s="32" t="n">
        <v>0</v>
      </c>
      <c r="AG906" s="31" t="n">
        <v>0</v>
      </c>
      <c r="AH906" s="32" t="n">
        <v>69</v>
      </c>
      <c r="AI906" s="31" t="n">
        <v>68.3</v>
      </c>
      <c r="AJ906" s="31" t="n">
        <v>47.4</v>
      </c>
      <c r="AK906" s="31" t="n">
        <v>0</v>
      </c>
      <c r="AL906" s="30" t="inlineStr">
        <is>
          <t>T-1055</t>
        </is>
      </c>
      <c r="AM906" s="30" t="inlineStr">
        <is>
          <t>F-06-02</t>
        </is>
      </c>
      <c r="AN906" s="30" t="inlineStr">
        <is>
          <t>T-0836</t>
        </is>
      </c>
      <c r="AO906" s="30" t="inlineStr">
        <is>
          <t>F-01-03</t>
        </is>
      </c>
    </row>
    <row r="907">
      <c r="A907" s="30" t="inlineStr">
        <is>
          <t>O0906</t>
        </is>
      </c>
      <c r="B907" s="30" t="inlineStr">
        <is>
          <t>J</t>
        </is>
      </c>
      <c r="C907" s="31" t="n">
        <v>12087.3</v>
      </c>
      <c r="D907" s="31" t="n">
        <v>33420.4</v>
      </c>
      <c r="E907" s="31" t="n">
        <v>33443.9</v>
      </c>
      <c r="F907" s="31" t="n">
        <v>33458.1</v>
      </c>
      <c r="G907" s="31" t="n">
        <v>33486.7</v>
      </c>
      <c r="H907" s="31" t="n">
        <v>35130.6</v>
      </c>
      <c r="I907" s="31" t="n">
        <v>35146.1</v>
      </c>
      <c r="J907" s="31" t="n">
        <v>35179.7</v>
      </c>
      <c r="K907" s="31" t="n">
        <v>23092.4</v>
      </c>
      <c r="L907" s="31" t="n">
        <v>21333.1</v>
      </c>
      <c r="M907" s="30" t="inlineStr">
        <is>
          <t>AMR1</t>
        </is>
      </c>
      <c r="N907" s="30" t="inlineStr">
        <is>
          <t>AMR1</t>
        </is>
      </c>
      <c r="O907" s="32" t="n">
        <v>1</v>
      </c>
      <c r="P907" s="32" t="n">
        <v>25</v>
      </c>
      <c r="Q907" s="32" t="n">
        <v>0</v>
      </c>
      <c r="R907" s="31" t="n">
        <v>64.5</v>
      </c>
      <c r="S907" s="31" t="n">
        <v>64.09999999999999</v>
      </c>
      <c r="T907" s="30" t="inlineStr">
        <is>
          <t>AMR2</t>
        </is>
      </c>
      <c r="U907" s="31" t="n">
        <v>47.3</v>
      </c>
      <c r="V907" s="31" t="n">
        <v>47.3</v>
      </c>
      <c r="W907" s="30" t="inlineStr">
        <is>
          <t>AMR1</t>
        </is>
      </c>
      <c r="X907" s="32" t="n">
        <v>1</v>
      </c>
      <c r="Y907" s="32" t="n">
        <v>11</v>
      </c>
      <c r="Z907" s="31" t="n">
        <v>0.4</v>
      </c>
      <c r="AA907" s="32" t="n">
        <v>0</v>
      </c>
      <c r="AB907" s="32" t="n">
        <v>0</v>
      </c>
      <c r="AC907" s="32" t="n">
        <v>0</v>
      </c>
      <c r="AD907" s="32" t="n">
        <v>0</v>
      </c>
      <c r="AE907" s="31" t="n">
        <v>0</v>
      </c>
      <c r="AF907" s="32" t="n">
        <v>0</v>
      </c>
      <c r="AG907" s="31" t="n">
        <v>0</v>
      </c>
      <c r="AH907" s="32" t="n">
        <v>67</v>
      </c>
      <c r="AI907" s="31" t="n">
        <v>67.59999999999999</v>
      </c>
      <c r="AJ907" s="31" t="n">
        <v>47.8</v>
      </c>
      <c r="AK907" s="31" t="n">
        <v>0</v>
      </c>
      <c r="AL907" s="30" t="inlineStr">
        <is>
          <t>T-1060</t>
        </is>
      </c>
      <c r="AM907" s="30" t="inlineStr">
        <is>
          <t>J-01-01</t>
        </is>
      </c>
      <c r="AN907" s="30" t="inlineStr">
        <is>
          <t>T-0932</t>
        </is>
      </c>
      <c r="AO907" s="30" t="inlineStr">
        <is>
          <t>J-05-03</t>
        </is>
      </c>
    </row>
    <row r="908">
      <c r="A908" s="30" t="inlineStr">
        <is>
          <t>O0907</t>
        </is>
      </c>
      <c r="B908" s="30" t="inlineStr">
        <is>
          <t>A</t>
        </is>
      </c>
      <c r="C908" s="31" t="n">
        <v>12103.5</v>
      </c>
      <c r="D908" s="31" t="n">
        <v>33391.7</v>
      </c>
      <c r="E908" s="31" t="n">
        <v>33416.2</v>
      </c>
      <c r="F908" s="31" t="n">
        <v>33431.1</v>
      </c>
      <c r="G908" s="31" t="n">
        <v>33460.1</v>
      </c>
      <c r="H908" s="31" t="n">
        <v>33460.2</v>
      </c>
      <c r="I908" s="31" t="n">
        <v>33474</v>
      </c>
      <c r="J908" s="31" t="n">
        <v>33508.7</v>
      </c>
      <c r="K908" s="31" t="n">
        <v>21405.2</v>
      </c>
      <c r="L908" s="31" t="n">
        <v>21288.2</v>
      </c>
      <c r="M908" s="30" t="inlineStr">
        <is>
          <t>AMR3</t>
        </is>
      </c>
      <c r="N908" s="30" t="inlineStr">
        <is>
          <t>AMR3</t>
        </is>
      </c>
      <c r="O908" s="32" t="n">
        <v>1</v>
      </c>
      <c r="P908" s="32" t="n">
        <v>25</v>
      </c>
      <c r="Q908" s="32" t="n">
        <v>1</v>
      </c>
      <c r="R908" s="31" t="n">
        <v>65.5</v>
      </c>
      <c r="S908" s="31" t="n">
        <v>65.5</v>
      </c>
      <c r="T908" s="30" t="inlineStr">
        <is>
          <t>AMR3</t>
        </is>
      </c>
      <c r="U908" s="31" t="n">
        <v>47.7</v>
      </c>
      <c r="V908" s="31" t="n">
        <v>47.7</v>
      </c>
      <c r="W908" s="30" t="inlineStr">
        <is>
          <t>AMR3</t>
        </is>
      </c>
      <c r="X908" s="32" t="n">
        <v>0</v>
      </c>
      <c r="Y908" s="32" t="n">
        <v>0</v>
      </c>
      <c r="Z908" s="31" t="n">
        <v>0</v>
      </c>
      <c r="AA908" s="32" t="n">
        <v>0</v>
      </c>
      <c r="AB908" s="32" t="n">
        <v>0</v>
      </c>
      <c r="AC908" s="32" t="n">
        <v>0</v>
      </c>
      <c r="AD908" s="32" t="n">
        <v>0</v>
      </c>
      <c r="AE908" s="31" t="n">
        <v>0</v>
      </c>
      <c r="AF908" s="32" t="n">
        <v>0</v>
      </c>
      <c r="AG908" s="31" t="n">
        <v>0</v>
      </c>
      <c r="AH908" s="32" t="n">
        <v>72</v>
      </c>
      <c r="AI908" s="31" t="n">
        <v>70.09999999999999</v>
      </c>
      <c r="AJ908" s="31" t="n">
        <v>45.8</v>
      </c>
      <c r="AK908" s="31" t="n">
        <v>1</v>
      </c>
      <c r="AL908" s="30" t="inlineStr">
        <is>
          <t>T-1059</t>
        </is>
      </c>
      <c r="AM908" s="30" t="inlineStr">
        <is>
          <t>A-05-01</t>
        </is>
      </c>
      <c r="AN908" s="30" t="inlineStr">
        <is>
          <t>T-0829</t>
        </is>
      </c>
      <c r="AO908" s="30" t="inlineStr">
        <is>
          <t>A-01-02</t>
        </is>
      </c>
    </row>
    <row r="909">
      <c r="A909" s="30" t="inlineStr">
        <is>
          <t>O0908</t>
        </is>
      </c>
      <c r="B909" s="30" t="inlineStr">
        <is>
          <t>I</t>
        </is>
      </c>
      <c r="C909" s="31" t="n">
        <v>12120.7</v>
      </c>
      <c r="D909" s="31" t="n">
        <v>33188</v>
      </c>
      <c r="E909" s="31" t="n">
        <v>33213.1</v>
      </c>
      <c r="F909" s="31" t="n">
        <v>33224.5</v>
      </c>
      <c r="G909" s="31" t="n">
        <v>33251.9</v>
      </c>
      <c r="H909" s="31" t="n">
        <v>33252</v>
      </c>
      <c r="I909" s="31" t="n">
        <v>33264.8</v>
      </c>
      <c r="J909" s="31" t="n">
        <v>33309.4</v>
      </c>
      <c r="K909" s="31" t="n">
        <v>21188.7</v>
      </c>
      <c r="L909" s="31" t="n">
        <v>21067.3</v>
      </c>
      <c r="M909" s="30" t="inlineStr">
        <is>
          <t>AMR1</t>
        </is>
      </c>
      <c r="N909" s="30" t="inlineStr">
        <is>
          <t>AMR1</t>
        </is>
      </c>
      <c r="O909" s="32" t="n">
        <v>1</v>
      </c>
      <c r="P909" s="32" t="n">
        <v>25</v>
      </c>
      <c r="Q909" s="32" t="n">
        <v>1</v>
      </c>
      <c r="R909" s="31" t="n">
        <v>58.9</v>
      </c>
      <c r="S909" s="31" t="n">
        <v>58.9</v>
      </c>
      <c r="T909" s="30" t="inlineStr">
        <is>
          <t>AMR1</t>
        </is>
      </c>
      <c r="U909" s="31" t="n">
        <v>40.5</v>
      </c>
      <c r="V909" s="31" t="n">
        <v>40.5</v>
      </c>
      <c r="W909" s="30" t="inlineStr">
        <is>
          <t>AMR1</t>
        </is>
      </c>
      <c r="X909" s="32" t="n">
        <v>0</v>
      </c>
      <c r="Y909" s="32" t="n">
        <v>0</v>
      </c>
      <c r="Z909" s="31" t="n">
        <v>0</v>
      </c>
      <c r="AA909" s="32" t="n">
        <v>0</v>
      </c>
      <c r="AB909" s="32" t="n">
        <v>0</v>
      </c>
      <c r="AC909" s="32" t="n">
        <v>0</v>
      </c>
      <c r="AD909" s="32" t="n">
        <v>1</v>
      </c>
      <c r="AE909" s="31" t="n">
        <v>14</v>
      </c>
      <c r="AF909" s="32" t="n">
        <v>1</v>
      </c>
      <c r="AG909" s="31" t="n">
        <v>9</v>
      </c>
      <c r="AH909" s="32" t="n">
        <v>58</v>
      </c>
      <c r="AI909" s="31" t="n">
        <v>60.4</v>
      </c>
      <c r="AJ909" s="31" t="n">
        <v>45.3</v>
      </c>
      <c r="AK909" s="31" t="n">
        <v>15.6</v>
      </c>
      <c r="AL909" s="30" t="inlineStr">
        <is>
          <t>T-1054</t>
        </is>
      </c>
      <c r="AM909" s="30" t="inlineStr">
        <is>
          <t>I-05-02</t>
        </is>
      </c>
      <c r="AN909" s="30" t="inlineStr">
        <is>
          <t>T-0913</t>
        </is>
      </c>
      <c r="AO909" s="30" t="inlineStr">
        <is>
          <t>I-06-02</t>
        </is>
      </c>
    </row>
    <row r="910">
      <c r="A910" s="30" t="inlineStr">
        <is>
          <t>O0909</t>
        </is>
      </c>
      <c r="B910" s="30" t="inlineStr">
        <is>
          <t>B</t>
        </is>
      </c>
      <c r="C910" s="31" t="n">
        <v>12145.3</v>
      </c>
      <c r="D910" s="31" t="n">
        <v>33286.1</v>
      </c>
      <c r="E910" s="31" t="n">
        <v>33309.6</v>
      </c>
      <c r="F910" s="31" t="n">
        <v>33320.1</v>
      </c>
      <c r="G910" s="31" t="n">
        <v>33343</v>
      </c>
      <c r="H910" s="31" t="n">
        <v>34997.6</v>
      </c>
      <c r="I910" s="31" t="n">
        <v>35011.3</v>
      </c>
      <c r="J910" s="31" t="n">
        <v>35039.8</v>
      </c>
      <c r="K910" s="31" t="n">
        <v>22894.5</v>
      </c>
      <c r="L910" s="31" t="n">
        <v>21140.8</v>
      </c>
      <c r="M910" s="30" t="inlineStr">
        <is>
          <t>AMR3</t>
        </is>
      </c>
      <c r="N910" s="30" t="inlineStr">
        <is>
          <t>AMR3</t>
        </is>
      </c>
      <c r="O910" s="32" t="n">
        <v>1</v>
      </c>
      <c r="P910" s="32" t="n">
        <v>25</v>
      </c>
      <c r="Q910" s="32" t="n">
        <v>1</v>
      </c>
      <c r="R910" s="31" t="n">
        <v>55.8</v>
      </c>
      <c r="S910" s="31" t="n">
        <v>55.8</v>
      </c>
      <c r="T910" s="30" t="inlineStr">
        <is>
          <t>AMR3</t>
        </is>
      </c>
      <c r="U910" s="31" t="n">
        <v>43.4</v>
      </c>
      <c r="V910" s="31" t="n">
        <v>43.4</v>
      </c>
      <c r="W910" s="30" t="inlineStr">
        <is>
          <t>AMR3</t>
        </is>
      </c>
      <c r="X910" s="32" t="n">
        <v>0</v>
      </c>
      <c r="Y910" s="32" t="n">
        <v>0</v>
      </c>
      <c r="Z910" s="31" t="n">
        <v>0</v>
      </c>
      <c r="AA910" s="32" t="n">
        <v>0</v>
      </c>
      <c r="AB910" s="32" t="n">
        <v>0</v>
      </c>
      <c r="AC910" s="32" t="n">
        <v>0</v>
      </c>
      <c r="AD910" s="32" t="n">
        <v>0</v>
      </c>
      <c r="AE910" s="31" t="n">
        <v>0</v>
      </c>
      <c r="AF910" s="32" t="n">
        <v>0</v>
      </c>
      <c r="AG910" s="31" t="n">
        <v>0</v>
      </c>
      <c r="AH910" s="32" t="n">
        <v>55</v>
      </c>
      <c r="AI910" s="31" t="n">
        <v>56.7</v>
      </c>
      <c r="AJ910" s="31" t="n">
        <v>42.4</v>
      </c>
      <c r="AK910" s="31" t="n">
        <v>0</v>
      </c>
      <c r="AL910" s="30" t="inlineStr">
        <is>
          <t>T-1056</t>
        </is>
      </c>
      <c r="AM910" s="30" t="inlineStr">
        <is>
          <t>B-06-02</t>
        </is>
      </c>
      <c r="AN910" s="30" t="inlineStr">
        <is>
          <t>T-0993</t>
        </is>
      </c>
      <c r="AO910" s="30" t="inlineStr">
        <is>
          <t>B-05-01</t>
        </is>
      </c>
    </row>
    <row r="911">
      <c r="A911" s="30" t="inlineStr">
        <is>
          <t>O0910</t>
        </is>
      </c>
      <c r="B911" s="30" t="inlineStr">
        <is>
          <t>E</t>
        </is>
      </c>
      <c r="C911" s="31" t="n">
        <v>12168.9</v>
      </c>
      <c r="D911" s="31" t="n">
        <v>33309.5</v>
      </c>
      <c r="E911" s="31" t="n">
        <v>33334</v>
      </c>
      <c r="F911" s="31" t="n">
        <v>33344.7</v>
      </c>
      <c r="G911" s="31" t="n">
        <v>33375.5</v>
      </c>
      <c r="H911" s="31" t="n">
        <v>33375.6</v>
      </c>
      <c r="I911" s="31" t="n">
        <v>33386.5</v>
      </c>
      <c r="J911" s="31" t="n">
        <v>33420.3</v>
      </c>
      <c r="K911" s="31" t="n">
        <v>21251.4</v>
      </c>
      <c r="L911" s="31" t="n">
        <v>21140.6</v>
      </c>
      <c r="M911" s="30" t="inlineStr">
        <is>
          <t>AMR1</t>
        </is>
      </c>
      <c r="N911" s="30" t="inlineStr">
        <is>
          <t>AMR1</t>
        </is>
      </c>
      <c r="O911" s="32" t="n">
        <v>1</v>
      </c>
      <c r="P911" s="32" t="n">
        <v>25</v>
      </c>
      <c r="Q911" s="32" t="n">
        <v>1</v>
      </c>
      <c r="R911" s="31" t="n">
        <v>61.5</v>
      </c>
      <c r="S911" s="31" t="n">
        <v>61.5</v>
      </c>
      <c r="T911" s="30" t="inlineStr">
        <is>
          <t>AMR1</t>
        </is>
      </c>
      <c r="U911" s="31" t="n">
        <v>45.4</v>
      </c>
      <c r="V911" s="31" t="n">
        <v>45.4</v>
      </c>
      <c r="W911" s="30" t="inlineStr">
        <is>
          <t>AMR1</t>
        </is>
      </c>
      <c r="X911" s="32" t="n">
        <v>0</v>
      </c>
      <c r="Y911" s="32" t="n">
        <v>0</v>
      </c>
      <c r="Z911" s="31" t="n">
        <v>0</v>
      </c>
      <c r="AA911" s="32" t="n">
        <v>0</v>
      </c>
      <c r="AB911" s="32" t="n">
        <v>0</v>
      </c>
      <c r="AC911" s="32" t="n">
        <v>0</v>
      </c>
      <c r="AD911" s="32" t="n">
        <v>0</v>
      </c>
      <c r="AE911" s="31" t="n">
        <v>0</v>
      </c>
      <c r="AF911" s="32" t="n">
        <v>0</v>
      </c>
      <c r="AG911" s="31" t="n">
        <v>0</v>
      </c>
      <c r="AH911" s="32" t="n">
        <v>68</v>
      </c>
      <c r="AI911" s="31" t="n">
        <v>67</v>
      </c>
      <c r="AJ911" s="31" t="n">
        <v>42.7</v>
      </c>
      <c r="AK911" s="31" t="n">
        <v>1</v>
      </c>
      <c r="AL911" s="30" t="inlineStr">
        <is>
          <t>T-1057</t>
        </is>
      </c>
      <c r="AM911" s="30" t="inlineStr">
        <is>
          <t>E-04-01</t>
        </is>
      </c>
      <c r="AN911" s="30" t="inlineStr">
        <is>
          <t>T-0822</t>
        </is>
      </c>
      <c r="AO911" s="30" t="inlineStr">
        <is>
          <t>E-01-02</t>
        </is>
      </c>
    </row>
    <row r="912">
      <c r="A912" s="30" t="inlineStr">
        <is>
          <t>O0911</t>
        </is>
      </c>
      <c r="B912" s="30" t="inlineStr">
        <is>
          <t>H</t>
        </is>
      </c>
      <c r="C912" s="31" t="n">
        <v>12184.8</v>
      </c>
      <c r="D912" s="31" t="n">
        <v>33368.4</v>
      </c>
      <c r="E912" s="31" t="n">
        <v>33391.9</v>
      </c>
      <c r="F912" s="31" t="n">
        <v>33405.6</v>
      </c>
      <c r="G912" s="31" t="n">
        <v>33428.8</v>
      </c>
      <c r="H912" s="31" t="n">
        <v>33428.9</v>
      </c>
      <c r="I912" s="31" t="n">
        <v>33443.7</v>
      </c>
      <c r="J912" s="31" t="n">
        <v>33467.4</v>
      </c>
      <c r="K912" s="31" t="n">
        <v>21282.6</v>
      </c>
      <c r="L912" s="31" t="n">
        <v>21183.6</v>
      </c>
      <c r="M912" s="30" t="inlineStr">
        <is>
          <t>AMR2</t>
        </is>
      </c>
      <c r="N912" s="30" t="inlineStr">
        <is>
          <t>AMR2</t>
        </is>
      </c>
      <c r="O912" s="32" t="n">
        <v>1</v>
      </c>
      <c r="P912" s="32" t="n">
        <v>25</v>
      </c>
      <c r="Q912" s="32" t="n">
        <v>1</v>
      </c>
      <c r="R912" s="31" t="n">
        <v>58.6</v>
      </c>
      <c r="S912" s="31" t="n">
        <v>58.6</v>
      </c>
      <c r="T912" s="30" t="inlineStr">
        <is>
          <t>AMR2</t>
        </is>
      </c>
      <c r="U912" s="31" t="n">
        <v>37.6</v>
      </c>
      <c r="V912" s="31" t="n">
        <v>37.6</v>
      </c>
      <c r="W912" s="30" t="inlineStr">
        <is>
          <t>AMR2</t>
        </is>
      </c>
      <c r="X912" s="32" t="n">
        <v>0</v>
      </c>
      <c r="Y912" s="32" t="n">
        <v>0</v>
      </c>
      <c r="Z912" s="31" t="n">
        <v>0</v>
      </c>
      <c r="AA912" s="32" t="n">
        <v>0</v>
      </c>
      <c r="AB912" s="32" t="n">
        <v>0</v>
      </c>
      <c r="AC912" s="32" t="n">
        <v>0</v>
      </c>
      <c r="AD912" s="32" t="n">
        <v>0</v>
      </c>
      <c r="AE912" s="31" t="n">
        <v>0</v>
      </c>
      <c r="AF912" s="32" t="n">
        <v>0</v>
      </c>
      <c r="AG912" s="31" t="n">
        <v>0</v>
      </c>
      <c r="AH912" s="32" t="n">
        <v>54</v>
      </c>
      <c r="AI912" s="31" t="n">
        <v>56.3</v>
      </c>
      <c r="AJ912" s="31" t="n">
        <v>42.6</v>
      </c>
      <c r="AK912" s="31" t="n">
        <v>0</v>
      </c>
      <c r="AL912" s="30" t="inlineStr">
        <is>
          <t>T-1058</t>
        </is>
      </c>
      <c r="AM912" s="30" t="inlineStr">
        <is>
          <t>H-04-02</t>
        </is>
      </c>
      <c r="AN912" s="30" t="inlineStr">
        <is>
          <t>T-0892</t>
        </is>
      </c>
      <c r="AO912" s="30" t="inlineStr">
        <is>
          <t>H-03-01</t>
        </is>
      </c>
    </row>
    <row r="913">
      <c r="A913" s="30" t="inlineStr">
        <is>
          <t>O0912</t>
        </is>
      </c>
      <c r="B913" s="30" t="inlineStr">
        <is>
          <t>E</t>
        </is>
      </c>
      <c r="C913" s="31" t="n">
        <v>12203.5</v>
      </c>
      <c r="D913" s="31" t="n">
        <v>33508.8</v>
      </c>
      <c r="E913" s="31" t="n">
        <v>33532.3</v>
      </c>
      <c r="F913" s="31" t="n">
        <v>33547</v>
      </c>
      <c r="G913" s="31" t="n">
        <v>33574.7</v>
      </c>
      <c r="H913" s="31" t="n">
        <v>33574.8</v>
      </c>
      <c r="I913" s="31" t="n">
        <v>33585.9</v>
      </c>
      <c r="J913" s="31" t="n">
        <v>33620.5</v>
      </c>
      <c r="K913" s="31" t="n">
        <v>21417</v>
      </c>
      <c r="L913" s="31" t="n">
        <v>21305.3</v>
      </c>
      <c r="M913" s="30" t="inlineStr">
        <is>
          <t>AMR3</t>
        </is>
      </c>
      <c r="N913" s="30" t="inlineStr">
        <is>
          <t>AMR3</t>
        </is>
      </c>
      <c r="O913" s="32" t="n">
        <v>1</v>
      </c>
      <c r="P913" s="32" t="n">
        <v>25</v>
      </c>
      <c r="Q913" s="32" t="n">
        <v>1</v>
      </c>
      <c r="R913" s="31" t="n">
        <v>64</v>
      </c>
      <c r="S913" s="31" t="n">
        <v>64</v>
      </c>
      <c r="T913" s="30" t="inlineStr">
        <is>
          <t>AMR3</t>
        </is>
      </c>
      <c r="U913" s="31" t="n">
        <v>44.9</v>
      </c>
      <c r="V913" s="31" t="n">
        <v>44.9</v>
      </c>
      <c r="W913" s="30" t="inlineStr">
        <is>
          <t>AMR3</t>
        </is>
      </c>
      <c r="X913" s="32" t="n">
        <v>0</v>
      </c>
      <c r="Y913" s="32" t="n">
        <v>0</v>
      </c>
      <c r="Z913" s="31" t="n">
        <v>0</v>
      </c>
      <c r="AA913" s="32" t="n">
        <v>0</v>
      </c>
      <c r="AB913" s="32" t="n">
        <v>0</v>
      </c>
      <c r="AC913" s="32" t="n">
        <v>0</v>
      </c>
      <c r="AD913" s="32" t="n">
        <v>0</v>
      </c>
      <c r="AE913" s="31" t="n">
        <v>0</v>
      </c>
      <c r="AF913" s="32" t="n">
        <v>0</v>
      </c>
      <c r="AG913" s="31" t="n">
        <v>0</v>
      </c>
      <c r="AH913" s="32" t="n">
        <v>68</v>
      </c>
      <c r="AI913" s="31" t="n">
        <v>66.90000000000001</v>
      </c>
      <c r="AJ913" s="31" t="n">
        <v>44.7</v>
      </c>
      <c r="AK913" s="31" t="n">
        <v>0</v>
      </c>
      <c r="AL913" s="30" t="inlineStr">
        <is>
          <t>T-1062</t>
        </is>
      </c>
      <c r="AM913" s="30" t="inlineStr">
        <is>
          <t>E-01-02</t>
        </is>
      </c>
      <c r="AN913" s="30" t="inlineStr">
        <is>
          <t>T-0832</t>
        </is>
      </c>
      <c r="AO913" s="30" t="inlineStr">
        <is>
          <t>E-05-01</t>
        </is>
      </c>
    </row>
    <row r="914">
      <c r="A914" s="30" t="inlineStr">
        <is>
          <t>O0913</t>
        </is>
      </c>
      <c r="B914" s="30" t="inlineStr">
        <is>
          <t>J</t>
        </is>
      </c>
      <c r="C914" s="31" t="n">
        <v>12226.3</v>
      </c>
      <c r="D914" s="31" t="n">
        <v>33530.9</v>
      </c>
      <c r="E914" s="31" t="n">
        <v>33560.1</v>
      </c>
      <c r="F914" s="31" t="n">
        <v>33572.1</v>
      </c>
      <c r="G914" s="31" t="n">
        <v>33604.4</v>
      </c>
      <c r="H914" s="31" t="n">
        <v>33604.5</v>
      </c>
      <c r="I914" s="31" t="n">
        <v>33614.9</v>
      </c>
      <c r="J914" s="31" t="n">
        <v>33650.1</v>
      </c>
      <c r="K914" s="31" t="n">
        <v>21423.8</v>
      </c>
      <c r="L914" s="31" t="n">
        <v>21304.6</v>
      </c>
      <c r="M914" s="30" t="inlineStr">
        <is>
          <t>AMR1</t>
        </is>
      </c>
      <c r="N914" s="30" t="inlineStr">
        <is>
          <t>AMR1</t>
        </is>
      </c>
      <c r="O914" s="32" t="n">
        <v>1</v>
      </c>
      <c r="P914" s="32" t="n">
        <v>25</v>
      </c>
      <c r="Q914" s="32" t="n">
        <v>1</v>
      </c>
      <c r="R914" s="31" t="n">
        <v>65.90000000000001</v>
      </c>
      <c r="S914" s="31" t="n">
        <v>65.90000000000001</v>
      </c>
      <c r="T914" s="30" t="inlineStr">
        <is>
          <t>AMR1</t>
        </is>
      </c>
      <c r="U914" s="31" t="n">
        <v>39.6</v>
      </c>
      <c r="V914" s="31" t="n">
        <v>39.6</v>
      </c>
      <c r="W914" s="30" t="inlineStr">
        <is>
          <t>AMR1</t>
        </is>
      </c>
      <c r="X914" s="32" t="n">
        <v>0</v>
      </c>
      <c r="Y914" s="32" t="n">
        <v>0</v>
      </c>
      <c r="Z914" s="31" t="n">
        <v>0</v>
      </c>
      <c r="AA914" s="32" t="n">
        <v>0</v>
      </c>
      <c r="AB914" s="32" t="n">
        <v>0</v>
      </c>
      <c r="AC914" s="32" t="n">
        <v>0</v>
      </c>
      <c r="AD914" s="32" t="n">
        <v>1</v>
      </c>
      <c r="AE914" s="31" t="n">
        <v>5.2</v>
      </c>
      <c r="AF914" s="32" t="n">
        <v>1</v>
      </c>
      <c r="AG914" s="31" t="n">
        <v>0.2</v>
      </c>
      <c r="AH914" s="32" t="n">
        <v>68</v>
      </c>
      <c r="AI914" s="31" t="n">
        <v>67.40000000000001</v>
      </c>
      <c r="AJ914" s="31" t="n">
        <v>40.8</v>
      </c>
      <c r="AK914" s="31" t="n">
        <v>10.9</v>
      </c>
      <c r="AL914" s="30" t="inlineStr">
        <is>
          <t>T-1064</t>
        </is>
      </c>
      <c r="AM914" s="30" t="inlineStr">
        <is>
          <t>J-02-01</t>
        </is>
      </c>
      <c r="AN914" s="30" t="inlineStr">
        <is>
          <t>T-0905</t>
        </is>
      </c>
      <c r="AO914" s="30" t="inlineStr">
        <is>
          <t>J-04-01</t>
        </is>
      </c>
    </row>
    <row r="915">
      <c r="A915" s="30" t="inlineStr">
        <is>
          <t>O0914</t>
        </is>
      </c>
      <c r="B915" s="30" t="inlineStr">
        <is>
          <t>J</t>
        </is>
      </c>
      <c r="C915" s="31" t="n">
        <v>12246</v>
      </c>
      <c r="D915" s="31" t="n">
        <v>34293.3</v>
      </c>
      <c r="E915" s="31" t="n">
        <v>34316.8</v>
      </c>
      <c r="F915" s="31" t="n">
        <v>34331.6</v>
      </c>
      <c r="G915" s="31" t="n">
        <v>34364.6</v>
      </c>
      <c r="H915" s="31" t="n">
        <v>34364.7</v>
      </c>
      <c r="I915" s="31" t="n">
        <v>34378.5</v>
      </c>
      <c r="J915" s="31" t="n">
        <v>34411.7</v>
      </c>
      <c r="K915" s="31" t="n">
        <v>22165.7</v>
      </c>
      <c r="L915" s="31" t="n">
        <v>22047.3</v>
      </c>
      <c r="M915" s="30" t="inlineStr">
        <is>
          <t>AMR1</t>
        </is>
      </c>
      <c r="N915" s="30" t="inlineStr">
        <is>
          <t>AMR1</t>
        </is>
      </c>
      <c r="O915" s="32" t="n">
        <v>1</v>
      </c>
      <c r="P915" s="32" t="n">
        <v>25</v>
      </c>
      <c r="Q915" s="32" t="n">
        <v>1</v>
      </c>
      <c r="R915" s="31" t="n">
        <v>67.90000000000001</v>
      </c>
      <c r="S915" s="31" t="n">
        <v>67.90000000000001</v>
      </c>
      <c r="T915" s="30" t="inlineStr">
        <is>
          <t>AMR1</t>
        </is>
      </c>
      <c r="U915" s="31" t="n">
        <v>47.6</v>
      </c>
      <c r="V915" s="31" t="n">
        <v>47.6</v>
      </c>
      <c r="W915" s="30" t="inlineStr">
        <is>
          <t>AMR1</t>
        </is>
      </c>
      <c r="X915" s="32" t="n">
        <v>0</v>
      </c>
      <c r="Y915" s="32" t="n">
        <v>0</v>
      </c>
      <c r="Z915" s="31" t="n">
        <v>0</v>
      </c>
      <c r="AA915" s="32" t="n">
        <v>0</v>
      </c>
      <c r="AB915" s="32" t="n">
        <v>0</v>
      </c>
      <c r="AC915" s="32" t="n">
        <v>0</v>
      </c>
      <c r="AD915" s="32" t="n">
        <v>0</v>
      </c>
      <c r="AE915" s="31" t="n">
        <v>0</v>
      </c>
      <c r="AF915" s="32" t="n">
        <v>0</v>
      </c>
      <c r="AG915" s="31" t="n">
        <v>0</v>
      </c>
      <c r="AH915" s="32" t="n">
        <v>68</v>
      </c>
      <c r="AI915" s="31" t="n">
        <v>67.5</v>
      </c>
      <c r="AJ915" s="31" t="n">
        <v>50.8</v>
      </c>
      <c r="AK915" s="31" t="n">
        <v>0</v>
      </c>
      <c r="AL915" s="30" t="inlineStr">
        <is>
          <t>T-1083</t>
        </is>
      </c>
      <c r="AM915" s="30" t="inlineStr">
        <is>
          <t>J-04-01</t>
        </is>
      </c>
      <c r="AN915" s="30" t="inlineStr">
        <is>
          <t>T-0909</t>
        </is>
      </c>
      <c r="AO915" s="30" t="inlineStr">
        <is>
          <t>J-03-01</t>
        </is>
      </c>
    </row>
    <row r="916">
      <c r="A916" s="30" t="inlineStr">
        <is>
          <t>O0915</t>
        </is>
      </c>
      <c r="B916" s="30" t="inlineStr">
        <is>
          <t>D</t>
        </is>
      </c>
      <c r="C916" s="31" t="n">
        <v>12270.9</v>
      </c>
      <c r="D916" s="31" t="n">
        <v>33467.5</v>
      </c>
      <c r="E916" s="31" t="n">
        <v>33491</v>
      </c>
      <c r="F916" s="31" t="n">
        <v>33501.8</v>
      </c>
      <c r="G916" s="31" t="n">
        <v>33522.6</v>
      </c>
      <c r="H916" s="31" t="n">
        <v>33638.1</v>
      </c>
      <c r="I916" s="31" t="n">
        <v>33665.1</v>
      </c>
      <c r="J916" s="31" t="n">
        <v>33698.1</v>
      </c>
      <c r="K916" s="31" t="n">
        <v>21427.2</v>
      </c>
      <c r="L916" s="31" t="n">
        <v>21196.6</v>
      </c>
      <c r="M916" s="30" t="inlineStr">
        <is>
          <t>AMR2</t>
        </is>
      </c>
      <c r="N916" s="30" t="inlineStr">
        <is>
          <t>AMR2</t>
        </is>
      </c>
      <c r="O916" s="32" t="n">
        <v>1</v>
      </c>
      <c r="P916" s="32" t="n">
        <v>25</v>
      </c>
      <c r="Q916" s="32" t="n">
        <v>16</v>
      </c>
      <c r="R916" s="31" t="n">
        <v>51.6</v>
      </c>
      <c r="S916" s="31" t="n">
        <v>51.6</v>
      </c>
      <c r="T916" s="30" t="inlineStr">
        <is>
          <t>AMR2</t>
        </is>
      </c>
      <c r="U916" s="31" t="n">
        <v>56.9</v>
      </c>
      <c r="V916" s="31" t="n">
        <v>56.9</v>
      </c>
      <c r="W916" s="30" t="inlineStr">
        <is>
          <t>AMR2</t>
        </is>
      </c>
      <c r="X916" s="32" t="n">
        <v>0</v>
      </c>
      <c r="Y916" s="32" t="n">
        <v>0</v>
      </c>
      <c r="Z916" s="31" t="n">
        <v>0</v>
      </c>
      <c r="AA916" s="32" t="n">
        <v>0</v>
      </c>
      <c r="AB916" s="32" t="n">
        <v>0</v>
      </c>
      <c r="AC916" s="32" t="n">
        <v>0</v>
      </c>
      <c r="AD916" s="32" t="n">
        <v>1</v>
      </c>
      <c r="AE916" s="31" t="n">
        <v>2</v>
      </c>
      <c r="AF916" s="32" t="n">
        <v>0</v>
      </c>
      <c r="AG916" s="31" t="n">
        <v>0</v>
      </c>
      <c r="AH916" s="32" t="n">
        <v>71</v>
      </c>
      <c r="AI916" s="31" t="n">
        <v>73.09999999999999</v>
      </c>
      <c r="AJ916" s="31" t="n">
        <v>40</v>
      </c>
      <c r="AK916" s="31" t="n">
        <v>2</v>
      </c>
      <c r="AL916" s="30" t="inlineStr">
        <is>
          <t>T-1061</t>
        </is>
      </c>
      <c r="AM916" s="30" t="inlineStr">
        <is>
          <t>D-04-03</t>
        </is>
      </c>
      <c r="AN916" s="30" t="inlineStr">
        <is>
          <t>T-0943</t>
        </is>
      </c>
      <c r="AO916" s="30" t="inlineStr">
        <is>
          <t>D-03-03</t>
        </is>
      </c>
    </row>
    <row r="917">
      <c r="A917" s="30" t="inlineStr">
        <is>
          <t>O0916</t>
        </is>
      </c>
      <c r="B917" s="30" t="inlineStr">
        <is>
          <t>D</t>
        </is>
      </c>
      <c r="C917" s="31" t="n">
        <v>12294.9</v>
      </c>
      <c r="D917" s="31" t="n">
        <v>33522.7</v>
      </c>
      <c r="E917" s="31" t="n">
        <v>33546.7</v>
      </c>
      <c r="F917" s="31" t="n">
        <v>33560</v>
      </c>
      <c r="G917" s="31" t="n">
        <v>33582.8</v>
      </c>
      <c r="H917" s="31" t="n">
        <v>33582.9</v>
      </c>
      <c r="I917" s="31" t="n">
        <v>33595.3</v>
      </c>
      <c r="J917" s="31" t="n">
        <v>33638</v>
      </c>
      <c r="K917" s="31" t="n">
        <v>21343.1</v>
      </c>
      <c r="L917" s="31" t="n">
        <v>21227.8</v>
      </c>
      <c r="M917" s="30" t="inlineStr">
        <is>
          <t>AMR2</t>
        </is>
      </c>
      <c r="N917" s="30" t="inlineStr">
        <is>
          <t>AMR2</t>
        </is>
      </c>
      <c r="O917" s="32" t="n">
        <v>1</v>
      </c>
      <c r="P917" s="32" t="n">
        <v>14</v>
      </c>
      <c r="Q917" s="32" t="n">
        <v>1</v>
      </c>
      <c r="R917" s="31" t="n">
        <v>47.2</v>
      </c>
      <c r="S917" s="31" t="n">
        <v>47.2</v>
      </c>
      <c r="T917" s="30" t="inlineStr">
        <is>
          <t>AMR2</t>
        </is>
      </c>
      <c r="U917" s="31" t="n">
        <v>39.8</v>
      </c>
      <c r="V917" s="31" t="n">
        <v>39.8</v>
      </c>
      <c r="W917" s="30" t="inlineStr">
        <is>
          <t>AMR2</t>
        </is>
      </c>
      <c r="X917" s="32" t="n">
        <v>0</v>
      </c>
      <c r="Y917" s="32" t="n">
        <v>0</v>
      </c>
      <c r="Z917" s="31" t="n">
        <v>0</v>
      </c>
      <c r="AA917" s="32" t="n">
        <v>0</v>
      </c>
      <c r="AB917" s="32" t="n">
        <v>0</v>
      </c>
      <c r="AC917" s="32" t="n">
        <v>0</v>
      </c>
      <c r="AD917" s="32" t="n">
        <v>1</v>
      </c>
      <c r="AE917" s="31" t="n">
        <v>15</v>
      </c>
      <c r="AF917" s="32" t="n">
        <v>2</v>
      </c>
      <c r="AG917" s="31" t="n">
        <v>15</v>
      </c>
      <c r="AH917" s="32" t="n">
        <v>45</v>
      </c>
      <c r="AI917" s="31" t="n">
        <v>47.9</v>
      </c>
      <c r="AJ917" s="31" t="n">
        <v>42.3</v>
      </c>
      <c r="AK917" s="31" t="n">
        <v>25</v>
      </c>
      <c r="AL917" s="30" t="inlineStr">
        <is>
          <t>T-1063</t>
        </is>
      </c>
      <c r="AM917" s="30" t="inlineStr">
        <is>
          <t>D-05-03</t>
        </is>
      </c>
      <c r="AN917" s="30" t="inlineStr">
        <is>
          <t>T-0940</t>
        </is>
      </c>
      <c r="AO917" s="30" t="inlineStr">
        <is>
          <t>D-02-02</t>
        </is>
      </c>
    </row>
    <row r="918">
      <c r="A918" s="30" t="inlineStr">
        <is>
          <t>O0917</t>
        </is>
      </c>
      <c r="B918" s="30" t="inlineStr">
        <is>
          <t>G</t>
        </is>
      </c>
      <c r="C918" s="31" t="n">
        <v>12310</v>
      </c>
      <c r="D918" s="31" t="n">
        <v>33650.2</v>
      </c>
      <c r="E918" s="31" t="n">
        <v>33673.7</v>
      </c>
      <c r="F918" s="31" t="n">
        <v>33684.9</v>
      </c>
      <c r="G918" s="31" t="n">
        <v>33710.3</v>
      </c>
      <c r="H918" s="31" t="n">
        <v>33710.4</v>
      </c>
      <c r="I918" s="31" t="n">
        <v>33721.6</v>
      </c>
      <c r="J918" s="31" t="n">
        <v>33746.8</v>
      </c>
      <c r="K918" s="31" t="n">
        <v>21436.8</v>
      </c>
      <c r="L918" s="31" t="n">
        <v>21340.2</v>
      </c>
      <c r="M918" s="30" t="inlineStr">
        <is>
          <t>AMR1</t>
        </is>
      </c>
      <c r="N918" s="30" t="inlineStr">
        <is>
          <t>AMR1</t>
        </is>
      </c>
      <c r="O918" s="32" t="n">
        <v>1</v>
      </c>
      <c r="P918" s="32" t="n">
        <v>25</v>
      </c>
      <c r="Q918" s="32" t="n">
        <v>1</v>
      </c>
      <c r="R918" s="31" t="n">
        <v>58.3</v>
      </c>
      <c r="S918" s="31" t="n">
        <v>58.3</v>
      </c>
      <c r="T918" s="30" t="inlineStr">
        <is>
          <t>AMR1</t>
        </is>
      </c>
      <c r="U918" s="31" t="n">
        <v>37.6</v>
      </c>
      <c r="V918" s="31" t="n">
        <v>37.6</v>
      </c>
      <c r="W918" s="30" t="inlineStr">
        <is>
          <t>AMR1</t>
        </is>
      </c>
      <c r="X918" s="32" t="n">
        <v>0</v>
      </c>
      <c r="Y918" s="32" t="n">
        <v>0</v>
      </c>
      <c r="Z918" s="31" t="n">
        <v>0</v>
      </c>
      <c r="AA918" s="32" t="n">
        <v>0</v>
      </c>
      <c r="AB918" s="32" t="n">
        <v>0</v>
      </c>
      <c r="AC918" s="32" t="n">
        <v>0</v>
      </c>
      <c r="AD918" s="32" t="n">
        <v>0</v>
      </c>
      <c r="AE918" s="31" t="n">
        <v>0</v>
      </c>
      <c r="AF918" s="32" t="n">
        <v>0</v>
      </c>
      <c r="AG918" s="31" t="n">
        <v>0</v>
      </c>
      <c r="AH918" s="32" t="n">
        <v>56</v>
      </c>
      <c r="AI918" s="31" t="n">
        <v>57.9</v>
      </c>
      <c r="AJ918" s="31" t="n">
        <v>38.6</v>
      </c>
      <c r="AK918" s="31" t="n">
        <v>0</v>
      </c>
      <c r="AL918" s="30" t="inlineStr">
        <is>
          <t>T-1065</t>
        </is>
      </c>
      <c r="AM918" s="30" t="inlineStr">
        <is>
          <t>G-04-01</t>
        </is>
      </c>
      <c r="AN918" s="30" t="inlineStr">
        <is>
          <t>T-0862</t>
        </is>
      </c>
      <c r="AO918" s="30" t="inlineStr">
        <is>
          <t>G-04-03</t>
        </is>
      </c>
    </row>
    <row r="919">
      <c r="A919" s="30" t="inlineStr">
        <is>
          <t>O0918</t>
        </is>
      </c>
      <c r="B919" s="30" t="inlineStr">
        <is>
          <t>F</t>
        </is>
      </c>
      <c r="C919" s="31" t="n">
        <v>12327.3</v>
      </c>
      <c r="D919" s="31" t="n">
        <v>33860.9</v>
      </c>
      <c r="E919" s="31" t="n">
        <v>33884.4</v>
      </c>
      <c r="F919" s="31" t="n">
        <v>33898.3</v>
      </c>
      <c r="G919" s="31" t="n">
        <v>33928.5</v>
      </c>
      <c r="H919" s="31" t="n">
        <v>33928.6</v>
      </c>
      <c r="I919" s="31" t="n">
        <v>33943.3</v>
      </c>
      <c r="J919" s="31" t="n">
        <v>33975.2</v>
      </c>
      <c r="K919" s="31" t="n">
        <v>21647.9</v>
      </c>
      <c r="L919" s="31" t="n">
        <v>21533.6</v>
      </c>
      <c r="M919" s="30" t="inlineStr">
        <is>
          <t>AMR1</t>
        </is>
      </c>
      <c r="N919" s="30" t="inlineStr">
        <is>
          <t>AMR1</t>
        </is>
      </c>
      <c r="O919" s="32" t="n">
        <v>1</v>
      </c>
      <c r="P919" s="32" t="n">
        <v>25</v>
      </c>
      <c r="Q919" s="32" t="n">
        <v>1</v>
      </c>
      <c r="R919" s="31" t="n">
        <v>65.8</v>
      </c>
      <c r="S919" s="31" t="n">
        <v>62.9</v>
      </c>
      <c r="T919" s="30" t="inlineStr">
        <is>
          <t>AMR3</t>
        </is>
      </c>
      <c r="U919" s="31" t="n">
        <v>44.8</v>
      </c>
      <c r="V919" s="31" t="n">
        <v>44.8</v>
      </c>
      <c r="W919" s="30" t="inlineStr">
        <is>
          <t>AMR1</t>
        </is>
      </c>
      <c r="X919" s="32" t="n">
        <v>1</v>
      </c>
      <c r="Y919" s="32" t="n">
        <v>9</v>
      </c>
      <c r="Z919" s="31" t="n">
        <v>2.9</v>
      </c>
      <c r="AA919" s="32" t="n">
        <v>0</v>
      </c>
      <c r="AB919" s="32" t="n">
        <v>0</v>
      </c>
      <c r="AC919" s="32" t="n">
        <v>0</v>
      </c>
      <c r="AD919" s="32" t="n">
        <v>0</v>
      </c>
      <c r="AE919" s="31" t="n">
        <v>0</v>
      </c>
      <c r="AF919" s="32" t="n">
        <v>0</v>
      </c>
      <c r="AG919" s="31" t="n">
        <v>0</v>
      </c>
      <c r="AH919" s="32" t="n">
        <v>72</v>
      </c>
      <c r="AI919" s="31" t="n">
        <v>71.5</v>
      </c>
      <c r="AJ919" s="31" t="n">
        <v>42.7</v>
      </c>
      <c r="AK919" s="31" t="n">
        <v>0</v>
      </c>
      <c r="AL919" s="30" t="inlineStr">
        <is>
          <t>T-1071</t>
        </is>
      </c>
      <c r="AM919" s="30" t="inlineStr">
        <is>
          <t>F-04-03</t>
        </is>
      </c>
      <c r="AN919" s="30" t="inlineStr">
        <is>
          <t>T-0831</t>
        </is>
      </c>
      <c r="AO919" s="30" t="inlineStr">
        <is>
          <t>F-01-02</t>
        </is>
      </c>
    </row>
    <row r="920">
      <c r="A920" s="30" t="inlineStr">
        <is>
          <t>O0919</t>
        </is>
      </c>
      <c r="B920" s="30" t="inlineStr">
        <is>
          <t>A</t>
        </is>
      </c>
      <c r="C920" s="31" t="n">
        <v>12350.7</v>
      </c>
      <c r="D920" s="31" t="n">
        <v>33746.9</v>
      </c>
      <c r="E920" s="31" t="n">
        <v>33770.4</v>
      </c>
      <c r="F920" s="31" t="n">
        <v>33783.9</v>
      </c>
      <c r="G920" s="31" t="n">
        <v>33812.6</v>
      </c>
      <c r="H920" s="31" t="n">
        <v>33812.7</v>
      </c>
      <c r="I920" s="31" t="n">
        <v>33822.3</v>
      </c>
      <c r="J920" s="31" t="n">
        <v>33860.8</v>
      </c>
      <c r="K920" s="31" t="n">
        <v>21510.1</v>
      </c>
      <c r="L920" s="31" t="n">
        <v>21396.2</v>
      </c>
      <c r="M920" s="30" t="inlineStr">
        <is>
          <t>AMR1</t>
        </is>
      </c>
      <c r="N920" s="30" t="inlineStr">
        <is>
          <t>AMR1</t>
        </is>
      </c>
      <c r="O920" s="32" t="n">
        <v>1</v>
      </c>
      <c r="P920" s="32" t="n">
        <v>25</v>
      </c>
      <c r="Q920" s="32" t="n">
        <v>1</v>
      </c>
      <c r="R920" s="31" t="n">
        <v>62.2</v>
      </c>
      <c r="S920" s="31" t="n">
        <v>62.2</v>
      </c>
      <c r="T920" s="30" t="inlineStr">
        <is>
          <t>AMR1</t>
        </is>
      </c>
      <c r="U920" s="31" t="n">
        <v>44.7</v>
      </c>
      <c r="V920" s="31" t="n">
        <v>44.7</v>
      </c>
      <c r="W920" s="30" t="inlineStr">
        <is>
          <t>AMR1</t>
        </is>
      </c>
      <c r="X920" s="32" t="n">
        <v>0</v>
      </c>
      <c r="Y920" s="32" t="n">
        <v>0</v>
      </c>
      <c r="Z920" s="31" t="n">
        <v>0</v>
      </c>
      <c r="AA920" s="32" t="n">
        <v>0</v>
      </c>
      <c r="AB920" s="32" t="n">
        <v>0</v>
      </c>
      <c r="AC920" s="32" t="n">
        <v>0</v>
      </c>
      <c r="AD920" s="32" t="n">
        <v>1</v>
      </c>
      <c r="AE920" s="31" t="n">
        <v>4</v>
      </c>
      <c r="AF920" s="32" t="n">
        <v>0</v>
      </c>
      <c r="AG920" s="31" t="n">
        <v>0</v>
      </c>
      <c r="AH920" s="32" t="n">
        <v>72</v>
      </c>
      <c r="AI920" s="31" t="n">
        <v>70.3</v>
      </c>
      <c r="AJ920" s="31" t="n">
        <v>39.5</v>
      </c>
      <c r="AK920" s="31" t="n">
        <v>4</v>
      </c>
      <c r="AL920" s="30" t="inlineStr">
        <is>
          <t>T-1068</t>
        </is>
      </c>
      <c r="AM920" s="30" t="inlineStr">
        <is>
          <t>A-01-02</t>
        </is>
      </c>
      <c r="AN920" s="30" t="inlineStr">
        <is>
          <t>T-0834</t>
        </is>
      </c>
      <c r="AO920" s="30" t="inlineStr">
        <is>
          <t>A-03-02</t>
        </is>
      </c>
    </row>
    <row r="921">
      <c r="A921" s="30" t="inlineStr">
        <is>
          <t>O0920</t>
        </is>
      </c>
      <c r="B921" s="30" t="inlineStr">
        <is>
          <t>G</t>
        </is>
      </c>
      <c r="C921" s="31" t="n">
        <v>12365.7</v>
      </c>
      <c r="D921" s="31" t="n">
        <v>33929.1</v>
      </c>
      <c r="E921" s="31" t="n">
        <v>33952.6</v>
      </c>
      <c r="F921" s="31" t="n">
        <v>33968.2</v>
      </c>
      <c r="G921" s="31" t="n">
        <v>33992.9</v>
      </c>
      <c r="H921" s="31" t="n">
        <v>33993</v>
      </c>
      <c r="I921" s="31" t="n">
        <v>34008.1</v>
      </c>
      <c r="J921" s="31" t="n">
        <v>34034.7</v>
      </c>
      <c r="K921" s="31" t="n">
        <v>21669</v>
      </c>
      <c r="L921" s="31" t="n">
        <v>21563.4</v>
      </c>
      <c r="M921" s="30" t="inlineStr">
        <is>
          <t>AMR2</t>
        </is>
      </c>
      <c r="N921" s="30" t="inlineStr">
        <is>
          <t>AMR2</t>
        </is>
      </c>
      <c r="O921" s="32" t="n">
        <v>1</v>
      </c>
      <c r="P921" s="32" t="n">
        <v>25</v>
      </c>
      <c r="Q921" s="32" t="n">
        <v>0</v>
      </c>
      <c r="R921" s="31" t="n">
        <v>61.2</v>
      </c>
      <c r="S921" s="31" t="n">
        <v>57.3</v>
      </c>
      <c r="T921" s="30" t="inlineStr">
        <is>
          <t>AMR3</t>
        </is>
      </c>
      <c r="U921" s="31" t="n">
        <v>38.9</v>
      </c>
      <c r="V921" s="31" t="n">
        <v>38.9</v>
      </c>
      <c r="W921" s="30" t="inlineStr">
        <is>
          <t>AMR2</t>
        </is>
      </c>
      <c r="X921" s="32" t="n">
        <v>1</v>
      </c>
      <c r="Y921" s="32" t="n">
        <v>12</v>
      </c>
      <c r="Z921" s="31" t="n">
        <v>3.9</v>
      </c>
      <c r="AA921" s="32" t="n">
        <v>0</v>
      </c>
      <c r="AB921" s="32" t="n">
        <v>0</v>
      </c>
      <c r="AC921" s="32" t="n">
        <v>0</v>
      </c>
      <c r="AD921" s="32" t="n">
        <v>0</v>
      </c>
      <c r="AE921" s="31" t="n">
        <v>0</v>
      </c>
      <c r="AF921" s="32" t="n">
        <v>0</v>
      </c>
      <c r="AG921" s="31" t="n">
        <v>0</v>
      </c>
      <c r="AH921" s="32" t="n">
        <v>60</v>
      </c>
      <c r="AI921" s="31" t="n">
        <v>62</v>
      </c>
      <c r="AJ921" s="31" t="n">
        <v>43.5</v>
      </c>
      <c r="AK921" s="31" t="n">
        <v>0</v>
      </c>
      <c r="AL921" s="30" t="inlineStr">
        <is>
          <t>T-1073</t>
        </is>
      </c>
      <c r="AM921" s="30" t="inlineStr">
        <is>
          <t>G-03-02</t>
        </is>
      </c>
      <c r="AN921" s="30" t="inlineStr">
        <is>
          <t>T-0874</t>
        </is>
      </c>
      <c r="AO921" s="30" t="inlineStr">
        <is>
          <t>G-02-02</t>
        </is>
      </c>
    </row>
    <row r="922">
      <c r="A922" s="30" t="inlineStr">
        <is>
          <t>O0921</t>
        </is>
      </c>
      <c r="B922" s="30" t="inlineStr">
        <is>
          <t>B</t>
        </is>
      </c>
      <c r="C922" s="31" t="n">
        <v>12388</v>
      </c>
      <c r="D922" s="31" t="n">
        <v>33801.6</v>
      </c>
      <c r="E922" s="31" t="n">
        <v>33825.1</v>
      </c>
      <c r="F922" s="31" t="n">
        <v>33840.6</v>
      </c>
      <c r="G922" s="31" t="n">
        <v>33865.4</v>
      </c>
      <c r="H922" s="31" t="n">
        <v>34059.9</v>
      </c>
      <c r="I922" s="31" t="n">
        <v>34076.7</v>
      </c>
      <c r="J922" s="31" t="n">
        <v>34102</v>
      </c>
      <c r="K922" s="31" t="n">
        <v>21714</v>
      </c>
      <c r="L922" s="31" t="n">
        <v>21413.6</v>
      </c>
      <c r="M922" s="30" t="inlineStr">
        <is>
          <t>AMR3</t>
        </is>
      </c>
      <c r="N922" s="30" t="inlineStr">
        <is>
          <t>AMR3</t>
        </is>
      </c>
      <c r="O922" s="32" t="n">
        <v>1</v>
      </c>
      <c r="P922" s="32" t="n">
        <v>25</v>
      </c>
      <c r="Q922" s="32" t="n">
        <v>1</v>
      </c>
      <c r="R922" s="31" t="n">
        <v>60.3</v>
      </c>
      <c r="S922" s="31" t="n">
        <v>60.3</v>
      </c>
      <c r="T922" s="30" t="inlineStr">
        <is>
          <t>AMR3</t>
        </is>
      </c>
      <c r="U922" s="31" t="n">
        <v>41.9</v>
      </c>
      <c r="V922" s="31" t="n">
        <v>41.9</v>
      </c>
      <c r="W922" s="30" t="inlineStr">
        <is>
          <t>AMR3</t>
        </is>
      </c>
      <c r="X922" s="32" t="n">
        <v>0</v>
      </c>
      <c r="Y922" s="32" t="n">
        <v>0</v>
      </c>
      <c r="Z922" s="31" t="n">
        <v>0</v>
      </c>
      <c r="AA922" s="32" t="n">
        <v>0</v>
      </c>
      <c r="AB922" s="32" t="n">
        <v>0</v>
      </c>
      <c r="AC922" s="32" t="n">
        <v>0</v>
      </c>
      <c r="AD922" s="32" t="n">
        <v>0</v>
      </c>
      <c r="AE922" s="31" t="n">
        <v>0</v>
      </c>
      <c r="AF922" s="32" t="n">
        <v>0</v>
      </c>
      <c r="AG922" s="31" t="n">
        <v>0</v>
      </c>
      <c r="AH922" s="32" t="n">
        <v>60</v>
      </c>
      <c r="AI922" s="31" t="n">
        <v>60.5</v>
      </c>
      <c r="AJ922" s="31" t="n">
        <v>45.4</v>
      </c>
      <c r="AK922" s="31" t="n">
        <v>0</v>
      </c>
      <c r="AL922" s="30" t="inlineStr">
        <is>
          <t>T-1069</t>
        </is>
      </c>
      <c r="AM922" s="30" t="inlineStr">
        <is>
          <t>B-01-03</t>
        </is>
      </c>
      <c r="AN922" s="30" t="inlineStr">
        <is>
          <t>T-0927</t>
        </is>
      </c>
      <c r="AO922" s="30" t="inlineStr">
        <is>
          <t>B-06-01</t>
        </is>
      </c>
    </row>
    <row r="923">
      <c r="A923" s="30" t="inlineStr">
        <is>
          <t>O0922</t>
        </is>
      </c>
      <c r="B923" s="30" t="inlineStr">
        <is>
          <t>D</t>
        </is>
      </c>
      <c r="C923" s="31" t="n">
        <v>12408.3</v>
      </c>
      <c r="D923" s="31" t="n">
        <v>33698.2</v>
      </c>
      <c r="E923" s="31" t="n">
        <v>33727.7</v>
      </c>
      <c r="F923" s="31" t="n">
        <v>33738.5</v>
      </c>
      <c r="G923" s="31" t="n">
        <v>33761.8</v>
      </c>
      <c r="H923" s="31" t="n">
        <v>33761.9</v>
      </c>
      <c r="I923" s="31" t="n">
        <v>33775.4</v>
      </c>
      <c r="J923" s="31" t="n">
        <v>33819.3</v>
      </c>
      <c r="K923" s="31" t="n">
        <v>21411</v>
      </c>
      <c r="L923" s="31" t="n">
        <v>21289.9</v>
      </c>
      <c r="M923" s="30" t="inlineStr">
        <is>
          <t>AMR2</t>
        </is>
      </c>
      <c r="N923" s="30" t="inlineStr">
        <is>
          <t>AMR2</t>
        </is>
      </c>
      <c r="O923" s="32" t="n">
        <v>1</v>
      </c>
      <c r="P923" s="32" t="n">
        <v>25</v>
      </c>
      <c r="Q923" s="32" t="n">
        <v>1</v>
      </c>
      <c r="R923" s="31" t="n">
        <v>55.7</v>
      </c>
      <c r="S923" s="31" t="n">
        <v>55.7</v>
      </c>
      <c r="T923" s="30" t="inlineStr">
        <is>
          <t>AMR2</t>
        </is>
      </c>
      <c r="U923" s="31" t="n">
        <v>42.1</v>
      </c>
      <c r="V923" s="31" t="n">
        <v>42.1</v>
      </c>
      <c r="W923" s="30" t="inlineStr">
        <is>
          <t>AMR2</t>
        </is>
      </c>
      <c r="X923" s="32" t="n">
        <v>0</v>
      </c>
      <c r="Y923" s="32" t="n">
        <v>0</v>
      </c>
      <c r="Z923" s="31" t="n">
        <v>0</v>
      </c>
      <c r="AA923" s="32" t="n">
        <v>0</v>
      </c>
      <c r="AB923" s="32" t="n">
        <v>0</v>
      </c>
      <c r="AC923" s="32" t="n">
        <v>0</v>
      </c>
      <c r="AD923" s="32" t="n">
        <v>1</v>
      </c>
      <c r="AE923" s="31" t="n">
        <v>15</v>
      </c>
      <c r="AF923" s="32" t="n">
        <v>2</v>
      </c>
      <c r="AG923" s="31" t="n">
        <v>11</v>
      </c>
      <c r="AH923" s="32" t="n">
        <v>54</v>
      </c>
      <c r="AI923" s="31" t="n">
        <v>55.8</v>
      </c>
      <c r="AJ923" s="31" t="n">
        <v>44.2</v>
      </c>
      <c r="AK923" s="31" t="n">
        <v>21</v>
      </c>
      <c r="AL923" s="30" t="inlineStr">
        <is>
          <t>T-1067</t>
        </is>
      </c>
      <c r="AM923" s="30" t="inlineStr">
        <is>
          <t>D-02-02</t>
        </is>
      </c>
      <c r="AN923" s="30" t="inlineStr">
        <is>
          <t>T-0947</t>
        </is>
      </c>
      <c r="AO923" s="30" t="inlineStr">
        <is>
          <t>D-03-02</t>
        </is>
      </c>
    </row>
    <row r="924">
      <c r="A924" s="30" t="inlineStr">
        <is>
          <t>O0923</t>
        </is>
      </c>
      <c r="B924" s="30" t="inlineStr">
        <is>
          <t>A</t>
        </is>
      </c>
      <c r="C924" s="31" t="n">
        <v>12428.2</v>
      </c>
      <c r="D924" s="31" t="n">
        <v>34102.1</v>
      </c>
      <c r="E924" s="31" t="n">
        <v>34125.6</v>
      </c>
      <c r="F924" s="31" t="n">
        <v>34141.3</v>
      </c>
      <c r="G924" s="31" t="n">
        <v>34171.5</v>
      </c>
      <c r="H924" s="31" t="n">
        <v>34171.6</v>
      </c>
      <c r="I924" s="31" t="n">
        <v>34183.9</v>
      </c>
      <c r="J924" s="31" t="n">
        <v>34218.3</v>
      </c>
      <c r="K924" s="31" t="n">
        <v>21790.1</v>
      </c>
      <c r="L924" s="31" t="n">
        <v>21673.9</v>
      </c>
      <c r="M924" s="30" t="inlineStr">
        <is>
          <t>AMR3</t>
        </is>
      </c>
      <c r="N924" s="30" t="inlineStr">
        <is>
          <t>AMR3</t>
        </is>
      </c>
      <c r="O924" s="32" t="n">
        <v>1</v>
      </c>
      <c r="P924" s="32" t="n">
        <v>25</v>
      </c>
      <c r="Q924" s="32" t="n">
        <v>0</v>
      </c>
      <c r="R924" s="31" t="n">
        <v>66.7</v>
      </c>
      <c r="S924" s="31" t="n">
        <v>66.7</v>
      </c>
      <c r="T924" s="30" t="inlineStr">
        <is>
          <t>AMR3</t>
        </is>
      </c>
      <c r="U924" s="31" t="n">
        <v>47.4</v>
      </c>
      <c r="V924" s="31" t="n">
        <v>47.4</v>
      </c>
      <c r="W924" s="30" t="inlineStr">
        <is>
          <t>AMR3</t>
        </is>
      </c>
      <c r="X924" s="32" t="n">
        <v>0</v>
      </c>
      <c r="Y924" s="32" t="n">
        <v>0</v>
      </c>
      <c r="Z924" s="31" t="n">
        <v>0</v>
      </c>
      <c r="AA924" s="32" t="n">
        <v>0</v>
      </c>
      <c r="AB924" s="32" t="n">
        <v>0</v>
      </c>
      <c r="AC924" s="32" t="n">
        <v>0</v>
      </c>
      <c r="AD924" s="32" t="n">
        <v>0</v>
      </c>
      <c r="AE924" s="31" t="n">
        <v>0</v>
      </c>
      <c r="AF924" s="32" t="n">
        <v>0</v>
      </c>
      <c r="AG924" s="31" t="n">
        <v>0</v>
      </c>
      <c r="AH924" s="32" t="n">
        <v>70</v>
      </c>
      <c r="AI924" s="31" t="n">
        <v>68.7</v>
      </c>
      <c r="AJ924" s="31" t="n">
        <v>47.4</v>
      </c>
      <c r="AK924" s="31" t="n">
        <v>0</v>
      </c>
      <c r="AL924" s="30" t="inlineStr">
        <is>
          <t>T-1078</t>
        </is>
      </c>
      <c r="AM924" s="30" t="inlineStr">
        <is>
          <t>A-03-02</t>
        </is>
      </c>
      <c r="AN924" s="30" t="inlineStr">
        <is>
          <t>T-0838</t>
        </is>
      </c>
      <c r="AO924" s="30" t="inlineStr">
        <is>
          <t>A-04-01</t>
        </is>
      </c>
    </row>
    <row r="925">
      <c r="A925" s="30" t="inlineStr">
        <is>
          <t>O0924</t>
        </is>
      </c>
      <c r="B925" s="30" t="inlineStr">
        <is>
          <t>B</t>
        </is>
      </c>
      <c r="C925" s="31" t="n">
        <v>12450.3</v>
      </c>
      <c r="D925" s="31" t="n">
        <v>33865.5</v>
      </c>
      <c r="E925" s="31" t="n">
        <v>33899.9</v>
      </c>
      <c r="F925" s="31" t="n">
        <v>33910.6</v>
      </c>
      <c r="G925" s="31" t="n">
        <v>33934.7</v>
      </c>
      <c r="H925" s="31" t="n">
        <v>33934.8</v>
      </c>
      <c r="I925" s="31" t="n">
        <v>33945.7</v>
      </c>
      <c r="J925" s="31" t="n">
        <v>33999.8</v>
      </c>
      <c r="K925" s="31" t="n">
        <v>21549.5</v>
      </c>
      <c r="L925" s="31" t="n">
        <v>21415.2</v>
      </c>
      <c r="M925" s="30" t="inlineStr">
        <is>
          <t>AMR3</t>
        </is>
      </c>
      <c r="N925" s="30" t="inlineStr">
        <is>
          <t>AMR3</t>
        </is>
      </c>
      <c r="O925" s="32" t="n">
        <v>1</v>
      </c>
      <c r="P925" s="32" t="n">
        <v>16</v>
      </c>
      <c r="Q925" s="32" t="n">
        <v>2</v>
      </c>
      <c r="R925" s="31" t="n">
        <v>49.7</v>
      </c>
      <c r="S925" s="31" t="n">
        <v>49.7</v>
      </c>
      <c r="T925" s="30" t="inlineStr">
        <is>
          <t>AMR3</t>
        </is>
      </c>
      <c r="U925" s="31" t="n">
        <v>42.2</v>
      </c>
      <c r="V925" s="31" t="n">
        <v>42.2</v>
      </c>
      <c r="W925" s="30" t="inlineStr">
        <is>
          <t>AMR3</t>
        </is>
      </c>
      <c r="X925" s="32" t="n">
        <v>0</v>
      </c>
      <c r="Y925" s="32" t="n">
        <v>0</v>
      </c>
      <c r="Z925" s="31" t="n">
        <v>0</v>
      </c>
      <c r="AA925" s="32" t="n">
        <v>0</v>
      </c>
      <c r="AB925" s="32" t="n">
        <v>0</v>
      </c>
      <c r="AC925" s="32" t="n">
        <v>0</v>
      </c>
      <c r="AD925" s="32" t="n">
        <v>1</v>
      </c>
      <c r="AE925" s="31" t="n">
        <v>21</v>
      </c>
      <c r="AF925" s="32" t="n">
        <v>2</v>
      </c>
      <c r="AG925" s="31" t="n">
        <v>30</v>
      </c>
      <c r="AH925" s="32" t="n">
        <v>51</v>
      </c>
      <c r="AI925" s="31" t="n">
        <v>52.3</v>
      </c>
      <c r="AJ925" s="31" t="n">
        <v>41.9</v>
      </c>
      <c r="AK925" s="31" t="n">
        <v>40</v>
      </c>
      <c r="AL925" s="30" t="inlineStr">
        <is>
          <t>T-1072</t>
        </is>
      </c>
      <c r="AM925" s="30" t="inlineStr">
        <is>
          <t>B-06-03</t>
        </is>
      </c>
      <c r="AN925" s="30" t="inlineStr">
        <is>
          <t>T-0908</t>
        </is>
      </c>
      <c r="AO925" s="30" t="inlineStr">
        <is>
          <t>B-02-03</t>
        </is>
      </c>
    </row>
    <row r="926">
      <c r="A926" s="30" t="inlineStr">
        <is>
          <t>O0925</t>
        </is>
      </c>
      <c r="B926" s="30" t="inlineStr">
        <is>
          <t>I</t>
        </is>
      </c>
      <c r="C926" s="31" t="n">
        <v>12474.5</v>
      </c>
      <c r="D926" s="31" t="n">
        <v>33819.4</v>
      </c>
      <c r="E926" s="31" t="n">
        <v>33848.9</v>
      </c>
      <c r="F926" s="31" t="n">
        <v>33860.9</v>
      </c>
      <c r="G926" s="31" t="n">
        <v>33887.6</v>
      </c>
      <c r="H926" s="31" t="n">
        <v>33887.7</v>
      </c>
      <c r="I926" s="31" t="n">
        <v>33902.3</v>
      </c>
      <c r="J926" s="31" t="n">
        <v>33929</v>
      </c>
      <c r="K926" s="31" t="n">
        <v>21454.5</v>
      </c>
      <c r="L926" s="31" t="n">
        <v>21344.9</v>
      </c>
      <c r="M926" s="30" t="inlineStr">
        <is>
          <t>AMR2</t>
        </is>
      </c>
      <c r="N926" s="30" t="inlineStr">
        <is>
          <t>AMR2</t>
        </is>
      </c>
      <c r="O926" s="32" t="n">
        <v>1</v>
      </c>
      <c r="P926" s="32" t="n">
        <v>25</v>
      </c>
      <c r="Q926" s="32" t="n">
        <v>2</v>
      </c>
      <c r="R926" s="31" t="n">
        <v>58</v>
      </c>
      <c r="S926" s="31" t="n">
        <v>58</v>
      </c>
      <c r="T926" s="30" t="inlineStr">
        <is>
          <t>AMR2</t>
        </is>
      </c>
      <c r="U926" s="31" t="n">
        <v>41</v>
      </c>
      <c r="V926" s="31" t="n">
        <v>41</v>
      </c>
      <c r="W926" s="30" t="inlineStr">
        <is>
          <t>AMR2</t>
        </is>
      </c>
      <c r="X926" s="32" t="n">
        <v>0</v>
      </c>
      <c r="Y926" s="32" t="n">
        <v>0</v>
      </c>
      <c r="Z926" s="31" t="n">
        <v>0</v>
      </c>
      <c r="AA926" s="32" t="n">
        <v>0</v>
      </c>
      <c r="AB926" s="32" t="n">
        <v>0</v>
      </c>
      <c r="AC926" s="32" t="n">
        <v>0</v>
      </c>
      <c r="AD926" s="32" t="n">
        <v>0</v>
      </c>
      <c r="AE926" s="31" t="n">
        <v>0</v>
      </c>
      <c r="AF926" s="32" t="n">
        <v>1</v>
      </c>
      <c r="AG926" s="31" t="n">
        <v>1</v>
      </c>
      <c r="AH926" s="32" t="n">
        <v>58</v>
      </c>
      <c r="AI926" s="31" t="n">
        <v>59.3</v>
      </c>
      <c r="AJ926" s="31" t="n">
        <v>44.2</v>
      </c>
      <c r="AK926" s="31" t="n">
        <v>6</v>
      </c>
      <c r="AL926" s="30" t="inlineStr">
        <is>
          <t>T-1070</t>
        </is>
      </c>
      <c r="AM926" s="30" t="inlineStr">
        <is>
          <t>I-06-02</t>
        </is>
      </c>
      <c r="AN926" s="30" t="inlineStr">
        <is>
          <t>T-0919</t>
        </is>
      </c>
      <c r="AO926" s="30" t="inlineStr">
        <is>
          <t>I-02-03</t>
        </is>
      </c>
    </row>
    <row r="927">
      <c r="A927" s="30" t="inlineStr">
        <is>
          <t>O0926</t>
        </is>
      </c>
      <c r="B927" s="30" t="inlineStr">
        <is>
          <t>F</t>
        </is>
      </c>
      <c r="C927" s="31" t="n">
        <v>12496.6</v>
      </c>
      <c r="D927" s="31" t="n">
        <v>35660.4</v>
      </c>
      <c r="E927" s="31" t="n">
        <v>35671.7</v>
      </c>
      <c r="F927" s="31" t="n">
        <v>35685.8</v>
      </c>
      <c r="G927" s="31" t="n">
        <v>35718.9</v>
      </c>
      <c r="H927" s="31" t="n">
        <v>35719</v>
      </c>
      <c r="I927" s="31" t="n">
        <v>35728.8</v>
      </c>
      <c r="J927" s="31" t="n">
        <v>35760.7</v>
      </c>
      <c r="K927" s="31" t="n">
        <v>23264.1</v>
      </c>
      <c r="L927" s="31" t="n">
        <v>23163.8</v>
      </c>
      <c r="M927" s="30" t="inlineStr">
        <is>
          <t>AMR2</t>
        </is>
      </c>
      <c r="N927" s="30" t="inlineStr">
        <is>
          <t>AMR2</t>
        </is>
      </c>
      <c r="O927" s="32" t="n">
        <v>1</v>
      </c>
      <c r="P927" s="32" t="n">
        <v>11</v>
      </c>
      <c r="Q927" s="32" t="n">
        <v>1</v>
      </c>
      <c r="R927" s="31" t="n">
        <v>57.3</v>
      </c>
      <c r="S927" s="31" t="n">
        <v>57.3</v>
      </c>
      <c r="T927" s="30" t="inlineStr">
        <is>
          <t>AMR2</t>
        </is>
      </c>
      <c r="U927" s="31" t="n">
        <v>42.9</v>
      </c>
      <c r="V927" s="31" t="n">
        <v>42.9</v>
      </c>
      <c r="W927" s="30" t="inlineStr">
        <is>
          <t>AMR2</t>
        </is>
      </c>
      <c r="X927" s="32" t="n">
        <v>0</v>
      </c>
      <c r="Y927" s="32" t="n">
        <v>0</v>
      </c>
      <c r="Z927" s="31" t="n">
        <v>0</v>
      </c>
      <c r="AA927" s="32" t="n">
        <v>0</v>
      </c>
      <c r="AB927" s="32" t="n">
        <v>0</v>
      </c>
      <c r="AC927" s="32" t="n">
        <v>0</v>
      </c>
      <c r="AD927" s="32" t="n">
        <v>1</v>
      </c>
      <c r="AE927" s="31" t="n">
        <v>1</v>
      </c>
      <c r="AF927" s="32" t="n">
        <v>0</v>
      </c>
      <c r="AG927" s="31" t="n">
        <v>0</v>
      </c>
      <c r="AH927" s="32" t="n">
        <v>54</v>
      </c>
      <c r="AI927" s="31" t="n">
        <v>55.3</v>
      </c>
      <c r="AJ927" s="31" t="n">
        <v>43.9</v>
      </c>
      <c r="AK927" s="31" t="n">
        <v>1</v>
      </c>
      <c r="AL927" s="30" t="inlineStr">
        <is>
          <t>T-1121</t>
        </is>
      </c>
      <c r="AM927" s="30" t="inlineStr">
        <is>
          <t>F-05-01</t>
        </is>
      </c>
      <c r="AN927" s="30" t="inlineStr">
        <is>
          <t>T-0930</t>
        </is>
      </c>
      <c r="AO927" s="30" t="inlineStr">
        <is>
          <t>F-06-01</t>
        </is>
      </c>
    </row>
    <row r="928">
      <c r="A928" s="30" t="inlineStr">
        <is>
          <t>O0927</t>
        </is>
      </c>
      <c r="B928" s="30" t="inlineStr">
        <is>
          <t>B</t>
        </is>
      </c>
      <c r="C928" s="31" t="n">
        <v>12521.3</v>
      </c>
      <c r="D928" s="31" t="n">
        <v>34144.2</v>
      </c>
      <c r="E928" s="31" t="n">
        <v>34167.7</v>
      </c>
      <c r="F928" s="31" t="n">
        <v>34178.3</v>
      </c>
      <c r="G928" s="31" t="n">
        <v>34203.9</v>
      </c>
      <c r="H928" s="31" t="n">
        <v>34303.9</v>
      </c>
      <c r="I928" s="31" t="n">
        <v>34313.1</v>
      </c>
      <c r="J928" s="31" t="n">
        <v>34345.9</v>
      </c>
      <c r="K928" s="31" t="n">
        <v>21824.6</v>
      </c>
      <c r="L928" s="31" t="n">
        <v>21622.9</v>
      </c>
      <c r="M928" s="30" t="inlineStr">
        <is>
          <t>AMR2</t>
        </is>
      </c>
      <c r="N928" s="30" t="inlineStr">
        <is>
          <t>AMR2</t>
        </is>
      </c>
      <c r="O928" s="32" t="n">
        <v>1</v>
      </c>
      <c r="P928" s="32" t="n">
        <v>25</v>
      </c>
      <c r="Q928" s="32" t="n">
        <v>0</v>
      </c>
      <c r="R928" s="31" t="n">
        <v>58.6</v>
      </c>
      <c r="S928" s="31" t="n">
        <v>58.6</v>
      </c>
      <c r="T928" s="30" t="inlineStr">
        <is>
          <t>AMR2</t>
        </is>
      </c>
      <c r="U928" s="31" t="n">
        <v>40.2</v>
      </c>
      <c r="V928" s="31" t="n">
        <v>40.2</v>
      </c>
      <c r="W928" s="30" t="inlineStr">
        <is>
          <t>AMR2</t>
        </is>
      </c>
      <c r="X928" s="32" t="n">
        <v>0</v>
      </c>
      <c r="Y928" s="32" t="n">
        <v>0</v>
      </c>
      <c r="Z928" s="31" t="n">
        <v>0</v>
      </c>
      <c r="AA928" s="32" t="n">
        <v>0</v>
      </c>
      <c r="AB928" s="32" t="n">
        <v>0</v>
      </c>
      <c r="AC928" s="32" t="n">
        <v>0</v>
      </c>
      <c r="AD928" s="32" t="n">
        <v>0</v>
      </c>
      <c r="AE928" s="31" t="n">
        <v>0</v>
      </c>
      <c r="AF928" s="32" t="n">
        <v>0</v>
      </c>
      <c r="AG928" s="31" t="n">
        <v>0</v>
      </c>
      <c r="AH928" s="32" t="n">
        <v>58</v>
      </c>
      <c r="AI928" s="31" t="n">
        <v>59</v>
      </c>
      <c r="AJ928" s="31" t="n">
        <v>42.7</v>
      </c>
      <c r="AK928" s="31" t="n">
        <v>0</v>
      </c>
      <c r="AL928" s="30" t="inlineStr">
        <is>
          <t>T-1079</t>
        </is>
      </c>
      <c r="AM928" s="30" t="inlineStr">
        <is>
          <t>B-06-01</t>
        </is>
      </c>
      <c r="AN928" s="30" t="inlineStr">
        <is>
          <t>T-0970</t>
        </is>
      </c>
      <c r="AO928" s="30" t="inlineStr">
        <is>
          <t>B-01-01</t>
        </is>
      </c>
    </row>
    <row r="929">
      <c r="A929" s="30" t="inlineStr">
        <is>
          <t>O0928</t>
        </is>
      </c>
      <c r="B929" s="30" t="inlineStr">
        <is>
          <t>C</t>
        </is>
      </c>
      <c r="C929" s="31" t="n">
        <v>12537.3</v>
      </c>
      <c r="D929" s="31" t="n">
        <v>33975.3</v>
      </c>
      <c r="E929" s="31" t="n">
        <v>33998.8</v>
      </c>
      <c r="F929" s="31" t="n">
        <v>34014.8</v>
      </c>
      <c r="G929" s="31" t="n">
        <v>34039.6</v>
      </c>
      <c r="H929" s="31" t="n">
        <v>34039.7</v>
      </c>
      <c r="I929" s="31" t="n">
        <v>34048.6</v>
      </c>
      <c r="J929" s="31" t="n">
        <v>34075.6</v>
      </c>
      <c r="K929" s="31" t="n">
        <v>21538.3</v>
      </c>
      <c r="L929" s="31" t="n">
        <v>21438</v>
      </c>
      <c r="M929" s="30" t="inlineStr">
        <is>
          <t>AMR1</t>
        </is>
      </c>
      <c r="N929" s="30" t="inlineStr">
        <is>
          <t>AMR1</t>
        </is>
      </c>
      <c r="O929" s="32" t="n">
        <v>1</v>
      </c>
      <c r="P929" s="32" t="n">
        <v>25</v>
      </c>
      <c r="Q929" s="32" t="n">
        <v>1</v>
      </c>
      <c r="R929" s="31" t="n">
        <v>62.4</v>
      </c>
      <c r="S929" s="31" t="n">
        <v>62.4</v>
      </c>
      <c r="T929" s="30" t="inlineStr">
        <is>
          <t>AMR1</t>
        </is>
      </c>
      <c r="U929" s="31" t="n">
        <v>37.1</v>
      </c>
      <c r="V929" s="31" t="n">
        <v>37.1</v>
      </c>
      <c r="W929" s="30" t="inlineStr">
        <is>
          <t>AMR1</t>
        </is>
      </c>
      <c r="X929" s="32" t="n">
        <v>0</v>
      </c>
      <c r="Y929" s="32" t="n">
        <v>0</v>
      </c>
      <c r="Z929" s="31" t="n">
        <v>0</v>
      </c>
      <c r="AA929" s="32" t="n">
        <v>0</v>
      </c>
      <c r="AB929" s="32" t="n">
        <v>0</v>
      </c>
      <c r="AC929" s="32" t="n">
        <v>0</v>
      </c>
      <c r="AD929" s="32" t="n">
        <v>0</v>
      </c>
      <c r="AE929" s="31" t="n">
        <v>0</v>
      </c>
      <c r="AF929" s="32" t="n">
        <v>0</v>
      </c>
      <c r="AG929" s="31" t="n">
        <v>0</v>
      </c>
      <c r="AH929" s="32" t="n">
        <v>52</v>
      </c>
      <c r="AI929" s="31" t="n">
        <v>53.8</v>
      </c>
      <c r="AJ929" s="31" t="n">
        <v>46.4</v>
      </c>
      <c r="AK929" s="31" t="n">
        <v>0</v>
      </c>
      <c r="AL929" s="30" t="inlineStr">
        <is>
          <t>T-1074</t>
        </is>
      </c>
      <c r="AM929" s="30" t="inlineStr">
        <is>
          <t>C-01-01</t>
        </is>
      </c>
      <c r="AN929" s="30" t="inlineStr">
        <is>
          <t>T-0963</t>
        </is>
      </c>
      <c r="AO929" s="30" t="inlineStr">
        <is>
          <t>C-02-03</t>
        </is>
      </c>
    </row>
    <row r="930">
      <c r="A930" s="30" t="inlineStr">
        <is>
          <t>O0929</t>
        </is>
      </c>
      <c r="B930" s="30" t="inlineStr">
        <is>
          <t>B</t>
        </is>
      </c>
      <c r="C930" s="31" t="n">
        <v>12560.5</v>
      </c>
      <c r="D930" s="31" t="n">
        <v>33999.9</v>
      </c>
      <c r="E930" s="31" t="n">
        <v>34023.4</v>
      </c>
      <c r="F930" s="31" t="n">
        <v>34037.1</v>
      </c>
      <c r="G930" s="31" t="n">
        <v>34059.8</v>
      </c>
      <c r="H930" s="31" t="n">
        <v>34204</v>
      </c>
      <c r="I930" s="31" t="n">
        <v>34216.3</v>
      </c>
      <c r="J930" s="31" t="n">
        <v>34243.9</v>
      </c>
      <c r="K930" s="31" t="n">
        <v>21683.4</v>
      </c>
      <c r="L930" s="31" t="n">
        <v>21439.4</v>
      </c>
      <c r="M930" s="30" t="inlineStr">
        <is>
          <t>AMR3</t>
        </is>
      </c>
      <c r="N930" s="30" t="inlineStr">
        <is>
          <t>AMR2</t>
        </is>
      </c>
      <c r="O930" s="32" t="n">
        <v>1</v>
      </c>
      <c r="P930" s="32" t="n">
        <v>25</v>
      </c>
      <c r="Q930" s="32" t="n">
        <v>2</v>
      </c>
      <c r="R930" s="31" t="n">
        <v>56.4</v>
      </c>
      <c r="S930" s="31" t="n">
        <v>56.4</v>
      </c>
      <c r="T930" s="30" t="inlineStr">
        <is>
          <t>AMR3</t>
        </is>
      </c>
      <c r="U930" s="31" t="n">
        <v>39.6</v>
      </c>
      <c r="V930" s="31" t="n">
        <v>39.6</v>
      </c>
      <c r="W930" s="30" t="inlineStr">
        <is>
          <t>AMR2</t>
        </is>
      </c>
      <c r="X930" s="32" t="n">
        <v>0</v>
      </c>
      <c r="Y930" s="32" t="n">
        <v>0</v>
      </c>
      <c r="Z930" s="31" t="n">
        <v>0</v>
      </c>
      <c r="AA930" s="32" t="n">
        <v>0</v>
      </c>
      <c r="AB930" s="32" t="n">
        <v>0</v>
      </c>
      <c r="AC930" s="32" t="n">
        <v>0</v>
      </c>
      <c r="AD930" s="32" t="n">
        <v>0</v>
      </c>
      <c r="AE930" s="31" t="n">
        <v>0</v>
      </c>
      <c r="AF930" s="32" t="n">
        <v>0</v>
      </c>
      <c r="AG930" s="31" t="n">
        <v>0</v>
      </c>
      <c r="AH930" s="32" t="n">
        <v>61</v>
      </c>
      <c r="AI930" s="31" t="n">
        <v>61.3</v>
      </c>
      <c r="AJ930" s="31" t="n">
        <v>38.5</v>
      </c>
      <c r="AK930" s="31" t="n">
        <v>0</v>
      </c>
      <c r="AL930" s="30" t="inlineStr">
        <is>
          <t>T-1075</t>
        </is>
      </c>
      <c r="AM930" s="30" t="inlineStr">
        <is>
          <t>B-02-03</t>
        </is>
      </c>
      <c r="AN930" s="30" t="inlineStr">
        <is>
          <t>T-0954</t>
        </is>
      </c>
      <c r="AO930" s="30" t="inlineStr">
        <is>
          <t>B-03-03</t>
        </is>
      </c>
    </row>
    <row r="931">
      <c r="A931" s="30" t="inlineStr">
        <is>
          <t>O0930</t>
        </is>
      </c>
      <c r="B931" s="30" t="inlineStr">
        <is>
          <t>G</t>
        </is>
      </c>
      <c r="C931" s="31" t="n">
        <v>12581.1</v>
      </c>
      <c r="D931" s="31" t="n">
        <v>34034.8</v>
      </c>
      <c r="E931" s="31" t="n">
        <v>34058.3</v>
      </c>
      <c r="F931" s="31" t="n">
        <v>34074.3</v>
      </c>
      <c r="G931" s="31" t="n">
        <v>34099.5</v>
      </c>
      <c r="H931" s="31" t="n">
        <v>34099.6</v>
      </c>
      <c r="I931" s="31" t="n">
        <v>34113.5</v>
      </c>
      <c r="J931" s="31" t="n">
        <v>34144.1</v>
      </c>
      <c r="K931" s="31" t="n">
        <v>21563</v>
      </c>
      <c r="L931" s="31" t="n">
        <v>21453.7</v>
      </c>
      <c r="M931" s="30" t="inlineStr">
        <is>
          <t>AMR2</t>
        </is>
      </c>
      <c r="N931" s="30" t="inlineStr">
        <is>
          <t>AMR2</t>
        </is>
      </c>
      <c r="O931" s="32" t="n">
        <v>1</v>
      </c>
      <c r="P931" s="32" t="n">
        <v>25</v>
      </c>
      <c r="Q931" s="32" t="n">
        <v>1</v>
      </c>
      <c r="R931" s="31" t="n">
        <v>61.2</v>
      </c>
      <c r="S931" s="31" t="n">
        <v>55.2</v>
      </c>
      <c r="T931" s="30" t="inlineStr">
        <is>
          <t>AMR1</t>
        </is>
      </c>
      <c r="U931" s="31" t="n">
        <v>44.1</v>
      </c>
      <c r="V931" s="31" t="n">
        <v>44.1</v>
      </c>
      <c r="W931" s="30" t="inlineStr">
        <is>
          <t>AMR2</t>
        </is>
      </c>
      <c r="X931" s="32" t="n">
        <v>1</v>
      </c>
      <c r="Y931" s="32" t="n">
        <v>13</v>
      </c>
      <c r="Z931" s="31" t="n">
        <v>6</v>
      </c>
      <c r="AA931" s="32" t="n">
        <v>0</v>
      </c>
      <c r="AB931" s="32" t="n">
        <v>0</v>
      </c>
      <c r="AC931" s="32" t="n">
        <v>0</v>
      </c>
      <c r="AD931" s="32" t="n">
        <v>0</v>
      </c>
      <c r="AE931" s="31" t="n">
        <v>0</v>
      </c>
      <c r="AF931" s="32" t="n">
        <v>0</v>
      </c>
      <c r="AG931" s="31" t="n">
        <v>0</v>
      </c>
      <c r="AH931" s="32" t="n">
        <v>60</v>
      </c>
      <c r="AI931" s="31" t="n">
        <v>61.2</v>
      </c>
      <c r="AJ931" s="31" t="n">
        <v>48</v>
      </c>
      <c r="AK931" s="31" t="n">
        <v>0</v>
      </c>
      <c r="AL931" s="30" t="inlineStr">
        <is>
          <t>T-1076</t>
        </is>
      </c>
      <c r="AM931" s="30" t="inlineStr">
        <is>
          <t>G-02-02</t>
        </is>
      </c>
      <c r="AN931" s="30" t="inlineStr">
        <is>
          <t>T-0899</t>
        </is>
      </c>
      <c r="AO931" s="30" t="inlineStr">
        <is>
          <t>G-02-01</t>
        </is>
      </c>
    </row>
    <row r="932">
      <c r="A932" s="30" t="inlineStr">
        <is>
          <t>O0931</t>
        </is>
      </c>
      <c r="B932" s="30" t="inlineStr">
        <is>
          <t>D</t>
        </is>
      </c>
      <c r="C932" s="31" t="n">
        <v>12605.8</v>
      </c>
      <c r="D932" s="31" t="n">
        <v>34075.7</v>
      </c>
      <c r="E932" s="31" t="n">
        <v>34099.2</v>
      </c>
      <c r="F932" s="31" t="n">
        <v>34109.8</v>
      </c>
      <c r="G932" s="31" t="n">
        <v>34135.5</v>
      </c>
      <c r="H932" s="31" t="n">
        <v>34135.6</v>
      </c>
      <c r="I932" s="31" t="n">
        <v>34147.8</v>
      </c>
      <c r="J932" s="31" t="n">
        <v>34178.1</v>
      </c>
      <c r="K932" s="31" t="n">
        <v>21572.3</v>
      </c>
      <c r="L932" s="31" t="n">
        <v>21469.9</v>
      </c>
      <c r="M932" s="30" t="inlineStr">
        <is>
          <t>AMR1</t>
        </is>
      </c>
      <c r="N932" s="30" t="inlineStr">
        <is>
          <t>AMR1</t>
        </is>
      </c>
      <c r="O932" s="32" t="n">
        <v>1</v>
      </c>
      <c r="P932" s="32" t="n">
        <v>25</v>
      </c>
      <c r="Q932" s="32" t="n">
        <v>0</v>
      </c>
      <c r="R932" s="31" t="n">
        <v>57.1</v>
      </c>
      <c r="S932" s="31" t="n">
        <v>57.1</v>
      </c>
      <c r="T932" s="30" t="inlineStr">
        <is>
          <t>AMR1</t>
        </is>
      </c>
      <c r="U932" s="31" t="n">
        <v>40.2</v>
      </c>
      <c r="V932" s="31" t="n">
        <v>40.2</v>
      </c>
      <c r="W932" s="30" t="inlineStr">
        <is>
          <t>AMR1</t>
        </is>
      </c>
      <c r="X932" s="32" t="n">
        <v>0</v>
      </c>
      <c r="Y932" s="32" t="n">
        <v>0</v>
      </c>
      <c r="Z932" s="31" t="n">
        <v>0</v>
      </c>
      <c r="AA932" s="32" t="n">
        <v>0</v>
      </c>
      <c r="AB932" s="32" t="n">
        <v>0</v>
      </c>
      <c r="AC932" s="32" t="n">
        <v>0</v>
      </c>
      <c r="AD932" s="32" t="n">
        <v>0</v>
      </c>
      <c r="AE932" s="31" t="n">
        <v>0</v>
      </c>
      <c r="AF932" s="32" t="n">
        <v>0</v>
      </c>
      <c r="AG932" s="31" t="n">
        <v>0</v>
      </c>
      <c r="AH932" s="32" t="n">
        <v>56</v>
      </c>
      <c r="AI932" s="31" t="n">
        <v>57.9</v>
      </c>
      <c r="AJ932" s="31" t="n">
        <v>44.4</v>
      </c>
      <c r="AK932" s="31" t="n">
        <v>0</v>
      </c>
      <c r="AL932" s="30" t="inlineStr">
        <is>
          <t>T-1077</t>
        </is>
      </c>
      <c r="AM932" s="30" t="inlineStr">
        <is>
          <t>D-03-02</t>
        </is>
      </c>
      <c r="AN932" s="30" t="inlineStr">
        <is>
          <t>T-0952</t>
        </is>
      </c>
      <c r="AO932" s="30" t="inlineStr">
        <is>
          <t>D-04-02</t>
        </is>
      </c>
    </row>
    <row r="933">
      <c r="A933" s="30" t="inlineStr">
        <is>
          <t>O0932</t>
        </is>
      </c>
      <c r="B933" s="30" t="inlineStr">
        <is>
          <t>F</t>
        </is>
      </c>
      <c r="C933" s="31" t="n">
        <v>12623.4</v>
      </c>
      <c r="D933" s="31" t="n">
        <v>34325.8</v>
      </c>
      <c r="E933" s="31" t="n">
        <v>34349.3</v>
      </c>
      <c r="F933" s="31" t="n">
        <v>34359.8</v>
      </c>
      <c r="G933" s="31" t="n">
        <v>34393.2</v>
      </c>
      <c r="H933" s="31" t="n">
        <v>35554.9</v>
      </c>
      <c r="I933" s="31" t="n">
        <v>35571</v>
      </c>
      <c r="J933" s="31" t="n">
        <v>35605.1</v>
      </c>
      <c r="K933" s="31" t="n">
        <v>22981.7</v>
      </c>
      <c r="L933" s="31" t="n">
        <v>21702.4</v>
      </c>
      <c r="M933" s="30" t="inlineStr">
        <is>
          <t>AMR3</t>
        </is>
      </c>
      <c r="N933" s="30" t="inlineStr">
        <is>
          <t>AMR2</t>
        </is>
      </c>
      <c r="O933" s="32" t="n">
        <v>1</v>
      </c>
      <c r="P933" s="32" t="n">
        <v>25</v>
      </c>
      <c r="Q933" s="32" t="n">
        <v>1</v>
      </c>
      <c r="R933" s="31" t="n">
        <v>64</v>
      </c>
      <c r="S933" s="31" t="n">
        <v>64</v>
      </c>
      <c r="T933" s="30" t="inlineStr">
        <is>
          <t>AMR3</t>
        </is>
      </c>
      <c r="U933" s="31" t="n">
        <v>50.9</v>
      </c>
      <c r="V933" s="31" t="n">
        <v>50.9</v>
      </c>
      <c r="W933" s="30" t="inlineStr">
        <is>
          <t>AMR2</t>
        </is>
      </c>
      <c r="X933" s="32" t="n">
        <v>0</v>
      </c>
      <c r="Y933" s="32" t="n">
        <v>0</v>
      </c>
      <c r="Z933" s="31" t="n">
        <v>0</v>
      </c>
      <c r="AA933" s="32" t="n">
        <v>0</v>
      </c>
      <c r="AB933" s="32" t="n">
        <v>0</v>
      </c>
      <c r="AC933" s="32" t="n">
        <v>0</v>
      </c>
      <c r="AD933" s="32" t="n">
        <v>0</v>
      </c>
      <c r="AE933" s="31" t="n">
        <v>0</v>
      </c>
      <c r="AF933" s="32" t="n">
        <v>0</v>
      </c>
      <c r="AG933" s="31" t="n">
        <v>0</v>
      </c>
      <c r="AH933" s="32" t="n">
        <v>72</v>
      </c>
      <c r="AI933" s="31" t="n">
        <v>70.59999999999999</v>
      </c>
      <c r="AJ933" s="31" t="n">
        <v>47</v>
      </c>
      <c r="AK933" s="31" t="n">
        <v>0</v>
      </c>
      <c r="AL933" s="30" t="inlineStr">
        <is>
          <t>T-1084</t>
        </is>
      </c>
      <c r="AM933" s="30" t="inlineStr">
        <is>
          <t>F-01-03</t>
        </is>
      </c>
      <c r="AN933" s="30" t="inlineStr">
        <is>
          <t>T-0910</t>
        </is>
      </c>
      <c r="AO933" s="30" t="inlineStr">
        <is>
          <t>F-05-01</t>
        </is>
      </c>
    </row>
    <row r="934">
      <c r="A934" s="30" t="inlineStr">
        <is>
          <t>O0933</t>
        </is>
      </c>
      <c r="B934" s="30" t="inlineStr">
        <is>
          <t>F</t>
        </is>
      </c>
      <c r="C934" s="31" t="n">
        <v>12645.4</v>
      </c>
      <c r="D934" s="31" t="n">
        <v>34178.2</v>
      </c>
      <c r="E934" s="31" t="n">
        <v>34201.7</v>
      </c>
      <c r="F934" s="31" t="n">
        <v>34214.1</v>
      </c>
      <c r="G934" s="31" t="n">
        <v>34245.5</v>
      </c>
      <c r="H934" s="31" t="n">
        <v>34393.3</v>
      </c>
      <c r="I934" s="31" t="n">
        <v>34409.1</v>
      </c>
      <c r="J934" s="31" t="n">
        <v>34443.2</v>
      </c>
      <c r="K934" s="31" t="n">
        <v>21797.8</v>
      </c>
      <c r="L934" s="31" t="n">
        <v>21532.8</v>
      </c>
      <c r="M934" s="30" t="inlineStr">
        <is>
          <t>AMR1</t>
        </is>
      </c>
      <c r="N934" s="30" t="inlineStr">
        <is>
          <t>AMR3</t>
        </is>
      </c>
      <c r="O934" s="32" t="n">
        <v>1</v>
      </c>
      <c r="P934" s="32" t="n">
        <v>25</v>
      </c>
      <c r="Q934" s="32" t="n">
        <v>1</v>
      </c>
      <c r="R934" s="31" t="n">
        <v>63.9</v>
      </c>
      <c r="S934" s="31" t="n">
        <v>63.9</v>
      </c>
      <c r="T934" s="30" t="inlineStr">
        <is>
          <t>AMR1</t>
        </is>
      </c>
      <c r="U934" s="31" t="n">
        <v>50.6</v>
      </c>
      <c r="V934" s="31" t="n">
        <v>50.6</v>
      </c>
      <c r="W934" s="30" t="inlineStr">
        <is>
          <t>AMR3</t>
        </is>
      </c>
      <c r="X934" s="32" t="n">
        <v>0</v>
      </c>
      <c r="Y934" s="32" t="n">
        <v>0</v>
      </c>
      <c r="Z934" s="31" t="n">
        <v>0</v>
      </c>
      <c r="AA934" s="32" t="n">
        <v>0</v>
      </c>
      <c r="AB934" s="32" t="n">
        <v>0</v>
      </c>
      <c r="AC934" s="32" t="n">
        <v>0</v>
      </c>
      <c r="AD934" s="32" t="n">
        <v>0</v>
      </c>
      <c r="AE934" s="31" t="n">
        <v>0</v>
      </c>
      <c r="AF934" s="32" t="n">
        <v>0</v>
      </c>
      <c r="AG934" s="31" t="n">
        <v>0</v>
      </c>
      <c r="AH934" s="32" t="n">
        <v>72</v>
      </c>
      <c r="AI934" s="31" t="n">
        <v>70.59999999999999</v>
      </c>
      <c r="AJ934" s="31" t="n">
        <v>46.6</v>
      </c>
      <c r="AK934" s="31" t="n">
        <v>0</v>
      </c>
      <c r="AL934" s="30" t="inlineStr">
        <is>
          <t>T-1080</t>
        </is>
      </c>
      <c r="AM934" s="30" t="inlineStr">
        <is>
          <t>F-01-02</t>
        </is>
      </c>
      <c r="AN934" s="30" t="inlineStr">
        <is>
          <t>T-0839</t>
        </is>
      </c>
      <c r="AO934" s="30" t="inlineStr">
        <is>
          <t>F-04-01</t>
        </is>
      </c>
    </row>
    <row r="935">
      <c r="A935" s="30" t="inlineStr">
        <is>
          <t>O0934</t>
        </is>
      </c>
      <c r="B935" s="30" t="inlineStr">
        <is>
          <t>D</t>
        </is>
      </c>
      <c r="C935" s="31" t="n">
        <v>12664.9</v>
      </c>
      <c r="D935" s="31" t="n">
        <v>34218.4</v>
      </c>
      <c r="E935" s="31" t="n">
        <v>34241.9</v>
      </c>
      <c r="F935" s="31" t="n">
        <v>34257.4</v>
      </c>
      <c r="G935" s="31" t="n">
        <v>34280.1</v>
      </c>
      <c r="H935" s="31" t="n">
        <v>34280.2</v>
      </c>
      <c r="I935" s="31" t="n">
        <v>34293.2</v>
      </c>
      <c r="J935" s="31" t="n">
        <v>34325.7</v>
      </c>
      <c r="K935" s="31" t="n">
        <v>21660.8</v>
      </c>
      <c r="L935" s="31" t="n">
        <v>21553.5</v>
      </c>
      <c r="M935" s="30" t="inlineStr">
        <is>
          <t>AMR3</t>
        </is>
      </c>
      <c r="N935" s="30" t="inlineStr">
        <is>
          <t>AMR3</t>
        </is>
      </c>
      <c r="O935" s="32" t="n">
        <v>1</v>
      </c>
      <c r="P935" s="32" t="n">
        <v>25</v>
      </c>
      <c r="Q935" s="32" t="n">
        <v>1</v>
      </c>
      <c r="R935" s="31" t="n">
        <v>58.2</v>
      </c>
      <c r="S935" s="31" t="n">
        <v>58.2</v>
      </c>
      <c r="T935" s="30" t="inlineStr">
        <is>
          <t>AMR3</t>
        </is>
      </c>
      <c r="U935" s="31" t="n">
        <v>44.6</v>
      </c>
      <c r="V935" s="31" t="n">
        <v>44.6</v>
      </c>
      <c r="W935" s="30" t="inlineStr">
        <is>
          <t>AMR3</t>
        </is>
      </c>
      <c r="X935" s="32" t="n">
        <v>0</v>
      </c>
      <c r="Y935" s="32" t="n">
        <v>0</v>
      </c>
      <c r="Z935" s="31" t="n">
        <v>0</v>
      </c>
      <c r="AA935" s="32" t="n">
        <v>0</v>
      </c>
      <c r="AB935" s="32" t="n">
        <v>0</v>
      </c>
      <c r="AC935" s="32" t="n">
        <v>0</v>
      </c>
      <c r="AD935" s="32" t="n">
        <v>0</v>
      </c>
      <c r="AE935" s="31" t="n">
        <v>0</v>
      </c>
      <c r="AF935" s="32" t="n">
        <v>0</v>
      </c>
      <c r="AG935" s="31" t="n">
        <v>0</v>
      </c>
      <c r="AH935" s="32" t="n">
        <v>56</v>
      </c>
      <c r="AI935" s="31" t="n">
        <v>58</v>
      </c>
      <c r="AJ935" s="31" t="n">
        <v>49.2</v>
      </c>
      <c r="AK935" s="31" t="n">
        <v>0</v>
      </c>
      <c r="AL935" s="30" t="inlineStr">
        <is>
          <t>T-1081</t>
        </is>
      </c>
      <c r="AM935" s="30" t="inlineStr">
        <is>
          <t>D-04-02</t>
        </is>
      </c>
      <c r="AN935" s="30" t="inlineStr">
        <is>
          <t>T-0960</t>
        </is>
      </c>
      <c r="AO935" s="30" t="inlineStr">
        <is>
          <t>D-05-02</t>
        </is>
      </c>
    </row>
    <row r="936">
      <c r="A936" s="30" t="inlineStr">
        <is>
          <t>O0935</t>
        </is>
      </c>
      <c r="B936" s="30" t="inlineStr">
        <is>
          <t>C</t>
        </is>
      </c>
      <c r="C936" s="31" t="n">
        <v>12689.4</v>
      </c>
      <c r="D936" s="31" t="n">
        <v>34346</v>
      </c>
      <c r="E936" s="31" t="n">
        <v>34373.5</v>
      </c>
      <c r="F936" s="31" t="n">
        <v>34387.8</v>
      </c>
      <c r="G936" s="31" t="n">
        <v>34409.9</v>
      </c>
      <c r="H936" s="31" t="n">
        <v>34410</v>
      </c>
      <c r="I936" s="31" t="n">
        <v>34422.2</v>
      </c>
      <c r="J936" s="31" t="n">
        <v>34459.7</v>
      </c>
      <c r="K936" s="31" t="n">
        <v>21770.3</v>
      </c>
      <c r="L936" s="31" t="n">
        <v>21656.6</v>
      </c>
      <c r="M936" s="30" t="inlineStr">
        <is>
          <t>AMR2</t>
        </is>
      </c>
      <c r="N936" s="30" t="inlineStr">
        <is>
          <t>AMR2</t>
        </is>
      </c>
      <c r="O936" s="32" t="n">
        <v>1</v>
      </c>
      <c r="P936" s="32" t="n">
        <v>25</v>
      </c>
      <c r="Q936" s="32" t="n">
        <v>1</v>
      </c>
      <c r="R936" s="31" t="n">
        <v>58</v>
      </c>
      <c r="S936" s="31" t="n">
        <v>58</v>
      </c>
      <c r="T936" s="30" t="inlineStr">
        <is>
          <t>AMR2</t>
        </is>
      </c>
      <c r="U936" s="31" t="n">
        <v>41.8</v>
      </c>
      <c r="V936" s="31" t="n">
        <v>41.8</v>
      </c>
      <c r="W936" s="30" t="inlineStr">
        <is>
          <t>AMR2</t>
        </is>
      </c>
      <c r="X936" s="32" t="n">
        <v>0</v>
      </c>
      <c r="Y936" s="32" t="n">
        <v>0</v>
      </c>
      <c r="Z936" s="31" t="n">
        <v>0</v>
      </c>
      <c r="AA936" s="32" t="n">
        <v>0</v>
      </c>
      <c r="AB936" s="32" t="n">
        <v>0</v>
      </c>
      <c r="AC936" s="32" t="n">
        <v>0</v>
      </c>
      <c r="AD936" s="32" t="n">
        <v>1</v>
      </c>
      <c r="AE936" s="31" t="n">
        <v>8</v>
      </c>
      <c r="AF936" s="32" t="n">
        <v>1</v>
      </c>
      <c r="AG936" s="31" t="n">
        <v>3</v>
      </c>
      <c r="AH936" s="32" t="n">
        <v>54</v>
      </c>
      <c r="AI936" s="31" t="n">
        <v>54.9</v>
      </c>
      <c r="AJ936" s="31" t="n">
        <v>46.7</v>
      </c>
      <c r="AK936" s="31" t="n">
        <v>12</v>
      </c>
      <c r="AL936" s="30" t="inlineStr">
        <is>
          <t>T-1085</t>
        </is>
      </c>
      <c r="AM936" s="30" t="inlineStr">
        <is>
          <t>C-05-01</t>
        </is>
      </c>
      <c r="AN936" s="30" t="inlineStr">
        <is>
          <t>T-0965</t>
        </is>
      </c>
      <c r="AO936" s="30" t="inlineStr">
        <is>
          <t>C-03-03</t>
        </is>
      </c>
    </row>
    <row r="937">
      <c r="A937" s="30" t="inlineStr">
        <is>
          <t>O0936</t>
        </is>
      </c>
      <c r="B937" s="30" t="inlineStr">
        <is>
          <t>B</t>
        </is>
      </c>
      <c r="C937" s="31" t="n">
        <v>12705.5</v>
      </c>
      <c r="D937" s="31" t="n">
        <v>34244</v>
      </c>
      <c r="E937" s="31" t="n">
        <v>34267.5</v>
      </c>
      <c r="F937" s="31" t="n">
        <v>34281.3</v>
      </c>
      <c r="G937" s="31" t="n">
        <v>34303.8</v>
      </c>
      <c r="H937" s="31" t="n">
        <v>35817.9</v>
      </c>
      <c r="I937" s="31" t="n">
        <v>35833</v>
      </c>
      <c r="J937" s="31" t="n">
        <v>35868.1</v>
      </c>
      <c r="K937" s="31" t="n">
        <v>23162.6</v>
      </c>
      <c r="L937" s="31" t="n">
        <v>21538.5</v>
      </c>
      <c r="M937" s="30" t="inlineStr">
        <is>
          <t>AMR2</t>
        </is>
      </c>
      <c r="N937" s="30" t="inlineStr">
        <is>
          <t>AMR2</t>
        </is>
      </c>
      <c r="O937" s="32" t="n">
        <v>1</v>
      </c>
      <c r="P937" s="32" t="n">
        <v>25</v>
      </c>
      <c r="Q937" s="32" t="n">
        <v>1</v>
      </c>
      <c r="R937" s="31" t="n">
        <v>57.1</v>
      </c>
      <c r="S937" s="31" t="n">
        <v>57.1</v>
      </c>
      <c r="T937" s="30" t="inlineStr">
        <is>
          <t>AMR2</t>
        </is>
      </c>
      <c r="U937" s="31" t="n">
        <v>42.4</v>
      </c>
      <c r="V937" s="31" t="n">
        <v>42.4</v>
      </c>
      <c r="W937" s="30" t="inlineStr">
        <is>
          <t>AMR2</t>
        </is>
      </c>
      <c r="X937" s="32" t="n">
        <v>0</v>
      </c>
      <c r="Y937" s="32" t="n">
        <v>0</v>
      </c>
      <c r="Z937" s="31" t="n">
        <v>0</v>
      </c>
      <c r="AA937" s="32" t="n">
        <v>0</v>
      </c>
      <c r="AB937" s="32" t="n">
        <v>0</v>
      </c>
      <c r="AC937" s="32" t="n">
        <v>0</v>
      </c>
      <c r="AD937" s="32" t="n">
        <v>1</v>
      </c>
      <c r="AE937" s="31" t="n">
        <v>6</v>
      </c>
      <c r="AF937" s="32" t="n">
        <v>1</v>
      </c>
      <c r="AG937" s="31" t="n">
        <v>1</v>
      </c>
      <c r="AH937" s="32" t="n">
        <v>61</v>
      </c>
      <c r="AI937" s="31" t="n">
        <v>61.3</v>
      </c>
      <c r="AJ937" s="31" t="n">
        <v>42.7</v>
      </c>
      <c r="AK937" s="31" t="n">
        <v>6</v>
      </c>
      <c r="AL937" s="30" t="inlineStr">
        <is>
          <t>T-1082</t>
        </is>
      </c>
      <c r="AM937" s="30" t="inlineStr">
        <is>
          <t>B-03-03</t>
        </is>
      </c>
      <c r="AN937" s="30" t="inlineStr">
        <is>
          <t>T-1001</t>
        </is>
      </c>
      <c r="AO937" s="30" t="inlineStr">
        <is>
          <t>B-02-02</t>
        </is>
      </c>
    </row>
    <row r="938">
      <c r="A938" s="30" t="inlineStr">
        <is>
          <t>O0937</t>
        </is>
      </c>
      <c r="B938" s="30" t="inlineStr">
        <is>
          <t>F</t>
        </is>
      </c>
      <c r="C938" s="31" t="n">
        <v>12725</v>
      </c>
      <c r="D938" s="31" t="n">
        <v>34443.3</v>
      </c>
      <c r="E938" s="31" t="n">
        <v>34466.8</v>
      </c>
      <c r="F938" s="31" t="n">
        <v>34481.9</v>
      </c>
      <c r="G938" s="31" t="n">
        <v>34511.5</v>
      </c>
      <c r="H938" s="31" t="n">
        <v>34511.6</v>
      </c>
      <c r="I938" s="31" t="n">
        <v>34521.2</v>
      </c>
      <c r="J938" s="31" t="n">
        <v>34551.4</v>
      </c>
      <c r="K938" s="31" t="n">
        <v>21826.4</v>
      </c>
      <c r="L938" s="31" t="n">
        <v>21718.3</v>
      </c>
      <c r="M938" s="30" t="inlineStr">
        <is>
          <t>AMR3</t>
        </is>
      </c>
      <c r="N938" s="30" t="inlineStr">
        <is>
          <t>AMR3</t>
        </is>
      </c>
      <c r="O938" s="32" t="n">
        <v>1</v>
      </c>
      <c r="P938" s="32" t="n">
        <v>25</v>
      </c>
      <c r="Q938" s="32" t="n">
        <v>1</v>
      </c>
      <c r="R938" s="31" t="n">
        <v>66.40000000000001</v>
      </c>
      <c r="S938" s="31" t="n">
        <v>66.40000000000001</v>
      </c>
      <c r="T938" s="30" t="inlineStr">
        <is>
          <t>AMR3</t>
        </is>
      </c>
      <c r="U938" s="31" t="n">
        <v>42</v>
      </c>
      <c r="V938" s="31" t="n">
        <v>42</v>
      </c>
      <c r="W938" s="30" t="inlineStr">
        <is>
          <t>AMR3</t>
        </is>
      </c>
      <c r="X938" s="32" t="n">
        <v>0</v>
      </c>
      <c r="Y938" s="32" t="n">
        <v>0</v>
      </c>
      <c r="Z938" s="31" t="n">
        <v>0</v>
      </c>
      <c r="AA938" s="32" t="n">
        <v>0</v>
      </c>
      <c r="AB938" s="32" t="n">
        <v>0</v>
      </c>
      <c r="AC938" s="32" t="n">
        <v>0</v>
      </c>
      <c r="AD938" s="32" t="n">
        <v>0</v>
      </c>
      <c r="AE938" s="31" t="n">
        <v>0</v>
      </c>
      <c r="AF938" s="32" t="n">
        <v>0</v>
      </c>
      <c r="AG938" s="31" t="n">
        <v>0</v>
      </c>
      <c r="AH938" s="32" t="n">
        <v>68</v>
      </c>
      <c r="AI938" s="31" t="n">
        <v>67.5</v>
      </c>
      <c r="AJ938" s="31" t="n">
        <v>40.5</v>
      </c>
      <c r="AK938" s="31" t="n">
        <v>0</v>
      </c>
      <c r="AL938" s="30" t="inlineStr">
        <is>
          <t>T-1087</t>
        </is>
      </c>
      <c r="AM938" s="30" t="inlineStr">
        <is>
          <t>F-04-01</t>
        </is>
      </c>
      <c r="AN938" s="30" t="inlineStr">
        <is>
          <t>T-0842</t>
        </is>
      </c>
      <c r="AO938" s="30" t="inlineStr">
        <is>
          <t>F-05-03</t>
        </is>
      </c>
    </row>
    <row r="939">
      <c r="A939" s="30" t="inlineStr">
        <is>
          <t>O0938</t>
        </is>
      </c>
      <c r="B939" s="30" t="inlineStr">
        <is>
          <t>F</t>
        </is>
      </c>
      <c r="C939" s="31" t="n">
        <v>12741.2</v>
      </c>
      <c r="D939" s="31" t="n">
        <v>34551.5</v>
      </c>
      <c r="E939" s="31" t="n">
        <v>34575</v>
      </c>
      <c r="F939" s="31" t="n">
        <v>34586.7</v>
      </c>
      <c r="G939" s="31" t="n">
        <v>34619.7</v>
      </c>
      <c r="H939" s="31" t="n">
        <v>34619.8</v>
      </c>
      <c r="I939" s="31" t="n">
        <v>34631.7</v>
      </c>
      <c r="J939" s="31" t="n">
        <v>34666.1</v>
      </c>
      <c r="K939" s="31" t="n">
        <v>21924.9</v>
      </c>
      <c r="L939" s="31" t="n">
        <v>21810.3</v>
      </c>
      <c r="M939" s="30" t="inlineStr">
        <is>
          <t>AMR3</t>
        </is>
      </c>
      <c r="N939" s="30" t="inlineStr">
        <is>
          <t>AMR3</t>
        </is>
      </c>
      <c r="O939" s="32" t="n">
        <v>1</v>
      </c>
      <c r="P939" s="32" t="n">
        <v>25</v>
      </c>
      <c r="Q939" s="32" t="n">
        <v>1</v>
      </c>
      <c r="R939" s="31" t="n">
        <v>66.40000000000001</v>
      </c>
      <c r="S939" s="31" t="n">
        <v>66.40000000000001</v>
      </c>
      <c r="T939" s="30" t="inlineStr">
        <is>
          <t>AMR3</t>
        </is>
      </c>
      <c r="U939" s="31" t="n">
        <v>44.5</v>
      </c>
      <c r="V939" s="31" t="n">
        <v>44.5</v>
      </c>
      <c r="W939" s="30" t="inlineStr">
        <is>
          <t>AMR3</t>
        </is>
      </c>
      <c r="X939" s="32" t="n">
        <v>0</v>
      </c>
      <c r="Y939" s="32" t="n">
        <v>0</v>
      </c>
      <c r="Z939" s="31" t="n">
        <v>0</v>
      </c>
      <c r="AA939" s="32" t="n">
        <v>0</v>
      </c>
      <c r="AB939" s="32" t="n">
        <v>0</v>
      </c>
      <c r="AC939" s="32" t="n">
        <v>0</v>
      </c>
      <c r="AD939" s="32" t="n">
        <v>0</v>
      </c>
      <c r="AE939" s="31" t="n">
        <v>0</v>
      </c>
      <c r="AF939" s="32" t="n">
        <v>0</v>
      </c>
      <c r="AG939" s="31" t="n">
        <v>0</v>
      </c>
      <c r="AH939" s="32" t="n">
        <v>72</v>
      </c>
      <c r="AI939" s="31" t="n">
        <v>71.5</v>
      </c>
      <c r="AJ939" s="31" t="n">
        <v>43</v>
      </c>
      <c r="AK939" s="31" t="n">
        <v>0</v>
      </c>
      <c r="AL939" s="30" t="inlineStr">
        <is>
          <t>T-1090</t>
        </is>
      </c>
      <c r="AM939" s="30" t="inlineStr">
        <is>
          <t>F-05-03</t>
        </is>
      </c>
      <c r="AN939" s="30" t="inlineStr">
        <is>
          <t>T-0845</t>
        </is>
      </c>
      <c r="AO939" s="30" t="inlineStr">
        <is>
          <t>F-02-01</t>
        </is>
      </c>
    </row>
    <row r="940">
      <c r="A940" s="30" t="inlineStr">
        <is>
          <t>O0939</t>
        </is>
      </c>
      <c r="B940" s="30" t="inlineStr">
        <is>
          <t>H</t>
        </is>
      </c>
      <c r="C940" s="31" t="n">
        <v>12760.7</v>
      </c>
      <c r="D940" s="31" t="n">
        <v>34411.8</v>
      </c>
      <c r="E940" s="31" t="n">
        <v>34435.3</v>
      </c>
      <c r="F940" s="31" t="n">
        <v>34447.3</v>
      </c>
      <c r="G940" s="31" t="n">
        <v>34474.9</v>
      </c>
      <c r="H940" s="31" t="n">
        <v>34475</v>
      </c>
      <c r="I940" s="31" t="n">
        <v>34486.3</v>
      </c>
      <c r="J940" s="31" t="n">
        <v>34513.7</v>
      </c>
      <c r="K940" s="31" t="n">
        <v>21753</v>
      </c>
      <c r="L940" s="31" t="n">
        <v>21651.1</v>
      </c>
      <c r="M940" s="30" t="inlineStr">
        <is>
          <t>AMR1</t>
        </is>
      </c>
      <c r="N940" s="30" t="inlineStr">
        <is>
          <t>AMR1</t>
        </is>
      </c>
      <c r="O940" s="32" t="n">
        <v>1</v>
      </c>
      <c r="P940" s="32" t="n">
        <v>25</v>
      </c>
      <c r="Q940" s="32" t="n">
        <v>0</v>
      </c>
      <c r="R940" s="31" t="n">
        <v>60.5</v>
      </c>
      <c r="S940" s="31" t="n">
        <v>60.5</v>
      </c>
      <c r="T940" s="30" t="inlineStr">
        <is>
          <t>AMR1</t>
        </is>
      </c>
      <c r="U940" s="31" t="n">
        <v>37.9</v>
      </c>
      <c r="V940" s="31" t="n">
        <v>37.9</v>
      </c>
      <c r="W940" s="30" t="inlineStr">
        <is>
          <t>AMR1</t>
        </is>
      </c>
      <c r="X940" s="32" t="n">
        <v>0</v>
      </c>
      <c r="Y940" s="32" t="n">
        <v>0</v>
      </c>
      <c r="Z940" s="31" t="n">
        <v>0</v>
      </c>
      <c r="AA940" s="32" t="n">
        <v>0</v>
      </c>
      <c r="AB940" s="32" t="n">
        <v>0</v>
      </c>
      <c r="AC940" s="32" t="n">
        <v>0</v>
      </c>
      <c r="AD940" s="32" t="n">
        <v>0</v>
      </c>
      <c r="AE940" s="31" t="n">
        <v>0</v>
      </c>
      <c r="AF940" s="32" t="n">
        <v>0</v>
      </c>
      <c r="AG940" s="31" t="n">
        <v>0</v>
      </c>
      <c r="AH940" s="32" t="n">
        <v>54</v>
      </c>
      <c r="AI940" s="31" t="n">
        <v>56.3</v>
      </c>
      <c r="AJ940" s="31" t="n">
        <v>45.5</v>
      </c>
      <c r="AK940" s="31" t="n">
        <v>0</v>
      </c>
      <c r="AL940" s="30" t="inlineStr">
        <is>
          <t>T-1086</t>
        </is>
      </c>
      <c r="AM940" s="30" t="inlineStr">
        <is>
          <t>H-03-01</t>
        </is>
      </c>
      <c r="AN940" s="30" t="inlineStr">
        <is>
          <t>T-0900</t>
        </is>
      </c>
      <c r="AO940" s="30" t="inlineStr">
        <is>
          <t>H-05-02</t>
        </is>
      </c>
    </row>
    <row r="941">
      <c r="A941" s="30" t="inlineStr">
        <is>
          <t>O0940</t>
        </is>
      </c>
      <c r="B941" s="30" t="inlineStr">
        <is>
          <t>B</t>
        </is>
      </c>
      <c r="C941" s="31" t="n">
        <v>12784.2</v>
      </c>
      <c r="D941" s="31" t="n">
        <v>34459.8</v>
      </c>
      <c r="E941" s="31" t="n">
        <v>34491.3</v>
      </c>
      <c r="F941" s="31" t="n">
        <v>34501.7</v>
      </c>
      <c r="G941" s="31" t="n">
        <v>34527.5</v>
      </c>
      <c r="H941" s="31" t="n">
        <v>34527.6</v>
      </c>
      <c r="I941" s="31" t="n">
        <v>34536.9</v>
      </c>
      <c r="J941" s="31" t="n">
        <v>34571.8</v>
      </c>
      <c r="K941" s="31" t="n">
        <v>21787.6</v>
      </c>
      <c r="L941" s="31" t="n">
        <v>21675.6</v>
      </c>
      <c r="M941" s="30" t="inlineStr">
        <is>
          <t>AMR2</t>
        </is>
      </c>
      <c r="N941" s="30" t="inlineStr">
        <is>
          <t>AMR2</t>
        </is>
      </c>
      <c r="O941" s="32" t="n">
        <v>1</v>
      </c>
      <c r="P941" s="32" t="n">
        <v>25</v>
      </c>
      <c r="Q941" s="32" t="n">
        <v>1</v>
      </c>
      <c r="R941" s="31" t="n">
        <v>56.2</v>
      </c>
      <c r="S941" s="31" t="n">
        <v>56.2</v>
      </c>
      <c r="T941" s="30" t="inlineStr">
        <is>
          <t>AMR2</t>
        </is>
      </c>
      <c r="U941" s="31" t="n">
        <v>37.8</v>
      </c>
      <c r="V941" s="31" t="n">
        <v>37.8</v>
      </c>
      <c r="W941" s="30" t="inlineStr">
        <is>
          <t>AMR2</t>
        </is>
      </c>
      <c r="X941" s="32" t="n">
        <v>0</v>
      </c>
      <c r="Y941" s="32" t="n">
        <v>0</v>
      </c>
      <c r="Z941" s="31" t="n">
        <v>0</v>
      </c>
      <c r="AA941" s="32" t="n">
        <v>0</v>
      </c>
      <c r="AB941" s="32" t="n">
        <v>0</v>
      </c>
      <c r="AC941" s="32" t="n">
        <v>0</v>
      </c>
      <c r="AD941" s="32" t="n">
        <v>1</v>
      </c>
      <c r="AE941" s="31" t="n">
        <v>6</v>
      </c>
      <c r="AF941" s="32" t="n">
        <v>2</v>
      </c>
      <c r="AG941" s="31" t="n">
        <v>4</v>
      </c>
      <c r="AH941" s="32" t="n">
        <v>60</v>
      </c>
      <c r="AI941" s="31" t="n">
        <v>60.7</v>
      </c>
      <c r="AJ941" s="31" t="n">
        <v>37.2</v>
      </c>
      <c r="AK941" s="31" t="n">
        <v>14</v>
      </c>
      <c r="AL941" s="30" t="inlineStr">
        <is>
          <t>T-1088</t>
        </is>
      </c>
      <c r="AM941" s="30" t="inlineStr">
        <is>
          <t>B-01-01</t>
        </is>
      </c>
      <c r="AN941" s="30" t="inlineStr">
        <is>
          <t>T-0973</t>
        </is>
      </c>
      <c r="AO941" s="30" t="inlineStr">
        <is>
          <t>B-02-01</t>
        </is>
      </c>
    </row>
    <row r="942">
      <c r="A942" s="30" t="inlineStr">
        <is>
          <t>O0941</t>
        </is>
      </c>
      <c r="B942" s="30" t="inlineStr">
        <is>
          <t>E</t>
        </is>
      </c>
      <c r="C942" s="31" t="n">
        <v>12807.3</v>
      </c>
      <c r="D942" s="31" t="n">
        <v>34513.8</v>
      </c>
      <c r="E942" s="31" t="n">
        <v>34537.3</v>
      </c>
      <c r="F942" s="31" t="n">
        <v>34552.8</v>
      </c>
      <c r="G942" s="31" t="n">
        <v>34578.9</v>
      </c>
      <c r="H942" s="31" t="n">
        <v>36545.3</v>
      </c>
      <c r="I942" s="31" t="n">
        <v>36557.1</v>
      </c>
      <c r="J942" s="31" t="n">
        <v>36589.4</v>
      </c>
      <c r="K942" s="31" t="n">
        <v>23782.1</v>
      </c>
      <c r="L942" s="31" t="n">
        <v>21706.5</v>
      </c>
      <c r="M942" s="30" t="inlineStr">
        <is>
          <t>AMR1</t>
        </is>
      </c>
      <c r="N942" s="30" t="inlineStr">
        <is>
          <t>AMR2</t>
        </is>
      </c>
      <c r="O942" s="32" t="n">
        <v>1</v>
      </c>
      <c r="P942" s="32" t="n">
        <v>25</v>
      </c>
      <c r="Q942" s="32" t="n">
        <v>1</v>
      </c>
      <c r="R942" s="31" t="n">
        <v>63.2</v>
      </c>
      <c r="S942" s="31" t="n">
        <v>63.2</v>
      </c>
      <c r="T942" s="30" t="inlineStr">
        <is>
          <t>AMR1</t>
        </is>
      </c>
      <c r="U942" s="31" t="n">
        <v>46.8</v>
      </c>
      <c r="V942" s="31" t="n">
        <v>46.8</v>
      </c>
      <c r="W942" s="30" t="inlineStr">
        <is>
          <t>AMR2</t>
        </is>
      </c>
      <c r="X942" s="32" t="n">
        <v>0</v>
      </c>
      <c r="Y942" s="32" t="n">
        <v>0</v>
      </c>
      <c r="Z942" s="31" t="n">
        <v>0</v>
      </c>
      <c r="AA942" s="32" t="n">
        <v>0</v>
      </c>
      <c r="AB942" s="32" t="n">
        <v>0</v>
      </c>
      <c r="AC942" s="32" t="n">
        <v>0</v>
      </c>
      <c r="AD942" s="32" t="n">
        <v>0</v>
      </c>
      <c r="AE942" s="31" t="n">
        <v>0</v>
      </c>
      <c r="AF942" s="32" t="n">
        <v>0</v>
      </c>
      <c r="AG942" s="31" t="n">
        <v>0</v>
      </c>
      <c r="AH942" s="32" t="n">
        <v>64</v>
      </c>
      <c r="AI942" s="31" t="n">
        <v>63.4</v>
      </c>
      <c r="AJ942" s="31" t="n">
        <v>45.8</v>
      </c>
      <c r="AK942" s="31" t="n">
        <v>0</v>
      </c>
      <c r="AL942" s="30" t="inlineStr">
        <is>
          <t>T-1089</t>
        </is>
      </c>
      <c r="AM942" s="30" t="inlineStr">
        <is>
          <t>E-02-02</t>
        </is>
      </c>
      <c r="AN942" s="30" t="inlineStr">
        <is>
          <t>T-0968</t>
        </is>
      </c>
      <c r="AO942" s="30" t="inlineStr">
        <is>
          <t>E-02-03</t>
        </is>
      </c>
    </row>
    <row r="943">
      <c r="A943" s="30" t="inlineStr">
        <is>
          <t>O0942</t>
        </is>
      </c>
      <c r="B943" s="30" t="inlineStr">
        <is>
          <t>A</t>
        </is>
      </c>
      <c r="C943" s="31" t="n">
        <v>12829.2</v>
      </c>
      <c r="D943" s="31" t="n">
        <v>34628.6</v>
      </c>
      <c r="E943" s="31" t="n">
        <v>34652.1</v>
      </c>
      <c r="F943" s="31" t="n">
        <v>34665.2</v>
      </c>
      <c r="G943" s="31" t="n">
        <v>34691.5</v>
      </c>
      <c r="H943" s="31" t="n">
        <v>36125.3</v>
      </c>
      <c r="I943" s="31" t="n">
        <v>36137</v>
      </c>
      <c r="J943" s="31" t="n">
        <v>36171.2</v>
      </c>
      <c r="K943" s="31" t="n">
        <v>23342</v>
      </c>
      <c r="L943" s="31" t="n">
        <v>21799.4</v>
      </c>
      <c r="M943" s="30" t="inlineStr">
        <is>
          <t>AMR1</t>
        </is>
      </c>
      <c r="N943" s="30" t="inlineStr">
        <is>
          <t>AMR1</t>
        </is>
      </c>
      <c r="O943" s="32" t="n">
        <v>1</v>
      </c>
      <c r="P943" s="32" t="n">
        <v>25</v>
      </c>
      <c r="Q943" s="32" t="n">
        <v>2</v>
      </c>
      <c r="R943" s="31" t="n">
        <v>61</v>
      </c>
      <c r="S943" s="31" t="n">
        <v>61</v>
      </c>
      <c r="T943" s="30" t="inlineStr">
        <is>
          <t>AMR1</t>
        </is>
      </c>
      <c r="U943" s="31" t="n">
        <v>48.1</v>
      </c>
      <c r="V943" s="31" t="n">
        <v>48.1</v>
      </c>
      <c r="W943" s="30" t="inlineStr">
        <is>
          <t>AMR1</t>
        </is>
      </c>
      <c r="X943" s="32" t="n">
        <v>0</v>
      </c>
      <c r="Y943" s="32" t="n">
        <v>0</v>
      </c>
      <c r="Z943" s="31" t="n">
        <v>0</v>
      </c>
      <c r="AA943" s="32" t="n">
        <v>0</v>
      </c>
      <c r="AB943" s="32" t="n">
        <v>0</v>
      </c>
      <c r="AC943" s="32" t="n">
        <v>0</v>
      </c>
      <c r="AD943" s="32" t="n">
        <v>0</v>
      </c>
      <c r="AE943" s="31" t="n">
        <v>0</v>
      </c>
      <c r="AF943" s="32" t="n">
        <v>0</v>
      </c>
      <c r="AG943" s="31" t="n">
        <v>0</v>
      </c>
      <c r="AH943" s="32" t="n">
        <v>69</v>
      </c>
      <c r="AI943" s="31" t="n">
        <v>67.8</v>
      </c>
      <c r="AJ943" s="31" t="n">
        <v>41</v>
      </c>
      <c r="AK943" s="31" t="n">
        <v>0</v>
      </c>
      <c r="AL943" s="30" t="inlineStr">
        <is>
          <t>T-1092</t>
        </is>
      </c>
      <c r="AM943" s="30" t="inlineStr">
        <is>
          <t>A-04-01</t>
        </is>
      </c>
      <c r="AN943" s="30" t="inlineStr">
        <is>
          <t>T-0951</t>
        </is>
      </c>
      <c r="AO943" s="30" t="inlineStr">
        <is>
          <t>A-05-02</t>
        </is>
      </c>
    </row>
    <row r="944">
      <c r="A944" s="30" t="inlineStr">
        <is>
          <t>O0943</t>
        </is>
      </c>
      <c r="B944" s="30" t="inlineStr">
        <is>
          <t>F</t>
        </is>
      </c>
      <c r="C944" s="31" t="n">
        <v>12852.6</v>
      </c>
      <c r="D944" s="31" t="n">
        <v>34666.2</v>
      </c>
      <c r="E944" s="31" t="n">
        <v>34689.7</v>
      </c>
      <c r="F944" s="31" t="n">
        <v>34705</v>
      </c>
      <c r="G944" s="31" t="n">
        <v>34736.9</v>
      </c>
      <c r="H944" s="31" t="n">
        <v>34737</v>
      </c>
      <c r="I944" s="31" t="n">
        <v>34750.6</v>
      </c>
      <c r="J944" s="31" t="n">
        <v>34782.5</v>
      </c>
      <c r="K944" s="31" t="n">
        <v>21929.9</v>
      </c>
      <c r="L944" s="31" t="n">
        <v>21813.6</v>
      </c>
      <c r="M944" s="30" t="inlineStr">
        <is>
          <t>AMR3</t>
        </is>
      </c>
      <c r="N944" s="30" t="inlineStr">
        <is>
          <t>AMR3</t>
        </is>
      </c>
      <c r="O944" s="32" t="n">
        <v>1</v>
      </c>
      <c r="P944" s="32" t="n">
        <v>25</v>
      </c>
      <c r="Q944" s="32" t="n">
        <v>1</v>
      </c>
      <c r="R944" s="31" t="n">
        <v>67.2</v>
      </c>
      <c r="S944" s="31" t="n">
        <v>67.2</v>
      </c>
      <c r="T944" s="30" t="inlineStr">
        <is>
          <t>AMR3</t>
        </is>
      </c>
      <c r="U944" s="31" t="n">
        <v>46.1</v>
      </c>
      <c r="V944" s="31" t="n">
        <v>46.1</v>
      </c>
      <c r="W944" s="30" t="inlineStr">
        <is>
          <t>AMR3</t>
        </is>
      </c>
      <c r="X944" s="32" t="n">
        <v>0</v>
      </c>
      <c r="Y944" s="32" t="n">
        <v>0</v>
      </c>
      <c r="Z944" s="31" t="n">
        <v>0</v>
      </c>
      <c r="AA944" s="32" t="n">
        <v>0</v>
      </c>
      <c r="AB944" s="32" t="n">
        <v>0</v>
      </c>
      <c r="AC944" s="32" t="n">
        <v>0</v>
      </c>
      <c r="AD944" s="32" t="n">
        <v>0</v>
      </c>
      <c r="AE944" s="31" t="n">
        <v>0</v>
      </c>
      <c r="AF944" s="32" t="n">
        <v>0</v>
      </c>
      <c r="AG944" s="31" t="n">
        <v>0</v>
      </c>
      <c r="AH944" s="32" t="n">
        <v>72</v>
      </c>
      <c r="AI944" s="31" t="n">
        <v>70.8</v>
      </c>
      <c r="AJ944" s="31" t="n">
        <v>45.4</v>
      </c>
      <c r="AK944" s="31" t="n">
        <v>0</v>
      </c>
      <c r="AL944" s="30" t="inlineStr">
        <is>
          <t>T-1093</t>
        </is>
      </c>
      <c r="AM944" s="30" t="inlineStr">
        <is>
          <t>F-02-01</t>
        </is>
      </c>
      <c r="AN944" s="30" t="inlineStr">
        <is>
          <t>T-0880</t>
        </is>
      </c>
      <c r="AO944" s="30" t="inlineStr">
        <is>
          <t>F-03-01</t>
        </is>
      </c>
    </row>
    <row r="945">
      <c r="A945" s="30" t="inlineStr">
        <is>
          <t>O0944</t>
        </is>
      </c>
      <c r="B945" s="30" t="inlineStr">
        <is>
          <t>D</t>
        </is>
      </c>
      <c r="C945" s="31" t="n">
        <v>12868.5</v>
      </c>
      <c r="D945" s="31" t="n">
        <v>34571.9</v>
      </c>
      <c r="E945" s="31" t="n">
        <v>34599.4</v>
      </c>
      <c r="F945" s="31" t="n">
        <v>34615.2</v>
      </c>
      <c r="G945" s="31" t="n">
        <v>34640.7</v>
      </c>
      <c r="H945" s="31" t="n">
        <v>34640.8</v>
      </c>
      <c r="I945" s="31" t="n">
        <v>34655.3</v>
      </c>
      <c r="J945" s="31" t="n">
        <v>34686.5</v>
      </c>
      <c r="K945" s="31" t="n">
        <v>21818</v>
      </c>
      <c r="L945" s="31" t="n">
        <v>21703.4</v>
      </c>
      <c r="M945" s="30" t="inlineStr">
        <is>
          <t>AMR2</t>
        </is>
      </c>
      <c r="N945" s="30" t="inlineStr">
        <is>
          <t>AMR2</t>
        </is>
      </c>
      <c r="O945" s="32" t="n">
        <v>1</v>
      </c>
      <c r="P945" s="32" t="n">
        <v>25</v>
      </c>
      <c r="Q945" s="32" t="n">
        <v>1</v>
      </c>
      <c r="R945" s="31" t="n">
        <v>61.3</v>
      </c>
      <c r="S945" s="31" t="n">
        <v>61.3</v>
      </c>
      <c r="T945" s="30" t="inlineStr">
        <is>
          <t>AMR2</t>
        </is>
      </c>
      <c r="U945" s="31" t="n">
        <v>43.8</v>
      </c>
      <c r="V945" s="31" t="n">
        <v>43.8</v>
      </c>
      <c r="W945" s="30" t="inlineStr">
        <is>
          <t>AMR2</t>
        </is>
      </c>
      <c r="X945" s="32" t="n">
        <v>0</v>
      </c>
      <c r="Y945" s="32" t="n">
        <v>0</v>
      </c>
      <c r="Z945" s="31" t="n">
        <v>0</v>
      </c>
      <c r="AA945" s="32" t="n">
        <v>0</v>
      </c>
      <c r="AB945" s="32" t="n">
        <v>0</v>
      </c>
      <c r="AC945" s="32" t="n">
        <v>0</v>
      </c>
      <c r="AD945" s="32" t="n">
        <v>0</v>
      </c>
      <c r="AE945" s="31" t="n">
        <v>0</v>
      </c>
      <c r="AF945" s="32" t="n">
        <v>0</v>
      </c>
      <c r="AG945" s="31" t="n">
        <v>0</v>
      </c>
      <c r="AH945" s="32" t="n">
        <v>58</v>
      </c>
      <c r="AI945" s="31" t="n">
        <v>59</v>
      </c>
      <c r="AJ945" s="31" t="n">
        <v>51.5</v>
      </c>
      <c r="AK945" s="31" t="n">
        <v>4</v>
      </c>
      <c r="AL945" s="30" t="inlineStr">
        <is>
          <t>T-1091</t>
        </is>
      </c>
      <c r="AM945" s="30" t="inlineStr">
        <is>
          <t>D-05-02</t>
        </is>
      </c>
      <c r="AN945" s="30" t="inlineStr">
        <is>
          <t>T-0978</t>
        </is>
      </c>
      <c r="AO945" s="30" t="inlineStr">
        <is>
          <t>D-06-02</t>
        </is>
      </c>
    </row>
    <row r="946">
      <c r="A946" s="30" t="inlineStr">
        <is>
          <t>O0945</t>
        </is>
      </c>
      <c r="B946" s="30" t="inlineStr">
        <is>
          <t>A</t>
        </is>
      </c>
      <c r="C946" s="31" t="n">
        <v>12887.5</v>
      </c>
      <c r="D946" s="31" t="n">
        <v>34740.5</v>
      </c>
      <c r="E946" s="31" t="n">
        <v>34764</v>
      </c>
      <c r="F946" s="31" t="n">
        <v>34779.2</v>
      </c>
      <c r="G946" s="31" t="n">
        <v>34806.8</v>
      </c>
      <c r="H946" s="31" t="n">
        <v>34806.9</v>
      </c>
      <c r="I946" s="31" t="n">
        <v>34817.4</v>
      </c>
      <c r="J946" s="31" t="n">
        <v>34847.7</v>
      </c>
      <c r="K946" s="31" t="n">
        <v>21960.2</v>
      </c>
      <c r="L946" s="31" t="n">
        <v>21853</v>
      </c>
      <c r="M946" s="30" t="inlineStr">
        <is>
          <t>AMR1</t>
        </is>
      </c>
      <c r="N946" s="30" t="inlineStr">
        <is>
          <t>AMR1</t>
        </is>
      </c>
      <c r="O946" s="32" t="n">
        <v>1</v>
      </c>
      <c r="P946" s="32" t="n">
        <v>25</v>
      </c>
      <c r="Q946" s="32" t="n">
        <v>2</v>
      </c>
      <c r="R946" s="31" t="n">
        <v>65.2</v>
      </c>
      <c r="S946" s="31" t="n">
        <v>61.2</v>
      </c>
      <c r="T946" s="30" t="inlineStr">
        <is>
          <t>AMR2</t>
        </is>
      </c>
      <c r="U946" s="31" t="n">
        <v>45</v>
      </c>
      <c r="V946" s="31" t="n">
        <v>45</v>
      </c>
      <c r="W946" s="30" t="inlineStr">
        <is>
          <t>AMR1</t>
        </is>
      </c>
      <c r="X946" s="32" t="n">
        <v>1</v>
      </c>
      <c r="Y946" s="32" t="n">
        <v>13</v>
      </c>
      <c r="Z946" s="31" t="n">
        <v>4</v>
      </c>
      <c r="AA946" s="32" t="n">
        <v>0</v>
      </c>
      <c r="AB946" s="32" t="n">
        <v>0</v>
      </c>
      <c r="AC946" s="32" t="n">
        <v>0</v>
      </c>
      <c r="AD946" s="32" t="n">
        <v>0</v>
      </c>
      <c r="AE946" s="31" t="n">
        <v>0</v>
      </c>
      <c r="AF946" s="32" t="n">
        <v>0</v>
      </c>
      <c r="AG946" s="31" t="n">
        <v>0</v>
      </c>
      <c r="AH946" s="32" t="n">
        <v>66</v>
      </c>
      <c r="AI946" s="31" t="n">
        <v>65</v>
      </c>
      <c r="AJ946" s="31" t="n">
        <v>42.1</v>
      </c>
      <c r="AK946" s="31" t="n">
        <v>0</v>
      </c>
      <c r="AL946" s="30" t="inlineStr">
        <is>
          <t>T-1095</t>
        </is>
      </c>
      <c r="AM946" s="30" t="inlineStr">
        <is>
          <t>A-06-03</t>
        </is>
      </c>
      <c r="AN946" s="30" t="inlineStr">
        <is>
          <t>T-0929</t>
        </is>
      </c>
      <c r="AO946" s="30" t="inlineStr">
        <is>
          <t>A-06-01</t>
        </is>
      </c>
    </row>
    <row r="947">
      <c r="A947" s="30" t="inlineStr">
        <is>
          <t>O0946</t>
        </is>
      </c>
      <c r="B947" s="30" t="inlineStr">
        <is>
          <t>C</t>
        </is>
      </c>
      <c r="C947" s="31" t="n">
        <v>12905.1</v>
      </c>
      <c r="D947" s="31" t="n">
        <v>34686.6</v>
      </c>
      <c r="E947" s="31" t="n">
        <v>34714.1</v>
      </c>
      <c r="F947" s="31" t="n">
        <v>34725.2</v>
      </c>
      <c r="G947" s="31" t="n">
        <v>34747.3</v>
      </c>
      <c r="H947" s="31" t="n">
        <v>34747.4</v>
      </c>
      <c r="I947" s="31" t="n">
        <v>34756.7</v>
      </c>
      <c r="J947" s="31" t="n">
        <v>34797.4</v>
      </c>
      <c r="K947" s="31" t="n">
        <v>21892.3</v>
      </c>
      <c r="L947" s="31" t="n">
        <v>21781.5</v>
      </c>
      <c r="M947" s="30" t="inlineStr">
        <is>
          <t>AMR2</t>
        </is>
      </c>
      <c r="N947" s="30" t="inlineStr">
        <is>
          <t>AMR2</t>
        </is>
      </c>
      <c r="O947" s="32" t="n">
        <v>1</v>
      </c>
      <c r="P947" s="32" t="n">
        <v>25</v>
      </c>
      <c r="Q947" s="32" t="n">
        <v>1</v>
      </c>
      <c r="R947" s="31" t="n">
        <v>54.8</v>
      </c>
      <c r="S947" s="31" t="n">
        <v>54.8</v>
      </c>
      <c r="T947" s="30" t="inlineStr">
        <is>
          <t>AMR2</t>
        </is>
      </c>
      <c r="U947" s="31" t="n">
        <v>34.2</v>
      </c>
      <c r="V947" s="31" t="n">
        <v>34.2</v>
      </c>
      <c r="W947" s="30" t="inlineStr">
        <is>
          <t>AMR2</t>
        </is>
      </c>
      <c r="X947" s="32" t="n">
        <v>0</v>
      </c>
      <c r="Y947" s="32" t="n">
        <v>0</v>
      </c>
      <c r="Z947" s="31" t="n">
        <v>0</v>
      </c>
      <c r="AA947" s="32" t="n">
        <v>0</v>
      </c>
      <c r="AB947" s="32" t="n">
        <v>0</v>
      </c>
      <c r="AC947" s="32" t="n">
        <v>0</v>
      </c>
      <c r="AD947" s="32" t="n">
        <v>1</v>
      </c>
      <c r="AE947" s="31" t="n">
        <v>16</v>
      </c>
      <c r="AF947" s="32" t="n">
        <v>1</v>
      </c>
      <c r="AG947" s="31" t="n">
        <v>11</v>
      </c>
      <c r="AH947" s="32" t="n">
        <v>54</v>
      </c>
      <c r="AI947" s="31" t="n">
        <v>54.8</v>
      </c>
      <c r="AJ947" s="31" t="n">
        <v>35.9</v>
      </c>
      <c r="AK947" s="31" t="n">
        <v>20</v>
      </c>
      <c r="AL947" s="30" t="inlineStr">
        <is>
          <t>T-1094</t>
        </is>
      </c>
      <c r="AM947" s="30" t="inlineStr">
        <is>
          <t>C-01-03</t>
        </is>
      </c>
      <c r="AN947" s="30" t="inlineStr">
        <is>
          <t>T-0982</t>
        </is>
      </c>
      <c r="AO947" s="30" t="inlineStr">
        <is>
          <t>C-04-01</t>
        </is>
      </c>
    </row>
    <row r="948">
      <c r="A948" s="30" t="inlineStr">
        <is>
          <t>O0947</t>
        </is>
      </c>
      <c r="B948" s="30" t="inlineStr">
        <is>
          <t>H</t>
        </is>
      </c>
      <c r="C948" s="31" t="n">
        <v>12929.6</v>
      </c>
      <c r="D948" s="31" t="n">
        <v>35002</v>
      </c>
      <c r="E948" s="31" t="n">
        <v>35025.5</v>
      </c>
      <c r="F948" s="31" t="n">
        <v>35040.7</v>
      </c>
      <c r="G948" s="31" t="n">
        <v>35067.1</v>
      </c>
      <c r="H948" s="31" t="n">
        <v>35067.2</v>
      </c>
      <c r="I948" s="31" t="n">
        <v>35080.8</v>
      </c>
      <c r="J948" s="31" t="n">
        <v>35106.8</v>
      </c>
      <c r="K948" s="31" t="n">
        <v>22177.2</v>
      </c>
      <c r="L948" s="31" t="n">
        <v>22072.4</v>
      </c>
      <c r="M948" s="30" t="inlineStr">
        <is>
          <t>AMR2</t>
        </is>
      </c>
      <c r="N948" s="30" t="inlineStr">
        <is>
          <t>AMR2</t>
        </is>
      </c>
      <c r="O948" s="32" t="n">
        <v>1</v>
      </c>
      <c r="P948" s="32" t="n">
        <v>25</v>
      </c>
      <c r="Q948" s="32" t="n">
        <v>1</v>
      </c>
      <c r="R948" s="31" t="n">
        <v>63.3</v>
      </c>
      <c r="S948" s="31" t="n">
        <v>63.3</v>
      </c>
      <c r="T948" s="30" t="inlineStr">
        <is>
          <t>AMR2</t>
        </is>
      </c>
      <c r="U948" s="31" t="n">
        <v>38.7</v>
      </c>
      <c r="V948" s="31" t="n">
        <v>38.7</v>
      </c>
      <c r="W948" s="30" t="inlineStr">
        <is>
          <t>AMR2</t>
        </is>
      </c>
      <c r="X948" s="32" t="n">
        <v>0</v>
      </c>
      <c r="Y948" s="32" t="n">
        <v>0</v>
      </c>
      <c r="Z948" s="31" t="n">
        <v>0</v>
      </c>
      <c r="AA948" s="32" t="n">
        <v>0</v>
      </c>
      <c r="AB948" s="32" t="n">
        <v>0</v>
      </c>
      <c r="AC948" s="32" t="n">
        <v>0</v>
      </c>
      <c r="AD948" s="32" t="n">
        <v>0</v>
      </c>
      <c r="AE948" s="31" t="n">
        <v>0</v>
      </c>
      <c r="AF948" s="32" t="n">
        <v>0</v>
      </c>
      <c r="AG948" s="31" t="n">
        <v>0</v>
      </c>
      <c r="AH948" s="32" t="n">
        <v>54</v>
      </c>
      <c r="AI948" s="31" t="n">
        <v>56.3</v>
      </c>
      <c r="AJ948" s="31" t="n">
        <v>48.4</v>
      </c>
      <c r="AK948" s="31" t="n">
        <v>0</v>
      </c>
      <c r="AL948" s="30" t="inlineStr">
        <is>
          <t>T-1103</t>
        </is>
      </c>
      <c r="AM948" s="30" t="inlineStr">
        <is>
          <t>H-05-02</t>
        </is>
      </c>
      <c r="AN948" s="30" t="inlineStr">
        <is>
          <t>T-0917</t>
        </is>
      </c>
      <c r="AO948" s="30" t="inlineStr">
        <is>
          <t>H-03-02</t>
        </is>
      </c>
    </row>
    <row r="949">
      <c r="A949" s="30" t="inlineStr">
        <is>
          <t>O0948</t>
        </is>
      </c>
      <c r="B949" s="30" t="inlineStr">
        <is>
          <t>D</t>
        </is>
      </c>
      <c r="C949" s="31" t="n">
        <v>12952.1</v>
      </c>
      <c r="D949" s="31" t="n">
        <v>34782.6</v>
      </c>
      <c r="E949" s="31" t="n">
        <v>34806.1</v>
      </c>
      <c r="F949" s="31" t="n">
        <v>34817.2</v>
      </c>
      <c r="G949" s="31" t="n">
        <v>34843</v>
      </c>
      <c r="H949" s="31" t="n">
        <v>34843.1</v>
      </c>
      <c r="I949" s="31" t="n">
        <v>34855.9</v>
      </c>
      <c r="J949" s="31" t="n">
        <v>34884.7</v>
      </c>
      <c r="K949" s="31" t="n">
        <v>21932.6</v>
      </c>
      <c r="L949" s="31" t="n">
        <v>21830.5</v>
      </c>
      <c r="M949" s="30" t="inlineStr">
        <is>
          <t>AMR3</t>
        </is>
      </c>
      <c r="N949" s="30" t="inlineStr">
        <is>
          <t>AMR3</t>
        </is>
      </c>
      <c r="O949" s="32" t="n">
        <v>1</v>
      </c>
      <c r="P949" s="32" t="n">
        <v>25</v>
      </c>
      <c r="Q949" s="32" t="n">
        <v>2</v>
      </c>
      <c r="R949" s="31" t="n">
        <v>56.1</v>
      </c>
      <c r="S949" s="31" t="n">
        <v>56.1</v>
      </c>
      <c r="T949" s="30" t="inlineStr">
        <is>
          <t>AMR3</t>
        </is>
      </c>
      <c r="U949" s="31" t="n">
        <v>40.8</v>
      </c>
      <c r="V949" s="31" t="n">
        <v>40.8</v>
      </c>
      <c r="W949" s="30" t="inlineStr">
        <is>
          <t>AMR3</t>
        </is>
      </c>
      <c r="X949" s="32" t="n">
        <v>0</v>
      </c>
      <c r="Y949" s="32" t="n">
        <v>0</v>
      </c>
      <c r="Z949" s="31" t="n">
        <v>0</v>
      </c>
      <c r="AA949" s="32" t="n">
        <v>0</v>
      </c>
      <c r="AB949" s="32" t="n">
        <v>0</v>
      </c>
      <c r="AC949" s="32" t="n">
        <v>0</v>
      </c>
      <c r="AD949" s="32" t="n">
        <v>0</v>
      </c>
      <c r="AE949" s="31" t="n">
        <v>0</v>
      </c>
      <c r="AF949" s="32" t="n">
        <v>0</v>
      </c>
      <c r="AG949" s="31" t="n">
        <v>0</v>
      </c>
      <c r="AH949" s="32" t="n">
        <v>58</v>
      </c>
      <c r="AI949" s="31" t="n">
        <v>59.4</v>
      </c>
      <c r="AJ949" s="31" t="n">
        <v>42.6</v>
      </c>
      <c r="AK949" s="31" t="n">
        <v>0</v>
      </c>
      <c r="AL949" s="30" t="inlineStr">
        <is>
          <t>T-1096</t>
        </is>
      </c>
      <c r="AM949" s="30" t="inlineStr">
        <is>
          <t>D-06-02</t>
        </is>
      </c>
      <c r="AN949" s="30" t="inlineStr">
        <is>
          <t>T-0992</t>
        </is>
      </c>
      <c r="AO949" s="30" t="inlineStr">
        <is>
          <t>D-01-03</t>
        </is>
      </c>
    </row>
    <row r="950">
      <c r="A950" s="30" t="inlineStr">
        <is>
          <t>O0949</t>
        </is>
      </c>
      <c r="B950" s="30" t="inlineStr">
        <is>
          <t>C</t>
        </is>
      </c>
      <c r="C950" s="31" t="n">
        <v>12971.7</v>
      </c>
      <c r="D950" s="31" t="n">
        <v>34884.8</v>
      </c>
      <c r="E950" s="31" t="n">
        <v>34908.3</v>
      </c>
      <c r="F950" s="31" t="n">
        <v>34923.7</v>
      </c>
      <c r="G950" s="31" t="n">
        <v>34945.1</v>
      </c>
      <c r="H950" s="31" t="n">
        <v>35014.2</v>
      </c>
      <c r="I950" s="31" t="n">
        <v>35026.2</v>
      </c>
      <c r="J950" s="31" t="n">
        <v>35057.9</v>
      </c>
      <c r="K950" s="31" t="n">
        <v>22086.2</v>
      </c>
      <c r="L950" s="31" t="n">
        <v>21913.1</v>
      </c>
      <c r="M950" s="30" t="inlineStr">
        <is>
          <t>AMR3</t>
        </is>
      </c>
      <c r="N950" s="30" t="inlineStr">
        <is>
          <t>AMR1</t>
        </is>
      </c>
      <c r="O950" s="32" t="n">
        <v>1</v>
      </c>
      <c r="P950" s="32" t="n">
        <v>25</v>
      </c>
      <c r="Q950" s="32" t="n">
        <v>1</v>
      </c>
      <c r="R950" s="31" t="n">
        <v>58.4</v>
      </c>
      <c r="S950" s="31" t="n">
        <v>58.4</v>
      </c>
      <c r="T950" s="30" t="inlineStr">
        <is>
          <t>AMR3</t>
        </is>
      </c>
      <c r="U950" s="31" t="n">
        <v>39.9</v>
      </c>
      <c r="V950" s="31" t="n">
        <v>39.9</v>
      </c>
      <c r="W950" s="30" t="inlineStr">
        <is>
          <t>AMR1</t>
        </is>
      </c>
      <c r="X950" s="32" t="n">
        <v>0</v>
      </c>
      <c r="Y950" s="32" t="n">
        <v>0</v>
      </c>
      <c r="Z950" s="31" t="n">
        <v>0</v>
      </c>
      <c r="AA950" s="32" t="n">
        <v>0</v>
      </c>
      <c r="AB950" s="32" t="n">
        <v>0</v>
      </c>
      <c r="AC950" s="32" t="n">
        <v>0</v>
      </c>
      <c r="AD950" s="32" t="n">
        <v>1</v>
      </c>
      <c r="AE950" s="31" t="n">
        <v>4</v>
      </c>
      <c r="AF950" s="32" t="n">
        <v>0</v>
      </c>
      <c r="AG950" s="31" t="n">
        <v>0</v>
      </c>
      <c r="AH950" s="32" t="n">
        <v>54</v>
      </c>
      <c r="AI950" s="31" t="n">
        <v>54.8</v>
      </c>
      <c r="AJ950" s="31" t="n">
        <v>45.2</v>
      </c>
      <c r="AK950" s="31" t="n">
        <v>4</v>
      </c>
      <c r="AL950" s="30" t="inlineStr">
        <is>
          <t>T-1099</t>
        </is>
      </c>
      <c r="AM950" s="30" t="inlineStr">
        <is>
          <t>C-04-01</t>
        </is>
      </c>
      <c r="AN950" s="30" t="inlineStr">
        <is>
          <t>T-0984</t>
        </is>
      </c>
      <c r="AO950" s="30" t="inlineStr">
        <is>
          <t>C-04-03</t>
        </is>
      </c>
    </row>
    <row r="951">
      <c r="A951" s="30" t="inlineStr">
        <is>
          <t>O0950</t>
        </is>
      </c>
      <c r="B951" s="30" t="inlineStr">
        <is>
          <t>D</t>
        </is>
      </c>
      <c r="C951" s="31" t="n">
        <v>12986.8</v>
      </c>
      <c r="D951" s="31" t="n">
        <v>34906.8</v>
      </c>
      <c r="E951" s="31" t="n">
        <v>34932.3</v>
      </c>
      <c r="F951" s="31" t="n">
        <v>34946.8</v>
      </c>
      <c r="G951" s="31" t="n">
        <v>34967.6</v>
      </c>
      <c r="H951" s="31" t="n">
        <v>34967.7</v>
      </c>
      <c r="I951" s="31" t="n">
        <v>34976.5</v>
      </c>
      <c r="J951" s="31" t="n">
        <v>35001.9</v>
      </c>
      <c r="K951" s="31" t="n">
        <v>22015.1</v>
      </c>
      <c r="L951" s="31" t="n">
        <v>21920</v>
      </c>
      <c r="M951" s="30" t="inlineStr">
        <is>
          <t>AMR2</t>
        </is>
      </c>
      <c r="N951" s="30" t="inlineStr">
        <is>
          <t>AMR2</t>
        </is>
      </c>
      <c r="O951" s="32" t="n">
        <v>1</v>
      </c>
      <c r="P951" s="32" t="n">
        <v>25</v>
      </c>
      <c r="Q951" s="32" t="n">
        <v>1</v>
      </c>
      <c r="R951" s="31" t="n">
        <v>56.9</v>
      </c>
      <c r="S951" s="31" t="n">
        <v>51.9</v>
      </c>
      <c r="T951" s="30" t="inlineStr">
        <is>
          <t>AMR1</t>
        </is>
      </c>
      <c r="U951" s="31" t="n">
        <v>35.9</v>
      </c>
      <c r="V951" s="31" t="n">
        <v>35.9</v>
      </c>
      <c r="W951" s="30" t="inlineStr">
        <is>
          <t>AMR2</t>
        </is>
      </c>
      <c r="X951" s="32" t="n">
        <v>1</v>
      </c>
      <c r="Y951" s="32" t="n">
        <v>9</v>
      </c>
      <c r="Z951" s="31" t="n">
        <v>5</v>
      </c>
      <c r="AA951" s="32" t="n">
        <v>0</v>
      </c>
      <c r="AB951" s="32" t="n">
        <v>0</v>
      </c>
      <c r="AC951" s="32" t="n">
        <v>0</v>
      </c>
      <c r="AD951" s="32" t="n">
        <v>0</v>
      </c>
      <c r="AE951" s="31" t="n">
        <v>0</v>
      </c>
      <c r="AF951" s="32" t="n">
        <v>0</v>
      </c>
      <c r="AG951" s="31" t="n">
        <v>0</v>
      </c>
      <c r="AH951" s="32" t="n">
        <v>52</v>
      </c>
      <c r="AI951" s="31" t="n">
        <v>53.8</v>
      </c>
      <c r="AJ951" s="31" t="n">
        <v>39.2</v>
      </c>
      <c r="AK951" s="31" t="n">
        <v>2</v>
      </c>
      <c r="AL951" s="30" t="inlineStr">
        <is>
          <t>T-1100</t>
        </is>
      </c>
      <c r="AM951" s="30" t="inlineStr">
        <is>
          <t>D-01-03</t>
        </is>
      </c>
      <c r="AN951" s="30" t="inlineStr">
        <is>
          <t>T-1003</t>
        </is>
      </c>
      <c r="AO951" s="30" t="inlineStr">
        <is>
          <t>D-01-01</t>
        </is>
      </c>
    </row>
    <row r="952">
      <c r="A952" s="30" t="inlineStr">
        <is>
          <t>O0951</t>
        </is>
      </c>
      <c r="B952" s="30" t="inlineStr">
        <is>
          <t>G</t>
        </is>
      </c>
      <c r="C952" s="31" t="n">
        <v>13003.8</v>
      </c>
      <c r="D952" s="31" t="n">
        <v>34797.5</v>
      </c>
      <c r="E952" s="31" t="n">
        <v>34830</v>
      </c>
      <c r="F952" s="31" t="n">
        <v>34840.5</v>
      </c>
      <c r="G952" s="31" t="n">
        <v>34869.2</v>
      </c>
      <c r="H952" s="31" t="n">
        <v>34869.3</v>
      </c>
      <c r="I952" s="31" t="n">
        <v>34881.3</v>
      </c>
      <c r="J952" s="31" t="n">
        <v>34906.7</v>
      </c>
      <c r="K952" s="31" t="n">
        <v>21902.9</v>
      </c>
      <c r="L952" s="31" t="n">
        <v>21793.7</v>
      </c>
      <c r="M952" s="30" t="inlineStr">
        <is>
          <t>AMR2</t>
        </is>
      </c>
      <c r="N952" s="30" t="inlineStr">
        <is>
          <t>AMR2</t>
        </is>
      </c>
      <c r="O952" s="32" t="n">
        <v>1</v>
      </c>
      <c r="P952" s="32" t="n">
        <v>25</v>
      </c>
      <c r="Q952" s="32" t="n">
        <v>1</v>
      </c>
      <c r="R952" s="31" t="n">
        <v>59.3</v>
      </c>
      <c r="S952" s="31" t="n">
        <v>59.3</v>
      </c>
      <c r="T952" s="30" t="inlineStr">
        <is>
          <t>AMR2</t>
        </is>
      </c>
      <c r="U952" s="31" t="n">
        <v>37.1</v>
      </c>
      <c r="V952" s="31" t="n">
        <v>37.1</v>
      </c>
      <c r="W952" s="30" t="inlineStr">
        <is>
          <t>AMR2</t>
        </is>
      </c>
      <c r="X952" s="32" t="n">
        <v>0</v>
      </c>
      <c r="Y952" s="32" t="n">
        <v>0</v>
      </c>
      <c r="Z952" s="31" t="n">
        <v>0</v>
      </c>
      <c r="AA952" s="32" t="n">
        <v>0</v>
      </c>
      <c r="AB952" s="32" t="n">
        <v>0</v>
      </c>
      <c r="AC952" s="32" t="n">
        <v>0</v>
      </c>
      <c r="AD952" s="32" t="n">
        <v>0</v>
      </c>
      <c r="AE952" s="31" t="n">
        <v>0</v>
      </c>
      <c r="AF952" s="32" t="n">
        <v>1</v>
      </c>
      <c r="AG952" s="31" t="n">
        <v>4</v>
      </c>
      <c r="AH952" s="32" t="n">
        <v>60</v>
      </c>
      <c r="AI952" s="31" t="n">
        <v>61</v>
      </c>
      <c r="AJ952" s="31" t="n">
        <v>39.1</v>
      </c>
      <c r="AK952" s="31" t="n">
        <v>9</v>
      </c>
      <c r="AL952" s="30" t="inlineStr">
        <is>
          <t>T-1097</t>
        </is>
      </c>
      <c r="AM952" s="30" t="inlineStr">
        <is>
          <t>G-02-01</t>
        </is>
      </c>
      <c r="AN952" s="30" t="inlineStr">
        <is>
          <t>T-0948</t>
        </is>
      </c>
      <c r="AO952" s="30" t="inlineStr">
        <is>
          <t>G-04-02</t>
        </is>
      </c>
    </row>
    <row r="953">
      <c r="A953" s="30" t="inlineStr">
        <is>
          <t>O0952</t>
        </is>
      </c>
      <c r="B953" s="30" t="inlineStr">
        <is>
          <t>B</t>
        </is>
      </c>
      <c r="C953" s="31" t="n">
        <v>13025.7</v>
      </c>
      <c r="D953" s="31" t="n">
        <v>34847.8</v>
      </c>
      <c r="E953" s="31" t="n">
        <v>34871.3</v>
      </c>
      <c r="F953" s="31" t="n">
        <v>34883.8</v>
      </c>
      <c r="G953" s="31" t="n">
        <v>34909.2</v>
      </c>
      <c r="H953" s="31" t="n">
        <v>34909.3</v>
      </c>
      <c r="I953" s="31" t="n">
        <v>34919.8</v>
      </c>
      <c r="J953" s="31" t="n">
        <v>34948.9</v>
      </c>
      <c r="K953" s="31" t="n">
        <v>21923.2</v>
      </c>
      <c r="L953" s="31" t="n">
        <v>21822.1</v>
      </c>
      <c r="M953" s="30" t="inlineStr">
        <is>
          <t>AMR1</t>
        </is>
      </c>
      <c r="N953" s="30" t="inlineStr">
        <is>
          <t>AMR1</t>
        </is>
      </c>
      <c r="O953" s="32" t="n">
        <v>1</v>
      </c>
      <c r="P953" s="32" t="n">
        <v>25</v>
      </c>
      <c r="Q953" s="32" t="n">
        <v>1</v>
      </c>
      <c r="R953" s="31" t="n">
        <v>57.9</v>
      </c>
      <c r="S953" s="31" t="n">
        <v>57.9</v>
      </c>
      <c r="T953" s="30" t="inlineStr">
        <is>
          <t>AMR1</t>
        </is>
      </c>
      <c r="U953" s="31" t="n">
        <v>39.3</v>
      </c>
      <c r="V953" s="31" t="n">
        <v>39.3</v>
      </c>
      <c r="W953" s="30" t="inlineStr">
        <is>
          <t>AMR1</t>
        </is>
      </c>
      <c r="X953" s="32" t="n">
        <v>0</v>
      </c>
      <c r="Y953" s="32" t="n">
        <v>0</v>
      </c>
      <c r="Z953" s="31" t="n">
        <v>0</v>
      </c>
      <c r="AA953" s="32" t="n">
        <v>0</v>
      </c>
      <c r="AB953" s="32" t="n">
        <v>0</v>
      </c>
      <c r="AC953" s="32" t="n">
        <v>0</v>
      </c>
      <c r="AD953" s="32" t="n">
        <v>0</v>
      </c>
      <c r="AE953" s="31" t="n">
        <v>0</v>
      </c>
      <c r="AF953" s="32" t="n">
        <v>0</v>
      </c>
      <c r="AG953" s="31" t="n">
        <v>0</v>
      </c>
      <c r="AH953" s="32" t="n">
        <v>60</v>
      </c>
      <c r="AI953" s="31" t="n">
        <v>60.6</v>
      </c>
      <c r="AJ953" s="31" t="n">
        <v>40.4</v>
      </c>
      <c r="AK953" s="31" t="n">
        <v>0</v>
      </c>
      <c r="AL953" s="30" t="inlineStr">
        <is>
          <t>T-1098</t>
        </is>
      </c>
      <c r="AM953" s="30" t="inlineStr">
        <is>
          <t>B-02-01</t>
        </is>
      </c>
      <c r="AN953" s="30" t="inlineStr">
        <is>
          <t>T-0979</t>
        </is>
      </c>
      <c r="AO953" s="30" t="inlineStr">
        <is>
          <t>B-04-01</t>
        </is>
      </c>
    </row>
    <row r="954">
      <c r="A954" s="30" t="inlineStr">
        <is>
          <t>O0953</t>
        </is>
      </c>
      <c r="B954" s="30" t="inlineStr">
        <is>
          <t>B</t>
        </is>
      </c>
      <c r="C954" s="31" t="n">
        <v>13046.5</v>
      </c>
      <c r="D954" s="31" t="n">
        <v>34945.2</v>
      </c>
      <c r="E954" s="31" t="n">
        <v>34957.8</v>
      </c>
      <c r="F954" s="31" t="n">
        <v>34972.4</v>
      </c>
      <c r="G954" s="31" t="n">
        <v>34997.5</v>
      </c>
      <c r="H954" s="31" t="n">
        <v>35302.7</v>
      </c>
      <c r="I954" s="31" t="n">
        <v>35316.3</v>
      </c>
      <c r="J954" s="31" t="n">
        <v>35346.6</v>
      </c>
      <c r="K954" s="31" t="n">
        <v>22300.1</v>
      </c>
      <c r="L954" s="31" t="n">
        <v>21898.7</v>
      </c>
      <c r="M954" s="30" t="inlineStr">
        <is>
          <t>AMR3</t>
        </is>
      </c>
      <c r="N954" s="30" t="inlineStr">
        <is>
          <t>AMR1</t>
        </is>
      </c>
      <c r="O954" s="32" t="n">
        <v>1</v>
      </c>
      <c r="P954" s="32" t="n">
        <v>12</v>
      </c>
      <c r="Q954" s="32" t="n">
        <v>3</v>
      </c>
      <c r="R954" s="31" t="n">
        <v>50.4</v>
      </c>
      <c r="S954" s="31" t="n">
        <v>50.4</v>
      </c>
      <c r="T954" s="30" t="inlineStr">
        <is>
          <t>AMR3</t>
        </is>
      </c>
      <c r="U954" s="31" t="n">
        <v>41.1</v>
      </c>
      <c r="V954" s="31" t="n">
        <v>41.1</v>
      </c>
      <c r="W954" s="30" t="inlineStr">
        <is>
          <t>AMR1</t>
        </is>
      </c>
      <c r="X954" s="32" t="n">
        <v>0</v>
      </c>
      <c r="Y954" s="32" t="n">
        <v>0</v>
      </c>
      <c r="Z954" s="31" t="n">
        <v>0</v>
      </c>
      <c r="AA954" s="32" t="n">
        <v>0</v>
      </c>
      <c r="AB954" s="32" t="n">
        <v>0</v>
      </c>
      <c r="AC954" s="32" t="n">
        <v>0</v>
      </c>
      <c r="AD954" s="32" t="n">
        <v>0</v>
      </c>
      <c r="AE954" s="31" t="n">
        <v>0</v>
      </c>
      <c r="AF954" s="32" t="n">
        <v>0</v>
      </c>
      <c r="AG954" s="31" t="n">
        <v>0</v>
      </c>
      <c r="AH954" s="32" t="n">
        <v>49</v>
      </c>
      <c r="AI954" s="31" t="n">
        <v>53</v>
      </c>
      <c r="AJ954" s="31" t="n">
        <v>43.2</v>
      </c>
      <c r="AK954" s="31" t="n">
        <v>0</v>
      </c>
      <c r="AL954" s="30" t="inlineStr">
        <is>
          <t>T-1101</t>
        </is>
      </c>
      <c r="AM954" s="30" t="inlineStr">
        <is>
          <t>B-04-01</t>
        </is>
      </c>
      <c r="AN954" s="30" t="inlineStr">
        <is>
          <t>T-0998</t>
        </is>
      </c>
      <c r="AO954" s="30" t="inlineStr">
        <is>
          <t>B-01-02</t>
        </is>
      </c>
    </row>
    <row r="955">
      <c r="A955" s="30" t="inlineStr">
        <is>
          <t>O0954</t>
        </is>
      </c>
      <c r="B955" s="30" t="inlineStr">
        <is>
          <t>D</t>
        </is>
      </c>
      <c r="C955" s="31" t="n">
        <v>13071.5</v>
      </c>
      <c r="D955" s="31" t="n">
        <v>35039.9</v>
      </c>
      <c r="E955" s="31" t="n">
        <v>35063.4</v>
      </c>
      <c r="F955" s="31" t="n">
        <v>35075.3</v>
      </c>
      <c r="G955" s="31" t="n">
        <v>35098.6</v>
      </c>
      <c r="H955" s="31" t="n">
        <v>35098.7</v>
      </c>
      <c r="I955" s="31" t="n">
        <v>35109.7</v>
      </c>
      <c r="J955" s="31" t="n">
        <v>35136.6</v>
      </c>
      <c r="K955" s="31" t="n">
        <v>22065.1</v>
      </c>
      <c r="L955" s="31" t="n">
        <v>21968.4</v>
      </c>
      <c r="M955" s="30" t="inlineStr">
        <is>
          <t>AMR3</t>
        </is>
      </c>
      <c r="N955" s="30" t="inlineStr">
        <is>
          <t>AMR3</t>
        </is>
      </c>
      <c r="O955" s="32" t="n">
        <v>1</v>
      </c>
      <c r="P955" s="32" t="n">
        <v>25</v>
      </c>
      <c r="Q955" s="32" t="n">
        <v>1</v>
      </c>
      <c r="R955" s="31" t="n">
        <v>56.8</v>
      </c>
      <c r="S955" s="31" t="n">
        <v>56.8</v>
      </c>
      <c r="T955" s="30" t="inlineStr">
        <is>
          <t>AMR3</t>
        </is>
      </c>
      <c r="U955" s="31" t="n">
        <v>39.1</v>
      </c>
      <c r="V955" s="31" t="n">
        <v>39.1</v>
      </c>
      <c r="W955" s="30" t="inlineStr">
        <is>
          <t>AMR3</t>
        </is>
      </c>
      <c r="X955" s="32" t="n">
        <v>0</v>
      </c>
      <c r="Y955" s="32" t="n">
        <v>0</v>
      </c>
      <c r="Z955" s="31" t="n">
        <v>0</v>
      </c>
      <c r="AA955" s="32" t="n">
        <v>0</v>
      </c>
      <c r="AB955" s="32" t="n">
        <v>0</v>
      </c>
      <c r="AC955" s="32" t="n">
        <v>0</v>
      </c>
      <c r="AD955" s="32" t="n">
        <v>0</v>
      </c>
      <c r="AE955" s="31" t="n">
        <v>0</v>
      </c>
      <c r="AF955" s="32" t="n">
        <v>0</v>
      </c>
      <c r="AG955" s="31" t="n">
        <v>0</v>
      </c>
      <c r="AH955" s="32" t="n">
        <v>52</v>
      </c>
      <c r="AI955" s="31" t="n">
        <v>54.3</v>
      </c>
      <c r="AJ955" s="31" t="n">
        <v>42.3</v>
      </c>
      <c r="AK955" s="31" t="n">
        <v>0</v>
      </c>
      <c r="AL955" s="30" t="inlineStr">
        <is>
          <t>T-1104</t>
        </is>
      </c>
      <c r="AM955" s="30" t="inlineStr">
        <is>
          <t>D-01-01</t>
        </is>
      </c>
      <c r="AN955" s="30" t="inlineStr">
        <is>
          <t>T-1006</t>
        </is>
      </c>
      <c r="AO955" s="30" t="inlineStr">
        <is>
          <t>D-02-03</t>
        </is>
      </c>
    </row>
    <row r="956">
      <c r="A956" s="30" t="inlineStr">
        <is>
          <t>O0955</t>
        </is>
      </c>
      <c r="B956" s="30" t="inlineStr">
        <is>
          <t>C</t>
        </is>
      </c>
      <c r="C956" s="31" t="n">
        <v>13090.9</v>
      </c>
      <c r="D956" s="31" t="n">
        <v>34949</v>
      </c>
      <c r="E956" s="31" t="n">
        <v>34981.5</v>
      </c>
      <c r="F956" s="31" t="n">
        <v>34994.3</v>
      </c>
      <c r="G956" s="31" t="n">
        <v>35014.1</v>
      </c>
      <c r="H956" s="31" t="n">
        <v>35170.3</v>
      </c>
      <c r="I956" s="31" t="n">
        <v>35182.9</v>
      </c>
      <c r="J956" s="31" t="n">
        <v>35212.2</v>
      </c>
      <c r="K956" s="31" t="n">
        <v>22121.3</v>
      </c>
      <c r="L956" s="31" t="n">
        <v>21858.1</v>
      </c>
      <c r="M956" s="30" t="inlineStr">
        <is>
          <t>AMR1</t>
        </is>
      </c>
      <c r="N956" s="30" t="inlineStr">
        <is>
          <t>AMR2</t>
        </is>
      </c>
      <c r="O956" s="32" t="n">
        <v>1</v>
      </c>
      <c r="P956" s="32" t="n">
        <v>25</v>
      </c>
      <c r="Q956" s="32" t="n">
        <v>2</v>
      </c>
      <c r="R956" s="31" t="n">
        <v>54.2</v>
      </c>
      <c r="S956" s="31" t="n">
        <v>54.2</v>
      </c>
      <c r="T956" s="30" t="inlineStr">
        <is>
          <t>AMR1</t>
        </is>
      </c>
      <c r="U956" s="31" t="n">
        <v>40.1</v>
      </c>
      <c r="V956" s="31" t="n">
        <v>40.1</v>
      </c>
      <c r="W956" s="30" t="inlineStr">
        <is>
          <t>AMR2</t>
        </is>
      </c>
      <c r="X956" s="32" t="n">
        <v>0</v>
      </c>
      <c r="Y956" s="32" t="n">
        <v>0</v>
      </c>
      <c r="Z956" s="31" t="n">
        <v>0</v>
      </c>
      <c r="AA956" s="32" t="n">
        <v>0</v>
      </c>
      <c r="AB956" s="32" t="n">
        <v>0</v>
      </c>
      <c r="AC956" s="32" t="n">
        <v>0</v>
      </c>
      <c r="AD956" s="32" t="n">
        <v>0</v>
      </c>
      <c r="AE956" s="31" t="n">
        <v>0</v>
      </c>
      <c r="AF956" s="32" t="n">
        <v>1</v>
      </c>
      <c r="AG956" s="31" t="n">
        <v>4</v>
      </c>
      <c r="AH956" s="32" t="n">
        <v>55</v>
      </c>
      <c r="AI956" s="31" t="n">
        <v>57.5</v>
      </c>
      <c r="AJ956" s="31" t="n">
        <v>40.5</v>
      </c>
      <c r="AK956" s="31" t="n">
        <v>9</v>
      </c>
      <c r="AL956" s="30" t="inlineStr">
        <is>
          <t>T-1102</t>
        </is>
      </c>
      <c r="AM956" s="30" t="inlineStr">
        <is>
          <t>C-02-03</t>
        </is>
      </c>
      <c r="AN956" s="30" t="inlineStr">
        <is>
          <t>T-0986</t>
        </is>
      </c>
      <c r="AO956" s="30" t="inlineStr">
        <is>
          <t>C-03-01</t>
        </is>
      </c>
    </row>
    <row r="957">
      <c r="A957" s="30" t="inlineStr">
        <is>
          <t>O0956</t>
        </is>
      </c>
      <c r="B957" s="30" t="inlineStr">
        <is>
          <t>F</t>
        </is>
      </c>
      <c r="C957" s="31" t="n">
        <v>13115</v>
      </c>
      <c r="D957" s="31" t="n">
        <v>35270.1</v>
      </c>
      <c r="E957" s="31" t="n">
        <v>35282.4</v>
      </c>
      <c r="F957" s="31" t="n">
        <v>35293.8</v>
      </c>
      <c r="G957" s="31" t="n">
        <v>35325.4</v>
      </c>
      <c r="H957" s="31" t="n">
        <v>35325.5</v>
      </c>
      <c r="I957" s="31" t="n">
        <v>35337.2</v>
      </c>
      <c r="J957" s="31" t="n">
        <v>35378.1</v>
      </c>
      <c r="K957" s="31" t="n">
        <v>22263.1</v>
      </c>
      <c r="L957" s="31" t="n">
        <v>22155.1</v>
      </c>
      <c r="M957" s="30" t="inlineStr">
        <is>
          <t>AMR2</t>
        </is>
      </c>
      <c r="N957" s="30" t="inlineStr">
        <is>
          <t>AMR2</t>
        </is>
      </c>
      <c r="O957" s="32" t="n">
        <v>1</v>
      </c>
      <c r="P957" s="32" t="n">
        <v>13</v>
      </c>
      <c r="Q957" s="32" t="n">
        <v>0</v>
      </c>
      <c r="R957" s="31" t="n">
        <v>53.7</v>
      </c>
      <c r="S957" s="31" t="n">
        <v>53.7</v>
      </c>
      <c r="T957" s="30" t="inlineStr">
        <is>
          <t>AMR2</t>
        </is>
      </c>
      <c r="U957" s="31" t="n">
        <v>44.6</v>
      </c>
      <c r="V957" s="31" t="n">
        <v>44.6</v>
      </c>
      <c r="W957" s="30" t="inlineStr">
        <is>
          <t>AMR2</t>
        </is>
      </c>
      <c r="X957" s="32" t="n">
        <v>0</v>
      </c>
      <c r="Y957" s="32" t="n">
        <v>0</v>
      </c>
      <c r="Z957" s="31" t="n">
        <v>0</v>
      </c>
      <c r="AA957" s="32" t="n">
        <v>0</v>
      </c>
      <c r="AB957" s="32" t="n">
        <v>0</v>
      </c>
      <c r="AC957" s="32" t="n">
        <v>0</v>
      </c>
      <c r="AD957" s="32" t="n">
        <v>1</v>
      </c>
      <c r="AE957" s="31" t="n">
        <v>6.2</v>
      </c>
      <c r="AF957" s="32" t="n">
        <v>1</v>
      </c>
      <c r="AG957" s="31" t="n">
        <v>1.2</v>
      </c>
      <c r="AH957" s="32" t="n">
        <v>60</v>
      </c>
      <c r="AI957" s="31" t="n">
        <v>60.4</v>
      </c>
      <c r="AJ957" s="31" t="n">
        <v>41.3</v>
      </c>
      <c r="AK957" s="31" t="n">
        <v>6.2</v>
      </c>
      <c r="AL957" s="30" t="inlineStr">
        <is>
          <t>T-1110</t>
        </is>
      </c>
      <c r="AM957" s="30" t="inlineStr">
        <is>
          <t>F-03-01</t>
        </is>
      </c>
      <c r="AN957" s="30" t="inlineStr">
        <is>
          <t>T-0906</t>
        </is>
      </c>
      <c r="AO957" s="30" t="inlineStr">
        <is>
          <t>F-01-01</t>
        </is>
      </c>
    </row>
    <row r="958">
      <c r="A958" s="30" t="inlineStr">
        <is>
          <t>O0957</t>
        </is>
      </c>
      <c r="B958" s="30" t="inlineStr">
        <is>
          <t>H</t>
        </is>
      </c>
      <c r="C958" s="31" t="n">
        <v>13130.4</v>
      </c>
      <c r="D958" s="31" t="n">
        <v>35106.9</v>
      </c>
      <c r="E958" s="31" t="n">
        <v>35130.4</v>
      </c>
      <c r="F958" s="31" t="n">
        <v>35142.4</v>
      </c>
      <c r="G958" s="31" t="n">
        <v>35170.2</v>
      </c>
      <c r="H958" s="31" t="n">
        <v>35179.8</v>
      </c>
      <c r="I958" s="31" t="n">
        <v>35202.7</v>
      </c>
      <c r="J958" s="31" t="n">
        <v>35227</v>
      </c>
      <c r="K958" s="31" t="n">
        <v>22096.6</v>
      </c>
      <c r="L958" s="31" t="n">
        <v>21976.5</v>
      </c>
      <c r="M958" s="30" t="inlineStr">
        <is>
          <t>AMR2</t>
        </is>
      </c>
      <c r="N958" s="30" t="inlineStr">
        <is>
          <t>AMR1</t>
        </is>
      </c>
      <c r="O958" s="32" t="n">
        <v>1</v>
      </c>
      <c r="P958" s="32" t="n">
        <v>25</v>
      </c>
      <c r="Q958" s="32" t="n">
        <v>14</v>
      </c>
      <c r="R958" s="31" t="n">
        <v>60.7</v>
      </c>
      <c r="S958" s="31" t="n">
        <v>60.7</v>
      </c>
      <c r="T958" s="30" t="inlineStr">
        <is>
          <t>AMR2</t>
        </is>
      </c>
      <c r="U958" s="31" t="n">
        <v>45.5</v>
      </c>
      <c r="V958" s="31" t="n">
        <v>45.5</v>
      </c>
      <c r="W958" s="30" t="inlineStr">
        <is>
          <t>AMR1</t>
        </is>
      </c>
      <c r="X958" s="32" t="n">
        <v>0</v>
      </c>
      <c r="Y958" s="32" t="n">
        <v>0</v>
      </c>
      <c r="Z958" s="31" t="n">
        <v>0</v>
      </c>
      <c r="AA958" s="32" t="n">
        <v>0</v>
      </c>
      <c r="AB958" s="32" t="n">
        <v>0</v>
      </c>
      <c r="AC958" s="32" t="n">
        <v>0</v>
      </c>
      <c r="AD958" s="32" t="n">
        <v>0</v>
      </c>
      <c r="AE958" s="31" t="n">
        <v>0</v>
      </c>
      <c r="AF958" s="32" t="n">
        <v>0</v>
      </c>
      <c r="AG958" s="31" t="n">
        <v>0</v>
      </c>
      <c r="AH958" s="32" t="n">
        <v>68</v>
      </c>
      <c r="AI958" s="31" t="n">
        <v>70.2</v>
      </c>
      <c r="AJ958" s="31" t="n">
        <v>40.3</v>
      </c>
      <c r="AK958" s="31" t="n">
        <v>0</v>
      </c>
      <c r="AL958" s="30" t="inlineStr">
        <is>
          <t>T-1106</t>
        </is>
      </c>
      <c r="AM958" s="30" t="inlineStr">
        <is>
          <t>H-03-02</t>
        </is>
      </c>
      <c r="AN958" s="30" t="inlineStr">
        <is>
          <t>T-0920</t>
        </is>
      </c>
      <c r="AO958" s="30" t="inlineStr">
        <is>
          <t>H-04-03</t>
        </is>
      </c>
    </row>
    <row r="959">
      <c r="A959" s="30" t="inlineStr">
        <is>
          <t>O0958</t>
        </is>
      </c>
      <c r="B959" s="30" t="inlineStr">
        <is>
          <t>J</t>
        </is>
      </c>
      <c r="C959" s="31" t="n">
        <v>13147.1</v>
      </c>
      <c r="D959" s="31" t="n">
        <v>35058</v>
      </c>
      <c r="E959" s="31" t="n">
        <v>35087.5</v>
      </c>
      <c r="F959" s="31" t="n">
        <v>35098.4</v>
      </c>
      <c r="G959" s="31" t="n">
        <v>35130.5</v>
      </c>
      <c r="H959" s="31" t="n">
        <v>35584.5</v>
      </c>
      <c r="I959" s="31" t="n">
        <v>35596.9</v>
      </c>
      <c r="J959" s="31" t="n">
        <v>35631.7</v>
      </c>
      <c r="K959" s="31" t="n">
        <v>22484.6</v>
      </c>
      <c r="L959" s="31" t="n">
        <v>21910.9</v>
      </c>
      <c r="M959" s="30" t="inlineStr">
        <is>
          <t>AMR1</t>
        </is>
      </c>
      <c r="N959" s="30" t="inlineStr">
        <is>
          <t>AMR1</t>
        </is>
      </c>
      <c r="O959" s="32" t="n">
        <v>1</v>
      </c>
      <c r="P959" s="32" t="n">
        <v>25</v>
      </c>
      <c r="Q959" s="32" t="n">
        <v>1</v>
      </c>
      <c r="R959" s="31" t="n">
        <v>63.9</v>
      </c>
      <c r="S959" s="31" t="n">
        <v>63.9</v>
      </c>
      <c r="T959" s="30" t="inlineStr">
        <is>
          <t>AMR1</t>
        </is>
      </c>
      <c r="U959" s="31" t="n">
        <v>45.3</v>
      </c>
      <c r="V959" s="31" t="n">
        <v>45.3</v>
      </c>
      <c r="W959" s="30" t="inlineStr">
        <is>
          <t>AMR1</t>
        </is>
      </c>
      <c r="X959" s="32" t="n">
        <v>0</v>
      </c>
      <c r="Y959" s="32" t="n">
        <v>0</v>
      </c>
      <c r="Z959" s="31" t="n">
        <v>0</v>
      </c>
      <c r="AA959" s="32" t="n">
        <v>0</v>
      </c>
      <c r="AB959" s="32" t="n">
        <v>0</v>
      </c>
      <c r="AC959" s="32" t="n">
        <v>0</v>
      </c>
      <c r="AD959" s="32" t="n">
        <v>0</v>
      </c>
      <c r="AE959" s="31" t="n">
        <v>0</v>
      </c>
      <c r="AF959" s="32" t="n">
        <v>1</v>
      </c>
      <c r="AG959" s="31" t="n">
        <v>1</v>
      </c>
      <c r="AH959" s="32" t="n">
        <v>69</v>
      </c>
      <c r="AI959" s="31" t="n">
        <v>69.2</v>
      </c>
      <c r="AJ959" s="31" t="n">
        <v>44.5</v>
      </c>
      <c r="AK959" s="31" t="n">
        <v>6</v>
      </c>
      <c r="AL959" s="30" t="inlineStr">
        <is>
          <t>T-1105</t>
        </is>
      </c>
      <c r="AM959" s="30" t="inlineStr">
        <is>
          <t>J-03-01</t>
        </is>
      </c>
      <c r="AN959" s="30" t="inlineStr">
        <is>
          <t>T-0939</t>
        </is>
      </c>
      <c r="AO959" s="30" t="inlineStr">
        <is>
          <t>J-06-01</t>
        </is>
      </c>
    </row>
    <row r="960">
      <c r="A960" s="30" t="inlineStr">
        <is>
          <t>O0959</t>
        </is>
      </c>
      <c r="B960" s="30" t="inlineStr">
        <is>
          <t>G</t>
        </is>
      </c>
      <c r="C960" s="31" t="n">
        <v>13170.3</v>
      </c>
      <c r="D960" s="31" t="n">
        <v>35227.1</v>
      </c>
      <c r="E960" s="31" t="n">
        <v>35259.6</v>
      </c>
      <c r="F960" s="31" t="n">
        <v>35273.8</v>
      </c>
      <c r="G960" s="31" t="n">
        <v>35302.6</v>
      </c>
      <c r="H960" s="31" t="n">
        <v>35346.7</v>
      </c>
      <c r="I960" s="31" t="n">
        <v>35376.4</v>
      </c>
      <c r="J960" s="31" t="n">
        <v>35403.1</v>
      </c>
      <c r="K960" s="31" t="n">
        <v>22232.8</v>
      </c>
      <c r="L960" s="31" t="n">
        <v>22056.8</v>
      </c>
      <c r="M960" s="30" t="inlineStr">
        <is>
          <t>AMR1</t>
        </is>
      </c>
      <c r="N960" s="30" t="inlineStr">
        <is>
          <t>AMR1</t>
        </is>
      </c>
      <c r="O960" s="32" t="n">
        <v>1</v>
      </c>
      <c r="P960" s="32" t="n">
        <v>25</v>
      </c>
      <c r="Q960" s="32" t="n">
        <v>16</v>
      </c>
      <c r="R960" s="31" t="n">
        <v>62.9</v>
      </c>
      <c r="S960" s="31" t="n">
        <v>62.9</v>
      </c>
      <c r="T960" s="30" t="inlineStr">
        <is>
          <t>AMR1</t>
        </is>
      </c>
      <c r="U960" s="31" t="n">
        <v>55.1</v>
      </c>
      <c r="V960" s="31" t="n">
        <v>55.1</v>
      </c>
      <c r="W960" s="30" t="inlineStr">
        <is>
          <t>AMR1</t>
        </is>
      </c>
      <c r="X960" s="32" t="n">
        <v>0</v>
      </c>
      <c r="Y960" s="32" t="n">
        <v>0</v>
      </c>
      <c r="Z960" s="31" t="n">
        <v>0</v>
      </c>
      <c r="AA960" s="32" t="n">
        <v>0</v>
      </c>
      <c r="AB960" s="32" t="n">
        <v>0</v>
      </c>
      <c r="AC960" s="32" t="n">
        <v>0</v>
      </c>
      <c r="AD960" s="32" t="n">
        <v>0</v>
      </c>
      <c r="AE960" s="31" t="n">
        <v>0</v>
      </c>
      <c r="AF960" s="32" t="n">
        <v>1</v>
      </c>
      <c r="AG960" s="31" t="n">
        <v>4</v>
      </c>
      <c r="AH960" s="32" t="n">
        <v>69</v>
      </c>
      <c r="AI960" s="31" t="n">
        <v>72.40000000000001</v>
      </c>
      <c r="AJ960" s="31" t="n">
        <v>47</v>
      </c>
      <c r="AK960" s="31" t="n">
        <v>12.5</v>
      </c>
      <c r="AL960" s="30" t="inlineStr">
        <is>
          <t>T-1109</t>
        </is>
      </c>
      <c r="AM960" s="30" t="inlineStr">
        <is>
          <t>G-05-02</t>
        </is>
      </c>
      <c r="AN960" s="30" t="inlineStr">
        <is>
          <t>T-0976</t>
        </is>
      </c>
      <c r="AO960" s="30" t="inlineStr">
        <is>
          <t>G-06-02</t>
        </is>
      </c>
    </row>
    <row r="961">
      <c r="A961" s="30" t="inlineStr">
        <is>
          <t>O0960</t>
        </is>
      </c>
      <c r="B961" s="30" t="inlineStr">
        <is>
          <t>G</t>
        </is>
      </c>
      <c r="C961" s="31" t="n">
        <v>13185.6</v>
      </c>
      <c r="D961" s="31" t="n">
        <v>35136.7</v>
      </c>
      <c r="E961" s="31" t="n">
        <v>35160.2</v>
      </c>
      <c r="F961" s="31" t="n">
        <v>35174</v>
      </c>
      <c r="G961" s="31" t="n">
        <v>35199.8</v>
      </c>
      <c r="H961" s="31" t="n">
        <v>35199.9</v>
      </c>
      <c r="I961" s="31" t="n">
        <v>35211.6</v>
      </c>
      <c r="J961" s="31" t="n">
        <v>35248.3</v>
      </c>
      <c r="K961" s="31" t="n">
        <v>22062.7</v>
      </c>
      <c r="L961" s="31" t="n">
        <v>21951.1</v>
      </c>
      <c r="M961" s="30" t="inlineStr">
        <is>
          <t>AMR3</t>
        </is>
      </c>
      <c r="N961" s="30" t="inlineStr">
        <is>
          <t>AMR3</t>
        </is>
      </c>
      <c r="O961" s="32" t="n">
        <v>1</v>
      </c>
      <c r="P961" s="32" t="n">
        <v>25</v>
      </c>
      <c r="Q961" s="32" t="n">
        <v>1</v>
      </c>
      <c r="R961" s="31" t="n">
        <v>61.3</v>
      </c>
      <c r="S961" s="31" t="n">
        <v>61.3</v>
      </c>
      <c r="T961" s="30" t="inlineStr">
        <is>
          <t>AMR3</t>
        </is>
      </c>
      <c r="U961" s="31" t="n">
        <v>39</v>
      </c>
      <c r="V961" s="31" t="n">
        <v>39</v>
      </c>
      <c r="W961" s="30" t="inlineStr">
        <is>
          <t>AMR3</t>
        </is>
      </c>
      <c r="X961" s="32" t="n">
        <v>0</v>
      </c>
      <c r="Y961" s="32" t="n">
        <v>0</v>
      </c>
      <c r="Z961" s="31" t="n">
        <v>0</v>
      </c>
      <c r="AA961" s="32" t="n">
        <v>0</v>
      </c>
      <c r="AB961" s="32" t="n">
        <v>0</v>
      </c>
      <c r="AC961" s="32" t="n">
        <v>0</v>
      </c>
      <c r="AD961" s="32" t="n">
        <v>1</v>
      </c>
      <c r="AE961" s="31" t="n">
        <v>10.6</v>
      </c>
      <c r="AF961" s="32" t="n">
        <v>1</v>
      </c>
      <c r="AG961" s="31" t="n">
        <v>5.6</v>
      </c>
      <c r="AH961" s="32" t="n">
        <v>56</v>
      </c>
      <c r="AI961" s="31" t="n">
        <v>57.9</v>
      </c>
      <c r="AJ961" s="31" t="n">
        <v>43</v>
      </c>
      <c r="AK961" s="31" t="n">
        <v>10.6</v>
      </c>
      <c r="AL961" s="30" t="inlineStr">
        <is>
          <t>T-1107</t>
        </is>
      </c>
      <c r="AM961" s="30" t="inlineStr">
        <is>
          <t>G-04-02</t>
        </is>
      </c>
      <c r="AN961" s="30" t="inlineStr">
        <is>
          <t>T-0957</t>
        </is>
      </c>
      <c r="AO961" s="30" t="inlineStr">
        <is>
          <t>G-05-02</t>
        </is>
      </c>
    </row>
    <row r="962">
      <c r="A962" s="30" t="inlineStr">
        <is>
          <t>O0961</t>
        </is>
      </c>
      <c r="B962" s="30" t="inlineStr">
        <is>
          <t>C</t>
        </is>
      </c>
      <c r="C962" s="31" t="n">
        <v>13204.1</v>
      </c>
      <c r="D962" s="31" t="n">
        <v>35363</v>
      </c>
      <c r="E962" s="31" t="n">
        <v>35386.5</v>
      </c>
      <c r="F962" s="31" t="n">
        <v>35400.9</v>
      </c>
      <c r="G962" s="31" t="n">
        <v>35425.7</v>
      </c>
      <c r="H962" s="31" t="n">
        <v>36016.6</v>
      </c>
      <c r="I962" s="31" t="n">
        <v>36026.1</v>
      </c>
      <c r="J962" s="31" t="n">
        <v>36057.1</v>
      </c>
      <c r="K962" s="31" t="n">
        <v>22853</v>
      </c>
      <c r="L962" s="31" t="n">
        <v>22158.9</v>
      </c>
      <c r="M962" s="30" t="inlineStr">
        <is>
          <t>AMR3</t>
        </is>
      </c>
      <c r="N962" s="30" t="inlineStr">
        <is>
          <t>AMR1</t>
        </is>
      </c>
      <c r="O962" s="32" t="n">
        <v>1</v>
      </c>
      <c r="P962" s="32" t="n">
        <v>25</v>
      </c>
      <c r="Q962" s="32" t="n">
        <v>1</v>
      </c>
      <c r="R962" s="31" t="n">
        <v>60</v>
      </c>
      <c r="S962" s="31" t="n">
        <v>60</v>
      </c>
      <c r="T962" s="30" t="inlineStr">
        <is>
          <t>AMR3</t>
        </is>
      </c>
      <c r="U962" s="31" t="n">
        <v>41.2</v>
      </c>
      <c r="V962" s="31" t="n">
        <v>41.2</v>
      </c>
      <c r="W962" s="30" t="inlineStr">
        <is>
          <t>AMR1</t>
        </is>
      </c>
      <c r="X962" s="32" t="n">
        <v>0</v>
      </c>
      <c r="Y962" s="32" t="n">
        <v>0</v>
      </c>
      <c r="Z962" s="31" t="n">
        <v>0</v>
      </c>
      <c r="AA962" s="32" t="n">
        <v>0</v>
      </c>
      <c r="AB962" s="32" t="n">
        <v>0</v>
      </c>
      <c r="AC962" s="32" t="n">
        <v>0</v>
      </c>
      <c r="AD962" s="32" t="n">
        <v>0</v>
      </c>
      <c r="AE962" s="31" t="n">
        <v>0</v>
      </c>
      <c r="AF962" s="32" t="n">
        <v>0</v>
      </c>
      <c r="AG962" s="31" t="n">
        <v>0</v>
      </c>
      <c r="AH962" s="32" t="n">
        <v>53</v>
      </c>
      <c r="AI962" s="31" t="n">
        <v>55.1</v>
      </c>
      <c r="AJ962" s="31" t="n">
        <v>48.1</v>
      </c>
      <c r="AK962" s="31" t="n">
        <v>0</v>
      </c>
      <c r="AL962" s="30" t="inlineStr">
        <is>
          <t>T-1112</t>
        </is>
      </c>
      <c r="AM962" s="30" t="inlineStr">
        <is>
          <t>C-03-03</t>
        </is>
      </c>
      <c r="AN962" s="30" t="inlineStr">
        <is>
          <t>T-1000</t>
        </is>
      </c>
      <c r="AO962" s="30" t="inlineStr">
        <is>
          <t>C-05-03</t>
        </is>
      </c>
    </row>
    <row r="963">
      <c r="A963" s="30" t="inlineStr">
        <is>
          <t>O0962</t>
        </is>
      </c>
      <c r="B963" s="30" t="inlineStr">
        <is>
          <t>C</t>
        </is>
      </c>
      <c r="C963" s="31" t="n">
        <v>13221.9</v>
      </c>
      <c r="D963" s="31" t="n">
        <v>35212.3</v>
      </c>
      <c r="E963" s="31" t="n">
        <v>35235.8</v>
      </c>
      <c r="F963" s="31" t="n">
        <v>35246.7</v>
      </c>
      <c r="G963" s="31" t="n">
        <v>35270</v>
      </c>
      <c r="H963" s="31" t="n">
        <v>35425.8</v>
      </c>
      <c r="I963" s="31" t="n">
        <v>35436.1</v>
      </c>
      <c r="J963" s="31" t="n">
        <v>35462.4</v>
      </c>
      <c r="K963" s="31" t="n">
        <v>22240.5</v>
      </c>
      <c r="L963" s="31" t="n">
        <v>21990.4</v>
      </c>
      <c r="M963" s="30" t="inlineStr">
        <is>
          <t>AMR2</t>
        </is>
      </c>
      <c r="N963" s="30" t="inlineStr">
        <is>
          <t>AMR3</t>
        </is>
      </c>
      <c r="O963" s="32" t="n">
        <v>1</v>
      </c>
      <c r="P963" s="32" t="n">
        <v>25</v>
      </c>
      <c r="Q963" s="32" t="n">
        <v>0</v>
      </c>
      <c r="R963" s="31" t="n">
        <v>55</v>
      </c>
      <c r="S963" s="31" t="n">
        <v>55</v>
      </c>
      <c r="T963" s="30" t="inlineStr">
        <is>
          <t>AMR2</t>
        </is>
      </c>
      <c r="U963" s="31" t="n">
        <v>35.9</v>
      </c>
      <c r="V963" s="31" t="n">
        <v>35.9</v>
      </c>
      <c r="W963" s="30" t="inlineStr">
        <is>
          <t>AMR3</t>
        </is>
      </c>
      <c r="X963" s="32" t="n">
        <v>0</v>
      </c>
      <c r="Y963" s="32" t="n">
        <v>0</v>
      </c>
      <c r="Z963" s="31" t="n">
        <v>0</v>
      </c>
      <c r="AA963" s="32" t="n">
        <v>0</v>
      </c>
      <c r="AB963" s="32" t="n">
        <v>0</v>
      </c>
      <c r="AC963" s="32" t="n">
        <v>0</v>
      </c>
      <c r="AD963" s="32" t="n">
        <v>0</v>
      </c>
      <c r="AE963" s="31" t="n">
        <v>0</v>
      </c>
      <c r="AF963" s="32" t="n">
        <v>0</v>
      </c>
      <c r="AG963" s="31" t="n">
        <v>0</v>
      </c>
      <c r="AH963" s="32" t="n">
        <v>54</v>
      </c>
      <c r="AI963" s="31" t="n">
        <v>55.8</v>
      </c>
      <c r="AJ963" s="31" t="n">
        <v>38.5</v>
      </c>
      <c r="AK963" s="31" t="n">
        <v>0</v>
      </c>
      <c r="AL963" s="30" t="inlineStr">
        <is>
          <t>T-1108</t>
        </is>
      </c>
      <c r="AM963" s="30" t="inlineStr">
        <is>
          <t>C-03-01</t>
        </is>
      </c>
      <c r="AN963" s="30" t="inlineStr">
        <is>
          <t>T-0991</t>
        </is>
      </c>
      <c r="AO963" s="30" t="inlineStr">
        <is>
          <t>C-06-01</t>
        </is>
      </c>
    </row>
    <row r="964">
      <c r="A964" s="30" t="inlineStr">
        <is>
          <t>O0963</t>
        </is>
      </c>
      <c r="B964" s="30" t="inlineStr">
        <is>
          <t>J</t>
        </is>
      </c>
      <c r="C964" s="31" t="n">
        <v>13243.1</v>
      </c>
      <c r="D964" s="31" t="n">
        <v>35514.1</v>
      </c>
      <c r="E964" s="31" t="n">
        <v>35537.6</v>
      </c>
      <c r="F964" s="31" t="n">
        <v>35551.6</v>
      </c>
      <c r="G964" s="31" t="n">
        <v>35584.4</v>
      </c>
      <c r="H964" s="31" t="n">
        <v>36353.8</v>
      </c>
      <c r="I964" s="31" t="n">
        <v>36368.1</v>
      </c>
      <c r="J964" s="31" t="n">
        <v>36400.8</v>
      </c>
      <c r="K964" s="31" t="n">
        <v>23157.7</v>
      </c>
      <c r="L964" s="31" t="n">
        <v>22271</v>
      </c>
      <c r="M964" s="30" t="inlineStr">
        <is>
          <t>AMR1</t>
        </is>
      </c>
      <c r="N964" s="30" t="inlineStr">
        <is>
          <t>AMR1</t>
        </is>
      </c>
      <c r="O964" s="32" t="n">
        <v>1</v>
      </c>
      <c r="P964" s="32" t="n">
        <v>25</v>
      </c>
      <c r="Q964" s="32" t="n">
        <v>1</v>
      </c>
      <c r="R964" s="31" t="n">
        <v>66.90000000000001</v>
      </c>
      <c r="S964" s="31" t="n">
        <v>66.90000000000001</v>
      </c>
      <c r="T964" s="30" t="inlineStr">
        <is>
          <t>AMR1</t>
        </is>
      </c>
      <c r="U964" s="31" t="n">
        <v>46.7</v>
      </c>
      <c r="V964" s="31" t="n">
        <v>46.7</v>
      </c>
      <c r="W964" s="30" t="inlineStr">
        <is>
          <t>AMR1</t>
        </is>
      </c>
      <c r="X964" s="32" t="n">
        <v>0</v>
      </c>
      <c r="Y964" s="32" t="n">
        <v>0</v>
      </c>
      <c r="Z964" s="31" t="n">
        <v>0</v>
      </c>
      <c r="AA964" s="32" t="n">
        <v>0</v>
      </c>
      <c r="AB964" s="32" t="n">
        <v>0</v>
      </c>
      <c r="AC964" s="32" t="n">
        <v>0</v>
      </c>
      <c r="AD964" s="32" t="n">
        <v>0</v>
      </c>
      <c r="AE964" s="31" t="n">
        <v>0</v>
      </c>
      <c r="AF964" s="32" t="n">
        <v>0</v>
      </c>
      <c r="AG964" s="31" t="n">
        <v>0</v>
      </c>
      <c r="AH964" s="32" t="n">
        <v>68</v>
      </c>
      <c r="AI964" s="31" t="n">
        <v>68.40000000000001</v>
      </c>
      <c r="AJ964" s="31" t="n">
        <v>48.9</v>
      </c>
      <c r="AK964" s="31" t="n">
        <v>0</v>
      </c>
      <c r="AL964" s="30" t="inlineStr">
        <is>
          <t>T-1117</t>
        </is>
      </c>
      <c r="AM964" s="30" t="inlineStr">
        <is>
          <t>J-05-03</t>
        </is>
      </c>
      <c r="AN964" s="30" t="inlineStr">
        <is>
          <t>T-0967</t>
        </is>
      </c>
      <c r="AO964" s="30" t="inlineStr">
        <is>
          <t>J-03-02</t>
        </is>
      </c>
    </row>
    <row r="965">
      <c r="A965" s="30" t="inlineStr">
        <is>
          <t>O0964</t>
        </is>
      </c>
      <c r="B965" s="30" t="inlineStr">
        <is>
          <t>H</t>
        </is>
      </c>
      <c r="C965" s="31" t="n">
        <v>13264.5</v>
      </c>
      <c r="D965" s="31" t="n">
        <v>35248.4</v>
      </c>
      <c r="E965" s="31" t="n">
        <v>35293.8</v>
      </c>
      <c r="F965" s="31" t="n">
        <v>35305.2</v>
      </c>
      <c r="G965" s="31" t="n">
        <v>35327.8</v>
      </c>
      <c r="H965" s="31" t="n">
        <v>35327.9</v>
      </c>
      <c r="I965" s="31" t="n">
        <v>35338.3</v>
      </c>
      <c r="J965" s="31" t="n">
        <v>35362.9</v>
      </c>
      <c r="K965" s="31" t="n">
        <v>22098.4</v>
      </c>
      <c r="L965" s="31" t="n">
        <v>21983.9</v>
      </c>
      <c r="M965" s="30" t="inlineStr">
        <is>
          <t>AMR3</t>
        </is>
      </c>
      <c r="N965" s="30" t="inlineStr">
        <is>
          <t>AMR3</t>
        </is>
      </c>
      <c r="O965" s="32" t="n">
        <v>1</v>
      </c>
      <c r="P965" s="32" t="n">
        <v>25</v>
      </c>
      <c r="Q965" s="32" t="n">
        <v>1</v>
      </c>
      <c r="R965" s="31" t="n">
        <v>55.7</v>
      </c>
      <c r="S965" s="31" t="n">
        <v>55.7</v>
      </c>
      <c r="T965" s="30" t="inlineStr">
        <is>
          <t>AMR3</t>
        </is>
      </c>
      <c r="U965" s="31" t="n">
        <v>34.2</v>
      </c>
      <c r="V965" s="31" t="n">
        <v>34.2</v>
      </c>
      <c r="W965" s="30" t="inlineStr">
        <is>
          <t>AMR3</t>
        </is>
      </c>
      <c r="X965" s="32" t="n">
        <v>0</v>
      </c>
      <c r="Y965" s="32" t="n">
        <v>0</v>
      </c>
      <c r="Z965" s="31" t="n">
        <v>0</v>
      </c>
      <c r="AA965" s="32" t="n">
        <v>0</v>
      </c>
      <c r="AB965" s="32" t="n">
        <v>0</v>
      </c>
      <c r="AC965" s="32" t="n">
        <v>0</v>
      </c>
      <c r="AD965" s="32" t="n">
        <v>0</v>
      </c>
      <c r="AE965" s="31" t="n">
        <v>0</v>
      </c>
      <c r="AF965" s="32" t="n">
        <v>1</v>
      </c>
      <c r="AG965" s="31" t="n">
        <v>7</v>
      </c>
      <c r="AH965" s="32" t="n">
        <v>60</v>
      </c>
      <c r="AI965" s="31" t="n">
        <v>62.4</v>
      </c>
      <c r="AJ965" s="31" t="n">
        <v>36.3</v>
      </c>
      <c r="AK965" s="31" t="n">
        <v>15.7</v>
      </c>
      <c r="AL965" s="30" t="inlineStr">
        <is>
          <t>T-1111</t>
        </is>
      </c>
      <c r="AM965" s="30" t="inlineStr">
        <is>
          <t>H-04-03</t>
        </is>
      </c>
      <c r="AN965" s="30" t="inlineStr">
        <is>
          <t>T-0922</t>
        </is>
      </c>
      <c r="AO965" s="30" t="inlineStr">
        <is>
          <t>H-01-01</t>
        </is>
      </c>
    </row>
    <row r="966">
      <c r="A966" s="30" t="inlineStr">
        <is>
          <t>O0965</t>
        </is>
      </c>
      <c r="B966" s="30" t="inlineStr">
        <is>
          <t>H</t>
        </is>
      </c>
      <c r="C966" s="31" t="n">
        <v>13288.4</v>
      </c>
      <c r="D966" s="31" t="n">
        <v>35462.5</v>
      </c>
      <c r="E966" s="31" t="n">
        <v>35486</v>
      </c>
      <c r="F966" s="31" t="n">
        <v>35502.2</v>
      </c>
      <c r="G966" s="31" t="n">
        <v>35529</v>
      </c>
      <c r="H966" s="31" t="n">
        <v>35529.1</v>
      </c>
      <c r="I966" s="31" t="n">
        <v>35543.5</v>
      </c>
      <c r="J966" s="31" t="n">
        <v>35565.9</v>
      </c>
      <c r="K966" s="31" t="n">
        <v>22277.5</v>
      </c>
      <c r="L966" s="31" t="n">
        <v>22174.1</v>
      </c>
      <c r="M966" s="30" t="inlineStr">
        <is>
          <t>AMR3</t>
        </is>
      </c>
      <c r="N966" s="30" t="inlineStr">
        <is>
          <t>AMR3</t>
        </is>
      </c>
      <c r="O966" s="32" t="n">
        <v>1</v>
      </c>
      <c r="P966" s="32" t="n">
        <v>25</v>
      </c>
      <c r="Q966" s="32" t="n">
        <v>1</v>
      </c>
      <c r="R966" s="31" t="n">
        <v>63.1</v>
      </c>
      <c r="S966" s="31" t="n">
        <v>63.1</v>
      </c>
      <c r="T966" s="30" t="inlineStr">
        <is>
          <t>AMR3</t>
        </is>
      </c>
      <c r="U966" s="31" t="n">
        <v>36.1</v>
      </c>
      <c r="V966" s="31" t="n">
        <v>36.1</v>
      </c>
      <c r="W966" s="30" t="inlineStr">
        <is>
          <t>AMR3</t>
        </is>
      </c>
      <c r="X966" s="32" t="n">
        <v>0</v>
      </c>
      <c r="Y966" s="32" t="n">
        <v>0</v>
      </c>
      <c r="Z966" s="31" t="n">
        <v>0</v>
      </c>
      <c r="AA966" s="32" t="n">
        <v>0</v>
      </c>
      <c r="AB966" s="32" t="n">
        <v>0</v>
      </c>
      <c r="AC966" s="32" t="n">
        <v>0</v>
      </c>
      <c r="AD966" s="32" t="n">
        <v>0</v>
      </c>
      <c r="AE966" s="31" t="n">
        <v>0</v>
      </c>
      <c r="AF966" s="32" t="n">
        <v>0</v>
      </c>
      <c r="AG966" s="31" t="n">
        <v>0</v>
      </c>
      <c r="AH966" s="32" t="n">
        <v>56</v>
      </c>
      <c r="AI966" s="31" t="n">
        <v>57.7</v>
      </c>
      <c r="AJ966" s="31" t="n">
        <v>45.6</v>
      </c>
      <c r="AK966" s="31" t="n">
        <v>0</v>
      </c>
      <c r="AL966" s="30" t="inlineStr">
        <is>
          <t>T-1115</t>
        </is>
      </c>
      <c r="AM966" s="30" t="inlineStr">
        <is>
          <t>H-01-01</t>
        </is>
      </c>
      <c r="AN966" s="30" t="inlineStr">
        <is>
          <t>T-0926</t>
        </is>
      </c>
      <c r="AO966" s="30" t="inlineStr">
        <is>
          <t>H-06-02</t>
        </is>
      </c>
    </row>
    <row r="967">
      <c r="A967" s="30" t="inlineStr">
        <is>
          <t>O0966</t>
        </is>
      </c>
      <c r="B967" s="30" t="inlineStr">
        <is>
          <t>G</t>
        </is>
      </c>
      <c r="C967" s="31" t="n">
        <v>13304.3</v>
      </c>
      <c r="D967" s="31" t="n">
        <v>35378.2</v>
      </c>
      <c r="E967" s="31" t="n">
        <v>35410.7</v>
      </c>
      <c r="F967" s="31" t="n">
        <v>35425.7</v>
      </c>
      <c r="G967" s="31" t="n">
        <v>35449.6</v>
      </c>
      <c r="H967" s="31" t="n">
        <v>35449.7</v>
      </c>
      <c r="I967" s="31" t="n">
        <v>35462.5</v>
      </c>
      <c r="J967" s="31" t="n">
        <v>35487.9</v>
      </c>
      <c r="K967" s="31" t="n">
        <v>22183.6</v>
      </c>
      <c r="L967" s="31" t="n">
        <v>22073.9</v>
      </c>
      <c r="M967" s="30" t="inlineStr">
        <is>
          <t>AMR2</t>
        </is>
      </c>
      <c r="N967" s="30" t="inlineStr">
        <is>
          <t>AMR2</t>
        </is>
      </c>
      <c r="O967" s="32" t="n">
        <v>1</v>
      </c>
      <c r="P967" s="32" t="n">
        <v>25</v>
      </c>
      <c r="Q967" s="32" t="n">
        <v>2</v>
      </c>
      <c r="R967" s="31" t="n">
        <v>61.4</v>
      </c>
      <c r="S967" s="31" t="n">
        <v>61.4</v>
      </c>
      <c r="T967" s="30" t="inlineStr">
        <is>
          <t>AMR2</t>
        </is>
      </c>
      <c r="U967" s="31" t="n">
        <v>38.4</v>
      </c>
      <c r="V967" s="31" t="n">
        <v>38.4</v>
      </c>
      <c r="W967" s="30" t="inlineStr">
        <is>
          <t>AMR2</t>
        </is>
      </c>
      <c r="X967" s="32" t="n">
        <v>0</v>
      </c>
      <c r="Y967" s="32" t="n">
        <v>0</v>
      </c>
      <c r="Z967" s="31" t="n">
        <v>0</v>
      </c>
      <c r="AA967" s="32" t="n">
        <v>0</v>
      </c>
      <c r="AB967" s="32" t="n">
        <v>0</v>
      </c>
      <c r="AC967" s="32" t="n">
        <v>0</v>
      </c>
      <c r="AD967" s="32" t="n">
        <v>0</v>
      </c>
      <c r="AE967" s="31" t="n">
        <v>0</v>
      </c>
      <c r="AF967" s="32" t="n">
        <v>1</v>
      </c>
      <c r="AG967" s="31" t="n">
        <v>4</v>
      </c>
      <c r="AH967" s="32" t="n">
        <v>56</v>
      </c>
      <c r="AI967" s="31" t="n">
        <v>58.8</v>
      </c>
      <c r="AJ967" s="31" t="n">
        <v>41.8</v>
      </c>
      <c r="AK967" s="31" t="n">
        <v>9</v>
      </c>
      <c r="AL967" s="30" t="inlineStr">
        <is>
          <t>T-1113</t>
        </is>
      </c>
      <c r="AM967" s="30" t="inlineStr">
        <is>
          <t>G-06-02</t>
        </is>
      </c>
      <c r="AN967" s="30" t="inlineStr">
        <is>
          <t>T-0980</t>
        </is>
      </c>
      <c r="AO967" s="30" t="inlineStr">
        <is>
          <t>G-05-03</t>
        </is>
      </c>
    </row>
    <row r="968">
      <c r="A968" s="30" t="inlineStr">
        <is>
          <t>O0967</t>
        </is>
      </c>
      <c r="B968" s="30" t="inlineStr">
        <is>
          <t>I</t>
        </is>
      </c>
      <c r="C968" s="31" t="n">
        <v>13323.5</v>
      </c>
      <c r="D968" s="31" t="n">
        <v>35847.9</v>
      </c>
      <c r="E968" s="31" t="n">
        <v>35883.9</v>
      </c>
      <c r="F968" s="31" t="n">
        <v>35898.3</v>
      </c>
      <c r="G968" s="31" t="n">
        <v>35926.9</v>
      </c>
      <c r="H968" s="31" t="n">
        <v>35927</v>
      </c>
      <c r="I968" s="31" t="n">
        <v>35941.8</v>
      </c>
      <c r="J968" s="31" t="n">
        <v>35975.1</v>
      </c>
      <c r="K968" s="31" t="n">
        <v>22651.6</v>
      </c>
      <c r="L968" s="31" t="n">
        <v>22524.4</v>
      </c>
      <c r="M968" s="30" t="inlineStr">
        <is>
          <t>AMR3</t>
        </is>
      </c>
      <c r="N968" s="30" t="inlineStr">
        <is>
          <t>AMR3</t>
        </is>
      </c>
      <c r="O968" s="32" t="n">
        <v>1</v>
      </c>
      <c r="P968" s="32" t="n">
        <v>12</v>
      </c>
      <c r="Q968" s="32" t="n">
        <v>1</v>
      </c>
      <c r="R968" s="31" t="n">
        <v>52.8</v>
      </c>
      <c r="S968" s="31" t="n">
        <v>52.8</v>
      </c>
      <c r="T968" s="30" t="inlineStr">
        <is>
          <t>AMR3</t>
        </is>
      </c>
      <c r="U968" s="31" t="n">
        <v>41.7</v>
      </c>
      <c r="V968" s="31" t="n">
        <v>41.7</v>
      </c>
      <c r="W968" s="30" t="inlineStr">
        <is>
          <t>AMR3</t>
        </is>
      </c>
      <c r="X968" s="32" t="n">
        <v>0</v>
      </c>
      <c r="Y968" s="32" t="n">
        <v>0</v>
      </c>
      <c r="Z968" s="31" t="n">
        <v>0</v>
      </c>
      <c r="AA968" s="32" t="n">
        <v>0</v>
      </c>
      <c r="AB968" s="32" t="n">
        <v>0</v>
      </c>
      <c r="AC968" s="32" t="n">
        <v>0</v>
      </c>
      <c r="AD968" s="32" t="n">
        <v>1</v>
      </c>
      <c r="AE968" s="31" t="n">
        <v>6</v>
      </c>
      <c r="AF968" s="32" t="n">
        <v>2</v>
      </c>
      <c r="AG968" s="31" t="n">
        <v>20</v>
      </c>
      <c r="AH968" s="32" t="n">
        <v>43</v>
      </c>
      <c r="AI968" s="31" t="n">
        <v>46.4</v>
      </c>
      <c r="AJ968" s="31" t="n">
        <v>50.7</v>
      </c>
      <c r="AK968" s="31" t="n">
        <v>30</v>
      </c>
      <c r="AL968" s="30" t="inlineStr">
        <is>
          <t>T-1127</t>
        </is>
      </c>
      <c r="AM968" s="30" t="inlineStr">
        <is>
          <t>I-04-03</t>
        </is>
      </c>
      <c r="AN968" s="30" t="inlineStr">
        <is>
          <t>T-0931</t>
        </is>
      </c>
      <c r="AO968" s="30" t="inlineStr">
        <is>
          <t>I-03-03</t>
        </is>
      </c>
    </row>
    <row r="969">
      <c r="A969" s="30" t="inlineStr">
        <is>
          <t>O0968</t>
        </is>
      </c>
      <c r="B969" s="30" t="inlineStr">
        <is>
          <t>I</t>
        </is>
      </c>
      <c r="C969" s="31" t="n">
        <v>13344.8</v>
      </c>
      <c r="D969" s="31" t="n">
        <v>35403.2</v>
      </c>
      <c r="E969" s="31" t="n">
        <v>35434.7</v>
      </c>
      <c r="F969" s="31" t="n">
        <v>35449.3</v>
      </c>
      <c r="G969" s="31" t="n">
        <v>35471.6</v>
      </c>
      <c r="H969" s="31" t="n">
        <v>35471.7</v>
      </c>
      <c r="I969" s="31" t="n">
        <v>35484.9</v>
      </c>
      <c r="J969" s="31" t="n">
        <v>35514</v>
      </c>
      <c r="K969" s="31" t="n">
        <v>22169.2</v>
      </c>
      <c r="L969" s="31" t="n">
        <v>22058.4</v>
      </c>
      <c r="M969" s="30" t="inlineStr">
        <is>
          <t>AMR1</t>
        </is>
      </c>
      <c r="N969" s="30" t="inlineStr">
        <is>
          <t>AMR1</t>
        </is>
      </c>
      <c r="O969" s="32" t="n">
        <v>1</v>
      </c>
      <c r="P969" s="32" t="n">
        <v>25</v>
      </c>
      <c r="Q969" s="32" t="n">
        <v>1</v>
      </c>
      <c r="R969" s="31" t="n">
        <v>58.6</v>
      </c>
      <c r="S969" s="31" t="n">
        <v>58.6</v>
      </c>
      <c r="T969" s="30" t="inlineStr">
        <is>
          <t>AMR1</t>
        </is>
      </c>
      <c r="U969" s="31" t="n">
        <v>39.5</v>
      </c>
      <c r="V969" s="31" t="n">
        <v>39.5</v>
      </c>
      <c r="W969" s="30" t="inlineStr">
        <is>
          <t>AMR1</t>
        </is>
      </c>
      <c r="X969" s="32" t="n">
        <v>0</v>
      </c>
      <c r="Y969" s="32" t="n">
        <v>0</v>
      </c>
      <c r="Z969" s="31" t="n">
        <v>0</v>
      </c>
      <c r="AA969" s="32" t="n">
        <v>0</v>
      </c>
      <c r="AB969" s="32" t="n">
        <v>0</v>
      </c>
      <c r="AC969" s="32" t="n">
        <v>0</v>
      </c>
      <c r="AD969" s="32" t="n">
        <v>0</v>
      </c>
      <c r="AE969" s="31" t="n">
        <v>0</v>
      </c>
      <c r="AF969" s="32" t="n">
        <v>1</v>
      </c>
      <c r="AG969" s="31" t="n">
        <v>3</v>
      </c>
      <c r="AH969" s="32" t="n">
        <v>56</v>
      </c>
      <c r="AI969" s="31" t="n">
        <v>58.7</v>
      </c>
      <c r="AJ969" s="31" t="n">
        <v>44</v>
      </c>
      <c r="AK969" s="31" t="n">
        <v>8</v>
      </c>
      <c r="AL969" s="30" t="inlineStr">
        <is>
          <t>T-1114</t>
        </is>
      </c>
      <c r="AM969" s="30" t="inlineStr">
        <is>
          <t>I-02-03</t>
        </is>
      </c>
      <c r="AN969" s="30" t="inlineStr">
        <is>
          <t>T-0925</t>
        </is>
      </c>
      <c r="AO969" s="30" t="inlineStr">
        <is>
          <t>I-04-03</t>
        </is>
      </c>
    </row>
    <row r="970">
      <c r="A970" s="30" t="inlineStr">
        <is>
          <t>O0969</t>
        </is>
      </c>
      <c r="B970" s="30" t="inlineStr">
        <is>
          <t>F</t>
        </is>
      </c>
      <c r="C970" s="31" t="n">
        <v>13369.7</v>
      </c>
      <c r="D970" s="31" t="n">
        <v>35488</v>
      </c>
      <c r="E970" s="31" t="n">
        <v>35511.5</v>
      </c>
      <c r="F970" s="31" t="n">
        <v>35522.8</v>
      </c>
      <c r="G970" s="31" t="n">
        <v>35554.8</v>
      </c>
      <c r="H970" s="31" t="n">
        <v>36430.5</v>
      </c>
      <c r="I970" s="31" t="n">
        <v>36446.5</v>
      </c>
      <c r="J970" s="31" t="n">
        <v>36481.7</v>
      </c>
      <c r="K970" s="31" t="n">
        <v>23112</v>
      </c>
      <c r="L970" s="31" t="n">
        <v>22118.3</v>
      </c>
      <c r="M970" s="30" t="inlineStr">
        <is>
          <t>AMR2</t>
        </is>
      </c>
      <c r="N970" s="30" t="inlineStr">
        <is>
          <t>AMR2</t>
        </is>
      </c>
      <c r="O970" s="32" t="n">
        <v>1</v>
      </c>
      <c r="P970" s="32" t="n">
        <v>25</v>
      </c>
      <c r="Q970" s="32" t="n">
        <v>2</v>
      </c>
      <c r="R970" s="31" t="n">
        <v>63.4</v>
      </c>
      <c r="S970" s="31" t="n">
        <v>63.4</v>
      </c>
      <c r="T970" s="30" t="inlineStr">
        <is>
          <t>AMR2</t>
        </is>
      </c>
      <c r="U970" s="31" t="n">
        <v>49.4</v>
      </c>
      <c r="V970" s="31" t="n">
        <v>49.4</v>
      </c>
      <c r="W970" s="30" t="inlineStr">
        <is>
          <t>AMR2</t>
        </is>
      </c>
      <c r="X970" s="32" t="n">
        <v>0</v>
      </c>
      <c r="Y970" s="32" t="n">
        <v>0</v>
      </c>
      <c r="Z970" s="31" t="n">
        <v>0</v>
      </c>
      <c r="AA970" s="32" t="n">
        <v>0</v>
      </c>
      <c r="AB970" s="32" t="n">
        <v>0</v>
      </c>
      <c r="AC970" s="32" t="n">
        <v>0</v>
      </c>
      <c r="AD970" s="32" t="n">
        <v>0</v>
      </c>
      <c r="AE970" s="31" t="n">
        <v>0</v>
      </c>
      <c r="AF970" s="32" t="n">
        <v>0</v>
      </c>
      <c r="AG970" s="31" t="n">
        <v>0</v>
      </c>
      <c r="AH970" s="32" t="n">
        <v>75</v>
      </c>
      <c r="AI970" s="31" t="n">
        <v>73.8</v>
      </c>
      <c r="AJ970" s="31" t="n">
        <v>44.2</v>
      </c>
      <c r="AK970" s="31" t="n">
        <v>0</v>
      </c>
      <c r="AL970" s="30" t="inlineStr">
        <is>
          <t>T-1116</t>
        </is>
      </c>
      <c r="AM970" s="30" t="inlineStr">
        <is>
          <t>F-01-01</t>
        </is>
      </c>
      <c r="AN970" s="30" t="inlineStr">
        <is>
          <t>T-0966</t>
        </is>
      </c>
      <c r="AO970" s="30" t="inlineStr">
        <is>
          <t>F-02-02</t>
        </is>
      </c>
    </row>
    <row r="971">
      <c r="A971" s="30" t="inlineStr">
        <is>
          <t>O0970</t>
        </is>
      </c>
      <c r="B971" s="30" t="inlineStr">
        <is>
          <t>H</t>
        </is>
      </c>
      <c r="C971" s="31" t="n">
        <v>13390.1</v>
      </c>
      <c r="D971" s="31" t="n">
        <v>35566</v>
      </c>
      <c r="E971" s="31" t="n">
        <v>35589.5</v>
      </c>
      <c r="F971" s="31" t="n">
        <v>35604.9</v>
      </c>
      <c r="G971" s="31" t="n">
        <v>35631.4</v>
      </c>
      <c r="H971" s="31" t="n">
        <v>35631.5</v>
      </c>
      <c r="I971" s="31" t="n">
        <v>35647.5</v>
      </c>
      <c r="J971" s="31" t="n">
        <v>35674.9</v>
      </c>
      <c r="K971" s="31" t="n">
        <v>22284.8</v>
      </c>
      <c r="L971" s="31" t="n">
        <v>22175.9</v>
      </c>
      <c r="M971" s="30" t="inlineStr">
        <is>
          <t>AMR3</t>
        </is>
      </c>
      <c r="N971" s="30" t="inlineStr">
        <is>
          <t>AMR3</t>
        </is>
      </c>
      <c r="O971" s="32" t="n">
        <v>1</v>
      </c>
      <c r="P971" s="32" t="n">
        <v>25</v>
      </c>
      <c r="Q971" s="32" t="n">
        <v>2</v>
      </c>
      <c r="R971" s="31" t="n">
        <v>64.40000000000001</v>
      </c>
      <c r="S971" s="31" t="n">
        <v>64.40000000000001</v>
      </c>
      <c r="T971" s="30" t="inlineStr">
        <is>
          <t>AMR3</t>
        </is>
      </c>
      <c r="U971" s="31" t="n">
        <v>42.6</v>
      </c>
      <c r="V971" s="31" t="n">
        <v>42.6</v>
      </c>
      <c r="W971" s="30" t="inlineStr">
        <is>
          <t>AMR3</t>
        </is>
      </c>
      <c r="X971" s="32" t="n">
        <v>0</v>
      </c>
      <c r="Y971" s="32" t="n">
        <v>0</v>
      </c>
      <c r="Z971" s="31" t="n">
        <v>0</v>
      </c>
      <c r="AA971" s="32" t="n">
        <v>0</v>
      </c>
      <c r="AB971" s="32" t="n">
        <v>0</v>
      </c>
      <c r="AC971" s="32" t="n">
        <v>0</v>
      </c>
      <c r="AD971" s="32" t="n">
        <v>0</v>
      </c>
      <c r="AE971" s="31" t="n">
        <v>0</v>
      </c>
      <c r="AF971" s="32" t="n">
        <v>0</v>
      </c>
      <c r="AG971" s="31" t="n">
        <v>0</v>
      </c>
      <c r="AH971" s="32" t="n">
        <v>54</v>
      </c>
      <c r="AI971" s="31" t="n">
        <v>56.1</v>
      </c>
      <c r="AJ971" s="31" t="n">
        <v>52.7</v>
      </c>
      <c r="AK971" s="31" t="n">
        <v>0</v>
      </c>
      <c r="AL971" s="30" t="inlineStr">
        <is>
          <t>T-1118</t>
        </is>
      </c>
      <c r="AM971" s="30" t="inlineStr">
        <is>
          <t>H-06-02</t>
        </is>
      </c>
      <c r="AN971" s="30" t="inlineStr">
        <is>
          <t>T-0933</t>
        </is>
      </c>
      <c r="AO971" s="30" t="inlineStr">
        <is>
          <t>H-01-03</t>
        </is>
      </c>
    </row>
    <row r="972">
      <c r="A972" s="30" t="inlineStr">
        <is>
          <t>O0971</t>
        </is>
      </c>
      <c r="B972" s="30" t="inlineStr">
        <is>
          <t>I</t>
        </is>
      </c>
      <c r="C972" s="31" t="n">
        <v>13414.2</v>
      </c>
      <c r="D972" s="31" t="n">
        <v>36032.2</v>
      </c>
      <c r="E972" s="31" t="n">
        <v>36055.7</v>
      </c>
      <c r="F972" s="31" t="n">
        <v>36070.7</v>
      </c>
      <c r="G972" s="31" t="n">
        <v>36099</v>
      </c>
      <c r="H972" s="31" t="n">
        <v>36143</v>
      </c>
      <c r="I972" s="31" t="n">
        <v>36169</v>
      </c>
      <c r="J972" s="31" t="n">
        <v>36195.8</v>
      </c>
      <c r="K972" s="31" t="n">
        <v>22781.6</v>
      </c>
      <c r="L972" s="31" t="n">
        <v>22618</v>
      </c>
      <c r="M972" s="30" t="inlineStr">
        <is>
          <t>AMR3</t>
        </is>
      </c>
      <c r="N972" s="30" t="inlineStr">
        <is>
          <t>AMR3</t>
        </is>
      </c>
      <c r="O972" s="32" t="n">
        <v>1</v>
      </c>
      <c r="P972" s="32" t="n">
        <v>25</v>
      </c>
      <c r="Q972" s="32" t="n">
        <v>14</v>
      </c>
      <c r="R972" s="31" t="n">
        <v>64.2</v>
      </c>
      <c r="S972" s="31" t="n">
        <v>64.2</v>
      </c>
      <c r="T972" s="30" t="inlineStr">
        <is>
          <t>AMR3</t>
        </is>
      </c>
      <c r="U972" s="31" t="n">
        <v>53.5</v>
      </c>
      <c r="V972" s="31" t="n">
        <v>53.5</v>
      </c>
      <c r="W972" s="30" t="inlineStr">
        <is>
          <t>AMR3</t>
        </is>
      </c>
      <c r="X972" s="32" t="n">
        <v>0</v>
      </c>
      <c r="Y972" s="32" t="n">
        <v>0</v>
      </c>
      <c r="Z972" s="31" t="n">
        <v>0</v>
      </c>
      <c r="AA972" s="32" t="n">
        <v>0</v>
      </c>
      <c r="AB972" s="32" t="n">
        <v>0</v>
      </c>
      <c r="AC972" s="32" t="n">
        <v>0</v>
      </c>
      <c r="AD972" s="32" t="n">
        <v>0</v>
      </c>
      <c r="AE972" s="31" t="n">
        <v>0</v>
      </c>
      <c r="AF972" s="32" t="n">
        <v>0</v>
      </c>
      <c r="AG972" s="31" t="n">
        <v>0</v>
      </c>
      <c r="AH972" s="32" t="n">
        <v>66</v>
      </c>
      <c r="AI972" s="31" t="n">
        <v>68.3</v>
      </c>
      <c r="AJ972" s="31" t="n">
        <v>51.3</v>
      </c>
      <c r="AK972" s="31" t="n">
        <v>0</v>
      </c>
      <c r="AL972" s="30" t="inlineStr">
        <is>
          <t>T-1131</t>
        </is>
      </c>
      <c r="AM972" s="30" t="inlineStr">
        <is>
          <t>I-03-03</t>
        </is>
      </c>
      <c r="AN972" s="30" t="inlineStr">
        <is>
          <t>T-0935</t>
        </is>
      </c>
      <c r="AO972" s="30" t="inlineStr">
        <is>
          <t>I-01-01</t>
        </is>
      </c>
    </row>
    <row r="973">
      <c r="A973" s="30" t="inlineStr">
        <is>
          <t>O0972</t>
        </is>
      </c>
      <c r="B973" s="30" t="inlineStr">
        <is>
          <t>C</t>
        </is>
      </c>
      <c r="C973" s="31" t="n">
        <v>13433.1</v>
      </c>
      <c r="D973" s="31" t="n">
        <v>35605.2</v>
      </c>
      <c r="E973" s="31" t="n">
        <v>35628.7</v>
      </c>
      <c r="F973" s="31" t="n">
        <v>35640.5</v>
      </c>
      <c r="G973" s="31" t="n">
        <v>35660.3</v>
      </c>
      <c r="H973" s="31" t="n">
        <v>36159.9</v>
      </c>
      <c r="I973" s="31" t="n">
        <v>36175.6</v>
      </c>
      <c r="J973" s="31" t="n">
        <v>36212.9</v>
      </c>
      <c r="K973" s="31" t="n">
        <v>22779.8</v>
      </c>
      <c r="L973" s="31" t="n">
        <v>22172.1</v>
      </c>
      <c r="M973" s="30" t="inlineStr">
        <is>
          <t>AMR2</t>
        </is>
      </c>
      <c r="N973" s="30" t="inlineStr">
        <is>
          <t>AMR2</t>
        </is>
      </c>
      <c r="O973" s="32" t="n">
        <v>1</v>
      </c>
      <c r="P973" s="32" t="n">
        <v>25</v>
      </c>
      <c r="Q973" s="32" t="n">
        <v>4</v>
      </c>
      <c r="R973" s="31" t="n">
        <v>54</v>
      </c>
      <c r="S973" s="31" t="n">
        <v>54</v>
      </c>
      <c r="T973" s="30" t="inlineStr">
        <is>
          <t>AMR2</t>
        </is>
      </c>
      <c r="U973" s="31" t="n">
        <v>43.4</v>
      </c>
      <c r="V973" s="31" t="n">
        <v>43.4</v>
      </c>
      <c r="W973" s="30" t="inlineStr">
        <is>
          <t>AMR2</t>
        </is>
      </c>
      <c r="X973" s="32" t="n">
        <v>0</v>
      </c>
      <c r="Y973" s="32" t="n">
        <v>0</v>
      </c>
      <c r="Z973" s="31" t="n">
        <v>0</v>
      </c>
      <c r="AA973" s="32" t="n">
        <v>0</v>
      </c>
      <c r="AB973" s="32" t="n">
        <v>0</v>
      </c>
      <c r="AC973" s="32" t="n">
        <v>0</v>
      </c>
      <c r="AD973" s="32" t="n">
        <v>1</v>
      </c>
      <c r="AE973" s="31" t="n">
        <v>8</v>
      </c>
      <c r="AF973" s="32" t="n">
        <v>1</v>
      </c>
      <c r="AG973" s="31" t="n">
        <v>3</v>
      </c>
      <c r="AH973" s="32" t="n">
        <v>56</v>
      </c>
      <c r="AI973" s="31" t="n">
        <v>58.9</v>
      </c>
      <c r="AJ973" s="31" t="n">
        <v>41.2</v>
      </c>
      <c r="AK973" s="31" t="n">
        <v>8</v>
      </c>
      <c r="AL973" s="30" t="inlineStr">
        <is>
          <t>T-1119</t>
        </is>
      </c>
      <c r="AM973" s="30" t="inlineStr">
        <is>
          <t>C-06-01</t>
        </is>
      </c>
      <c r="AN973" s="30" t="inlineStr">
        <is>
          <t>T-1005</t>
        </is>
      </c>
      <c r="AO973" s="30" t="inlineStr">
        <is>
          <t>C-01-02</t>
        </is>
      </c>
    </row>
    <row r="974">
      <c r="A974" s="30" t="inlineStr">
        <is>
          <t>O0973</t>
        </is>
      </c>
      <c r="B974" s="30" t="inlineStr">
        <is>
          <t>D</t>
        </is>
      </c>
      <c r="C974" s="31" t="n">
        <v>13451.3</v>
      </c>
      <c r="D974" s="31" t="n">
        <v>35775.6</v>
      </c>
      <c r="E974" s="31" t="n">
        <v>35809.1</v>
      </c>
      <c r="F974" s="31" t="n">
        <v>35823.5</v>
      </c>
      <c r="G974" s="31" t="n">
        <v>35847.8</v>
      </c>
      <c r="H974" s="31" t="n">
        <v>36099.1</v>
      </c>
      <c r="I974" s="31" t="n">
        <v>36113</v>
      </c>
      <c r="J974" s="31" t="n">
        <v>36142.9</v>
      </c>
      <c r="K974" s="31" t="n">
        <v>22691.6</v>
      </c>
      <c r="L974" s="31" t="n">
        <v>22324.3</v>
      </c>
      <c r="M974" s="30" t="inlineStr">
        <is>
          <t>AMR3</t>
        </is>
      </c>
      <c r="N974" s="30" t="inlineStr">
        <is>
          <t>AMR3</t>
        </is>
      </c>
      <c r="O974" s="32" t="n">
        <v>1</v>
      </c>
      <c r="P974" s="32" t="n">
        <v>25</v>
      </c>
      <c r="Q974" s="32" t="n">
        <v>2</v>
      </c>
      <c r="R974" s="31" t="n">
        <v>60.3</v>
      </c>
      <c r="S974" s="31" t="n">
        <v>60.3</v>
      </c>
      <c r="T974" s="30" t="inlineStr">
        <is>
          <t>AMR3</t>
        </is>
      </c>
      <c r="U974" s="31" t="n">
        <v>42.5</v>
      </c>
      <c r="V974" s="31" t="n">
        <v>42.5</v>
      </c>
      <c r="W974" s="30" t="inlineStr">
        <is>
          <t>AMR3</t>
        </is>
      </c>
      <c r="X974" s="32" t="n">
        <v>0</v>
      </c>
      <c r="Y974" s="32" t="n">
        <v>0</v>
      </c>
      <c r="Z974" s="31" t="n">
        <v>0</v>
      </c>
      <c r="AA974" s="32" t="n">
        <v>0</v>
      </c>
      <c r="AB974" s="32" t="n">
        <v>0</v>
      </c>
      <c r="AC974" s="32" t="n">
        <v>0</v>
      </c>
      <c r="AD974" s="32" t="n">
        <v>0</v>
      </c>
      <c r="AE974" s="31" t="n">
        <v>0</v>
      </c>
      <c r="AF974" s="32" t="n">
        <v>1</v>
      </c>
      <c r="AG974" s="31" t="n">
        <v>5</v>
      </c>
      <c r="AH974" s="32" t="n">
        <v>55</v>
      </c>
      <c r="AI974" s="31" t="n">
        <v>57.5</v>
      </c>
      <c r="AJ974" s="31" t="n">
        <v>48.5</v>
      </c>
      <c r="AK974" s="31" t="n">
        <v>10</v>
      </c>
      <c r="AL974" s="30" t="inlineStr">
        <is>
          <t>T-1125</t>
        </is>
      </c>
      <c r="AM974" s="30" t="inlineStr">
        <is>
          <t>D-02-03</t>
        </is>
      </c>
      <c r="AN974" s="30" t="inlineStr">
        <is>
          <t>T-1015</t>
        </is>
      </c>
      <c r="AO974" s="30" t="inlineStr">
        <is>
          <t>D-03-01</t>
        </is>
      </c>
    </row>
    <row r="975">
      <c r="A975" s="30" t="inlineStr">
        <is>
          <t>O0974</t>
        </is>
      </c>
      <c r="B975" s="30" t="inlineStr">
        <is>
          <t>E</t>
        </is>
      </c>
      <c r="C975" s="31" t="n">
        <v>13475.3</v>
      </c>
      <c r="D975" s="31" t="n">
        <v>35631.8</v>
      </c>
      <c r="E975" s="31" t="n">
        <v>35655.3</v>
      </c>
      <c r="F975" s="31" t="n">
        <v>35667.8</v>
      </c>
      <c r="G975" s="31" t="n">
        <v>35697.9</v>
      </c>
      <c r="H975" s="31" t="n">
        <v>35698</v>
      </c>
      <c r="I975" s="31" t="n">
        <v>35706.2</v>
      </c>
      <c r="J975" s="31" t="n">
        <v>35738.1</v>
      </c>
      <c r="K975" s="31" t="n">
        <v>22262.8</v>
      </c>
      <c r="L975" s="31" t="n">
        <v>22156.5</v>
      </c>
      <c r="M975" s="30" t="inlineStr">
        <is>
          <t>AMR1</t>
        </is>
      </c>
      <c r="N975" s="30" t="inlineStr">
        <is>
          <t>AMR1</t>
        </is>
      </c>
      <c r="O975" s="32" t="n">
        <v>1</v>
      </c>
      <c r="P975" s="32" t="n">
        <v>25</v>
      </c>
      <c r="Q975" s="32" t="n">
        <v>1</v>
      </c>
      <c r="R975" s="31" t="n">
        <v>62.6</v>
      </c>
      <c r="S975" s="31" t="n">
        <v>62.6</v>
      </c>
      <c r="T975" s="30" t="inlineStr">
        <is>
          <t>AMR1</t>
        </is>
      </c>
      <c r="U975" s="31" t="n">
        <v>40.7</v>
      </c>
      <c r="V975" s="31" t="n">
        <v>40.7</v>
      </c>
      <c r="W975" s="30" t="inlineStr">
        <is>
          <t>AMR1</t>
        </is>
      </c>
      <c r="X975" s="32" t="n">
        <v>0</v>
      </c>
      <c r="Y975" s="32" t="n">
        <v>0</v>
      </c>
      <c r="Z975" s="31" t="n">
        <v>0</v>
      </c>
      <c r="AA975" s="32" t="n">
        <v>0</v>
      </c>
      <c r="AB975" s="32" t="n">
        <v>0</v>
      </c>
      <c r="AC975" s="32" t="n">
        <v>0</v>
      </c>
      <c r="AD975" s="32" t="n">
        <v>0</v>
      </c>
      <c r="AE975" s="31" t="n">
        <v>0</v>
      </c>
      <c r="AF975" s="32" t="n">
        <v>0</v>
      </c>
      <c r="AG975" s="31" t="n">
        <v>0</v>
      </c>
      <c r="AH975" s="32" t="n">
        <v>68</v>
      </c>
      <c r="AI975" s="31" t="n">
        <v>67.09999999999999</v>
      </c>
      <c r="AJ975" s="31" t="n">
        <v>39.1</v>
      </c>
      <c r="AK975" s="31" t="n">
        <v>0</v>
      </c>
      <c r="AL975" s="30" t="inlineStr">
        <is>
          <t>T-1120</t>
        </is>
      </c>
      <c r="AM975" s="30" t="inlineStr">
        <is>
          <t>E-04-02</t>
        </is>
      </c>
      <c r="AN975" s="30" t="inlineStr">
        <is>
          <t>T-0916</t>
        </is>
      </c>
      <c r="AO975" s="30" t="inlineStr">
        <is>
          <t>E-05-02</t>
        </is>
      </c>
    </row>
    <row r="976">
      <c r="A976" s="30" t="inlineStr">
        <is>
          <t>O0975</t>
        </is>
      </c>
      <c r="B976" s="30" t="inlineStr">
        <is>
          <t>H</t>
        </is>
      </c>
      <c r="C976" s="31" t="n">
        <v>13498.3</v>
      </c>
      <c r="D976" s="31" t="n">
        <v>35675</v>
      </c>
      <c r="E976" s="31" t="n">
        <v>35698.5</v>
      </c>
      <c r="F976" s="31" t="n">
        <v>35712.9</v>
      </c>
      <c r="G976" s="31" t="n">
        <v>35739.3</v>
      </c>
      <c r="H976" s="31" t="n">
        <v>35739.4</v>
      </c>
      <c r="I976" s="31" t="n">
        <v>35751.1</v>
      </c>
      <c r="J976" s="31" t="n">
        <v>35775.5</v>
      </c>
      <c r="K976" s="31" t="n">
        <v>22277.2</v>
      </c>
      <c r="L976" s="31" t="n">
        <v>22176.7</v>
      </c>
      <c r="M976" s="30" t="inlineStr">
        <is>
          <t>AMR3</t>
        </is>
      </c>
      <c r="N976" s="30" t="inlineStr">
        <is>
          <t>AMR3</t>
        </is>
      </c>
      <c r="O976" s="32" t="n">
        <v>1</v>
      </c>
      <c r="P976" s="32" t="n">
        <v>25</v>
      </c>
      <c r="Q976" s="32" t="n">
        <v>1</v>
      </c>
      <c r="R976" s="31" t="n">
        <v>62.5</v>
      </c>
      <c r="S976" s="31" t="n">
        <v>62.5</v>
      </c>
      <c r="T976" s="30" t="inlineStr">
        <is>
          <t>AMR3</t>
        </is>
      </c>
      <c r="U976" s="31" t="n">
        <v>35.4</v>
      </c>
      <c r="V976" s="31" t="n">
        <v>35.4</v>
      </c>
      <c r="W976" s="30" t="inlineStr">
        <is>
          <t>AMR3</t>
        </is>
      </c>
      <c r="X976" s="32" t="n">
        <v>0</v>
      </c>
      <c r="Y976" s="32" t="n">
        <v>0</v>
      </c>
      <c r="Z976" s="31" t="n">
        <v>0</v>
      </c>
      <c r="AA976" s="32" t="n">
        <v>0</v>
      </c>
      <c r="AB976" s="32" t="n">
        <v>0</v>
      </c>
      <c r="AC976" s="32" t="n">
        <v>0</v>
      </c>
      <c r="AD976" s="32" t="n">
        <v>0</v>
      </c>
      <c r="AE976" s="31" t="n">
        <v>0</v>
      </c>
      <c r="AF976" s="32" t="n">
        <v>0</v>
      </c>
      <c r="AG976" s="31" t="n">
        <v>0</v>
      </c>
      <c r="AH976" s="32" t="n">
        <v>54</v>
      </c>
      <c r="AI976" s="31" t="n">
        <v>56.1</v>
      </c>
      <c r="AJ976" s="31" t="n">
        <v>44.3</v>
      </c>
      <c r="AK976" s="31" t="n">
        <v>0</v>
      </c>
      <c r="AL976" s="30" t="inlineStr">
        <is>
          <t>T-1122</t>
        </is>
      </c>
      <c r="AM976" s="30" t="inlineStr">
        <is>
          <t>H-01-03</t>
        </is>
      </c>
      <c r="AN976" s="30" t="inlineStr">
        <is>
          <t>T-0937</t>
        </is>
      </c>
      <c r="AO976" s="30" t="inlineStr">
        <is>
          <t>H-06-01</t>
        </is>
      </c>
    </row>
    <row r="977">
      <c r="A977" s="30" t="inlineStr">
        <is>
          <t>O0976</t>
        </is>
      </c>
      <c r="B977" s="30" t="inlineStr">
        <is>
          <t>J</t>
        </is>
      </c>
      <c r="C977" s="31" t="n">
        <v>13516.9</v>
      </c>
      <c r="D977" s="31" t="n">
        <v>35738.2</v>
      </c>
      <c r="E977" s="31" t="n">
        <v>35761.7</v>
      </c>
      <c r="F977" s="31" t="n">
        <v>35777</v>
      </c>
      <c r="G977" s="31" t="n">
        <v>35808.2</v>
      </c>
      <c r="H977" s="31" t="n">
        <v>35808.3</v>
      </c>
      <c r="I977" s="31" t="n">
        <v>35819.5</v>
      </c>
      <c r="J977" s="31" t="n">
        <v>35847.7</v>
      </c>
      <c r="K977" s="31" t="n">
        <v>22330.8</v>
      </c>
      <c r="L977" s="31" t="n">
        <v>22221.3</v>
      </c>
      <c r="M977" s="30" t="inlineStr">
        <is>
          <t>AMR1</t>
        </is>
      </c>
      <c r="N977" s="30" t="inlineStr">
        <is>
          <t>AMR1</t>
        </is>
      </c>
      <c r="O977" s="32" t="n">
        <v>1</v>
      </c>
      <c r="P977" s="32" t="n">
        <v>25</v>
      </c>
      <c r="Q977" s="32" t="n">
        <v>2</v>
      </c>
      <c r="R977" s="31" t="n">
        <v>64.8</v>
      </c>
      <c r="S977" s="31" t="n">
        <v>57.1</v>
      </c>
      <c r="T977" s="30" t="inlineStr">
        <is>
          <t>AMR3</t>
        </is>
      </c>
      <c r="U977" s="31" t="n">
        <v>40.1</v>
      </c>
      <c r="V977" s="31" t="n">
        <v>40.1</v>
      </c>
      <c r="W977" s="30" t="inlineStr">
        <is>
          <t>AMR1</t>
        </is>
      </c>
      <c r="X977" s="32" t="n">
        <v>1</v>
      </c>
      <c r="Y977" s="32" t="n">
        <v>11</v>
      </c>
      <c r="Z977" s="31" t="n">
        <v>7.7</v>
      </c>
      <c r="AA977" s="32" t="n">
        <v>0</v>
      </c>
      <c r="AB977" s="32" t="n">
        <v>0</v>
      </c>
      <c r="AC977" s="32" t="n">
        <v>0</v>
      </c>
      <c r="AD977" s="32" t="n">
        <v>0</v>
      </c>
      <c r="AE977" s="31" t="n">
        <v>0</v>
      </c>
      <c r="AF977" s="32" t="n">
        <v>0</v>
      </c>
      <c r="AG977" s="31" t="n">
        <v>0</v>
      </c>
      <c r="AH977" s="32" t="n">
        <v>70</v>
      </c>
      <c r="AI977" s="31" t="n">
        <v>69.90000000000001</v>
      </c>
      <c r="AJ977" s="31" t="n">
        <v>39.5</v>
      </c>
      <c r="AK977" s="31" t="n">
        <v>0</v>
      </c>
      <c r="AL977" s="30" t="inlineStr">
        <is>
          <t>T-1123</t>
        </is>
      </c>
      <c r="AM977" s="30" t="inlineStr">
        <is>
          <t>J-06-01</t>
        </is>
      </c>
      <c r="AN977" s="30" t="inlineStr">
        <is>
          <t>T-0944</t>
        </is>
      </c>
      <c r="AO977" s="30" t="inlineStr">
        <is>
          <t>J-01-02</t>
        </is>
      </c>
    </row>
    <row r="978">
      <c r="A978" s="30" t="inlineStr">
        <is>
          <t>O0977</t>
        </is>
      </c>
      <c r="B978" s="30" t="inlineStr">
        <is>
          <t>B</t>
        </is>
      </c>
      <c r="C978" s="31" t="n">
        <v>13541.7</v>
      </c>
      <c r="D978" s="31" t="n">
        <v>35760.8</v>
      </c>
      <c r="E978" s="31" t="n">
        <v>35785.3</v>
      </c>
      <c r="F978" s="31" t="n">
        <v>35796.1</v>
      </c>
      <c r="G978" s="31" t="n">
        <v>35817.8</v>
      </c>
      <c r="H978" s="31" t="n">
        <v>35940.4</v>
      </c>
      <c r="I978" s="31" t="n">
        <v>35956.3</v>
      </c>
      <c r="J978" s="31" t="n">
        <v>35987.4</v>
      </c>
      <c r="K978" s="31" t="n">
        <v>22445.7</v>
      </c>
      <c r="L978" s="31" t="n">
        <v>22219.1</v>
      </c>
      <c r="M978" s="30" t="inlineStr">
        <is>
          <t>AMR2</t>
        </is>
      </c>
      <c r="N978" s="30" t="inlineStr">
        <is>
          <t>AMR2</t>
        </is>
      </c>
      <c r="O978" s="32" t="n">
        <v>1</v>
      </c>
      <c r="P978" s="32" t="n">
        <v>25</v>
      </c>
      <c r="Q978" s="32" t="n">
        <v>3</v>
      </c>
      <c r="R978" s="31" t="n">
        <v>54.1</v>
      </c>
      <c r="S978" s="31" t="n">
        <v>54.1</v>
      </c>
      <c r="T978" s="30" t="inlineStr">
        <is>
          <t>AMR2</t>
        </is>
      </c>
      <c r="U978" s="31" t="n">
        <v>43.1</v>
      </c>
      <c r="V978" s="31" t="n">
        <v>43.1</v>
      </c>
      <c r="W978" s="30" t="inlineStr">
        <is>
          <t>AMR2</t>
        </is>
      </c>
      <c r="X978" s="32" t="n">
        <v>0</v>
      </c>
      <c r="Y978" s="32" t="n">
        <v>0</v>
      </c>
      <c r="Z978" s="31" t="n">
        <v>0</v>
      </c>
      <c r="AA978" s="32" t="n">
        <v>0</v>
      </c>
      <c r="AB978" s="32" t="n">
        <v>0</v>
      </c>
      <c r="AC978" s="32" t="n">
        <v>0</v>
      </c>
      <c r="AD978" s="32" t="n">
        <v>1</v>
      </c>
      <c r="AE978" s="31" t="n">
        <v>2.6</v>
      </c>
      <c r="AF978" s="32" t="n">
        <v>0</v>
      </c>
      <c r="AG978" s="31" t="n">
        <v>0</v>
      </c>
      <c r="AH978" s="32" t="n">
        <v>60</v>
      </c>
      <c r="AI978" s="31" t="n">
        <v>62.4</v>
      </c>
      <c r="AJ978" s="31" t="n">
        <v>38</v>
      </c>
      <c r="AK978" s="31" t="n">
        <v>3.6</v>
      </c>
      <c r="AL978" s="30" t="inlineStr">
        <is>
          <t>T-1124</t>
        </is>
      </c>
      <c r="AM978" s="30" t="inlineStr">
        <is>
          <t>B-05-01</t>
        </is>
      </c>
      <c r="AN978" s="30" t="inlineStr">
        <is>
          <t>T-1004</t>
        </is>
      </c>
      <c r="AO978" s="30" t="inlineStr">
        <is>
          <t>B-03-02</t>
        </is>
      </c>
    </row>
    <row r="979">
      <c r="A979" s="30" t="inlineStr">
        <is>
          <t>O0978</t>
        </is>
      </c>
      <c r="B979" s="30" t="inlineStr">
        <is>
          <t>E</t>
        </is>
      </c>
      <c r="C979" s="31" t="n">
        <v>13563.2</v>
      </c>
      <c r="D979" s="31" t="n">
        <v>35847.8</v>
      </c>
      <c r="E979" s="31" t="n">
        <v>35871.3</v>
      </c>
      <c r="F979" s="31" t="n">
        <v>35884.3</v>
      </c>
      <c r="G979" s="31" t="n">
        <v>35914.7</v>
      </c>
      <c r="H979" s="31" t="n">
        <v>35914.8</v>
      </c>
      <c r="I979" s="31" t="n">
        <v>35926.5</v>
      </c>
      <c r="J979" s="31" t="n">
        <v>35958.4</v>
      </c>
      <c r="K979" s="31" t="n">
        <v>22395.2</v>
      </c>
      <c r="L979" s="31" t="n">
        <v>22284.6</v>
      </c>
      <c r="M979" s="30" t="inlineStr">
        <is>
          <t>AMR1</t>
        </is>
      </c>
      <c r="N979" s="30" t="inlineStr">
        <is>
          <t>AMR1</t>
        </is>
      </c>
      <c r="O979" s="32" t="n">
        <v>1</v>
      </c>
      <c r="P979" s="32" t="n">
        <v>25</v>
      </c>
      <c r="Q979" s="32" t="n">
        <v>1</v>
      </c>
      <c r="R979" s="31" t="n">
        <v>63.4</v>
      </c>
      <c r="S979" s="31" t="n">
        <v>53.2</v>
      </c>
      <c r="T979" s="30" t="inlineStr">
        <is>
          <t>AMR3</t>
        </is>
      </c>
      <c r="U979" s="31" t="n">
        <v>44.3</v>
      </c>
      <c r="V979" s="31" t="n">
        <v>44.3</v>
      </c>
      <c r="W979" s="30" t="inlineStr">
        <is>
          <t>AMR1</t>
        </is>
      </c>
      <c r="X979" s="32" t="n">
        <v>1</v>
      </c>
      <c r="Y979" s="32" t="n">
        <v>13</v>
      </c>
      <c r="Z979" s="31" t="n">
        <v>10.2</v>
      </c>
      <c r="AA979" s="32" t="n">
        <v>0</v>
      </c>
      <c r="AB979" s="32" t="n">
        <v>0</v>
      </c>
      <c r="AC979" s="32" t="n">
        <v>0</v>
      </c>
      <c r="AD979" s="32" t="n">
        <v>0</v>
      </c>
      <c r="AE979" s="31" t="n">
        <v>0</v>
      </c>
      <c r="AF979" s="32" t="n">
        <v>0</v>
      </c>
      <c r="AG979" s="31" t="n">
        <v>0</v>
      </c>
      <c r="AH979" s="32" t="n">
        <v>68</v>
      </c>
      <c r="AI979" s="31" t="n">
        <v>67</v>
      </c>
      <c r="AJ979" s="31" t="n">
        <v>43.5</v>
      </c>
      <c r="AK979" s="31" t="n">
        <v>0</v>
      </c>
      <c r="AL979" s="30" t="inlineStr">
        <is>
          <t>T-1126</t>
        </is>
      </c>
      <c r="AM979" s="30" t="inlineStr">
        <is>
          <t>E-05-02</t>
        </is>
      </c>
      <c r="AN979" s="30" t="inlineStr">
        <is>
          <t>T-0962</t>
        </is>
      </c>
      <c r="AO979" s="30" t="inlineStr">
        <is>
          <t>E-01-03</t>
        </is>
      </c>
    </row>
    <row r="980">
      <c r="A980" s="30" t="inlineStr">
        <is>
          <t>O0979</t>
        </is>
      </c>
      <c r="B980" s="30" t="inlineStr">
        <is>
          <t>A</t>
        </is>
      </c>
      <c r="C980" s="31" t="n">
        <v>13586.4</v>
      </c>
      <c r="D980" s="31" t="n">
        <v>36057.2</v>
      </c>
      <c r="E980" s="31" t="n">
        <v>36080.7</v>
      </c>
      <c r="F980" s="31" t="n">
        <v>36095.9</v>
      </c>
      <c r="G980" s="31" t="n">
        <v>36125.2</v>
      </c>
      <c r="H980" s="31" t="n">
        <v>36847.8</v>
      </c>
      <c r="I980" s="31" t="n">
        <v>36864.2</v>
      </c>
      <c r="J980" s="31" t="n">
        <v>36900.9</v>
      </c>
      <c r="K980" s="31" t="n">
        <v>23314.5</v>
      </c>
      <c r="L980" s="31" t="n">
        <v>22470.8</v>
      </c>
      <c r="M980" s="30" t="inlineStr">
        <is>
          <t>AMR1</t>
        </is>
      </c>
      <c r="N980" s="30" t="inlineStr">
        <is>
          <t>AMR1</t>
        </is>
      </c>
      <c r="O980" s="32" t="n">
        <v>1</v>
      </c>
      <c r="P980" s="32" t="n">
        <v>25</v>
      </c>
      <c r="Q980" s="32" t="n">
        <v>2</v>
      </c>
      <c r="R980" s="31" t="n">
        <v>66.90000000000001</v>
      </c>
      <c r="S980" s="31" t="n">
        <v>66.90000000000001</v>
      </c>
      <c r="T980" s="30" t="inlineStr">
        <is>
          <t>AMR1</t>
        </is>
      </c>
      <c r="U980" s="31" t="n">
        <v>49.2</v>
      </c>
      <c r="V980" s="31" t="n">
        <v>49.2</v>
      </c>
      <c r="W980" s="30" t="inlineStr">
        <is>
          <t>AMR1</t>
        </is>
      </c>
      <c r="X980" s="32" t="n">
        <v>0</v>
      </c>
      <c r="Y980" s="32" t="n">
        <v>0</v>
      </c>
      <c r="Z980" s="31" t="n">
        <v>0</v>
      </c>
      <c r="AA980" s="32" t="n">
        <v>0</v>
      </c>
      <c r="AB980" s="32" t="n">
        <v>0</v>
      </c>
      <c r="AC980" s="32" t="n">
        <v>0</v>
      </c>
      <c r="AD980" s="32" t="n">
        <v>0</v>
      </c>
      <c r="AE980" s="31" t="n">
        <v>0</v>
      </c>
      <c r="AF980" s="32" t="n">
        <v>0</v>
      </c>
      <c r="AG980" s="31" t="n">
        <v>0</v>
      </c>
      <c r="AH980" s="32" t="n">
        <v>74</v>
      </c>
      <c r="AI980" s="31" t="n">
        <v>73.09999999999999</v>
      </c>
      <c r="AJ980" s="31" t="n">
        <v>48</v>
      </c>
      <c r="AK980" s="31" t="n">
        <v>0</v>
      </c>
      <c r="AL980" s="30" t="inlineStr">
        <is>
          <t>T-1132</t>
        </is>
      </c>
      <c r="AM980" s="30" t="inlineStr">
        <is>
          <t>A-06-01</t>
        </is>
      </c>
      <c r="AN980" s="30" t="inlineStr">
        <is>
          <t>T-0953</t>
        </is>
      </c>
      <c r="AO980" s="30" t="inlineStr">
        <is>
          <t>A-02-02</t>
        </is>
      </c>
    </row>
    <row r="981">
      <c r="A981" s="30" t="inlineStr">
        <is>
          <t>O0980</t>
        </is>
      </c>
      <c r="B981" s="30" t="inlineStr">
        <is>
          <t>G</t>
        </is>
      </c>
      <c r="C981" s="31" t="n">
        <v>13607.1</v>
      </c>
      <c r="D981" s="31" t="n">
        <v>35868.2</v>
      </c>
      <c r="E981" s="31" t="n">
        <v>35897.3</v>
      </c>
      <c r="F981" s="31" t="n">
        <v>35913.1</v>
      </c>
      <c r="G981" s="31" t="n">
        <v>35940.3</v>
      </c>
      <c r="H981" s="31" t="n">
        <v>35975.2</v>
      </c>
      <c r="I981" s="31" t="n">
        <v>36003.8</v>
      </c>
      <c r="J981" s="31" t="n">
        <v>36032.1</v>
      </c>
      <c r="K981" s="31" t="n">
        <v>22425</v>
      </c>
      <c r="L981" s="31" t="n">
        <v>22261.1</v>
      </c>
      <c r="M981" s="30" t="inlineStr">
        <is>
          <t>AMR2</t>
        </is>
      </c>
      <c r="N981" s="30" t="inlineStr">
        <is>
          <t>AMR3</t>
        </is>
      </c>
      <c r="O981" s="32" t="n">
        <v>1</v>
      </c>
      <c r="P981" s="32" t="n">
        <v>25</v>
      </c>
      <c r="Q981" s="32" t="n">
        <v>16</v>
      </c>
      <c r="R981" s="31" t="n">
        <v>64.7</v>
      </c>
      <c r="S981" s="31" t="n">
        <v>64.7</v>
      </c>
      <c r="T981" s="30" t="inlineStr">
        <is>
          <t>AMR2</t>
        </is>
      </c>
      <c r="U981" s="31" t="n">
        <v>54.1</v>
      </c>
      <c r="V981" s="31" t="n">
        <v>54.1</v>
      </c>
      <c r="W981" s="30" t="inlineStr">
        <is>
          <t>AMR3</t>
        </is>
      </c>
      <c r="X981" s="32" t="n">
        <v>0</v>
      </c>
      <c r="Y981" s="32" t="n">
        <v>0</v>
      </c>
      <c r="Z981" s="31" t="n">
        <v>0</v>
      </c>
      <c r="AA981" s="32" t="n">
        <v>0</v>
      </c>
      <c r="AB981" s="32" t="n">
        <v>0</v>
      </c>
      <c r="AC981" s="32" t="n">
        <v>0</v>
      </c>
      <c r="AD981" s="32" t="n">
        <v>0</v>
      </c>
      <c r="AE981" s="31" t="n">
        <v>0</v>
      </c>
      <c r="AF981" s="32" t="n">
        <v>0</v>
      </c>
      <c r="AG981" s="31" t="n">
        <v>0</v>
      </c>
      <c r="AH981" s="32" t="n">
        <v>75</v>
      </c>
      <c r="AI981" s="31" t="n">
        <v>75.59999999999999</v>
      </c>
      <c r="AJ981" s="31" t="n">
        <v>47.8</v>
      </c>
      <c r="AK981" s="31" t="n">
        <v>5.6</v>
      </c>
      <c r="AL981" s="30" t="inlineStr">
        <is>
          <t>T-1128</t>
        </is>
      </c>
      <c r="AM981" s="30" t="inlineStr">
        <is>
          <t>G-04-03</t>
        </is>
      </c>
      <c r="AN981" s="30" t="inlineStr">
        <is>
          <t>T-0988</t>
        </is>
      </c>
      <c r="AO981" s="30" t="inlineStr">
        <is>
          <t>G-01-03</t>
        </is>
      </c>
    </row>
    <row r="982">
      <c r="A982" s="30" t="inlineStr">
        <is>
          <t>O0981</t>
        </is>
      </c>
      <c r="B982" s="30" t="inlineStr">
        <is>
          <t>C</t>
        </is>
      </c>
      <c r="C982" s="31" t="n">
        <v>13631.5</v>
      </c>
      <c r="D982" s="31" t="n">
        <v>35958.5</v>
      </c>
      <c r="E982" s="31" t="n">
        <v>35982</v>
      </c>
      <c r="F982" s="31" t="n">
        <v>35994.5</v>
      </c>
      <c r="G982" s="31" t="n">
        <v>36016.5</v>
      </c>
      <c r="H982" s="31" t="n">
        <v>36583.9</v>
      </c>
      <c r="I982" s="31" t="n">
        <v>36595.9</v>
      </c>
      <c r="J982" s="31" t="n">
        <v>36626.2</v>
      </c>
      <c r="K982" s="31" t="n">
        <v>22994.7</v>
      </c>
      <c r="L982" s="31" t="n">
        <v>22327</v>
      </c>
      <c r="M982" s="30" t="inlineStr">
        <is>
          <t>AMR1</t>
        </is>
      </c>
      <c r="N982" s="30" t="inlineStr">
        <is>
          <t>AMR3</t>
        </is>
      </c>
      <c r="O982" s="32" t="n">
        <v>1</v>
      </c>
      <c r="P982" s="32" t="n">
        <v>25</v>
      </c>
      <c r="Q982" s="32" t="n">
        <v>1</v>
      </c>
      <c r="R982" s="31" t="n">
        <v>56.1</v>
      </c>
      <c r="S982" s="31" t="n">
        <v>56.1</v>
      </c>
      <c r="T982" s="30" t="inlineStr">
        <is>
          <t>AMR1</t>
        </is>
      </c>
      <c r="U982" s="31" t="n">
        <v>43.5</v>
      </c>
      <c r="V982" s="31" t="n">
        <v>43.5</v>
      </c>
      <c r="W982" s="30" t="inlineStr">
        <is>
          <t>AMR3</t>
        </is>
      </c>
      <c r="X982" s="32" t="n">
        <v>0</v>
      </c>
      <c r="Y982" s="32" t="n">
        <v>0</v>
      </c>
      <c r="Z982" s="31" t="n">
        <v>0</v>
      </c>
      <c r="AA982" s="32" t="n">
        <v>0</v>
      </c>
      <c r="AB982" s="32" t="n">
        <v>0</v>
      </c>
      <c r="AC982" s="32" t="n">
        <v>0</v>
      </c>
      <c r="AD982" s="32" t="n">
        <v>0</v>
      </c>
      <c r="AE982" s="31" t="n">
        <v>0</v>
      </c>
      <c r="AF982" s="32" t="n">
        <v>0</v>
      </c>
      <c r="AG982" s="31" t="n">
        <v>0</v>
      </c>
      <c r="AH982" s="32" t="n">
        <v>52</v>
      </c>
      <c r="AI982" s="31" t="n">
        <v>53.8</v>
      </c>
      <c r="AJ982" s="31" t="n">
        <v>46.5</v>
      </c>
      <c r="AK982" s="31" t="n">
        <v>0</v>
      </c>
      <c r="AL982" s="30" t="inlineStr">
        <is>
          <t>T-1129</t>
        </is>
      </c>
      <c r="AM982" s="30" t="inlineStr">
        <is>
          <t>C-04-03</t>
        </is>
      </c>
      <c r="AN982" s="30" t="inlineStr">
        <is>
          <t>T-1008</t>
        </is>
      </c>
      <c r="AO982" s="30" t="inlineStr">
        <is>
          <t>C-02-01</t>
        </is>
      </c>
    </row>
    <row r="983">
      <c r="A983" s="30" t="inlineStr">
        <is>
          <t>O0982</t>
        </is>
      </c>
      <c r="B983" s="30" t="inlineStr">
        <is>
          <t>F</t>
        </is>
      </c>
      <c r="C983" s="31" t="n">
        <v>13648.9</v>
      </c>
      <c r="D983" s="31" t="n">
        <v>36692.8</v>
      </c>
      <c r="E983" s="31" t="n">
        <v>36716.3</v>
      </c>
      <c r="F983" s="31" t="n">
        <v>36729.3</v>
      </c>
      <c r="G983" s="31" t="n">
        <v>36764.1</v>
      </c>
      <c r="H983" s="31" t="n">
        <v>36764.2</v>
      </c>
      <c r="I983" s="31" t="n">
        <v>36774.2</v>
      </c>
      <c r="J983" s="31" t="n">
        <v>36814.5</v>
      </c>
      <c r="K983" s="31" t="n">
        <v>23165.6</v>
      </c>
      <c r="L983" s="31" t="n">
        <v>23043.9</v>
      </c>
      <c r="M983" s="30" t="inlineStr">
        <is>
          <t>AMR2</t>
        </is>
      </c>
      <c r="N983" s="30" t="inlineStr">
        <is>
          <t>AMR2</t>
        </is>
      </c>
      <c r="O983" s="32" t="n">
        <v>1</v>
      </c>
      <c r="P983" s="32" t="n">
        <v>25</v>
      </c>
      <c r="Q983" s="32" t="n">
        <v>1</v>
      </c>
      <c r="R983" s="31" t="n">
        <v>67.90000000000001</v>
      </c>
      <c r="S983" s="31" t="n">
        <v>67.90000000000001</v>
      </c>
      <c r="T983" s="30" t="inlineStr">
        <is>
          <t>AMR2</t>
        </is>
      </c>
      <c r="U983" s="31" t="n">
        <v>45.2</v>
      </c>
      <c r="V983" s="31" t="n">
        <v>45.2</v>
      </c>
      <c r="W983" s="30" t="inlineStr">
        <is>
          <t>AMR2</t>
        </is>
      </c>
      <c r="X983" s="32" t="n">
        <v>0</v>
      </c>
      <c r="Y983" s="32" t="n">
        <v>0</v>
      </c>
      <c r="Z983" s="31" t="n">
        <v>0</v>
      </c>
      <c r="AA983" s="32" t="n">
        <v>0</v>
      </c>
      <c r="AB983" s="32" t="n">
        <v>0</v>
      </c>
      <c r="AC983" s="32" t="n">
        <v>0</v>
      </c>
      <c r="AD983" s="32" t="n">
        <v>1</v>
      </c>
      <c r="AE983" s="31" t="n">
        <v>5.7</v>
      </c>
      <c r="AF983" s="32" t="n">
        <v>1</v>
      </c>
      <c r="AG983" s="31" t="n">
        <v>0.7</v>
      </c>
      <c r="AH983" s="32" t="n">
        <v>72</v>
      </c>
      <c r="AI983" s="31" t="n">
        <v>70.7</v>
      </c>
      <c r="AJ983" s="31" t="n">
        <v>45.2</v>
      </c>
      <c r="AK983" s="31" t="n">
        <v>5.7</v>
      </c>
      <c r="AL983" s="30" t="inlineStr">
        <is>
          <t>T-1148</t>
        </is>
      </c>
      <c r="AM983" s="30" t="inlineStr">
        <is>
          <t>F-02-02</t>
        </is>
      </c>
      <c r="AN983" s="30" t="inlineStr">
        <is>
          <t>T-0972</t>
        </is>
      </c>
      <c r="AO983" s="30" t="inlineStr">
        <is>
          <t>F-03-02</t>
        </is>
      </c>
    </row>
    <row r="984">
      <c r="A984" s="30" t="inlineStr">
        <is>
          <t>O0983</t>
        </is>
      </c>
      <c r="B984" s="30" t="inlineStr">
        <is>
          <t>J</t>
        </is>
      </c>
      <c r="C984" s="31" t="n">
        <v>13670.8</v>
      </c>
      <c r="D984" s="31" t="n">
        <v>35987.5</v>
      </c>
      <c r="E984" s="31" t="n">
        <v>36011</v>
      </c>
      <c r="F984" s="31" t="n">
        <v>36022.1</v>
      </c>
      <c r="G984" s="31" t="n">
        <v>36053.4</v>
      </c>
      <c r="H984" s="31" t="n">
        <v>36053.5</v>
      </c>
      <c r="I984" s="31" t="n">
        <v>36067.5</v>
      </c>
      <c r="J984" s="31" t="n">
        <v>36099.4</v>
      </c>
      <c r="K984" s="31" t="n">
        <v>22428.6</v>
      </c>
      <c r="L984" s="31" t="n">
        <v>22316.7</v>
      </c>
      <c r="M984" s="30" t="inlineStr">
        <is>
          <t>AMR2</t>
        </is>
      </c>
      <c r="N984" s="30" t="inlineStr">
        <is>
          <t>AMR2</t>
        </is>
      </c>
      <c r="O984" s="32" t="n">
        <v>1</v>
      </c>
      <c r="P984" s="32" t="n">
        <v>25</v>
      </c>
      <c r="Q984" s="32" t="n">
        <v>1</v>
      </c>
      <c r="R984" s="31" t="n">
        <v>64.09999999999999</v>
      </c>
      <c r="S984" s="31" t="n">
        <v>64.09999999999999</v>
      </c>
      <c r="T984" s="30" t="inlineStr">
        <is>
          <t>AMR2</t>
        </is>
      </c>
      <c r="U984" s="31" t="n">
        <v>44.1</v>
      </c>
      <c r="V984" s="31" t="n">
        <v>44.1</v>
      </c>
      <c r="W984" s="30" t="inlineStr">
        <is>
          <t>AMR2</t>
        </is>
      </c>
      <c r="X984" s="32" t="n">
        <v>0</v>
      </c>
      <c r="Y984" s="32" t="n">
        <v>0</v>
      </c>
      <c r="Z984" s="31" t="n">
        <v>0</v>
      </c>
      <c r="AA984" s="32" t="n">
        <v>0</v>
      </c>
      <c r="AB984" s="32" t="n">
        <v>0</v>
      </c>
      <c r="AC984" s="32" t="n">
        <v>0</v>
      </c>
      <c r="AD984" s="32" t="n">
        <v>0</v>
      </c>
      <c r="AE984" s="31" t="n">
        <v>0</v>
      </c>
      <c r="AF984" s="32" t="n">
        <v>0</v>
      </c>
      <c r="AG984" s="31" t="n">
        <v>0</v>
      </c>
      <c r="AH984" s="32" t="n">
        <v>68</v>
      </c>
      <c r="AI984" s="31" t="n">
        <v>68.3</v>
      </c>
      <c r="AJ984" s="31" t="n">
        <v>43.5</v>
      </c>
      <c r="AK984" s="31" t="n">
        <v>0</v>
      </c>
      <c r="AL984" s="30" t="inlineStr">
        <is>
          <t>T-1130</t>
        </is>
      </c>
      <c r="AM984" s="30" t="inlineStr">
        <is>
          <t>J-01-02</t>
        </is>
      </c>
      <c r="AN984" s="30" t="inlineStr">
        <is>
          <t>T-0956</t>
        </is>
      </c>
      <c r="AO984" s="30" t="inlineStr">
        <is>
          <t>J-05-01</t>
        </is>
      </c>
    </row>
    <row r="985">
      <c r="A985" s="30" t="inlineStr">
        <is>
          <t>O0984</t>
        </is>
      </c>
      <c r="B985" s="30" t="inlineStr">
        <is>
          <t>F</t>
        </is>
      </c>
      <c r="C985" s="31" t="n">
        <v>13692.9</v>
      </c>
      <c r="D985" s="31" t="n">
        <v>36776.6</v>
      </c>
      <c r="E985" s="31" t="n">
        <v>36800.1</v>
      </c>
      <c r="F985" s="31" t="n">
        <v>36813.6</v>
      </c>
      <c r="G985" s="31" t="n">
        <v>36847.7</v>
      </c>
      <c r="H985" s="31" t="n">
        <v>36863.4</v>
      </c>
      <c r="I985" s="31" t="n">
        <v>36896.8</v>
      </c>
      <c r="J985" s="31" t="n">
        <v>36928.6</v>
      </c>
      <c r="K985" s="31" t="n">
        <v>23235.7</v>
      </c>
      <c r="L985" s="31" t="n">
        <v>23083.7</v>
      </c>
      <c r="M985" s="30" t="inlineStr">
        <is>
          <t>AMR1</t>
        </is>
      </c>
      <c r="N985" s="30" t="inlineStr">
        <is>
          <t>AMR3</t>
        </is>
      </c>
      <c r="O985" s="32" t="n">
        <v>1</v>
      </c>
      <c r="P985" s="32" t="n">
        <v>25</v>
      </c>
      <c r="Q985" s="32" t="n">
        <v>22</v>
      </c>
      <c r="R985" s="31" t="n">
        <v>68.5</v>
      </c>
      <c r="S985" s="31" t="n">
        <v>68.5</v>
      </c>
      <c r="T985" s="30" t="inlineStr">
        <is>
          <t>AMR1</t>
        </is>
      </c>
      <c r="U985" s="31" t="n">
        <v>63.4</v>
      </c>
      <c r="V985" s="31" t="n">
        <v>63.4</v>
      </c>
      <c r="W985" s="30" t="inlineStr">
        <is>
          <t>AMR3</t>
        </is>
      </c>
      <c r="X985" s="32" t="n">
        <v>0</v>
      </c>
      <c r="Y985" s="32" t="n">
        <v>0</v>
      </c>
      <c r="Z985" s="31" t="n">
        <v>0</v>
      </c>
      <c r="AA985" s="32" t="n">
        <v>0</v>
      </c>
      <c r="AB985" s="32" t="n">
        <v>0</v>
      </c>
      <c r="AC985" s="32" t="n">
        <v>0</v>
      </c>
      <c r="AD985" s="32" t="n">
        <v>0</v>
      </c>
      <c r="AE985" s="31" t="n">
        <v>0</v>
      </c>
      <c r="AF985" s="32" t="n">
        <v>0</v>
      </c>
      <c r="AG985" s="31" t="n">
        <v>0</v>
      </c>
      <c r="AH985" s="32" t="n">
        <v>92</v>
      </c>
      <c r="AI985" s="31" t="n">
        <v>91.40000000000001</v>
      </c>
      <c r="AJ985" s="31" t="n">
        <v>44.9</v>
      </c>
      <c r="AK985" s="31" t="n">
        <v>0</v>
      </c>
      <c r="AL985" s="30" t="inlineStr">
        <is>
          <t>T-1149</t>
        </is>
      </c>
      <c r="AM985" s="30" t="inlineStr">
        <is>
          <t>F-03-02</t>
        </is>
      </c>
      <c r="AN985" s="30" t="inlineStr">
        <is>
          <t>T-0974</t>
        </is>
      </c>
      <c r="AO985" s="30" t="inlineStr">
        <is>
          <t>F-05-02</t>
        </is>
      </c>
    </row>
    <row r="986">
      <c r="A986" s="30" t="inlineStr">
        <is>
          <t>O0985</t>
        </is>
      </c>
      <c r="B986" s="30" t="inlineStr">
        <is>
          <t>J</t>
        </is>
      </c>
      <c r="C986" s="31" t="n">
        <v>13713.5</v>
      </c>
      <c r="D986" s="31" t="n">
        <v>36195.9</v>
      </c>
      <c r="E986" s="31" t="n">
        <v>36219.4</v>
      </c>
      <c r="F986" s="31" t="n">
        <v>36235.7</v>
      </c>
      <c r="G986" s="31" t="n">
        <v>36266.2</v>
      </c>
      <c r="H986" s="31" t="n">
        <v>36266.3</v>
      </c>
      <c r="I986" s="31" t="n">
        <v>36280.2</v>
      </c>
      <c r="J986" s="31" t="n">
        <v>36308.3</v>
      </c>
      <c r="K986" s="31" t="n">
        <v>22594.8</v>
      </c>
      <c r="L986" s="31" t="n">
        <v>22482.4</v>
      </c>
      <c r="M986" s="30" t="inlineStr">
        <is>
          <t>AMR3</t>
        </is>
      </c>
      <c r="N986" s="30" t="inlineStr">
        <is>
          <t>AMR3</t>
        </is>
      </c>
      <c r="O986" s="32" t="n">
        <v>1</v>
      </c>
      <c r="P986" s="32" t="n">
        <v>25</v>
      </c>
      <c r="Q986" s="32" t="n">
        <v>1</v>
      </c>
      <c r="R986" s="31" t="n">
        <v>66.90000000000001</v>
      </c>
      <c r="S986" s="31" t="n">
        <v>66.90000000000001</v>
      </c>
      <c r="T986" s="30" t="inlineStr">
        <is>
          <t>AMR3</t>
        </is>
      </c>
      <c r="U986" s="31" t="n">
        <v>42.7</v>
      </c>
      <c r="V986" s="31" t="n">
        <v>42.7</v>
      </c>
      <c r="W986" s="30" t="inlineStr">
        <is>
          <t>AMR3</t>
        </is>
      </c>
      <c r="X986" s="32" t="n">
        <v>0</v>
      </c>
      <c r="Y986" s="32" t="n">
        <v>0</v>
      </c>
      <c r="Z986" s="31" t="n">
        <v>0</v>
      </c>
      <c r="AA986" s="32" t="n">
        <v>0</v>
      </c>
      <c r="AB986" s="32" t="n">
        <v>0</v>
      </c>
      <c r="AC986" s="32" t="n">
        <v>0</v>
      </c>
      <c r="AD986" s="32" t="n">
        <v>0</v>
      </c>
      <c r="AE986" s="31" t="n">
        <v>0</v>
      </c>
      <c r="AF986" s="32" t="n">
        <v>0</v>
      </c>
      <c r="AG986" s="31" t="n">
        <v>0</v>
      </c>
      <c r="AH986" s="32" t="n">
        <v>68</v>
      </c>
      <c r="AI986" s="31" t="n">
        <v>67.40000000000001</v>
      </c>
      <c r="AJ986" s="31" t="n">
        <v>44.9</v>
      </c>
      <c r="AK986" s="31" t="n">
        <v>0</v>
      </c>
      <c r="AL986" s="30" t="inlineStr">
        <is>
          <t>T-1135</t>
        </is>
      </c>
      <c r="AM986" s="30" t="inlineStr">
        <is>
          <t>J-05-01</t>
        </is>
      </c>
      <c r="AN986" s="30" t="inlineStr">
        <is>
          <t>T-0964</t>
        </is>
      </c>
      <c r="AO986" s="30" t="inlineStr">
        <is>
          <t>J-02-02</t>
        </is>
      </c>
    </row>
    <row r="987">
      <c r="A987" s="30" t="inlineStr">
        <is>
          <t>O0986</t>
        </is>
      </c>
      <c r="B987" s="30" t="inlineStr">
        <is>
          <t>H</t>
        </is>
      </c>
      <c r="C987" s="31" t="n">
        <v>13736.9</v>
      </c>
      <c r="D987" s="31" t="n">
        <v>36099.5</v>
      </c>
      <c r="E987" s="31" t="n">
        <v>36123</v>
      </c>
      <c r="F987" s="31" t="n">
        <v>36134.1</v>
      </c>
      <c r="G987" s="31" t="n">
        <v>36159.8</v>
      </c>
      <c r="H987" s="31" t="n">
        <v>36213</v>
      </c>
      <c r="I987" s="31" t="n">
        <v>36239.5</v>
      </c>
      <c r="J987" s="31" t="n">
        <v>36267.7</v>
      </c>
      <c r="K987" s="31" t="n">
        <v>22530.8</v>
      </c>
      <c r="L987" s="31" t="n">
        <v>22362.6</v>
      </c>
      <c r="M987" s="30" t="inlineStr">
        <is>
          <t>AMR2</t>
        </is>
      </c>
      <c r="N987" s="30" t="inlineStr">
        <is>
          <t>AMR2</t>
        </is>
      </c>
      <c r="O987" s="32" t="n">
        <v>1</v>
      </c>
      <c r="P987" s="32" t="n">
        <v>25</v>
      </c>
      <c r="Q987" s="32" t="n">
        <v>14</v>
      </c>
      <c r="R987" s="31" t="n">
        <v>59.3</v>
      </c>
      <c r="S987" s="31" t="n">
        <v>59.3</v>
      </c>
      <c r="T987" s="30" t="inlineStr">
        <is>
          <t>AMR2</t>
        </is>
      </c>
      <c r="U987" s="31" t="n">
        <v>54.9</v>
      </c>
      <c r="V987" s="31" t="n">
        <v>54.9</v>
      </c>
      <c r="W987" s="30" t="inlineStr">
        <is>
          <t>AMR2</t>
        </is>
      </c>
      <c r="X987" s="32" t="n">
        <v>0</v>
      </c>
      <c r="Y987" s="32" t="n">
        <v>0</v>
      </c>
      <c r="Z987" s="31" t="n">
        <v>0</v>
      </c>
      <c r="AA987" s="32" t="n">
        <v>0</v>
      </c>
      <c r="AB987" s="32" t="n">
        <v>0</v>
      </c>
      <c r="AC987" s="32" t="n">
        <v>0</v>
      </c>
      <c r="AD987" s="32" t="n">
        <v>0</v>
      </c>
      <c r="AE987" s="31" t="n">
        <v>0</v>
      </c>
      <c r="AF987" s="32" t="n">
        <v>0</v>
      </c>
      <c r="AG987" s="31" t="n">
        <v>0</v>
      </c>
      <c r="AH987" s="32" t="n">
        <v>64</v>
      </c>
      <c r="AI987" s="31" t="n">
        <v>66.7</v>
      </c>
      <c r="AJ987" s="31" t="n">
        <v>48.3</v>
      </c>
      <c r="AK987" s="31" t="n">
        <v>0</v>
      </c>
      <c r="AL987" s="30" t="inlineStr">
        <is>
          <t>T-1133</t>
        </is>
      </c>
      <c r="AM987" s="30" t="inlineStr">
        <is>
          <t>H-06-01</t>
        </is>
      </c>
      <c r="AN987" s="30" t="inlineStr">
        <is>
          <t>T-0946</t>
        </is>
      </c>
      <c r="AO987" s="30" t="inlineStr">
        <is>
          <t>H-01-02</t>
        </is>
      </c>
    </row>
    <row r="988">
      <c r="A988" s="30" t="inlineStr">
        <is>
          <t>O0987</t>
        </is>
      </c>
      <c r="B988" s="30" t="inlineStr">
        <is>
          <t>H</t>
        </is>
      </c>
      <c r="C988" s="31" t="n">
        <v>13755</v>
      </c>
      <c r="D988" s="31" t="n">
        <v>36308.4</v>
      </c>
      <c r="E988" s="31" t="n">
        <v>36338.9</v>
      </c>
      <c r="F988" s="31" t="n">
        <v>36354.6</v>
      </c>
      <c r="G988" s="31" t="n">
        <v>36381.7</v>
      </c>
      <c r="H988" s="31" t="n">
        <v>36381.8</v>
      </c>
      <c r="I988" s="31" t="n">
        <v>36390.2</v>
      </c>
      <c r="J988" s="31" t="n">
        <v>36415.9</v>
      </c>
      <c r="K988" s="31" t="n">
        <v>22660.9</v>
      </c>
      <c r="L988" s="31" t="n">
        <v>22553.4</v>
      </c>
      <c r="M988" s="30" t="inlineStr">
        <is>
          <t>AMR3</t>
        </is>
      </c>
      <c r="N988" s="30" t="inlineStr">
        <is>
          <t>AMR3</t>
        </is>
      </c>
      <c r="O988" s="32" t="n">
        <v>1</v>
      </c>
      <c r="P988" s="32" t="n">
        <v>25</v>
      </c>
      <c r="Q988" s="32" t="n">
        <v>1</v>
      </c>
      <c r="R988" s="31" t="n">
        <v>64.5</v>
      </c>
      <c r="S988" s="31" t="n">
        <v>64.5</v>
      </c>
      <c r="T988" s="30" t="inlineStr">
        <is>
          <t>AMR3</t>
        </is>
      </c>
      <c r="U988" s="31" t="n">
        <v>35.3</v>
      </c>
      <c r="V988" s="31" t="n">
        <v>35.3</v>
      </c>
      <c r="W988" s="30" t="inlineStr">
        <is>
          <t>AMR3</t>
        </is>
      </c>
      <c r="X988" s="32" t="n">
        <v>0</v>
      </c>
      <c r="Y988" s="32" t="n">
        <v>0</v>
      </c>
      <c r="Z988" s="31" t="n">
        <v>0</v>
      </c>
      <c r="AA988" s="32" t="n">
        <v>0</v>
      </c>
      <c r="AB988" s="32" t="n">
        <v>0</v>
      </c>
      <c r="AC988" s="32" t="n">
        <v>0</v>
      </c>
      <c r="AD988" s="32" t="n">
        <v>0</v>
      </c>
      <c r="AE988" s="31" t="n">
        <v>0</v>
      </c>
      <c r="AF988" s="32" t="n">
        <v>1</v>
      </c>
      <c r="AG988" s="31" t="n">
        <v>2</v>
      </c>
      <c r="AH988" s="32" t="n">
        <v>52</v>
      </c>
      <c r="AI988" s="31" t="n">
        <v>54.2</v>
      </c>
      <c r="AJ988" s="31" t="n">
        <v>46.2</v>
      </c>
      <c r="AK988" s="31" t="n">
        <v>7</v>
      </c>
      <c r="AL988" s="30" t="inlineStr">
        <is>
          <t>T-1138</t>
        </is>
      </c>
      <c r="AM988" s="30" t="inlineStr">
        <is>
          <t>H-01-02</t>
        </is>
      </c>
      <c r="AN988" s="30" t="inlineStr">
        <is>
          <t>T-0969</t>
        </is>
      </c>
      <c r="AO988" s="30" t="inlineStr">
        <is>
          <t>H-02-01</t>
        </is>
      </c>
    </row>
    <row r="989">
      <c r="A989" s="30" t="inlineStr">
        <is>
          <t>O0988</t>
        </is>
      </c>
      <c r="B989" s="30" t="inlineStr">
        <is>
          <t>D</t>
        </is>
      </c>
      <c r="C989" s="31" t="n">
        <v>13770.9</v>
      </c>
      <c r="D989" s="31" t="n">
        <v>36171.3</v>
      </c>
      <c r="E989" s="31" t="n">
        <v>36194.8</v>
      </c>
      <c r="F989" s="31" t="n">
        <v>36208.4</v>
      </c>
      <c r="G989" s="31" t="n">
        <v>36233.6</v>
      </c>
      <c r="H989" s="31" t="n">
        <v>36233.7</v>
      </c>
      <c r="I989" s="31" t="n">
        <v>36244.7</v>
      </c>
      <c r="J989" s="31" t="n">
        <v>36284.3</v>
      </c>
      <c r="K989" s="31" t="n">
        <v>22513.4</v>
      </c>
      <c r="L989" s="31" t="n">
        <v>22400.4</v>
      </c>
      <c r="M989" s="30" t="inlineStr">
        <is>
          <t>AMR1</t>
        </is>
      </c>
      <c r="N989" s="30" t="inlineStr">
        <is>
          <t>AMR1</t>
        </is>
      </c>
      <c r="O989" s="32" t="n">
        <v>1</v>
      </c>
      <c r="P989" s="32" t="n">
        <v>25</v>
      </c>
      <c r="Q989" s="32" t="n">
        <v>0</v>
      </c>
      <c r="R989" s="31" t="n">
        <v>59.6</v>
      </c>
      <c r="S989" s="31" t="n">
        <v>59.6</v>
      </c>
      <c r="T989" s="30" t="inlineStr">
        <is>
          <t>AMR1</t>
        </is>
      </c>
      <c r="U989" s="31" t="n">
        <v>38.8</v>
      </c>
      <c r="V989" s="31" t="n">
        <v>38.8</v>
      </c>
      <c r="W989" s="30" t="inlineStr">
        <is>
          <t>AMR1</t>
        </is>
      </c>
      <c r="X989" s="32" t="n">
        <v>0</v>
      </c>
      <c r="Y989" s="32" t="n">
        <v>0</v>
      </c>
      <c r="Z989" s="31" t="n">
        <v>0</v>
      </c>
      <c r="AA989" s="32" t="n">
        <v>0</v>
      </c>
      <c r="AB989" s="32" t="n">
        <v>0</v>
      </c>
      <c r="AC989" s="32" t="n">
        <v>0</v>
      </c>
      <c r="AD989" s="32" t="n">
        <v>1</v>
      </c>
      <c r="AE989" s="31" t="n">
        <v>10</v>
      </c>
      <c r="AF989" s="32" t="n">
        <v>1</v>
      </c>
      <c r="AG989" s="31" t="n">
        <v>5</v>
      </c>
      <c r="AH989" s="32" t="n">
        <v>56</v>
      </c>
      <c r="AI989" s="31" t="n">
        <v>57.4</v>
      </c>
      <c r="AJ989" s="31" t="n">
        <v>45.5</v>
      </c>
      <c r="AK989" s="31" t="n">
        <v>10</v>
      </c>
      <c r="AL989" s="30" t="inlineStr">
        <is>
          <t>T-1134</t>
        </is>
      </c>
      <c r="AM989" s="30" t="inlineStr">
        <is>
          <t>D-03-01</t>
        </is>
      </c>
      <c r="AN989" s="30" t="inlineStr">
        <is>
          <t>T-1017</t>
        </is>
      </c>
      <c r="AO989" s="30" t="inlineStr">
        <is>
          <t>D-04-01</t>
        </is>
      </c>
    </row>
    <row r="990">
      <c r="A990" s="30" t="inlineStr">
        <is>
          <t>O0989</t>
        </is>
      </c>
      <c r="B990" s="30" t="inlineStr">
        <is>
          <t>I</t>
        </is>
      </c>
      <c r="C990" s="31" t="n">
        <v>13788.1</v>
      </c>
      <c r="D990" s="31" t="n">
        <v>36267.8</v>
      </c>
      <c r="E990" s="31" t="n">
        <v>36291.3</v>
      </c>
      <c r="F990" s="31" t="n">
        <v>36307</v>
      </c>
      <c r="G990" s="31" t="n">
        <v>36329.7</v>
      </c>
      <c r="H990" s="31" t="n">
        <v>36329.8</v>
      </c>
      <c r="I990" s="31" t="n">
        <v>36341.2</v>
      </c>
      <c r="J990" s="31" t="n">
        <v>36364.6</v>
      </c>
      <c r="K990" s="31" t="n">
        <v>22576.5</v>
      </c>
      <c r="L990" s="31" t="n">
        <v>22479.7</v>
      </c>
      <c r="M990" s="30" t="inlineStr">
        <is>
          <t>AMR2</t>
        </is>
      </c>
      <c r="N990" s="30" t="inlineStr">
        <is>
          <t>AMR2</t>
        </is>
      </c>
      <c r="O990" s="32" t="n">
        <v>1</v>
      </c>
      <c r="P990" s="32" t="n">
        <v>25</v>
      </c>
      <c r="Q990" s="32" t="n">
        <v>1</v>
      </c>
      <c r="R990" s="31" t="n">
        <v>60.1</v>
      </c>
      <c r="S990" s="31" t="n">
        <v>60.1</v>
      </c>
      <c r="T990" s="30" t="inlineStr">
        <is>
          <t>AMR2</t>
        </is>
      </c>
      <c r="U990" s="31" t="n">
        <v>36.5</v>
      </c>
      <c r="V990" s="31" t="n">
        <v>36.5</v>
      </c>
      <c r="W990" s="30" t="inlineStr">
        <is>
          <t>AMR2</t>
        </is>
      </c>
      <c r="X990" s="32" t="n">
        <v>0</v>
      </c>
      <c r="Y990" s="32" t="n">
        <v>0</v>
      </c>
      <c r="Z990" s="31" t="n">
        <v>0</v>
      </c>
      <c r="AA990" s="32" t="n">
        <v>0</v>
      </c>
      <c r="AB990" s="32" t="n">
        <v>0</v>
      </c>
      <c r="AC990" s="32" t="n">
        <v>0</v>
      </c>
      <c r="AD990" s="32" t="n">
        <v>0</v>
      </c>
      <c r="AE990" s="31" t="n">
        <v>0</v>
      </c>
      <c r="AF990" s="32" t="n">
        <v>0</v>
      </c>
      <c r="AG990" s="31" t="n">
        <v>0</v>
      </c>
      <c r="AH990" s="32" t="n">
        <v>52</v>
      </c>
      <c r="AI990" s="31" t="n">
        <v>54.2</v>
      </c>
      <c r="AJ990" s="31" t="n">
        <v>42.5</v>
      </c>
      <c r="AK990" s="31" t="n">
        <v>0</v>
      </c>
      <c r="AL990" s="30" t="inlineStr">
        <is>
          <t>T-1136</t>
        </is>
      </c>
      <c r="AM990" s="30" t="inlineStr">
        <is>
          <t>I-01-01</t>
        </is>
      </c>
      <c r="AN990" s="30" t="inlineStr">
        <is>
          <t>T-0942</t>
        </is>
      </c>
      <c r="AO990" s="30" t="inlineStr">
        <is>
          <t>I-02-01</t>
        </is>
      </c>
    </row>
    <row r="991">
      <c r="A991" s="30" t="inlineStr">
        <is>
          <t>O0990</t>
        </is>
      </c>
      <c r="B991" s="30" t="inlineStr">
        <is>
          <t>J</t>
        </is>
      </c>
      <c r="C991" s="31" t="n">
        <v>13803.1</v>
      </c>
      <c r="D991" s="31" t="n">
        <v>36284.4</v>
      </c>
      <c r="E991" s="31" t="n">
        <v>36314.9</v>
      </c>
      <c r="F991" s="31" t="n">
        <v>36326.3</v>
      </c>
      <c r="G991" s="31" t="n">
        <v>36353.7</v>
      </c>
      <c r="H991" s="31" t="n">
        <v>36730.5</v>
      </c>
      <c r="I991" s="31" t="n">
        <v>36764.4</v>
      </c>
      <c r="J991" s="31" t="n">
        <v>36797.3</v>
      </c>
      <c r="K991" s="31" t="n">
        <v>22994.2</v>
      </c>
      <c r="L991" s="31" t="n">
        <v>22481.3</v>
      </c>
      <c r="M991" s="30" t="inlineStr">
        <is>
          <t>AMR1</t>
        </is>
      </c>
      <c r="N991" s="30" t="inlineStr">
        <is>
          <t>AMR3</t>
        </is>
      </c>
      <c r="O991" s="32" t="n">
        <v>1</v>
      </c>
      <c r="P991" s="32" t="n">
        <v>25</v>
      </c>
      <c r="Q991" s="32" t="n">
        <v>20</v>
      </c>
      <c r="R991" s="31" t="n">
        <v>60.5</v>
      </c>
      <c r="S991" s="31" t="n">
        <v>60.5</v>
      </c>
      <c r="T991" s="30" t="inlineStr">
        <is>
          <t>AMR1</t>
        </is>
      </c>
      <c r="U991" s="31" t="n">
        <v>65</v>
      </c>
      <c r="V991" s="31" t="n">
        <v>65</v>
      </c>
      <c r="W991" s="30" t="inlineStr">
        <is>
          <t>AMR3</t>
        </is>
      </c>
      <c r="X991" s="32" t="n">
        <v>0</v>
      </c>
      <c r="Y991" s="32" t="n">
        <v>0</v>
      </c>
      <c r="Z991" s="31" t="n">
        <v>0</v>
      </c>
      <c r="AA991" s="32" t="n">
        <v>0</v>
      </c>
      <c r="AB991" s="32" t="n">
        <v>0</v>
      </c>
      <c r="AC991" s="32" t="n">
        <v>0</v>
      </c>
      <c r="AD991" s="32" t="n">
        <v>0</v>
      </c>
      <c r="AE991" s="31" t="n">
        <v>0</v>
      </c>
      <c r="AF991" s="32" t="n">
        <v>1</v>
      </c>
      <c r="AG991" s="31" t="n">
        <v>2</v>
      </c>
      <c r="AH991" s="32" t="n">
        <v>87</v>
      </c>
      <c r="AI991" s="31" t="n">
        <v>86</v>
      </c>
      <c r="AJ991" s="31" t="n">
        <v>43.1</v>
      </c>
      <c r="AK991" s="31" t="n">
        <v>7</v>
      </c>
      <c r="AL991" s="30" t="inlineStr">
        <is>
          <t>T-1137</t>
        </is>
      </c>
      <c r="AM991" s="30" t="inlineStr">
        <is>
          <t>J-02-02</t>
        </is>
      </c>
      <c r="AN991" s="30" t="inlineStr">
        <is>
          <t>T-1012</t>
        </is>
      </c>
      <c r="AO991" s="30" t="inlineStr">
        <is>
          <t>J-05-02</t>
        </is>
      </c>
    </row>
    <row r="992">
      <c r="A992" s="30" t="inlineStr">
        <is>
          <t>O0991</t>
        </is>
      </c>
      <c r="B992" s="30" t="inlineStr">
        <is>
          <t>F</t>
        </is>
      </c>
      <c r="C992" s="31" t="n">
        <v>13826.1</v>
      </c>
      <c r="D992" s="31" t="n">
        <v>36814.6</v>
      </c>
      <c r="E992" s="31" t="n">
        <v>36838.1</v>
      </c>
      <c r="F992" s="31" t="n">
        <v>36850.9</v>
      </c>
      <c r="G992" s="31" t="n">
        <v>36883.6</v>
      </c>
      <c r="H992" s="31" t="n">
        <v>36928.7</v>
      </c>
      <c r="I992" s="31" t="n">
        <v>36958.6</v>
      </c>
      <c r="J992" s="31" t="n">
        <v>36999.4</v>
      </c>
      <c r="K992" s="31" t="n">
        <v>23173.3</v>
      </c>
      <c r="L992" s="31" t="n">
        <v>22988.5</v>
      </c>
      <c r="M992" s="30" t="inlineStr">
        <is>
          <t>AMR2</t>
        </is>
      </c>
      <c r="N992" s="30" t="inlineStr">
        <is>
          <t>AMR3</t>
        </is>
      </c>
      <c r="O992" s="32" t="n">
        <v>1</v>
      </c>
      <c r="P992" s="32" t="n">
        <v>25</v>
      </c>
      <c r="Q992" s="32" t="n">
        <v>22</v>
      </c>
      <c r="R992" s="31" t="n">
        <v>68</v>
      </c>
      <c r="S992" s="31" t="n">
        <v>68</v>
      </c>
      <c r="T992" s="30" t="inlineStr">
        <is>
          <t>AMR2</t>
        </is>
      </c>
      <c r="U992" s="31" t="n">
        <v>62.9</v>
      </c>
      <c r="V992" s="31" t="n">
        <v>62.9</v>
      </c>
      <c r="W992" s="30" t="inlineStr">
        <is>
          <t>AMR3</t>
        </is>
      </c>
      <c r="X992" s="32" t="n">
        <v>0</v>
      </c>
      <c r="Y992" s="32" t="n">
        <v>0</v>
      </c>
      <c r="Z992" s="31" t="n">
        <v>0</v>
      </c>
      <c r="AA992" s="32" t="n">
        <v>0</v>
      </c>
      <c r="AB992" s="32" t="n">
        <v>0</v>
      </c>
      <c r="AC992" s="32" t="n">
        <v>0</v>
      </c>
      <c r="AD992" s="32" t="n">
        <v>1</v>
      </c>
      <c r="AE992" s="31" t="n">
        <v>9</v>
      </c>
      <c r="AF992" s="32" t="n">
        <v>1</v>
      </c>
      <c r="AG992" s="31" t="n">
        <v>4</v>
      </c>
      <c r="AH992" s="32" t="n">
        <v>88</v>
      </c>
      <c r="AI992" s="31" t="n">
        <v>86.8</v>
      </c>
      <c r="AJ992" s="31" t="n">
        <v>43.9</v>
      </c>
      <c r="AK992" s="31" t="n">
        <v>9</v>
      </c>
      <c r="AL992" s="30" t="inlineStr">
        <is>
          <t>T-1150</t>
        </is>
      </c>
      <c r="AM992" s="30" t="inlineStr">
        <is>
          <t>F-06-03</t>
        </is>
      </c>
      <c r="AN992" s="30" t="inlineStr">
        <is>
          <t>T-0989</t>
        </is>
      </c>
      <c r="AO992" s="30" t="inlineStr">
        <is>
          <t>F-04-02</t>
        </is>
      </c>
    </row>
    <row r="993">
      <c r="A993" s="30" t="inlineStr">
        <is>
          <t>O0992</t>
        </is>
      </c>
      <c r="B993" s="30" t="inlineStr">
        <is>
          <t>F</t>
        </is>
      </c>
      <c r="C993" s="31" t="n">
        <v>13842.9</v>
      </c>
      <c r="D993" s="31" t="n">
        <v>36364.7</v>
      </c>
      <c r="E993" s="31" t="n">
        <v>36388.2</v>
      </c>
      <c r="F993" s="31" t="n">
        <v>36403</v>
      </c>
      <c r="G993" s="31" t="n">
        <v>36430.4</v>
      </c>
      <c r="H993" s="31" t="n">
        <v>36901</v>
      </c>
      <c r="I993" s="31" t="n">
        <v>36935.5</v>
      </c>
      <c r="J993" s="31" t="n">
        <v>36981</v>
      </c>
      <c r="K993" s="31" t="n">
        <v>23138.1</v>
      </c>
      <c r="L993" s="31" t="n">
        <v>22521.8</v>
      </c>
      <c r="M993" s="30" t="inlineStr">
        <is>
          <t>AMR2</t>
        </is>
      </c>
      <c r="N993" s="30" t="inlineStr">
        <is>
          <t>AMR1</t>
        </is>
      </c>
      <c r="O993" s="32" t="n">
        <v>1</v>
      </c>
      <c r="P993" s="32" t="n">
        <v>25</v>
      </c>
      <c r="Q993" s="32" t="n">
        <v>22</v>
      </c>
      <c r="R993" s="31" t="n">
        <v>64.7</v>
      </c>
      <c r="S993" s="31" t="n">
        <v>64.7</v>
      </c>
      <c r="T993" s="30" t="inlineStr">
        <is>
          <t>AMR2</t>
        </is>
      </c>
      <c r="U993" s="31" t="n">
        <v>69.5</v>
      </c>
      <c r="V993" s="31" t="n">
        <v>69.5</v>
      </c>
      <c r="W993" s="30" t="inlineStr">
        <is>
          <t>AMR1</t>
        </is>
      </c>
      <c r="X993" s="32" t="n">
        <v>0</v>
      </c>
      <c r="Y993" s="32" t="n">
        <v>0</v>
      </c>
      <c r="Z993" s="31" t="n">
        <v>0</v>
      </c>
      <c r="AA993" s="32" t="n">
        <v>0</v>
      </c>
      <c r="AB993" s="32" t="n">
        <v>0</v>
      </c>
      <c r="AC993" s="32" t="n">
        <v>0</v>
      </c>
      <c r="AD993" s="32" t="n">
        <v>1</v>
      </c>
      <c r="AE993" s="31" t="n">
        <v>8</v>
      </c>
      <c r="AF993" s="32" t="n">
        <v>1</v>
      </c>
      <c r="AG993" s="31" t="n">
        <v>3</v>
      </c>
      <c r="AH993" s="32" t="n">
        <v>94</v>
      </c>
      <c r="AI993" s="31" t="n">
        <v>90.5</v>
      </c>
      <c r="AJ993" s="31" t="n">
        <v>47.2</v>
      </c>
      <c r="AK993" s="31" t="n">
        <v>8</v>
      </c>
      <c r="AL993" s="30" t="inlineStr">
        <is>
          <t>T-1139</t>
        </is>
      </c>
      <c r="AM993" s="30" t="inlineStr">
        <is>
          <t>F-06-01</t>
        </is>
      </c>
      <c r="AN993" s="30" t="inlineStr">
        <is>
          <t>T-0977</t>
        </is>
      </c>
      <c r="AO993" s="30" t="inlineStr">
        <is>
          <t>F-02-03</t>
        </is>
      </c>
    </row>
    <row r="994">
      <c r="A994" s="30" t="inlineStr">
        <is>
          <t>O0993</t>
        </is>
      </c>
      <c r="B994" s="30" t="inlineStr">
        <is>
          <t>J</t>
        </is>
      </c>
      <c r="C994" s="31" t="n">
        <v>13858.1</v>
      </c>
      <c r="D994" s="31" t="n">
        <v>36462.3</v>
      </c>
      <c r="E994" s="31" t="n">
        <v>36477.7</v>
      </c>
      <c r="F994" s="31" t="n">
        <v>36492.6</v>
      </c>
      <c r="G994" s="31" t="n">
        <v>36521.3</v>
      </c>
      <c r="H994" s="31" t="n">
        <v>36521.4</v>
      </c>
      <c r="I994" s="31" t="n">
        <v>36535.6</v>
      </c>
      <c r="J994" s="31" t="n">
        <v>36566.3</v>
      </c>
      <c r="K994" s="31" t="n">
        <v>22708.2</v>
      </c>
      <c r="L994" s="31" t="n">
        <v>22604.2</v>
      </c>
      <c r="M994" s="30" t="inlineStr">
        <is>
          <t>AMR1</t>
        </is>
      </c>
      <c r="N994" s="30" t="inlineStr">
        <is>
          <t>AMR1</t>
        </is>
      </c>
      <c r="O994" s="32" t="n">
        <v>1</v>
      </c>
      <c r="P994" s="32" t="n">
        <v>16</v>
      </c>
      <c r="Q994" s="32" t="n">
        <v>0</v>
      </c>
      <c r="R994" s="31" t="n">
        <v>57</v>
      </c>
      <c r="S994" s="31" t="n">
        <v>57</v>
      </c>
      <c r="T994" s="30" t="inlineStr">
        <is>
          <t>AMR1</t>
        </is>
      </c>
      <c r="U994" s="31" t="n">
        <v>43.1</v>
      </c>
      <c r="V994" s="31" t="n">
        <v>43.1</v>
      </c>
      <c r="W994" s="30" t="inlineStr">
        <is>
          <t>AMR1</t>
        </is>
      </c>
      <c r="X994" s="32" t="n">
        <v>0</v>
      </c>
      <c r="Y994" s="32" t="n">
        <v>0</v>
      </c>
      <c r="Z994" s="31" t="n">
        <v>0</v>
      </c>
      <c r="AA994" s="32" t="n">
        <v>0</v>
      </c>
      <c r="AB994" s="32" t="n">
        <v>0</v>
      </c>
      <c r="AC994" s="32" t="n">
        <v>0</v>
      </c>
      <c r="AD994" s="32" t="n">
        <v>0</v>
      </c>
      <c r="AE994" s="31" t="n">
        <v>0</v>
      </c>
      <c r="AF994" s="32" t="n">
        <v>0</v>
      </c>
      <c r="AG994" s="31" t="n">
        <v>0</v>
      </c>
      <c r="AH994" s="32" t="n">
        <v>59</v>
      </c>
      <c r="AI994" s="31" t="n">
        <v>60.3</v>
      </c>
      <c r="AJ994" s="31" t="n">
        <v>43.6</v>
      </c>
      <c r="AK994" s="31" t="n">
        <v>0</v>
      </c>
      <c r="AL994" s="30" t="inlineStr">
        <is>
          <t>T-1142</t>
        </is>
      </c>
      <c r="AM994" s="30" t="inlineStr">
        <is>
          <t>J-03-02</t>
        </is>
      </c>
      <c r="AN994" s="30" t="inlineStr">
        <is>
          <t>T-0975</t>
        </is>
      </c>
      <c r="AO994" s="30" t="inlineStr">
        <is>
          <t>J-04-02</t>
        </is>
      </c>
    </row>
    <row r="995">
      <c r="A995" s="30" t="inlineStr">
        <is>
          <t>O0994</t>
        </is>
      </c>
      <c r="B995" s="30" t="inlineStr">
        <is>
          <t>B</t>
        </is>
      </c>
      <c r="C995" s="31" t="n">
        <v>13882.3</v>
      </c>
      <c r="D995" s="31" t="n">
        <v>36589.5</v>
      </c>
      <c r="E995" s="31" t="n">
        <v>36614</v>
      </c>
      <c r="F995" s="31" t="n">
        <v>36628.3</v>
      </c>
      <c r="G995" s="31" t="n">
        <v>36654.3</v>
      </c>
      <c r="H995" s="31" t="n">
        <v>36718</v>
      </c>
      <c r="I995" s="31" t="n">
        <v>36744.6</v>
      </c>
      <c r="J995" s="31" t="n">
        <v>36776.5</v>
      </c>
      <c r="K995" s="31" t="n">
        <v>22894.2</v>
      </c>
      <c r="L995" s="31" t="n">
        <v>22707.2</v>
      </c>
      <c r="M995" s="30" t="inlineStr">
        <is>
          <t>AMR2</t>
        </is>
      </c>
      <c r="N995" s="30" t="inlineStr">
        <is>
          <t>AMR1</t>
        </is>
      </c>
      <c r="O995" s="32" t="n">
        <v>1</v>
      </c>
      <c r="P995" s="32" t="n">
        <v>25</v>
      </c>
      <c r="Q995" s="32" t="n">
        <v>18</v>
      </c>
      <c r="R995" s="31" t="n">
        <v>60.3</v>
      </c>
      <c r="S995" s="31" t="n">
        <v>60.3</v>
      </c>
      <c r="T995" s="30" t="inlineStr">
        <is>
          <t>AMR2</t>
        </is>
      </c>
      <c r="U995" s="31" t="n">
        <v>58.9</v>
      </c>
      <c r="V995" s="31" t="n">
        <v>58.9</v>
      </c>
      <c r="W995" s="30" t="inlineStr">
        <is>
          <t>AMR1</t>
        </is>
      </c>
      <c r="X995" s="32" t="n">
        <v>0</v>
      </c>
      <c r="Y995" s="32" t="n">
        <v>0</v>
      </c>
      <c r="Z995" s="31" t="n">
        <v>0</v>
      </c>
      <c r="AA995" s="32" t="n">
        <v>0</v>
      </c>
      <c r="AB995" s="32" t="n">
        <v>0</v>
      </c>
      <c r="AC995" s="32" t="n">
        <v>0</v>
      </c>
      <c r="AD995" s="32" t="n">
        <v>0</v>
      </c>
      <c r="AE995" s="31" t="n">
        <v>0</v>
      </c>
      <c r="AF995" s="32" t="n">
        <v>0</v>
      </c>
      <c r="AG995" s="31" t="n">
        <v>0</v>
      </c>
      <c r="AH995" s="32" t="n">
        <v>75</v>
      </c>
      <c r="AI995" s="31" t="n">
        <v>76.2</v>
      </c>
      <c r="AJ995" s="31" t="n">
        <v>46.1</v>
      </c>
      <c r="AK995" s="31" t="n">
        <v>1</v>
      </c>
      <c r="AL995" s="30" t="inlineStr">
        <is>
          <t>T-1146</t>
        </is>
      </c>
      <c r="AM995" s="30" t="inlineStr">
        <is>
          <t>B-02-02</t>
        </is>
      </c>
      <c r="AN995" s="30" t="inlineStr">
        <is>
          <t>T-1016</t>
        </is>
      </c>
      <c r="AO995" s="30" t="inlineStr">
        <is>
          <t>B-04-02</t>
        </is>
      </c>
    </row>
    <row r="996">
      <c r="A996" s="30" t="inlineStr">
        <is>
          <t>O0995</t>
        </is>
      </c>
      <c r="B996" s="30" t="inlineStr">
        <is>
          <t>B</t>
        </is>
      </c>
      <c r="C996" s="31" t="n">
        <v>13905.9</v>
      </c>
      <c r="D996" s="31" t="n">
        <v>36400.9</v>
      </c>
      <c r="E996" s="31" t="n">
        <v>36424.4</v>
      </c>
      <c r="F996" s="31" t="n">
        <v>36436.4</v>
      </c>
      <c r="G996" s="31" t="n">
        <v>36462.2</v>
      </c>
      <c r="H996" s="31" t="n">
        <v>36654.4</v>
      </c>
      <c r="I996" s="31" t="n">
        <v>36665.8</v>
      </c>
      <c r="J996" s="31" t="n">
        <v>36692.7</v>
      </c>
      <c r="K996" s="31" t="n">
        <v>22786.8</v>
      </c>
      <c r="L996" s="31" t="n">
        <v>22495</v>
      </c>
      <c r="M996" s="30" t="inlineStr">
        <is>
          <t>AMR1</t>
        </is>
      </c>
      <c r="N996" s="30" t="inlineStr">
        <is>
          <t>AMR2</t>
        </is>
      </c>
      <c r="O996" s="32" t="n">
        <v>1</v>
      </c>
      <c r="P996" s="32" t="n">
        <v>25</v>
      </c>
      <c r="Q996" s="32" t="n">
        <v>1</v>
      </c>
      <c r="R996" s="31" t="n">
        <v>57.8</v>
      </c>
      <c r="S996" s="31" t="n">
        <v>57.8</v>
      </c>
      <c r="T996" s="30" t="inlineStr">
        <is>
          <t>AMR1</t>
        </is>
      </c>
      <c r="U996" s="31" t="n">
        <v>38</v>
      </c>
      <c r="V996" s="31" t="n">
        <v>38</v>
      </c>
      <c r="W996" s="30" t="inlineStr">
        <is>
          <t>AMR2</t>
        </is>
      </c>
      <c r="X996" s="32" t="n">
        <v>0</v>
      </c>
      <c r="Y996" s="32" t="n">
        <v>0</v>
      </c>
      <c r="Z996" s="31" t="n">
        <v>0</v>
      </c>
      <c r="AA996" s="32" t="n">
        <v>0</v>
      </c>
      <c r="AB996" s="32" t="n">
        <v>0</v>
      </c>
      <c r="AC996" s="32" t="n">
        <v>0</v>
      </c>
      <c r="AD996" s="32" t="n">
        <v>0</v>
      </c>
      <c r="AE996" s="31" t="n">
        <v>0</v>
      </c>
      <c r="AF996" s="32" t="n">
        <v>0</v>
      </c>
      <c r="AG996" s="31" t="n">
        <v>0</v>
      </c>
      <c r="AH996" s="32" t="n">
        <v>60</v>
      </c>
      <c r="AI996" s="31" t="n">
        <v>60.6</v>
      </c>
      <c r="AJ996" s="31" t="n">
        <v>39</v>
      </c>
      <c r="AK996" s="31" t="n">
        <v>0</v>
      </c>
      <c r="AL996" s="30" t="inlineStr">
        <is>
          <t>T-1140</t>
        </is>
      </c>
      <c r="AM996" s="30" t="inlineStr">
        <is>
          <t>B-01-02</t>
        </is>
      </c>
      <c r="AN996" s="30" t="inlineStr">
        <is>
          <t>T-1010</t>
        </is>
      </c>
      <c r="AO996" s="30" t="inlineStr">
        <is>
          <t>B-05-03</t>
        </is>
      </c>
    </row>
    <row r="997">
      <c r="A997" s="30" t="inlineStr">
        <is>
          <t>O0996</t>
        </is>
      </c>
      <c r="B997" s="30" t="inlineStr">
        <is>
          <t>G</t>
        </is>
      </c>
      <c r="C997" s="31" t="n">
        <v>13928</v>
      </c>
      <c r="D997" s="31" t="n">
        <v>36416</v>
      </c>
      <c r="E997" s="31" t="n">
        <v>36448.5</v>
      </c>
      <c r="F997" s="31" t="n">
        <v>36463.4</v>
      </c>
      <c r="G997" s="31" t="n">
        <v>36489.6</v>
      </c>
      <c r="H997" s="31" t="n">
        <v>36489.7</v>
      </c>
      <c r="I997" s="31" t="n">
        <v>36501.3</v>
      </c>
      <c r="J997" s="31" t="n">
        <v>36526.2</v>
      </c>
      <c r="K997" s="31" t="n">
        <v>22598.2</v>
      </c>
      <c r="L997" s="31" t="n">
        <v>22488</v>
      </c>
      <c r="M997" s="30" t="inlineStr">
        <is>
          <t>AMR3</t>
        </is>
      </c>
      <c r="N997" s="30" t="inlineStr">
        <is>
          <t>AMR3</t>
        </is>
      </c>
      <c r="O997" s="32" t="n">
        <v>1</v>
      </c>
      <c r="P997" s="32" t="n">
        <v>25</v>
      </c>
      <c r="Q997" s="32" t="n">
        <v>1</v>
      </c>
      <c r="R997" s="31" t="n">
        <v>61.2</v>
      </c>
      <c r="S997" s="31" t="n">
        <v>61.2</v>
      </c>
      <c r="T997" s="30" t="inlineStr">
        <is>
          <t>AMR3</t>
        </is>
      </c>
      <c r="U997" s="31" t="n">
        <v>36.2</v>
      </c>
      <c r="V997" s="31" t="n">
        <v>36.2</v>
      </c>
      <c r="W997" s="30" t="inlineStr">
        <is>
          <t>AMR3</t>
        </is>
      </c>
      <c r="X997" s="32" t="n">
        <v>0</v>
      </c>
      <c r="Y997" s="32" t="n">
        <v>0</v>
      </c>
      <c r="Z997" s="31" t="n">
        <v>0</v>
      </c>
      <c r="AA997" s="32" t="n">
        <v>0</v>
      </c>
      <c r="AB997" s="32" t="n">
        <v>0</v>
      </c>
      <c r="AC997" s="32" t="n">
        <v>0</v>
      </c>
      <c r="AD997" s="32" t="n">
        <v>0</v>
      </c>
      <c r="AE997" s="31" t="n">
        <v>0</v>
      </c>
      <c r="AF997" s="32" t="n">
        <v>1</v>
      </c>
      <c r="AG997" s="31" t="n">
        <v>4</v>
      </c>
      <c r="AH997" s="32" t="n">
        <v>60</v>
      </c>
      <c r="AI997" s="31" t="n">
        <v>61</v>
      </c>
      <c r="AJ997" s="31" t="n">
        <v>40.1</v>
      </c>
      <c r="AK997" s="31" t="n">
        <v>9</v>
      </c>
      <c r="AL997" s="30" t="inlineStr">
        <is>
          <t>T-1141</t>
        </is>
      </c>
      <c r="AM997" s="30" t="inlineStr">
        <is>
          <t>G-01-03</t>
        </is>
      </c>
      <c r="AN997" s="30" t="inlineStr">
        <is>
          <t>T-0996</t>
        </is>
      </c>
      <c r="AO997" s="30" t="inlineStr">
        <is>
          <t>G-05-01</t>
        </is>
      </c>
    </row>
    <row r="998">
      <c r="A998" s="30" t="inlineStr">
        <is>
          <t>O0997</t>
        </is>
      </c>
      <c r="B998" s="30" t="inlineStr">
        <is>
          <t>E</t>
        </is>
      </c>
      <c r="C998" s="31" t="n">
        <v>13944</v>
      </c>
      <c r="D998" s="31" t="n">
        <v>36481.8</v>
      </c>
      <c r="E998" s="31" t="n">
        <v>36505.3</v>
      </c>
      <c r="F998" s="31" t="n">
        <v>36518.8</v>
      </c>
      <c r="G998" s="31" t="n">
        <v>36545.2</v>
      </c>
      <c r="H998" s="31" t="n">
        <v>36797.4</v>
      </c>
      <c r="I998" s="31" t="n">
        <v>36831.3</v>
      </c>
      <c r="J998" s="31" t="n">
        <v>36863.3</v>
      </c>
      <c r="K998" s="31" t="n">
        <v>22919.3</v>
      </c>
      <c r="L998" s="31" t="n">
        <v>22537.8</v>
      </c>
      <c r="M998" s="30" t="inlineStr">
        <is>
          <t>AMR2</t>
        </is>
      </c>
      <c r="N998" s="30" t="inlineStr">
        <is>
          <t>AMR3</t>
        </is>
      </c>
      <c r="O998" s="32" t="n">
        <v>1</v>
      </c>
      <c r="P998" s="32" t="n">
        <v>25</v>
      </c>
      <c r="Q998" s="32" t="n">
        <v>22</v>
      </c>
      <c r="R998" s="31" t="n">
        <v>61.5</v>
      </c>
      <c r="S998" s="31" t="n">
        <v>61.5</v>
      </c>
      <c r="T998" s="30" t="inlineStr">
        <is>
          <t>AMR2</t>
        </is>
      </c>
      <c r="U998" s="31" t="n">
        <v>65.8</v>
      </c>
      <c r="V998" s="31" t="n">
        <v>65.8</v>
      </c>
      <c r="W998" s="30" t="inlineStr">
        <is>
          <t>AMR3</t>
        </is>
      </c>
      <c r="X998" s="32" t="n">
        <v>0</v>
      </c>
      <c r="Y998" s="32" t="n">
        <v>0</v>
      </c>
      <c r="Z998" s="31" t="n">
        <v>0</v>
      </c>
      <c r="AA998" s="32" t="n">
        <v>0</v>
      </c>
      <c r="AB998" s="32" t="n">
        <v>0</v>
      </c>
      <c r="AC998" s="32" t="n">
        <v>0</v>
      </c>
      <c r="AD998" s="32" t="n">
        <v>0</v>
      </c>
      <c r="AE998" s="31" t="n">
        <v>0</v>
      </c>
      <c r="AF998" s="32" t="n">
        <v>0</v>
      </c>
      <c r="AG998" s="31" t="n">
        <v>0</v>
      </c>
      <c r="AH998" s="32" t="n">
        <v>87</v>
      </c>
      <c r="AI998" s="31" t="n">
        <v>86.5</v>
      </c>
      <c r="AJ998" s="31" t="n">
        <v>42.8</v>
      </c>
      <c r="AK998" s="31" t="n">
        <v>0</v>
      </c>
      <c r="AL998" s="30" t="inlineStr">
        <is>
          <t>T-1143</t>
        </is>
      </c>
      <c r="AM998" s="30" t="inlineStr">
        <is>
          <t>E-01-03</t>
        </is>
      </c>
      <c r="AN998" s="30" t="inlineStr">
        <is>
          <t>T-0971</t>
        </is>
      </c>
      <c r="AO998" s="30" t="inlineStr">
        <is>
          <t>E-03-03</t>
        </is>
      </c>
    </row>
    <row r="999">
      <c r="A999" s="30" t="inlineStr">
        <is>
          <t>O0998</t>
        </is>
      </c>
      <c r="B999" s="30" t="inlineStr">
        <is>
          <t>C</t>
        </is>
      </c>
      <c r="C999" s="31" t="n">
        <v>13960.3</v>
      </c>
      <c r="D999" s="31" t="n">
        <v>36526.3</v>
      </c>
      <c r="E999" s="31" t="n">
        <v>36549.8</v>
      </c>
      <c r="F999" s="31" t="n">
        <v>36561.6</v>
      </c>
      <c r="G999" s="31" t="n">
        <v>36583.8</v>
      </c>
      <c r="H999" s="31" t="n">
        <v>36665.6</v>
      </c>
      <c r="I999" s="31" t="n">
        <v>36690.2</v>
      </c>
      <c r="J999" s="31" t="n">
        <v>36717.9</v>
      </c>
      <c r="K999" s="31" t="n">
        <v>22757.6</v>
      </c>
      <c r="L999" s="31" t="n">
        <v>22566</v>
      </c>
      <c r="M999" s="30" t="inlineStr">
        <is>
          <t>AMR3</t>
        </is>
      </c>
      <c r="N999" s="30" t="inlineStr">
        <is>
          <t>AMR1</t>
        </is>
      </c>
      <c r="O999" s="32" t="n">
        <v>1</v>
      </c>
      <c r="P999" s="32" t="n">
        <v>25</v>
      </c>
      <c r="Q999" s="32" t="n">
        <v>16</v>
      </c>
      <c r="R999" s="31" t="n">
        <v>55.6</v>
      </c>
      <c r="S999" s="31" t="n">
        <v>55.6</v>
      </c>
      <c r="T999" s="30" t="inlineStr">
        <is>
          <t>AMR3</t>
        </is>
      </c>
      <c r="U999" s="31" t="n">
        <v>52.7</v>
      </c>
      <c r="V999" s="31" t="n">
        <v>52.7</v>
      </c>
      <c r="W999" s="30" t="inlineStr">
        <is>
          <t>AMR1</t>
        </is>
      </c>
      <c r="X999" s="32" t="n">
        <v>0</v>
      </c>
      <c r="Y999" s="32" t="n">
        <v>0</v>
      </c>
      <c r="Z999" s="31" t="n">
        <v>0</v>
      </c>
      <c r="AA999" s="32" t="n">
        <v>0</v>
      </c>
      <c r="AB999" s="32" t="n">
        <v>0</v>
      </c>
      <c r="AC999" s="32" t="n">
        <v>0</v>
      </c>
      <c r="AD999" s="32" t="n">
        <v>0</v>
      </c>
      <c r="AE999" s="31" t="n">
        <v>0</v>
      </c>
      <c r="AF999" s="32" t="n">
        <v>0</v>
      </c>
      <c r="AG999" s="31" t="n">
        <v>0</v>
      </c>
      <c r="AH999" s="32" t="n">
        <v>67</v>
      </c>
      <c r="AI999" s="31" t="n">
        <v>69.5</v>
      </c>
      <c r="AJ999" s="31" t="n">
        <v>40.3</v>
      </c>
      <c r="AK999" s="31" t="n">
        <v>0</v>
      </c>
      <c r="AL999" s="30" t="inlineStr">
        <is>
          <t>T-1144</t>
        </is>
      </c>
      <c r="AM999" s="30" t="inlineStr">
        <is>
          <t>C-01-02</t>
        </is>
      </c>
      <c r="AN999" s="30" t="inlineStr">
        <is>
          <t>T-1018</t>
        </is>
      </c>
      <c r="AO999" s="30" t="inlineStr">
        <is>
          <t>C-02-02</t>
        </is>
      </c>
    </row>
    <row r="1000">
      <c r="A1000" s="30" t="inlineStr">
        <is>
          <t>O0999</t>
        </is>
      </c>
      <c r="B1000" s="30" t="inlineStr">
        <is>
          <t>H</t>
        </is>
      </c>
      <c r="C1000" s="31" t="n">
        <v>13984.8</v>
      </c>
      <c r="D1000" s="31" t="n">
        <v>36566.4</v>
      </c>
      <c r="E1000" s="31" t="n">
        <v>36589.9</v>
      </c>
      <c r="F1000" s="31" t="n">
        <v>36604.4</v>
      </c>
      <c r="G1000" s="31" t="n">
        <v>36628.9</v>
      </c>
      <c r="H1000" s="31" t="n">
        <v>36629</v>
      </c>
      <c r="I1000" s="31" t="n">
        <v>36641.5</v>
      </c>
      <c r="J1000" s="31" t="n">
        <v>36665.5</v>
      </c>
      <c r="K1000" s="31" t="n">
        <v>22680.7</v>
      </c>
      <c r="L1000" s="31" t="n">
        <v>22581.6</v>
      </c>
      <c r="M1000" s="30" t="inlineStr">
        <is>
          <t>AMR1</t>
        </is>
      </c>
      <c r="N1000" s="30" t="inlineStr">
        <is>
          <t>AMR1</t>
        </is>
      </c>
      <c r="O1000" s="32" t="n">
        <v>1</v>
      </c>
      <c r="P1000" s="32" t="n">
        <v>25</v>
      </c>
      <c r="Q1000" s="32" t="n">
        <v>1</v>
      </c>
      <c r="R1000" s="31" t="n">
        <v>60.7</v>
      </c>
      <c r="S1000" s="31" t="n">
        <v>60.7</v>
      </c>
      <c r="T1000" s="30" t="inlineStr">
        <is>
          <t>AMR1</t>
        </is>
      </c>
      <c r="U1000" s="31" t="n">
        <v>37.7</v>
      </c>
      <c r="V1000" s="31" t="n">
        <v>37.7</v>
      </c>
      <c r="W1000" s="30" t="inlineStr">
        <is>
          <t>AMR1</t>
        </is>
      </c>
      <c r="X1000" s="32" t="n">
        <v>0</v>
      </c>
      <c r="Y1000" s="32" t="n">
        <v>0</v>
      </c>
      <c r="Z1000" s="31" t="n">
        <v>0</v>
      </c>
      <c r="AA1000" s="32" t="n">
        <v>0</v>
      </c>
      <c r="AB1000" s="32" t="n">
        <v>0</v>
      </c>
      <c r="AC1000" s="32" t="n">
        <v>0</v>
      </c>
      <c r="AD1000" s="32" t="n">
        <v>0</v>
      </c>
      <c r="AE1000" s="31" t="n">
        <v>0</v>
      </c>
      <c r="AF1000" s="32" t="n">
        <v>0</v>
      </c>
      <c r="AG1000" s="31" t="n">
        <v>0</v>
      </c>
      <c r="AH1000" s="32" t="n">
        <v>52</v>
      </c>
      <c r="AI1000" s="31" t="n">
        <v>54.2</v>
      </c>
      <c r="AJ1000" s="31" t="n">
        <v>44.8</v>
      </c>
      <c r="AK1000" s="31" t="n">
        <v>0</v>
      </c>
      <c r="AL1000" s="30" t="inlineStr">
        <is>
          <t>T-1145</t>
        </is>
      </c>
      <c r="AM1000" s="30" t="inlineStr">
        <is>
          <t>H-02-01</t>
        </is>
      </c>
      <c r="AN1000" s="30" t="inlineStr">
        <is>
          <t>T-0985</t>
        </is>
      </c>
      <c r="AO1000" s="30" t="inlineStr">
        <is>
          <t>H-02-03</t>
        </is>
      </c>
    </row>
    <row r="1001">
      <c r="A1001" s="30" t="inlineStr">
        <is>
          <t>O1000</t>
        </is>
      </c>
      <c r="B1001" s="30" t="inlineStr">
        <is>
          <t>I</t>
        </is>
      </c>
      <c r="C1001" s="31" t="n">
        <v>14003</v>
      </c>
      <c r="D1001" s="31" t="n">
        <v>36626.3</v>
      </c>
      <c r="E1001" s="31" t="n">
        <v>36649.8</v>
      </c>
      <c r="F1001" s="31" t="n">
        <v>36662.3</v>
      </c>
      <c r="G1001" s="31" t="n">
        <v>36684.1</v>
      </c>
      <c r="H1001" s="31" t="n">
        <v>36684.2</v>
      </c>
      <c r="I1001" s="31" t="n">
        <v>36694.3</v>
      </c>
      <c r="J1001" s="31" t="n">
        <v>36730.4</v>
      </c>
      <c r="K1001" s="31" t="n">
        <v>22727.4</v>
      </c>
      <c r="L1001" s="31" t="n">
        <v>22623.3</v>
      </c>
      <c r="M1001" s="30" t="inlineStr">
        <is>
          <t>AMR3</t>
        </is>
      </c>
      <c r="N1001" s="30" t="inlineStr">
        <is>
          <t>AMR3</t>
        </is>
      </c>
      <c r="O1001" s="32" t="n">
        <v>1</v>
      </c>
      <c r="P1001" s="32" t="n">
        <v>25</v>
      </c>
      <c r="Q1001" s="32" t="n">
        <v>1</v>
      </c>
      <c r="R1001" s="31" t="n">
        <v>56</v>
      </c>
      <c r="S1001" s="31" t="n">
        <v>49.8</v>
      </c>
      <c r="T1001" s="30" t="inlineStr">
        <is>
          <t>AMR1</t>
        </is>
      </c>
      <c r="U1001" s="31" t="n">
        <v>34.9</v>
      </c>
      <c r="V1001" s="31" t="n">
        <v>34.9</v>
      </c>
      <c r="W1001" s="30" t="inlineStr">
        <is>
          <t>AMR3</t>
        </is>
      </c>
      <c r="X1001" s="32" t="n">
        <v>1</v>
      </c>
      <c r="Y1001" s="32" t="n">
        <v>11</v>
      </c>
      <c r="Z1001" s="31" t="n">
        <v>6.2</v>
      </c>
      <c r="AA1001" s="32" t="n">
        <v>0</v>
      </c>
      <c r="AB1001" s="32" t="n">
        <v>0</v>
      </c>
      <c r="AC1001" s="32" t="n">
        <v>0</v>
      </c>
      <c r="AD1001" s="32" t="n">
        <v>1</v>
      </c>
      <c r="AE1001" s="31" t="n">
        <v>13</v>
      </c>
      <c r="AF1001" s="32" t="n">
        <v>1</v>
      </c>
      <c r="AG1001" s="31" t="n">
        <v>8</v>
      </c>
      <c r="AH1001" s="32" t="n">
        <v>52</v>
      </c>
      <c r="AI1001" s="31" t="n">
        <v>54.2</v>
      </c>
      <c r="AJ1001" s="31" t="n">
        <v>36.8</v>
      </c>
      <c r="AK1001" s="31" t="n">
        <v>13</v>
      </c>
      <c r="AL1001" s="30" t="inlineStr">
        <is>
          <t>T-1147</t>
        </is>
      </c>
      <c r="AM1001" s="30" t="inlineStr">
        <is>
          <t>I-02-01</t>
        </is>
      </c>
      <c r="AN1001" s="30" t="inlineStr">
        <is>
          <t>T-0945</t>
        </is>
      </c>
      <c r="AO1001" s="30" t="inlineStr">
        <is>
          <t>I-01-03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10" customWidth="1" min="2" max="2"/>
    <col width="10" customWidth="1" min="3" max="3"/>
    <col width="10" customWidth="1" min="4" max="4"/>
    <col width="22.4" customWidth="1" min="5" max="5"/>
    <col width="12.8" customWidth="1" min="6" max="6"/>
    <col width="26" customWidth="1" min="7" max="7"/>
    <col width="10" customWidth="1" min="8" max="8"/>
  </cols>
  <sheetData>
    <row r="1" ht="32" customHeight="1">
      <c r="A1" s="29" t="inlineStr">
        <is>
          <t>collision_id</t>
        </is>
      </c>
      <c r="B1" s="29" t="inlineStr">
        <is>
          <t>time</t>
        </is>
      </c>
      <c r="C1" s="29" t="inlineStr">
        <is>
          <t>amr_1</t>
        </is>
      </c>
      <c r="D1" s="29" t="inlineStr">
        <is>
          <t>amr_2</t>
        </is>
      </c>
      <c r="E1" s="29" t="inlineStr">
        <is>
          <t>collision_type</t>
        </is>
      </c>
      <c r="F1" s="29" t="inlineStr">
        <is>
          <t>location</t>
        </is>
      </c>
      <c r="G1" s="29" t="inlineStr">
        <is>
          <t>human_intervention_time</t>
        </is>
      </c>
      <c r="H1" s="29" t="inlineStr">
        <is>
          <t>orders</t>
        </is>
      </c>
    </row>
    <row r="2">
      <c r="A2" s="32" t="n">
        <v>1</v>
      </c>
      <c r="B2" s="31" t="n">
        <v>63.2</v>
      </c>
      <c r="C2" s="30" t="inlineStr">
        <is>
          <t>AMR1</t>
        </is>
      </c>
      <c r="D2" s="30" t="inlineStr">
        <is>
          <t>AMR3</t>
        </is>
      </c>
      <c r="E2" s="30" t="inlineStr">
        <is>
          <t>경로충돌</t>
        </is>
      </c>
      <c r="F2" s="30" t="inlineStr">
        <is>
          <t>(14, 19)</t>
        </is>
      </c>
      <c r="G2" s="31" t="n">
        <v>30.9</v>
      </c>
      <c r="H2" s="30" t="inlineStr">
        <is>
          <t>O0001 O0003</t>
        </is>
      </c>
    </row>
    <row r="3">
      <c r="A3" s="32" t="n">
        <v>2</v>
      </c>
      <c r="B3" s="31" t="n">
        <v>63.8</v>
      </c>
      <c r="C3" s="30" t="inlineStr">
        <is>
          <t>AMR1</t>
        </is>
      </c>
      <c r="D3" s="30" t="inlineStr">
        <is>
          <t>AMR3</t>
        </is>
      </c>
      <c r="E3" s="30" t="inlineStr">
        <is>
          <t>정면충돌</t>
        </is>
      </c>
      <c r="F3" s="30" t="inlineStr">
        <is>
          <t>(14, 19)&lt;-&gt;(15, 19)</t>
        </is>
      </c>
      <c r="G3" s="31" t="n">
        <v>39.5</v>
      </c>
      <c r="H3" s="30" t="inlineStr">
        <is>
          <t>O0001 O0003</t>
        </is>
      </c>
    </row>
    <row r="4">
      <c r="A4" s="32" t="n">
        <v>3</v>
      </c>
      <c r="B4" s="31" t="n">
        <v>95.40000000000001</v>
      </c>
      <c r="C4" s="30" t="inlineStr">
        <is>
          <t>AMR1</t>
        </is>
      </c>
      <c r="D4" s="30" t="inlineStr">
        <is>
          <t>AMR3</t>
        </is>
      </c>
      <c r="E4" s="30" t="inlineStr">
        <is>
          <t>경로충돌</t>
        </is>
      </c>
      <c r="F4" s="30" t="inlineStr">
        <is>
          <t>(8, 11)</t>
        </is>
      </c>
      <c r="G4" s="31" t="n">
        <v>23.3</v>
      </c>
      <c r="H4" s="30" t="inlineStr">
        <is>
          <t>O0001 O0003</t>
        </is>
      </c>
    </row>
    <row r="5">
      <c r="A5" s="32" t="n">
        <v>4</v>
      </c>
      <c r="B5" s="31" t="n">
        <v>96.90000000000001</v>
      </c>
      <c r="C5" s="30" t="inlineStr">
        <is>
          <t>AMR1</t>
        </is>
      </c>
      <c r="D5" s="30" t="inlineStr">
        <is>
          <t>AMR3</t>
        </is>
      </c>
      <c r="E5" s="30" t="inlineStr">
        <is>
          <t>정면충돌</t>
        </is>
      </c>
      <c r="F5" s="30" t="inlineStr">
        <is>
          <t>(8, 11)&lt;-&gt;(9, 11)</t>
        </is>
      </c>
      <c r="G5" s="31" t="n">
        <v>33.5</v>
      </c>
      <c r="H5" s="30" t="inlineStr">
        <is>
          <t>O0001 O0003</t>
        </is>
      </c>
    </row>
    <row r="6">
      <c r="A6" s="32" t="n">
        <v>5</v>
      </c>
      <c r="B6" s="31" t="n">
        <v>210.8</v>
      </c>
      <c r="C6" s="30" t="inlineStr">
        <is>
          <t>AMR1</t>
        </is>
      </c>
      <c r="D6" s="30" t="inlineStr">
        <is>
          <t>AMR3</t>
        </is>
      </c>
      <c r="E6" s="30" t="inlineStr">
        <is>
          <t>경로충돌</t>
        </is>
      </c>
      <c r="F6" s="30" t="inlineStr">
        <is>
          <t>(16, 19)</t>
        </is>
      </c>
      <c r="G6" s="31" t="n">
        <v>22.9</v>
      </c>
      <c r="H6" s="30" t="inlineStr">
        <is>
          <t>O0004</t>
        </is>
      </c>
    </row>
    <row r="7">
      <c r="A7" s="32" t="n">
        <v>6</v>
      </c>
      <c r="B7" s="31" t="n">
        <v>211.4</v>
      </c>
      <c r="C7" s="30" t="inlineStr">
        <is>
          <t>AMR1</t>
        </is>
      </c>
      <c r="D7" s="30" t="inlineStr">
        <is>
          <t>AMR3</t>
        </is>
      </c>
      <c r="E7" s="30" t="inlineStr">
        <is>
          <t>정면충돌</t>
        </is>
      </c>
      <c r="F7" s="30" t="inlineStr">
        <is>
          <t>(16, 19)&lt;-&gt;(17, 19)</t>
        </is>
      </c>
      <c r="G7" s="31" t="n">
        <v>20.4</v>
      </c>
      <c r="H7" s="30" t="inlineStr">
        <is>
          <t>O0004</t>
        </is>
      </c>
    </row>
    <row r="8">
      <c r="A8" s="32" t="n">
        <v>7</v>
      </c>
      <c r="B8" s="31" t="n">
        <v>291.7</v>
      </c>
      <c r="C8" s="30" t="inlineStr">
        <is>
          <t>AMR1</t>
        </is>
      </c>
      <c r="D8" s="30" t="inlineStr">
        <is>
          <t>AMR2</t>
        </is>
      </c>
      <c r="E8" s="30" t="inlineStr">
        <is>
          <t>경로충돌</t>
        </is>
      </c>
      <c r="F8" s="30" t="inlineStr">
        <is>
          <t>(18, 18)</t>
        </is>
      </c>
      <c r="G8" s="31" t="n">
        <v>31.4</v>
      </c>
      <c r="H8" s="30" t="inlineStr">
        <is>
          <t>O0006</t>
        </is>
      </c>
    </row>
    <row r="9">
      <c r="A9" s="32" t="n">
        <v>8</v>
      </c>
      <c r="B9" s="31" t="n">
        <v>292.6</v>
      </c>
      <c r="C9" s="30" t="inlineStr">
        <is>
          <t>AMR1</t>
        </is>
      </c>
      <c r="D9" s="30" t="inlineStr">
        <is>
          <t>AMR2</t>
        </is>
      </c>
      <c r="E9" s="30" t="inlineStr">
        <is>
          <t>정면충돌</t>
        </is>
      </c>
      <c r="F9" s="30" t="inlineStr">
        <is>
          <t>(18, 17)&lt;-&gt;(18, 18)</t>
        </is>
      </c>
      <c r="G9" s="31" t="n">
        <v>24.7</v>
      </c>
      <c r="H9" s="30" t="inlineStr">
        <is>
          <t>O0006</t>
        </is>
      </c>
    </row>
    <row r="10">
      <c r="A10" s="32" t="n">
        <v>9</v>
      </c>
      <c r="B10" s="31" t="n">
        <v>302.7</v>
      </c>
      <c r="C10" s="30" t="inlineStr">
        <is>
          <t>AMR2</t>
        </is>
      </c>
      <c r="D10" s="30" t="inlineStr">
        <is>
          <t>AMR3</t>
        </is>
      </c>
      <c r="E10" s="30" t="inlineStr">
        <is>
          <t>경로충돌</t>
        </is>
      </c>
      <c r="F10" s="30" t="inlineStr">
        <is>
          <t>(18, 11)</t>
        </is>
      </c>
      <c r="G10" s="31" t="n">
        <v>32.4</v>
      </c>
      <c r="H10" s="30" t="inlineStr">
        <is>
          <t>O0006</t>
        </is>
      </c>
    </row>
    <row r="11">
      <c r="A11" s="32" t="n">
        <v>10</v>
      </c>
      <c r="B11" s="31" t="n">
        <v>359.5</v>
      </c>
      <c r="C11" s="30" t="inlineStr">
        <is>
          <t>AMR1</t>
        </is>
      </c>
      <c r="D11" s="30" t="inlineStr">
        <is>
          <t>AMR2</t>
        </is>
      </c>
      <c r="E11" s="30" t="inlineStr">
        <is>
          <t>경로충돌</t>
        </is>
      </c>
      <c r="F11" s="30" t="inlineStr">
        <is>
          <t>(18, 14)</t>
        </is>
      </c>
      <c r="G11" s="31" t="n">
        <v>49.7</v>
      </c>
      <c r="H11" s="30" t="inlineStr">
        <is>
          <t>O0007</t>
        </is>
      </c>
    </row>
    <row r="12">
      <c r="A12" s="32" t="n">
        <v>11</v>
      </c>
      <c r="B12" s="31" t="n">
        <v>360.2</v>
      </c>
      <c r="C12" s="30" t="inlineStr">
        <is>
          <t>AMR1</t>
        </is>
      </c>
      <c r="D12" s="30" t="inlineStr">
        <is>
          <t>AMR2</t>
        </is>
      </c>
      <c r="E12" s="30" t="inlineStr">
        <is>
          <t>정면충돌</t>
        </is>
      </c>
      <c r="F12" s="30" t="inlineStr">
        <is>
          <t>(18, 13)&lt;-&gt;(18, 14)</t>
        </is>
      </c>
      <c r="G12" s="31" t="n">
        <v>21.4</v>
      </c>
      <c r="H12" s="30" t="inlineStr">
        <is>
          <t>O0007</t>
        </is>
      </c>
    </row>
    <row r="13">
      <c r="A13" s="32" t="n">
        <v>12</v>
      </c>
      <c r="B13" s="31" t="n">
        <v>373.3</v>
      </c>
      <c r="C13" s="30" t="inlineStr">
        <is>
          <t>AMR2</t>
        </is>
      </c>
      <c r="D13" s="30" t="inlineStr">
        <is>
          <t>AMR3</t>
        </is>
      </c>
      <c r="E13" s="30" t="inlineStr">
        <is>
          <t>경로충돌</t>
        </is>
      </c>
      <c r="F13" s="30" t="inlineStr">
        <is>
          <t>(16, 19)</t>
        </is>
      </c>
      <c r="G13" s="31" t="n">
        <v>45</v>
      </c>
      <c r="H13" s="30" t="inlineStr">
        <is>
          <t>O0008</t>
        </is>
      </c>
    </row>
    <row r="14">
      <c r="A14" s="32" t="n">
        <v>13</v>
      </c>
      <c r="B14" s="31" t="n">
        <v>374.2</v>
      </c>
      <c r="C14" s="30" t="inlineStr">
        <is>
          <t>AMR2</t>
        </is>
      </c>
      <c r="D14" s="30" t="inlineStr">
        <is>
          <t>AMR3</t>
        </is>
      </c>
      <c r="E14" s="30" t="inlineStr">
        <is>
          <t>정면충돌</t>
        </is>
      </c>
      <c r="F14" s="30" t="inlineStr">
        <is>
          <t>(16, 19)&lt;-&gt;(17, 19)</t>
        </is>
      </c>
      <c r="G14" s="31" t="n">
        <v>25.4</v>
      </c>
      <c r="H14" s="30" t="inlineStr">
        <is>
          <t>O0008</t>
        </is>
      </c>
    </row>
    <row r="15">
      <c r="A15" s="32" t="n">
        <v>14</v>
      </c>
      <c r="B15" s="31" t="n">
        <v>526.3</v>
      </c>
      <c r="C15" s="30" t="inlineStr">
        <is>
          <t>AMR1</t>
        </is>
      </c>
      <c r="D15" s="30" t="inlineStr">
        <is>
          <t>AMR2</t>
        </is>
      </c>
      <c r="E15" s="30" t="inlineStr">
        <is>
          <t>경로충돌</t>
        </is>
      </c>
      <c r="F15" s="30" t="inlineStr">
        <is>
          <t>(13, 19)</t>
        </is>
      </c>
      <c r="G15" s="31" t="n">
        <v>51.8</v>
      </c>
      <c r="H15" s="30" t="inlineStr">
        <is>
          <t>O0011</t>
        </is>
      </c>
    </row>
    <row r="16">
      <c r="A16" s="32" t="n">
        <v>15</v>
      </c>
      <c r="B16" s="31" t="n">
        <v>526.6</v>
      </c>
      <c r="C16" s="30" t="inlineStr">
        <is>
          <t>AMR1</t>
        </is>
      </c>
      <c r="D16" s="30" t="inlineStr">
        <is>
          <t>AMR2</t>
        </is>
      </c>
      <c r="E16" s="30" t="inlineStr">
        <is>
          <t>정면충돌</t>
        </is>
      </c>
      <c r="F16" s="30" t="inlineStr">
        <is>
          <t>(12, 19)&lt;-&gt;(13, 19)</t>
        </is>
      </c>
      <c r="G16" s="31" t="n">
        <v>49.5</v>
      </c>
      <c r="H16" s="30" t="inlineStr">
        <is>
          <t>O0011</t>
        </is>
      </c>
    </row>
    <row r="17">
      <c r="A17" s="32" t="n">
        <v>16</v>
      </c>
      <c r="B17" s="31" t="n">
        <v>602.2</v>
      </c>
      <c r="C17" s="30" t="inlineStr">
        <is>
          <t>AMR2</t>
        </is>
      </c>
      <c r="D17" s="30" t="inlineStr">
        <is>
          <t>AMR3</t>
        </is>
      </c>
      <c r="E17" s="30" t="inlineStr">
        <is>
          <t>경로충돌</t>
        </is>
      </c>
      <c r="F17" s="30" t="inlineStr">
        <is>
          <t>(13, 19)</t>
        </is>
      </c>
      <c r="G17" s="31" t="n">
        <v>28.4</v>
      </c>
      <c r="H17" s="30" t="inlineStr">
        <is>
          <t>O0012</t>
        </is>
      </c>
    </row>
    <row r="18">
      <c r="A18" s="32" t="n">
        <v>17</v>
      </c>
      <c r="B18" s="31" t="n">
        <v>602.4</v>
      </c>
      <c r="C18" s="30" t="inlineStr">
        <is>
          <t>AMR2</t>
        </is>
      </c>
      <c r="D18" s="30" t="inlineStr">
        <is>
          <t>AMR3</t>
        </is>
      </c>
      <c r="E18" s="30" t="inlineStr">
        <is>
          <t>정면충돌</t>
        </is>
      </c>
      <c r="F18" s="30" t="inlineStr">
        <is>
          <t>(13, 19)&lt;-&gt;(14, 19)</t>
        </is>
      </c>
      <c r="G18" s="31" t="n">
        <v>53.9</v>
      </c>
      <c r="H18" s="30" t="inlineStr">
        <is>
          <t>O0012</t>
        </is>
      </c>
    </row>
    <row r="19">
      <c r="A19" s="32" t="n">
        <v>18</v>
      </c>
      <c r="B19" s="31" t="n">
        <v>1080.7</v>
      </c>
      <c r="C19" s="30" t="inlineStr">
        <is>
          <t>AMR2</t>
        </is>
      </c>
      <c r="D19" s="30" t="inlineStr">
        <is>
          <t>AMR3</t>
        </is>
      </c>
      <c r="E19" s="30" t="inlineStr">
        <is>
          <t>경로충돌</t>
        </is>
      </c>
      <c r="F19" s="30" t="inlineStr">
        <is>
          <t>(17, 19)</t>
        </is>
      </c>
      <c r="G19" s="31" t="n">
        <v>48.7</v>
      </c>
      <c r="H19" s="30" t="inlineStr">
        <is>
          <t>O0022</t>
        </is>
      </c>
    </row>
    <row r="20">
      <c r="A20" s="32" t="n">
        <v>19</v>
      </c>
      <c r="B20" s="31" t="n">
        <v>1081.1</v>
      </c>
      <c r="C20" s="30" t="inlineStr">
        <is>
          <t>AMR2</t>
        </is>
      </c>
      <c r="D20" s="30" t="inlineStr">
        <is>
          <t>AMR3</t>
        </is>
      </c>
      <c r="E20" s="30" t="inlineStr">
        <is>
          <t>정면충돌</t>
        </is>
      </c>
      <c r="F20" s="30" t="inlineStr">
        <is>
          <t>(16, 19)&lt;-&gt;(17, 19)</t>
        </is>
      </c>
      <c r="G20" s="31" t="n">
        <v>23</v>
      </c>
      <c r="H20" s="30" t="inlineStr">
        <is>
          <t>O0022</t>
        </is>
      </c>
    </row>
    <row r="21">
      <c r="A21" s="32" t="n">
        <v>20</v>
      </c>
      <c r="B21" s="31" t="n">
        <v>1288.4</v>
      </c>
      <c r="C21" s="30" t="inlineStr">
        <is>
          <t>AMR1</t>
        </is>
      </c>
      <c r="D21" s="30" t="inlineStr">
        <is>
          <t>AMR2</t>
        </is>
      </c>
      <c r="E21" s="30" t="inlineStr">
        <is>
          <t>경로충돌</t>
        </is>
      </c>
      <c r="F21" s="30" t="inlineStr">
        <is>
          <t>(18, 17)</t>
        </is>
      </c>
      <c r="G21" s="31" t="n">
        <v>36.3</v>
      </c>
      <c r="H21" s="30" t="inlineStr">
        <is>
          <t>O0026</t>
        </is>
      </c>
    </row>
    <row r="22">
      <c r="A22" s="32" t="n">
        <v>21</v>
      </c>
      <c r="B22" s="31" t="n">
        <v>1288.6</v>
      </c>
      <c r="C22" s="30" t="inlineStr">
        <is>
          <t>AMR1</t>
        </is>
      </c>
      <c r="D22" s="30" t="inlineStr">
        <is>
          <t>AMR2</t>
        </is>
      </c>
      <c r="E22" s="30" t="inlineStr">
        <is>
          <t>정면충돌</t>
        </is>
      </c>
      <c r="F22" s="30" t="inlineStr">
        <is>
          <t>(18, 17)&lt;-&gt;(18, 18)</t>
        </is>
      </c>
      <c r="G22" s="31" t="n">
        <v>48</v>
      </c>
      <c r="H22" s="30" t="inlineStr">
        <is>
          <t>O0026</t>
        </is>
      </c>
    </row>
    <row r="23">
      <c r="A23" s="32" t="n">
        <v>22</v>
      </c>
      <c r="B23" s="31" t="n">
        <v>1299.3</v>
      </c>
      <c r="C23" s="30" t="inlineStr">
        <is>
          <t>AMR2</t>
        </is>
      </c>
      <c r="D23" s="30" t="inlineStr">
        <is>
          <t>AMR3</t>
        </is>
      </c>
      <c r="E23" s="30" t="inlineStr">
        <is>
          <t>경로충돌</t>
        </is>
      </c>
      <c r="F23" s="30" t="inlineStr">
        <is>
          <t>(13, 19)</t>
        </is>
      </c>
      <c r="G23" s="31" t="n">
        <v>56.9</v>
      </c>
      <c r="H23" s="30" t="inlineStr">
        <is>
          <t>O0027</t>
        </is>
      </c>
    </row>
    <row r="24">
      <c r="A24" s="32" t="n">
        <v>23</v>
      </c>
      <c r="B24" s="31" t="n">
        <v>1300.8</v>
      </c>
      <c r="C24" s="30" t="inlineStr">
        <is>
          <t>AMR2</t>
        </is>
      </c>
      <c r="D24" s="30" t="inlineStr">
        <is>
          <t>AMR3</t>
        </is>
      </c>
      <c r="E24" s="30" t="inlineStr">
        <is>
          <t>정면충돌</t>
        </is>
      </c>
      <c r="F24" s="30" t="inlineStr">
        <is>
          <t>(13, 19)&lt;-&gt;(14, 19)</t>
        </is>
      </c>
      <c r="G24" s="31" t="n">
        <v>26.9</v>
      </c>
      <c r="H24" s="30" t="inlineStr">
        <is>
          <t>O0027</t>
        </is>
      </c>
    </row>
    <row r="25">
      <c r="A25" s="32" t="n">
        <v>24</v>
      </c>
      <c r="B25" s="31" t="n">
        <v>1335.4</v>
      </c>
      <c r="C25" s="30" t="inlineStr">
        <is>
          <t>AMR2</t>
        </is>
      </c>
      <c r="D25" s="30" t="inlineStr">
        <is>
          <t>AMR3</t>
        </is>
      </c>
      <c r="E25" s="30" t="inlineStr">
        <is>
          <t>경로충돌</t>
        </is>
      </c>
      <c r="F25" s="30" t="inlineStr">
        <is>
          <t>(5, 11)</t>
        </is>
      </c>
      <c r="G25" s="31" t="n">
        <v>30.1</v>
      </c>
      <c r="H25" s="30" t="inlineStr">
        <is>
          <t>O0027 O0028</t>
        </is>
      </c>
    </row>
    <row r="26">
      <c r="A26" s="32" t="n">
        <v>25</v>
      </c>
      <c r="B26" s="31" t="n">
        <v>1392.5</v>
      </c>
      <c r="C26" s="30" t="inlineStr">
        <is>
          <t>AMR2</t>
        </is>
      </c>
      <c r="D26" s="30" t="inlineStr">
        <is>
          <t>AMR3</t>
        </is>
      </c>
      <c r="E26" s="30" t="inlineStr">
        <is>
          <t>경로충돌</t>
        </is>
      </c>
      <c r="F26" s="30" t="inlineStr">
        <is>
          <t>(18, 17)</t>
        </is>
      </c>
      <c r="G26" s="31" t="n">
        <v>51</v>
      </c>
      <c r="H26" s="30" t="inlineStr">
        <is>
          <t>O0029</t>
        </is>
      </c>
    </row>
    <row r="27">
      <c r="A27" s="32" t="n">
        <v>26</v>
      </c>
      <c r="B27" s="31" t="n">
        <v>1392.8</v>
      </c>
      <c r="C27" s="30" t="inlineStr">
        <is>
          <t>AMR2</t>
        </is>
      </c>
      <c r="D27" s="30" t="inlineStr">
        <is>
          <t>AMR3</t>
        </is>
      </c>
      <c r="E27" s="30" t="inlineStr">
        <is>
          <t>정면충돌</t>
        </is>
      </c>
      <c r="F27" s="30" t="inlineStr">
        <is>
          <t>(18, 16)&lt;-&gt;(18, 17)</t>
        </is>
      </c>
      <c r="G27" s="31" t="n">
        <v>58.5</v>
      </c>
      <c r="H27" s="30" t="inlineStr">
        <is>
          <t>O0029</t>
        </is>
      </c>
    </row>
    <row r="28">
      <c r="A28" s="32" t="n">
        <v>27</v>
      </c>
      <c r="B28" s="31" t="n">
        <v>1446.5</v>
      </c>
      <c r="C28" s="30" t="inlineStr">
        <is>
          <t>AMR1</t>
        </is>
      </c>
      <c r="D28" s="30" t="inlineStr">
        <is>
          <t>AMR3</t>
        </is>
      </c>
      <c r="E28" s="30" t="inlineStr">
        <is>
          <t>경로충돌</t>
        </is>
      </c>
      <c r="F28" s="30" t="inlineStr">
        <is>
          <t>(18, 11)</t>
        </is>
      </c>
      <c r="G28" s="31" t="n">
        <v>23.8</v>
      </c>
      <c r="H28" s="30" t="inlineStr">
        <is>
          <t>O0029</t>
        </is>
      </c>
    </row>
    <row r="29">
      <c r="A29" s="32" t="n">
        <v>28</v>
      </c>
      <c r="B29" s="31" t="n">
        <v>1501.5</v>
      </c>
      <c r="C29" s="30" t="inlineStr">
        <is>
          <t>AMR1</t>
        </is>
      </c>
      <c r="D29" s="30" t="inlineStr">
        <is>
          <t>AMR2</t>
        </is>
      </c>
      <c r="E29" s="30" t="inlineStr">
        <is>
          <t>경로충돌</t>
        </is>
      </c>
      <c r="F29" s="30" t="inlineStr">
        <is>
          <t>(7, 9)</t>
        </is>
      </c>
      <c r="G29" s="31" t="n">
        <v>23.6</v>
      </c>
      <c r="H29" s="30" t="inlineStr">
        <is>
          <t>O0030 O0031</t>
        </is>
      </c>
    </row>
    <row r="30">
      <c r="A30" s="32" t="n">
        <v>29</v>
      </c>
      <c r="B30" s="31" t="n">
        <v>1577.9</v>
      </c>
      <c r="C30" s="30" t="inlineStr">
        <is>
          <t>AMR1</t>
        </is>
      </c>
      <c r="D30" s="30" t="inlineStr">
        <is>
          <t>AMR3</t>
        </is>
      </c>
      <c r="E30" s="30" t="inlineStr">
        <is>
          <t>경로충돌</t>
        </is>
      </c>
      <c r="F30" s="30" t="inlineStr">
        <is>
          <t>(18, 10)</t>
        </is>
      </c>
      <c r="G30" s="31" t="n">
        <v>50</v>
      </c>
      <c r="H30" s="30" t="inlineStr">
        <is>
          <t>O0033</t>
        </is>
      </c>
    </row>
    <row r="31">
      <c r="A31" s="32" t="n">
        <v>30</v>
      </c>
      <c r="B31" s="31" t="n">
        <v>1578.6</v>
      </c>
      <c r="C31" s="30" t="inlineStr">
        <is>
          <t>AMR1</t>
        </is>
      </c>
      <c r="D31" s="30" t="inlineStr">
        <is>
          <t>AMR3</t>
        </is>
      </c>
      <c r="E31" s="30" t="inlineStr">
        <is>
          <t>정면충돌</t>
        </is>
      </c>
      <c r="F31" s="30" t="inlineStr">
        <is>
          <t>(18, 9)&lt;-&gt;(18, 10)</t>
        </is>
      </c>
      <c r="G31" s="31" t="n">
        <v>32.7</v>
      </c>
      <c r="H31" s="30" t="inlineStr">
        <is>
          <t>O0033</t>
        </is>
      </c>
    </row>
    <row r="32">
      <c r="A32" s="32" t="n">
        <v>31</v>
      </c>
      <c r="B32" s="31" t="n">
        <v>1593</v>
      </c>
      <c r="C32" s="30" t="inlineStr">
        <is>
          <t>AMR2</t>
        </is>
      </c>
      <c r="D32" s="30" t="inlineStr">
        <is>
          <t>AMR3</t>
        </is>
      </c>
      <c r="E32" s="30" t="inlineStr">
        <is>
          <t>경로충돌</t>
        </is>
      </c>
      <c r="F32" s="30" t="inlineStr">
        <is>
          <t>(16, 19)</t>
        </is>
      </c>
      <c r="G32" s="31" t="n">
        <v>35.5</v>
      </c>
      <c r="H32" s="30" t="inlineStr">
        <is>
          <t>O0032</t>
        </is>
      </c>
    </row>
    <row r="33">
      <c r="A33" s="32" t="n">
        <v>32</v>
      </c>
      <c r="B33" s="31" t="n">
        <v>1593.9</v>
      </c>
      <c r="C33" s="30" t="inlineStr">
        <is>
          <t>AMR2</t>
        </is>
      </c>
      <c r="D33" s="30" t="inlineStr">
        <is>
          <t>AMR3</t>
        </is>
      </c>
      <c r="E33" s="30" t="inlineStr">
        <is>
          <t>정면충돌</t>
        </is>
      </c>
      <c r="F33" s="30" t="inlineStr">
        <is>
          <t>(16, 19)&lt;-&gt;(17, 19)</t>
        </is>
      </c>
      <c r="G33" s="31" t="n">
        <v>55.1</v>
      </c>
      <c r="H33" s="30" t="inlineStr">
        <is>
          <t>O0032</t>
        </is>
      </c>
    </row>
    <row r="34">
      <c r="A34" s="32" t="n">
        <v>33</v>
      </c>
      <c r="B34" s="31" t="n">
        <v>1835.8</v>
      </c>
      <c r="C34" s="30" t="inlineStr">
        <is>
          <t>AMR2</t>
        </is>
      </c>
      <c r="D34" s="30" t="inlineStr">
        <is>
          <t>AMR3</t>
        </is>
      </c>
      <c r="E34" s="30" t="inlineStr">
        <is>
          <t>경로충돌</t>
        </is>
      </c>
      <c r="F34" s="30" t="inlineStr">
        <is>
          <t>(15, 19)</t>
        </is>
      </c>
      <c r="G34" s="31" t="n">
        <v>49.8</v>
      </c>
      <c r="H34" s="30" t="inlineStr"/>
    </row>
    <row r="35">
      <c r="A35" s="32" t="n">
        <v>34</v>
      </c>
      <c r="B35" s="31" t="n">
        <v>1958</v>
      </c>
      <c r="C35" s="30" t="inlineStr">
        <is>
          <t>AMR1</t>
        </is>
      </c>
      <c r="D35" s="30" t="inlineStr">
        <is>
          <t>AMR3</t>
        </is>
      </c>
      <c r="E35" s="30" t="inlineStr">
        <is>
          <t>경로충돌</t>
        </is>
      </c>
      <c r="F35" s="30" t="inlineStr">
        <is>
          <t>(15, 19)</t>
        </is>
      </c>
      <c r="G35" s="31" t="n">
        <v>46.4</v>
      </c>
      <c r="H35" s="30" t="inlineStr"/>
    </row>
    <row r="36">
      <c r="A36" s="32" t="n">
        <v>35</v>
      </c>
      <c r="B36" s="31" t="n">
        <v>1958.4</v>
      </c>
      <c r="C36" s="30" t="inlineStr">
        <is>
          <t>AMR1</t>
        </is>
      </c>
      <c r="D36" s="30" t="inlineStr">
        <is>
          <t>AMR3</t>
        </is>
      </c>
      <c r="E36" s="30" t="inlineStr">
        <is>
          <t>정면충돌</t>
        </is>
      </c>
      <c r="F36" s="30" t="inlineStr">
        <is>
          <t>(15, 19)&lt;-&gt;(16, 19)</t>
        </is>
      </c>
      <c r="G36" s="31" t="n">
        <v>54.7</v>
      </c>
      <c r="H36" s="30" t="inlineStr">
        <is>
          <t>O0040</t>
        </is>
      </c>
    </row>
    <row r="37">
      <c r="A37" s="32" t="n">
        <v>36</v>
      </c>
      <c r="B37" s="31" t="n">
        <v>2027.1</v>
      </c>
      <c r="C37" s="30" t="inlineStr">
        <is>
          <t>AMR1</t>
        </is>
      </c>
      <c r="D37" s="30" t="inlineStr">
        <is>
          <t>AMR3</t>
        </is>
      </c>
      <c r="E37" s="30" t="inlineStr">
        <is>
          <t>경로충돌</t>
        </is>
      </c>
      <c r="F37" s="30" t="inlineStr">
        <is>
          <t>(18, 11)</t>
        </is>
      </c>
      <c r="G37" s="31" t="n">
        <v>49.3</v>
      </c>
      <c r="H37" s="30" t="inlineStr">
        <is>
          <t>O0041</t>
        </is>
      </c>
    </row>
    <row r="38">
      <c r="A38" s="32" t="n">
        <v>37</v>
      </c>
      <c r="B38" s="31" t="n">
        <v>2027.5</v>
      </c>
      <c r="C38" s="30" t="inlineStr">
        <is>
          <t>AMR1</t>
        </is>
      </c>
      <c r="D38" s="30" t="inlineStr">
        <is>
          <t>AMR3</t>
        </is>
      </c>
      <c r="E38" s="30" t="inlineStr">
        <is>
          <t>정면충돌</t>
        </is>
      </c>
      <c r="F38" s="30" t="inlineStr">
        <is>
          <t>(18, 11)&lt;-&gt;(18, 12)</t>
        </is>
      </c>
      <c r="G38" s="31" t="n">
        <v>52.4</v>
      </c>
      <c r="H38" s="30" t="inlineStr">
        <is>
          <t>O0041</t>
        </is>
      </c>
    </row>
    <row r="39">
      <c r="A39" s="32" t="n">
        <v>38</v>
      </c>
      <c r="B39" s="31" t="n">
        <v>2103.7</v>
      </c>
      <c r="C39" s="30" t="inlineStr">
        <is>
          <t>AMR1</t>
        </is>
      </c>
      <c r="D39" s="30" t="inlineStr">
        <is>
          <t>AMR3</t>
        </is>
      </c>
      <c r="E39" s="30" t="inlineStr">
        <is>
          <t>경로충돌</t>
        </is>
      </c>
      <c r="F39" s="30" t="inlineStr">
        <is>
          <t>(17, 19)</t>
        </is>
      </c>
      <c r="G39" s="31" t="n">
        <v>45.7</v>
      </c>
      <c r="H39" s="30" t="inlineStr">
        <is>
          <t>O0043</t>
        </is>
      </c>
    </row>
    <row r="40">
      <c r="A40" s="32" t="n">
        <v>39</v>
      </c>
      <c r="B40" s="31" t="n">
        <v>2104.1</v>
      </c>
      <c r="C40" s="30" t="inlineStr">
        <is>
          <t>AMR1</t>
        </is>
      </c>
      <c r="D40" s="30" t="inlineStr">
        <is>
          <t>AMR3</t>
        </is>
      </c>
      <c r="E40" s="30" t="inlineStr">
        <is>
          <t>정면충돌</t>
        </is>
      </c>
      <c r="F40" s="30" t="inlineStr">
        <is>
          <t>(16, 19)&lt;-&gt;(17, 19)</t>
        </is>
      </c>
      <c r="G40" s="31" t="n">
        <v>43.7</v>
      </c>
      <c r="H40" s="30" t="inlineStr">
        <is>
          <t>O0043</t>
        </is>
      </c>
    </row>
    <row r="41">
      <c r="A41" s="32" t="n">
        <v>40</v>
      </c>
      <c r="B41" s="31" t="n">
        <v>2139.2</v>
      </c>
      <c r="C41" s="30" t="inlineStr">
        <is>
          <t>AMR1</t>
        </is>
      </c>
      <c r="D41" s="30" t="inlineStr">
        <is>
          <t>AMR3</t>
        </is>
      </c>
      <c r="E41" s="30" t="inlineStr">
        <is>
          <t>경로충돌</t>
        </is>
      </c>
      <c r="F41" s="30" t="inlineStr">
        <is>
          <t>(25, 11)</t>
        </is>
      </c>
      <c r="G41" s="31" t="n">
        <v>22.4</v>
      </c>
      <c r="H41" s="30" t="inlineStr">
        <is>
          <t>O0043 O0044</t>
        </is>
      </c>
    </row>
    <row r="42">
      <c r="A42" s="32" t="n">
        <v>41</v>
      </c>
      <c r="B42" s="31" t="n">
        <v>2139.5</v>
      </c>
      <c r="C42" s="30" t="inlineStr">
        <is>
          <t>AMR1</t>
        </is>
      </c>
      <c r="D42" s="30" t="inlineStr">
        <is>
          <t>AMR3</t>
        </is>
      </c>
      <c r="E42" s="30" t="inlineStr">
        <is>
          <t>정면충돌</t>
        </is>
      </c>
      <c r="F42" s="30" t="inlineStr">
        <is>
          <t>(24, 11)&lt;-&gt;(25, 11)</t>
        </is>
      </c>
      <c r="G42" s="31" t="n">
        <v>56.4</v>
      </c>
      <c r="H42" s="30" t="inlineStr">
        <is>
          <t>O0043 O0044</t>
        </is>
      </c>
    </row>
    <row r="43">
      <c r="A43" s="32" t="n">
        <v>42</v>
      </c>
      <c r="B43" s="31" t="n">
        <v>2317.9</v>
      </c>
      <c r="C43" s="30" t="inlineStr">
        <is>
          <t>AMR1</t>
        </is>
      </c>
      <c r="D43" s="30" t="inlineStr">
        <is>
          <t>AMR3</t>
        </is>
      </c>
      <c r="E43" s="30" t="inlineStr">
        <is>
          <t>경로충돌</t>
        </is>
      </c>
      <c r="F43" s="30" t="inlineStr">
        <is>
          <t>(18, 11)</t>
        </is>
      </c>
      <c r="G43" s="31" t="n">
        <v>56.5</v>
      </c>
      <c r="H43" s="30" t="inlineStr"/>
    </row>
    <row r="44">
      <c r="A44" s="32" t="n">
        <v>43</v>
      </c>
      <c r="B44" s="31" t="n">
        <v>2329.4</v>
      </c>
      <c r="C44" s="30" t="inlineStr">
        <is>
          <t>AMR2</t>
        </is>
      </c>
      <c r="D44" s="30" t="inlineStr">
        <is>
          <t>AMR3</t>
        </is>
      </c>
      <c r="E44" s="30" t="inlineStr">
        <is>
          <t>정면충돌</t>
        </is>
      </c>
      <c r="F44" s="30" t="inlineStr">
        <is>
          <t>(16, 19)&lt;-&gt;(17, 19)</t>
        </is>
      </c>
      <c r="G44" s="31" t="n">
        <v>34.1</v>
      </c>
      <c r="H44" s="30" t="inlineStr">
        <is>
          <t>O0047</t>
        </is>
      </c>
    </row>
    <row r="45">
      <c r="A45" s="32" t="n">
        <v>44</v>
      </c>
      <c r="B45" s="31" t="n">
        <v>2337.9</v>
      </c>
      <c r="C45" s="30" t="inlineStr">
        <is>
          <t>AMR1</t>
        </is>
      </c>
      <c r="D45" s="30" t="inlineStr">
        <is>
          <t>AMR3</t>
        </is>
      </c>
      <c r="E45" s="30" t="inlineStr">
        <is>
          <t>경로충돌</t>
        </is>
      </c>
      <c r="F45" s="30" t="inlineStr">
        <is>
          <t>(16, 19)</t>
        </is>
      </c>
      <c r="G45" s="31" t="n">
        <v>45.1</v>
      </c>
      <c r="H45" s="30" t="inlineStr">
        <is>
          <t>O0048</t>
        </is>
      </c>
    </row>
    <row r="46">
      <c r="A46" s="32" t="n">
        <v>45</v>
      </c>
      <c r="B46" s="31" t="n">
        <v>2338.1</v>
      </c>
      <c r="C46" s="30" t="inlineStr">
        <is>
          <t>AMR1</t>
        </is>
      </c>
      <c r="D46" s="30" t="inlineStr">
        <is>
          <t>AMR3</t>
        </is>
      </c>
      <c r="E46" s="30" t="inlineStr">
        <is>
          <t>정면충돌</t>
        </is>
      </c>
      <c r="F46" s="30" t="inlineStr">
        <is>
          <t>(16, 19)&lt;-&gt;(17, 19)</t>
        </is>
      </c>
      <c r="G46" s="31" t="n">
        <v>20.7</v>
      </c>
      <c r="H46" s="30" t="inlineStr">
        <is>
          <t>O0048</t>
        </is>
      </c>
    </row>
    <row r="47">
      <c r="A47" s="32" t="n">
        <v>46</v>
      </c>
      <c r="B47" s="31" t="n">
        <v>2455.9</v>
      </c>
      <c r="C47" s="30" t="inlineStr">
        <is>
          <t>AMR1</t>
        </is>
      </c>
      <c r="D47" s="30" t="inlineStr">
        <is>
          <t>AMR3</t>
        </is>
      </c>
      <c r="E47" s="30" t="inlineStr">
        <is>
          <t>경로충돌</t>
        </is>
      </c>
      <c r="F47" s="30" t="inlineStr">
        <is>
          <t>(18, 9)</t>
        </is>
      </c>
      <c r="G47" s="31" t="n">
        <v>40</v>
      </c>
      <c r="H47" s="30" t="inlineStr"/>
    </row>
    <row r="48">
      <c r="A48" s="32" t="n">
        <v>47</v>
      </c>
      <c r="B48" s="31" t="n">
        <v>2459.5</v>
      </c>
      <c r="C48" s="30" t="inlineStr">
        <is>
          <t>AMR2</t>
        </is>
      </c>
      <c r="D48" s="30" t="inlineStr">
        <is>
          <t>AMR3</t>
        </is>
      </c>
      <c r="E48" s="30" t="inlineStr">
        <is>
          <t>경로충돌</t>
        </is>
      </c>
      <c r="F48" s="30" t="inlineStr">
        <is>
          <t>(17, 10)</t>
        </is>
      </c>
      <c r="G48" s="31" t="n">
        <v>44.9</v>
      </c>
      <c r="H48" s="30" t="inlineStr">
        <is>
          <t>O0051</t>
        </is>
      </c>
    </row>
    <row r="49">
      <c r="A49" s="32" t="n">
        <v>48</v>
      </c>
      <c r="B49" s="31" t="n">
        <v>2460.3</v>
      </c>
      <c r="C49" s="30" t="inlineStr">
        <is>
          <t>AMR2</t>
        </is>
      </c>
      <c r="D49" s="30" t="inlineStr">
        <is>
          <t>AMR3</t>
        </is>
      </c>
      <c r="E49" s="30" t="inlineStr">
        <is>
          <t>정면충돌</t>
        </is>
      </c>
      <c r="F49" s="30" t="inlineStr">
        <is>
          <t>(17, 10)&lt;-&gt;(17, 11)</t>
        </is>
      </c>
      <c r="G49" s="31" t="n">
        <v>31.8</v>
      </c>
      <c r="H49" s="30" t="inlineStr">
        <is>
          <t>O0051</t>
        </is>
      </c>
    </row>
    <row r="50">
      <c r="A50" s="32" t="n">
        <v>49</v>
      </c>
      <c r="B50" s="31" t="n">
        <v>2473.7</v>
      </c>
      <c r="C50" s="30" t="inlineStr">
        <is>
          <t>AMR1</t>
        </is>
      </c>
      <c r="D50" s="30" t="inlineStr">
        <is>
          <t>AMR3</t>
        </is>
      </c>
      <c r="E50" s="30" t="inlineStr">
        <is>
          <t>경로충돌</t>
        </is>
      </c>
      <c r="F50" s="30" t="inlineStr">
        <is>
          <t>(16, 19)</t>
        </is>
      </c>
      <c r="G50" s="31" t="n">
        <v>36.6</v>
      </c>
      <c r="H50" s="30" t="inlineStr">
        <is>
          <t>O0050</t>
        </is>
      </c>
    </row>
    <row r="51">
      <c r="A51" s="32" t="n">
        <v>50</v>
      </c>
      <c r="B51" s="31" t="n">
        <v>2474.6</v>
      </c>
      <c r="C51" s="30" t="inlineStr">
        <is>
          <t>AMR1</t>
        </is>
      </c>
      <c r="D51" s="30" t="inlineStr">
        <is>
          <t>AMR3</t>
        </is>
      </c>
      <c r="E51" s="30" t="inlineStr">
        <is>
          <t>정면충돌</t>
        </is>
      </c>
      <c r="F51" s="30" t="inlineStr">
        <is>
          <t>(16, 19)&lt;-&gt;(17, 19)</t>
        </is>
      </c>
      <c r="G51" s="31" t="n">
        <v>53.4</v>
      </c>
      <c r="H51" s="30" t="inlineStr">
        <is>
          <t>O0050</t>
        </is>
      </c>
    </row>
    <row r="52">
      <c r="A52" s="32" t="n">
        <v>51</v>
      </c>
      <c r="B52" s="31" t="n">
        <v>2486.7</v>
      </c>
      <c r="C52" s="30" t="inlineStr">
        <is>
          <t>AMR2</t>
        </is>
      </c>
      <c r="D52" s="30" t="inlineStr">
        <is>
          <t>AMR3</t>
        </is>
      </c>
      <c r="E52" s="30" t="inlineStr">
        <is>
          <t>경로충돌</t>
        </is>
      </c>
      <c r="F52" s="30" t="inlineStr">
        <is>
          <t>(17, 17)</t>
        </is>
      </c>
      <c r="G52" s="31" t="n">
        <v>25.7</v>
      </c>
      <c r="H52" s="30" t="inlineStr">
        <is>
          <t>O0051</t>
        </is>
      </c>
    </row>
    <row r="53">
      <c r="A53" s="32" t="n">
        <v>52</v>
      </c>
      <c r="B53" s="31" t="n">
        <v>2487</v>
      </c>
      <c r="C53" s="30" t="inlineStr">
        <is>
          <t>AMR2</t>
        </is>
      </c>
      <c r="D53" s="30" t="inlineStr">
        <is>
          <t>AMR3</t>
        </is>
      </c>
      <c r="E53" s="30" t="inlineStr">
        <is>
          <t>정면충돌</t>
        </is>
      </c>
      <c r="F53" s="30" t="inlineStr">
        <is>
          <t>(17, 17)&lt;-&gt;(17, 18)</t>
        </is>
      </c>
      <c r="G53" s="31" t="n">
        <v>38.2</v>
      </c>
      <c r="H53" s="30" t="inlineStr">
        <is>
          <t>O0051</t>
        </is>
      </c>
    </row>
    <row r="54">
      <c r="A54" s="32" t="n">
        <v>53</v>
      </c>
      <c r="B54" s="31" t="n">
        <v>2561.4</v>
      </c>
      <c r="C54" s="30" t="inlineStr">
        <is>
          <t>AMR1</t>
        </is>
      </c>
      <c r="D54" s="30" t="inlineStr">
        <is>
          <t>AMR2</t>
        </is>
      </c>
      <c r="E54" s="30" t="inlineStr">
        <is>
          <t>경로충돌</t>
        </is>
      </c>
      <c r="F54" s="30" t="inlineStr">
        <is>
          <t>(13, 19)</t>
        </is>
      </c>
      <c r="G54" s="31" t="n">
        <v>23.5</v>
      </c>
      <c r="H54" s="30" t="inlineStr">
        <is>
          <t>O0052</t>
        </is>
      </c>
    </row>
    <row r="55">
      <c r="A55" s="32" t="n">
        <v>54</v>
      </c>
      <c r="B55" s="31" t="n">
        <v>2562</v>
      </c>
      <c r="C55" s="30" t="inlineStr">
        <is>
          <t>AMR1</t>
        </is>
      </c>
      <c r="D55" s="30" t="inlineStr">
        <is>
          <t>AMR2</t>
        </is>
      </c>
      <c r="E55" s="30" t="inlineStr">
        <is>
          <t>정면충돌</t>
        </is>
      </c>
      <c r="F55" s="30" t="inlineStr">
        <is>
          <t>(12, 19)&lt;-&gt;(13, 19)</t>
        </is>
      </c>
      <c r="G55" s="31" t="n">
        <v>35.4</v>
      </c>
      <c r="H55" s="30" t="inlineStr">
        <is>
          <t>O0052</t>
        </is>
      </c>
    </row>
    <row r="56">
      <c r="A56" s="32" t="n">
        <v>55</v>
      </c>
      <c r="B56" s="31" t="n">
        <v>2643.5</v>
      </c>
      <c r="C56" s="30" t="inlineStr">
        <is>
          <t>AMR1</t>
        </is>
      </c>
      <c r="D56" s="30" t="inlineStr">
        <is>
          <t>AMR2</t>
        </is>
      </c>
      <c r="E56" s="30" t="inlineStr">
        <is>
          <t>경로충돌</t>
        </is>
      </c>
      <c r="F56" s="30" t="inlineStr">
        <is>
          <t>(18, 11)</t>
        </is>
      </c>
      <c r="G56" s="31" t="n">
        <v>55.3</v>
      </c>
      <c r="H56" s="30" t="inlineStr">
        <is>
          <t>O0053</t>
        </is>
      </c>
    </row>
    <row r="57">
      <c r="A57" s="32" t="n">
        <v>56</v>
      </c>
      <c r="B57" s="31" t="n">
        <v>2713.6</v>
      </c>
      <c r="C57" s="30" t="inlineStr">
        <is>
          <t>AMR1</t>
        </is>
      </c>
      <c r="D57" s="30" t="inlineStr">
        <is>
          <t>AMR3</t>
        </is>
      </c>
      <c r="E57" s="30" t="inlineStr">
        <is>
          <t>경로충돌</t>
        </is>
      </c>
      <c r="F57" s="30" t="inlineStr">
        <is>
          <t>(15, 19)</t>
        </is>
      </c>
      <c r="G57" s="31" t="n">
        <v>44.5</v>
      </c>
      <c r="H57" s="30" t="inlineStr"/>
    </row>
    <row r="58">
      <c r="A58" s="32" t="n">
        <v>57</v>
      </c>
      <c r="B58" s="31" t="n">
        <v>2714.2</v>
      </c>
      <c r="C58" s="30" t="inlineStr">
        <is>
          <t>AMR1</t>
        </is>
      </c>
      <c r="D58" s="30" t="inlineStr">
        <is>
          <t>AMR3</t>
        </is>
      </c>
      <c r="E58" s="30" t="inlineStr">
        <is>
          <t>정면충돌</t>
        </is>
      </c>
      <c r="F58" s="30" t="inlineStr">
        <is>
          <t>(14, 19)&lt;-&gt;(15, 19)</t>
        </is>
      </c>
      <c r="G58" s="31" t="n">
        <v>21.2</v>
      </c>
      <c r="H58" s="30" t="inlineStr">
        <is>
          <t>O0055</t>
        </is>
      </c>
    </row>
    <row r="59">
      <c r="A59" s="32" t="n">
        <v>58</v>
      </c>
      <c r="B59" s="31" t="n">
        <v>2787.9</v>
      </c>
      <c r="C59" s="30" t="inlineStr">
        <is>
          <t>AMR1</t>
        </is>
      </c>
      <c r="D59" s="30" t="inlineStr">
        <is>
          <t>AMR3</t>
        </is>
      </c>
      <c r="E59" s="30" t="inlineStr">
        <is>
          <t>경로충돌</t>
        </is>
      </c>
      <c r="F59" s="30" t="inlineStr">
        <is>
          <t>(18, 10)</t>
        </is>
      </c>
      <c r="G59" s="31" t="n">
        <v>54.3</v>
      </c>
      <c r="H59" s="30" t="inlineStr">
        <is>
          <t>O0057</t>
        </is>
      </c>
    </row>
    <row r="60">
      <c r="A60" s="32" t="n">
        <v>59</v>
      </c>
      <c r="B60" s="31" t="n">
        <v>2788.1</v>
      </c>
      <c r="C60" s="30" t="inlineStr">
        <is>
          <t>AMR1</t>
        </is>
      </c>
      <c r="D60" s="30" t="inlineStr">
        <is>
          <t>AMR3</t>
        </is>
      </c>
      <c r="E60" s="30" t="inlineStr">
        <is>
          <t>정면충돌</t>
        </is>
      </c>
      <c r="F60" s="30" t="inlineStr">
        <is>
          <t>(18, 10)&lt;-&gt;(18, 11)</t>
        </is>
      </c>
      <c r="G60" s="31" t="n">
        <v>46.3</v>
      </c>
      <c r="H60" s="30" t="inlineStr">
        <is>
          <t>O0057</t>
        </is>
      </c>
    </row>
    <row r="61">
      <c r="A61" s="32" t="n">
        <v>60</v>
      </c>
      <c r="B61" s="31" t="n">
        <v>2872.2</v>
      </c>
      <c r="C61" s="30" t="inlineStr">
        <is>
          <t>AMR2</t>
        </is>
      </c>
      <c r="D61" s="30" t="inlineStr">
        <is>
          <t>AMR3</t>
        </is>
      </c>
      <c r="E61" s="30" t="inlineStr">
        <is>
          <t>경로충돌</t>
        </is>
      </c>
      <c r="F61" s="30" t="inlineStr">
        <is>
          <t>(16, 19)</t>
        </is>
      </c>
      <c r="G61" s="31" t="n">
        <v>40.8</v>
      </c>
      <c r="H61" s="30" t="inlineStr">
        <is>
          <t>O0059</t>
        </is>
      </c>
    </row>
    <row r="62">
      <c r="A62" s="32" t="n">
        <v>61</v>
      </c>
      <c r="B62" s="31" t="n">
        <v>2872.9</v>
      </c>
      <c r="C62" s="30" t="inlineStr">
        <is>
          <t>AMR2</t>
        </is>
      </c>
      <c r="D62" s="30" t="inlineStr">
        <is>
          <t>AMR3</t>
        </is>
      </c>
      <c r="E62" s="30" t="inlineStr">
        <is>
          <t>정면충돌</t>
        </is>
      </c>
      <c r="F62" s="30" t="inlineStr">
        <is>
          <t>(16, 19)&lt;-&gt;(17, 19)</t>
        </is>
      </c>
      <c r="G62" s="31" t="n">
        <v>31.5</v>
      </c>
      <c r="H62" s="30" t="inlineStr">
        <is>
          <t>O0059</t>
        </is>
      </c>
    </row>
    <row r="63">
      <c r="A63" s="32" t="n">
        <v>62</v>
      </c>
      <c r="B63" s="31" t="n">
        <v>3019.9</v>
      </c>
      <c r="C63" s="30" t="inlineStr">
        <is>
          <t>AMR1</t>
        </is>
      </c>
      <c r="D63" s="30" t="inlineStr">
        <is>
          <t>AMR2</t>
        </is>
      </c>
      <c r="E63" s="30" t="inlineStr">
        <is>
          <t>경로충돌</t>
        </is>
      </c>
      <c r="F63" s="30" t="inlineStr">
        <is>
          <t>(15, 19)</t>
        </is>
      </c>
      <c r="G63" s="31" t="n">
        <v>32</v>
      </c>
      <c r="H63" s="30" t="inlineStr"/>
    </row>
    <row r="64">
      <c r="A64" s="32" t="n">
        <v>63</v>
      </c>
      <c r="B64" s="31" t="n">
        <v>3160.3</v>
      </c>
      <c r="C64" s="30" t="inlineStr">
        <is>
          <t>AMR2</t>
        </is>
      </c>
      <c r="D64" s="30" t="inlineStr">
        <is>
          <t>AMR3</t>
        </is>
      </c>
      <c r="E64" s="30" t="inlineStr">
        <is>
          <t>정면충돌</t>
        </is>
      </c>
      <c r="F64" s="30" t="inlineStr">
        <is>
          <t>(17, 19)&lt;-&gt;(18, 19)</t>
        </is>
      </c>
      <c r="G64" s="31" t="n">
        <v>27.3</v>
      </c>
      <c r="H64" s="30" t="inlineStr">
        <is>
          <t>O0064</t>
        </is>
      </c>
    </row>
    <row r="65">
      <c r="A65" s="32" t="n">
        <v>64</v>
      </c>
      <c r="B65" s="31" t="n">
        <v>3272.9</v>
      </c>
      <c r="C65" s="30" t="inlineStr">
        <is>
          <t>AMR1</t>
        </is>
      </c>
      <c r="D65" s="30" t="inlineStr">
        <is>
          <t>AMR2</t>
        </is>
      </c>
      <c r="E65" s="30" t="inlineStr">
        <is>
          <t>경로충돌</t>
        </is>
      </c>
      <c r="F65" s="30" t="inlineStr">
        <is>
          <t>(5, 11)</t>
        </is>
      </c>
      <c r="G65" s="31" t="n">
        <v>44.9</v>
      </c>
      <c r="H65" s="30" t="inlineStr">
        <is>
          <t>O0066 O0067</t>
        </is>
      </c>
    </row>
    <row r="66">
      <c r="A66" s="32" t="n">
        <v>65</v>
      </c>
      <c r="B66" s="31" t="n">
        <v>3273.6</v>
      </c>
      <c r="C66" s="30" t="inlineStr">
        <is>
          <t>AMR1</t>
        </is>
      </c>
      <c r="D66" s="30" t="inlineStr">
        <is>
          <t>AMR2</t>
        </is>
      </c>
      <c r="E66" s="30" t="inlineStr">
        <is>
          <t>정면충돌</t>
        </is>
      </c>
      <c r="F66" s="30" t="inlineStr">
        <is>
          <t>(4, 11)&lt;-&gt;(5, 11)</t>
        </is>
      </c>
      <c r="G66" s="31" t="n">
        <v>22</v>
      </c>
      <c r="H66" s="30" t="inlineStr">
        <is>
          <t>O0066 O0067</t>
        </is>
      </c>
    </row>
    <row r="67">
      <c r="A67" s="32" t="n">
        <v>66</v>
      </c>
      <c r="B67" s="31" t="n">
        <v>3310.8</v>
      </c>
      <c r="C67" s="30" t="inlineStr">
        <is>
          <t>AMR2</t>
        </is>
      </c>
      <c r="D67" s="30" t="inlineStr">
        <is>
          <t>AMR3</t>
        </is>
      </c>
      <c r="E67" s="30" t="inlineStr">
        <is>
          <t>정면충돌</t>
        </is>
      </c>
      <c r="F67" s="30" t="inlineStr">
        <is>
          <t>(13, 19)&lt;-&gt;(14, 19)</t>
        </is>
      </c>
      <c r="G67" s="31" t="n">
        <v>57.8</v>
      </c>
      <c r="H67" s="30" t="inlineStr">
        <is>
          <t>O0067</t>
        </is>
      </c>
    </row>
    <row r="68">
      <c r="A68" s="32" t="n">
        <v>67</v>
      </c>
      <c r="B68" s="31" t="n">
        <v>3326.4</v>
      </c>
      <c r="C68" s="30" t="inlineStr">
        <is>
          <t>AMR1</t>
        </is>
      </c>
      <c r="D68" s="30" t="inlineStr">
        <is>
          <t>AMR2</t>
        </is>
      </c>
      <c r="E68" s="30" t="inlineStr">
        <is>
          <t>경로충돌</t>
        </is>
      </c>
      <c r="F68" s="30" t="inlineStr">
        <is>
          <t>(18, 15)</t>
        </is>
      </c>
      <c r="G68" s="31" t="n">
        <v>24.1</v>
      </c>
      <c r="H68" s="30" t="inlineStr">
        <is>
          <t>O0068</t>
        </is>
      </c>
    </row>
    <row r="69">
      <c r="A69" s="32" t="n">
        <v>68</v>
      </c>
      <c r="B69" s="31" t="n">
        <v>3326.8</v>
      </c>
      <c r="C69" s="30" t="inlineStr">
        <is>
          <t>AMR1</t>
        </is>
      </c>
      <c r="D69" s="30" t="inlineStr">
        <is>
          <t>AMR2</t>
        </is>
      </c>
      <c r="E69" s="30" t="inlineStr">
        <is>
          <t>정면충돌</t>
        </is>
      </c>
      <c r="F69" s="30" t="inlineStr">
        <is>
          <t>(18, 15)&lt;-&gt;(18, 16)</t>
        </is>
      </c>
      <c r="G69" s="31" t="n">
        <v>45</v>
      </c>
      <c r="H69" s="30" t="inlineStr">
        <is>
          <t>O0068</t>
        </is>
      </c>
    </row>
    <row r="70">
      <c r="A70" s="32" t="n">
        <v>69</v>
      </c>
      <c r="B70" s="31" t="n">
        <v>3392</v>
      </c>
      <c r="C70" s="30" t="inlineStr">
        <is>
          <t>AMR1</t>
        </is>
      </c>
      <c r="D70" s="30" t="inlineStr">
        <is>
          <t>AMR2</t>
        </is>
      </c>
      <c r="E70" s="30" t="inlineStr">
        <is>
          <t>경로충돌</t>
        </is>
      </c>
      <c r="F70" s="30" t="inlineStr">
        <is>
          <t>(18, 13)</t>
        </is>
      </c>
      <c r="G70" s="31" t="n">
        <v>43</v>
      </c>
      <c r="H70" s="30" t="inlineStr">
        <is>
          <t>O0069</t>
        </is>
      </c>
    </row>
    <row r="71">
      <c r="A71" s="32" t="n">
        <v>70</v>
      </c>
      <c r="B71" s="31" t="n">
        <v>3392.6</v>
      </c>
      <c r="C71" s="30" t="inlineStr">
        <is>
          <t>AMR1</t>
        </is>
      </c>
      <c r="D71" s="30" t="inlineStr">
        <is>
          <t>AMR2</t>
        </is>
      </c>
      <c r="E71" s="30" t="inlineStr">
        <is>
          <t>정면충돌</t>
        </is>
      </c>
      <c r="F71" s="30" t="inlineStr">
        <is>
          <t>(18, 12)&lt;-&gt;(18, 13)</t>
        </is>
      </c>
      <c r="G71" s="31" t="n">
        <v>34.5</v>
      </c>
      <c r="H71" s="30" t="inlineStr">
        <is>
          <t>O0069</t>
        </is>
      </c>
    </row>
    <row r="72">
      <c r="A72" s="32" t="n">
        <v>71</v>
      </c>
      <c r="B72" s="31" t="n">
        <v>3465.4</v>
      </c>
      <c r="C72" s="30" t="inlineStr">
        <is>
          <t>AMR1</t>
        </is>
      </c>
      <c r="D72" s="30" t="inlineStr">
        <is>
          <t>AMR2</t>
        </is>
      </c>
      <c r="E72" s="30" t="inlineStr">
        <is>
          <t>경로충돌</t>
        </is>
      </c>
      <c r="F72" s="30" t="inlineStr">
        <is>
          <t>(17, 19)</t>
        </is>
      </c>
      <c r="G72" s="31" t="n">
        <v>31.1</v>
      </c>
      <c r="H72" s="30" t="inlineStr">
        <is>
          <t>O0070</t>
        </is>
      </c>
    </row>
    <row r="73">
      <c r="A73" s="32" t="n">
        <v>72</v>
      </c>
      <c r="B73" s="31" t="n">
        <v>3466</v>
      </c>
      <c r="C73" s="30" t="inlineStr">
        <is>
          <t>AMR1</t>
        </is>
      </c>
      <c r="D73" s="30" t="inlineStr">
        <is>
          <t>AMR2</t>
        </is>
      </c>
      <c r="E73" s="30" t="inlineStr">
        <is>
          <t>정면충돌</t>
        </is>
      </c>
      <c r="F73" s="30" t="inlineStr">
        <is>
          <t>(16, 19)&lt;-&gt;(17, 19)</t>
        </is>
      </c>
      <c r="G73" s="31" t="n">
        <v>37.6</v>
      </c>
      <c r="H73" s="30" t="inlineStr">
        <is>
          <t>O0070</t>
        </is>
      </c>
    </row>
    <row r="74">
      <c r="A74" s="32" t="n">
        <v>73</v>
      </c>
      <c r="B74" s="31" t="n">
        <v>3616.8</v>
      </c>
      <c r="C74" s="30" t="inlineStr">
        <is>
          <t>AMR1</t>
        </is>
      </c>
      <c r="D74" s="30" t="inlineStr">
        <is>
          <t>AMR2</t>
        </is>
      </c>
      <c r="E74" s="30" t="inlineStr">
        <is>
          <t>경로충돌</t>
        </is>
      </c>
      <c r="F74" s="30" t="inlineStr">
        <is>
          <t>(11, 11)</t>
        </is>
      </c>
      <c r="G74" s="31" t="n">
        <v>33.2</v>
      </c>
      <c r="H74" s="30" t="inlineStr">
        <is>
          <t>O0073</t>
        </is>
      </c>
    </row>
    <row r="75">
      <c r="A75" s="32" t="n">
        <v>74</v>
      </c>
      <c r="B75" s="31" t="n">
        <v>3829.5</v>
      </c>
      <c r="C75" s="30" t="inlineStr">
        <is>
          <t>AMR1</t>
        </is>
      </c>
      <c r="D75" s="30" t="inlineStr">
        <is>
          <t>AMR2</t>
        </is>
      </c>
      <c r="E75" s="30" t="inlineStr">
        <is>
          <t>경로충돌</t>
        </is>
      </c>
      <c r="F75" s="30" t="inlineStr">
        <is>
          <t>(17, 19)</t>
        </is>
      </c>
      <c r="G75" s="31" t="n">
        <v>58.9</v>
      </c>
      <c r="H75" s="30" t="inlineStr">
        <is>
          <t>O0078</t>
        </is>
      </c>
    </row>
    <row r="76">
      <c r="A76" s="32" t="n">
        <v>75</v>
      </c>
      <c r="B76" s="31" t="n">
        <v>3829.8</v>
      </c>
      <c r="C76" s="30" t="inlineStr">
        <is>
          <t>AMR1</t>
        </is>
      </c>
      <c r="D76" s="30" t="inlineStr">
        <is>
          <t>AMR2</t>
        </is>
      </c>
      <c r="E76" s="30" t="inlineStr">
        <is>
          <t>정면충돌</t>
        </is>
      </c>
      <c r="F76" s="30" t="inlineStr">
        <is>
          <t>(16, 19)&lt;-&gt;(17, 19)</t>
        </is>
      </c>
      <c r="G76" s="31" t="n">
        <v>45.8</v>
      </c>
      <c r="H76" s="30" t="inlineStr">
        <is>
          <t>O0078</t>
        </is>
      </c>
    </row>
    <row r="77">
      <c r="A77" s="32" t="n">
        <v>76</v>
      </c>
      <c r="B77" s="31" t="n">
        <v>3843.3</v>
      </c>
      <c r="C77" s="30" t="inlineStr">
        <is>
          <t>AMR1</t>
        </is>
      </c>
      <c r="D77" s="30" t="inlineStr">
        <is>
          <t>AMR3</t>
        </is>
      </c>
      <c r="E77" s="30" t="inlineStr">
        <is>
          <t>경로충돌</t>
        </is>
      </c>
      <c r="F77" s="30" t="inlineStr">
        <is>
          <t>(18, 11)</t>
        </is>
      </c>
      <c r="G77" s="31" t="n">
        <v>40.7</v>
      </c>
      <c r="H77" s="30" t="inlineStr">
        <is>
          <t>O0078</t>
        </is>
      </c>
    </row>
    <row r="78">
      <c r="A78" s="32" t="n">
        <v>77</v>
      </c>
      <c r="B78" s="31" t="n">
        <v>3899.2</v>
      </c>
      <c r="C78" s="30" t="inlineStr">
        <is>
          <t>AMR1</t>
        </is>
      </c>
      <c r="D78" s="30" t="inlineStr">
        <is>
          <t>AMR2</t>
        </is>
      </c>
      <c r="E78" s="30" t="inlineStr">
        <is>
          <t>경로충돌</t>
        </is>
      </c>
      <c r="F78" s="30" t="inlineStr">
        <is>
          <t>(18, 17)</t>
        </is>
      </c>
      <c r="G78" s="31" t="n">
        <v>46.5</v>
      </c>
      <c r="H78" s="30" t="inlineStr">
        <is>
          <t>O0079</t>
        </is>
      </c>
    </row>
    <row r="79">
      <c r="A79" s="32" t="n">
        <v>78</v>
      </c>
      <c r="B79" s="31" t="n">
        <v>3899.5</v>
      </c>
      <c r="C79" s="30" t="inlineStr">
        <is>
          <t>AMR1</t>
        </is>
      </c>
      <c r="D79" s="30" t="inlineStr">
        <is>
          <t>AMR2</t>
        </is>
      </c>
      <c r="E79" s="30" t="inlineStr">
        <is>
          <t>정면충돌</t>
        </is>
      </c>
      <c r="F79" s="30" t="inlineStr">
        <is>
          <t>(18, 16)&lt;-&gt;(18, 17)</t>
        </is>
      </c>
      <c r="G79" s="31" t="n">
        <v>39.8</v>
      </c>
      <c r="H79" s="30" t="inlineStr">
        <is>
          <t>O0079</t>
        </is>
      </c>
    </row>
    <row r="80">
      <c r="A80" s="32" t="n">
        <v>79</v>
      </c>
      <c r="B80" s="31" t="n">
        <v>3903.2</v>
      </c>
      <c r="C80" s="30" t="inlineStr">
        <is>
          <t>AMR1</t>
        </is>
      </c>
      <c r="D80" s="30" t="inlineStr">
        <is>
          <t>AMR3</t>
        </is>
      </c>
      <c r="E80" s="30" t="inlineStr">
        <is>
          <t>경로충돌</t>
        </is>
      </c>
      <c r="F80" s="30" t="inlineStr">
        <is>
          <t>(17, 16)</t>
        </is>
      </c>
      <c r="G80" s="31" t="n">
        <v>25.9</v>
      </c>
      <c r="H80" s="30" t="inlineStr"/>
    </row>
    <row r="81">
      <c r="A81" s="32" t="n">
        <v>80</v>
      </c>
      <c r="B81" s="31" t="n">
        <v>3908.9</v>
      </c>
      <c r="C81" s="30" t="inlineStr">
        <is>
          <t>AMR1</t>
        </is>
      </c>
      <c r="D81" s="30" t="inlineStr">
        <is>
          <t>AMR3</t>
        </is>
      </c>
      <c r="E81" s="30" t="inlineStr">
        <is>
          <t>경로충돌</t>
        </is>
      </c>
      <c r="F81" s="30" t="inlineStr">
        <is>
          <t>(16, 19)</t>
        </is>
      </c>
      <c r="G81" s="31" t="n">
        <v>20.9</v>
      </c>
      <c r="H81" s="30" t="inlineStr">
        <is>
          <t>O0080</t>
        </is>
      </c>
    </row>
    <row r="82">
      <c r="A82" s="32" t="n">
        <v>81</v>
      </c>
      <c r="B82" s="31" t="n">
        <v>3910.2</v>
      </c>
      <c r="C82" s="30" t="inlineStr">
        <is>
          <t>AMR1</t>
        </is>
      </c>
      <c r="D82" s="30" t="inlineStr">
        <is>
          <t>AMR3</t>
        </is>
      </c>
      <c r="E82" s="30" t="inlineStr">
        <is>
          <t>정면충돌</t>
        </is>
      </c>
      <c r="F82" s="30" t="inlineStr">
        <is>
          <t>(16, 19)&lt;-&gt;(17, 19)</t>
        </is>
      </c>
      <c r="G82" s="31" t="n">
        <v>58.8</v>
      </c>
      <c r="H82" s="30" t="inlineStr">
        <is>
          <t>O0080</t>
        </is>
      </c>
    </row>
    <row r="83">
      <c r="A83" s="32" t="n">
        <v>82</v>
      </c>
      <c r="B83" s="31" t="n">
        <v>3926.4</v>
      </c>
      <c r="C83" s="30" t="inlineStr">
        <is>
          <t>AMR1</t>
        </is>
      </c>
      <c r="D83" s="30" t="inlineStr">
        <is>
          <t>AMR2</t>
        </is>
      </c>
      <c r="E83" s="30" t="inlineStr">
        <is>
          <t>경로충돌</t>
        </is>
      </c>
      <c r="F83" s="30" t="inlineStr">
        <is>
          <t>(19, 9)</t>
        </is>
      </c>
      <c r="G83" s="31" t="n">
        <v>53.8</v>
      </c>
      <c r="H83" s="30" t="inlineStr">
        <is>
          <t>O0079 O0080</t>
        </is>
      </c>
    </row>
    <row r="84">
      <c r="A84" s="32" t="n">
        <v>83</v>
      </c>
      <c r="B84" s="31" t="n">
        <v>3926.6</v>
      </c>
      <c r="C84" s="30" t="inlineStr">
        <is>
          <t>AMR1</t>
        </is>
      </c>
      <c r="D84" s="30" t="inlineStr">
        <is>
          <t>AMR2</t>
        </is>
      </c>
      <c r="E84" s="30" t="inlineStr">
        <is>
          <t>정면충돌</t>
        </is>
      </c>
      <c r="F84" s="30" t="inlineStr">
        <is>
          <t>(18, 9)&lt;-&gt;(19, 9)</t>
        </is>
      </c>
      <c r="G84" s="31" t="n">
        <v>23.8</v>
      </c>
      <c r="H84" s="30" t="inlineStr">
        <is>
          <t>O0079 O0080</t>
        </is>
      </c>
    </row>
    <row r="85">
      <c r="A85" s="32" t="n">
        <v>84</v>
      </c>
      <c r="B85" s="31" t="n">
        <v>3975.5</v>
      </c>
      <c r="C85" s="30" t="inlineStr">
        <is>
          <t>AMR2</t>
        </is>
      </c>
      <c r="D85" s="30" t="inlineStr">
        <is>
          <t>AMR3</t>
        </is>
      </c>
      <c r="E85" s="30" t="inlineStr">
        <is>
          <t>경로충돌</t>
        </is>
      </c>
      <c r="F85" s="30" t="inlineStr">
        <is>
          <t>(18, 12)</t>
        </is>
      </c>
      <c r="G85" s="31" t="n">
        <v>44.4</v>
      </c>
      <c r="H85" s="30" t="inlineStr">
        <is>
          <t>O0081</t>
        </is>
      </c>
    </row>
    <row r="86">
      <c r="A86" s="32" t="n">
        <v>85</v>
      </c>
      <c r="B86" s="31" t="n">
        <v>3975.9</v>
      </c>
      <c r="C86" s="30" t="inlineStr">
        <is>
          <t>AMR2</t>
        </is>
      </c>
      <c r="D86" s="30" t="inlineStr">
        <is>
          <t>AMR3</t>
        </is>
      </c>
      <c r="E86" s="30" t="inlineStr">
        <is>
          <t>정면충돌</t>
        </is>
      </c>
      <c r="F86" s="30" t="inlineStr">
        <is>
          <t>(18, 12)&lt;-&gt;(18, 13)</t>
        </is>
      </c>
      <c r="G86" s="31" t="n">
        <v>51.4</v>
      </c>
      <c r="H86" s="30" t="inlineStr">
        <is>
          <t>O0081</t>
        </is>
      </c>
    </row>
    <row r="87">
      <c r="A87" s="32" t="n">
        <v>86</v>
      </c>
      <c r="B87" s="31" t="n">
        <v>4195.4</v>
      </c>
      <c r="C87" s="30" t="inlineStr">
        <is>
          <t>AMR2</t>
        </is>
      </c>
      <c r="D87" s="30" t="inlineStr">
        <is>
          <t>AMR3</t>
        </is>
      </c>
      <c r="E87" s="30" t="inlineStr">
        <is>
          <t>경로충돌</t>
        </is>
      </c>
      <c r="F87" s="30" t="inlineStr">
        <is>
          <t>(17, 19)</t>
        </is>
      </c>
      <c r="G87" s="31" t="n">
        <v>55.8</v>
      </c>
      <c r="H87" s="30" t="inlineStr">
        <is>
          <t>O0086</t>
        </is>
      </c>
    </row>
    <row r="88">
      <c r="A88" s="32" t="n">
        <v>87</v>
      </c>
      <c r="B88" s="31" t="n">
        <v>4195.9</v>
      </c>
      <c r="C88" s="30" t="inlineStr">
        <is>
          <t>AMR2</t>
        </is>
      </c>
      <c r="D88" s="30" t="inlineStr">
        <is>
          <t>AMR3</t>
        </is>
      </c>
      <c r="E88" s="30" t="inlineStr">
        <is>
          <t>정면충돌</t>
        </is>
      </c>
      <c r="F88" s="30" t="inlineStr">
        <is>
          <t>(16, 19)&lt;-&gt;(17, 19)</t>
        </is>
      </c>
      <c r="G88" s="31" t="n">
        <v>22.6</v>
      </c>
      <c r="H88" s="30" t="inlineStr">
        <is>
          <t>O0086</t>
        </is>
      </c>
    </row>
    <row r="89">
      <c r="A89" s="32" t="n">
        <v>88</v>
      </c>
      <c r="B89" s="31" t="n">
        <v>4250.8</v>
      </c>
      <c r="C89" s="30" t="inlineStr">
        <is>
          <t>AMR1</t>
        </is>
      </c>
      <c r="D89" s="30" t="inlineStr">
        <is>
          <t>AMR2</t>
        </is>
      </c>
      <c r="E89" s="30" t="inlineStr">
        <is>
          <t>경로충돌</t>
        </is>
      </c>
      <c r="F89" s="30" t="inlineStr">
        <is>
          <t>(14, 19)</t>
        </is>
      </c>
      <c r="G89" s="31" t="n">
        <v>25.3</v>
      </c>
      <c r="H89" s="30" t="inlineStr">
        <is>
          <t>O0087</t>
        </is>
      </c>
    </row>
    <row r="90">
      <c r="A90" s="32" t="n">
        <v>89</v>
      </c>
      <c r="B90" s="31" t="n">
        <v>4251</v>
      </c>
      <c r="C90" s="30" t="inlineStr">
        <is>
          <t>AMR1</t>
        </is>
      </c>
      <c r="D90" s="30" t="inlineStr">
        <is>
          <t>AMR2</t>
        </is>
      </c>
      <c r="E90" s="30" t="inlineStr">
        <is>
          <t>정면충돌</t>
        </is>
      </c>
      <c r="F90" s="30" t="inlineStr">
        <is>
          <t>(14, 19)&lt;-&gt;(15, 19)</t>
        </is>
      </c>
      <c r="G90" s="31" t="n">
        <v>35.7</v>
      </c>
      <c r="H90" s="30" t="inlineStr">
        <is>
          <t>O0087</t>
        </is>
      </c>
    </row>
    <row r="91">
      <c r="A91" s="32" t="n">
        <v>90</v>
      </c>
      <c r="B91" s="31" t="n">
        <v>4300.1</v>
      </c>
      <c r="C91" s="30" t="inlineStr">
        <is>
          <t>AMR2</t>
        </is>
      </c>
      <c r="D91" s="30" t="inlineStr">
        <is>
          <t>AMR3</t>
        </is>
      </c>
      <c r="E91" s="30" t="inlineStr">
        <is>
          <t>경로충돌</t>
        </is>
      </c>
      <c r="F91" s="30" t="inlineStr">
        <is>
          <t>(4, 11)</t>
        </is>
      </c>
      <c r="G91" s="31" t="n">
        <v>44.1</v>
      </c>
      <c r="H91" s="30" t="inlineStr">
        <is>
          <t>O0089</t>
        </is>
      </c>
    </row>
    <row r="92">
      <c r="A92" s="32" t="n">
        <v>91</v>
      </c>
      <c r="B92" s="31" t="n">
        <v>4300.6</v>
      </c>
      <c r="C92" s="30" t="inlineStr">
        <is>
          <t>AMR2</t>
        </is>
      </c>
      <c r="D92" s="30" t="inlineStr">
        <is>
          <t>AMR3</t>
        </is>
      </c>
      <c r="E92" s="30" t="inlineStr">
        <is>
          <t>정면충돌</t>
        </is>
      </c>
      <c r="F92" s="30" t="inlineStr">
        <is>
          <t>(4, 11)&lt;-&gt;(5, 11)</t>
        </is>
      </c>
      <c r="G92" s="31" t="n">
        <v>23.3</v>
      </c>
      <c r="H92" s="30" t="inlineStr">
        <is>
          <t>O0089</t>
        </is>
      </c>
    </row>
    <row r="93">
      <c r="A93" s="32" t="n">
        <v>92</v>
      </c>
      <c r="B93" s="31" t="n">
        <v>4334.5</v>
      </c>
      <c r="C93" s="30" t="inlineStr">
        <is>
          <t>AMR1</t>
        </is>
      </c>
      <c r="D93" s="30" t="inlineStr">
        <is>
          <t>AMR3</t>
        </is>
      </c>
      <c r="E93" s="30" t="inlineStr">
        <is>
          <t>경로충돌</t>
        </is>
      </c>
      <c r="F93" s="30" t="inlineStr">
        <is>
          <t>(13, 19)</t>
        </is>
      </c>
      <c r="G93" s="31" t="n">
        <v>47.8</v>
      </c>
      <c r="H93" s="30" t="inlineStr">
        <is>
          <t>O0089</t>
        </is>
      </c>
    </row>
    <row r="94">
      <c r="A94" s="32" t="n">
        <v>93</v>
      </c>
      <c r="B94" s="31" t="n">
        <v>4335.1</v>
      </c>
      <c r="C94" s="30" t="inlineStr">
        <is>
          <t>AMR1</t>
        </is>
      </c>
      <c r="D94" s="30" t="inlineStr">
        <is>
          <t>AMR3</t>
        </is>
      </c>
      <c r="E94" s="30" t="inlineStr">
        <is>
          <t>정면충돌</t>
        </is>
      </c>
      <c r="F94" s="30" t="inlineStr">
        <is>
          <t>(13, 19)&lt;-&gt;(14, 19)</t>
        </is>
      </c>
      <c r="G94" s="31" t="n">
        <v>50.2</v>
      </c>
      <c r="H94" s="30" t="inlineStr">
        <is>
          <t>O0089</t>
        </is>
      </c>
    </row>
    <row r="95">
      <c r="A95" s="32" t="n">
        <v>94</v>
      </c>
      <c r="B95" s="31" t="n">
        <v>4356.5</v>
      </c>
      <c r="C95" s="30" t="inlineStr">
        <is>
          <t>AMR1</t>
        </is>
      </c>
      <c r="D95" s="30" t="inlineStr">
        <is>
          <t>AMR2</t>
        </is>
      </c>
      <c r="E95" s="30" t="inlineStr">
        <is>
          <t>경로충돌</t>
        </is>
      </c>
      <c r="F95" s="30" t="inlineStr">
        <is>
          <t>(3, 11)</t>
        </is>
      </c>
      <c r="G95" s="31" t="n">
        <v>37.9</v>
      </c>
      <c r="H95" s="30" t="inlineStr">
        <is>
          <t>O0088 O0089</t>
        </is>
      </c>
    </row>
    <row r="96">
      <c r="A96" s="32" t="n">
        <v>95</v>
      </c>
      <c r="B96" s="31" t="n">
        <v>4357.9</v>
      </c>
      <c r="C96" s="30" t="inlineStr">
        <is>
          <t>AMR1</t>
        </is>
      </c>
      <c r="D96" s="30" t="inlineStr">
        <is>
          <t>AMR2</t>
        </is>
      </c>
      <c r="E96" s="30" t="inlineStr">
        <is>
          <t>정면충돌</t>
        </is>
      </c>
      <c r="F96" s="30" t="inlineStr">
        <is>
          <t>(3, 11)&lt;-&gt;(4, 11)</t>
        </is>
      </c>
      <c r="G96" s="31" t="n">
        <v>54</v>
      </c>
      <c r="H96" s="30" t="inlineStr">
        <is>
          <t>O0088 O0089</t>
        </is>
      </c>
    </row>
    <row r="97">
      <c r="A97" s="32" t="n">
        <v>96</v>
      </c>
      <c r="B97" s="31" t="n">
        <v>4407.9</v>
      </c>
      <c r="C97" s="30" t="inlineStr">
        <is>
          <t>AMR2</t>
        </is>
      </c>
      <c r="D97" s="30" t="inlineStr">
        <is>
          <t>AMR3</t>
        </is>
      </c>
      <c r="E97" s="30" t="inlineStr">
        <is>
          <t>경로충돌</t>
        </is>
      </c>
      <c r="F97" s="30" t="inlineStr">
        <is>
          <t>(18, 11)</t>
        </is>
      </c>
      <c r="G97" s="31" t="n">
        <v>35.6</v>
      </c>
      <c r="H97" s="30" t="inlineStr">
        <is>
          <t>O0090</t>
        </is>
      </c>
    </row>
    <row r="98">
      <c r="A98" s="32" t="n">
        <v>97</v>
      </c>
      <c r="B98" s="31" t="n">
        <v>4408.6</v>
      </c>
      <c r="C98" s="30" t="inlineStr">
        <is>
          <t>AMR2</t>
        </is>
      </c>
      <c r="D98" s="30" t="inlineStr">
        <is>
          <t>AMR3</t>
        </is>
      </c>
      <c r="E98" s="30" t="inlineStr">
        <is>
          <t>정면충돌</t>
        </is>
      </c>
      <c r="F98" s="30" t="inlineStr">
        <is>
          <t>(18, 11)&lt;-&gt;(18, 12)</t>
        </is>
      </c>
      <c r="G98" s="31" t="n">
        <v>53.3</v>
      </c>
      <c r="H98" s="30" t="inlineStr">
        <is>
          <t>O0090</t>
        </is>
      </c>
    </row>
    <row r="99">
      <c r="A99" s="32" t="n">
        <v>98</v>
      </c>
      <c r="B99" s="31" t="n">
        <v>4481.8</v>
      </c>
      <c r="C99" s="30" t="inlineStr">
        <is>
          <t>AMR2</t>
        </is>
      </c>
      <c r="D99" s="30" t="inlineStr">
        <is>
          <t>AMR3</t>
        </is>
      </c>
      <c r="E99" s="30" t="inlineStr">
        <is>
          <t>경로충돌</t>
        </is>
      </c>
      <c r="F99" s="30" t="inlineStr">
        <is>
          <t>(17, 19)</t>
        </is>
      </c>
      <c r="G99" s="31" t="n">
        <v>35.3</v>
      </c>
      <c r="H99" s="30" t="inlineStr">
        <is>
          <t>O0091</t>
        </is>
      </c>
    </row>
    <row r="100">
      <c r="A100" s="32" t="n">
        <v>99</v>
      </c>
      <c r="B100" s="31" t="n">
        <v>4482.2</v>
      </c>
      <c r="C100" s="30" t="inlineStr">
        <is>
          <t>AMR2</t>
        </is>
      </c>
      <c r="D100" s="30" t="inlineStr">
        <is>
          <t>AMR3</t>
        </is>
      </c>
      <c r="E100" s="30" t="inlineStr">
        <is>
          <t>정면충돌</t>
        </is>
      </c>
      <c r="F100" s="30" t="inlineStr">
        <is>
          <t>(16, 19)&lt;-&gt;(17, 19)</t>
        </is>
      </c>
      <c r="G100" s="31" t="n">
        <v>36.1</v>
      </c>
      <c r="H100" s="30" t="inlineStr">
        <is>
          <t>O0091</t>
        </is>
      </c>
    </row>
    <row r="101">
      <c r="A101" s="32" t="n">
        <v>100</v>
      </c>
      <c r="B101" s="31" t="n">
        <v>4488.9</v>
      </c>
      <c r="C101" s="30" t="inlineStr">
        <is>
          <t>AMR1</t>
        </is>
      </c>
      <c r="D101" s="30" t="inlineStr">
        <is>
          <t>AMR3</t>
        </is>
      </c>
      <c r="E101" s="30" t="inlineStr">
        <is>
          <t>경로충돌</t>
        </is>
      </c>
      <c r="F101" s="30" t="inlineStr">
        <is>
          <t>(14, 19)</t>
        </is>
      </c>
      <c r="G101" s="31" t="n">
        <v>35.1</v>
      </c>
      <c r="H101" s="30" t="inlineStr">
        <is>
          <t>O0092</t>
        </is>
      </c>
    </row>
    <row r="102">
      <c r="A102" s="32" t="n">
        <v>101</v>
      </c>
      <c r="B102" s="31" t="n">
        <v>4489.6</v>
      </c>
      <c r="C102" s="30" t="inlineStr">
        <is>
          <t>AMR1</t>
        </is>
      </c>
      <c r="D102" s="30" t="inlineStr">
        <is>
          <t>AMR3</t>
        </is>
      </c>
      <c r="E102" s="30" t="inlineStr">
        <is>
          <t>정면충돌</t>
        </is>
      </c>
      <c r="F102" s="30" t="inlineStr">
        <is>
          <t>(14, 19)&lt;-&gt;(15, 19)</t>
        </is>
      </c>
      <c r="G102" s="31" t="n">
        <v>48.4</v>
      </c>
      <c r="H102" s="30" t="inlineStr">
        <is>
          <t>O0092</t>
        </is>
      </c>
    </row>
    <row r="103">
      <c r="A103" s="32" t="n">
        <v>102</v>
      </c>
      <c r="B103" s="31" t="n">
        <v>4551.7</v>
      </c>
      <c r="C103" s="30" t="inlineStr">
        <is>
          <t>AMR1</t>
        </is>
      </c>
      <c r="D103" s="30" t="inlineStr">
        <is>
          <t>AMR2</t>
        </is>
      </c>
      <c r="E103" s="30" t="inlineStr">
        <is>
          <t>정면충돌</t>
        </is>
      </c>
      <c r="F103" s="30" t="inlineStr">
        <is>
          <t>(18, 11)&lt;-&gt;(18, 12)</t>
        </is>
      </c>
      <c r="G103" s="31" t="n">
        <v>55.3</v>
      </c>
      <c r="H103" s="30" t="inlineStr">
        <is>
          <t>O0093</t>
        </is>
      </c>
    </row>
    <row r="104">
      <c r="A104" s="32" t="n">
        <v>103</v>
      </c>
      <c r="B104" s="31" t="n">
        <v>4631.6</v>
      </c>
      <c r="C104" s="30" t="inlineStr">
        <is>
          <t>AMR1</t>
        </is>
      </c>
      <c r="D104" s="30" t="inlineStr">
        <is>
          <t>AMR2</t>
        </is>
      </c>
      <c r="E104" s="30" t="inlineStr">
        <is>
          <t>경로충돌</t>
        </is>
      </c>
      <c r="F104" s="30" t="inlineStr">
        <is>
          <t>(17, 19)</t>
        </is>
      </c>
      <c r="G104" s="31" t="n">
        <v>22.9</v>
      </c>
      <c r="H104" s="30" t="inlineStr">
        <is>
          <t>O0094</t>
        </is>
      </c>
    </row>
    <row r="105">
      <c r="A105" s="32" t="n">
        <v>104</v>
      </c>
      <c r="B105" s="31" t="n">
        <v>4633.1</v>
      </c>
      <c r="C105" s="30" t="inlineStr">
        <is>
          <t>AMR1</t>
        </is>
      </c>
      <c r="D105" s="30" t="inlineStr">
        <is>
          <t>AMR2</t>
        </is>
      </c>
      <c r="E105" s="30" t="inlineStr">
        <is>
          <t>정면충돌</t>
        </is>
      </c>
      <c r="F105" s="30" t="inlineStr">
        <is>
          <t>(16, 19)&lt;-&gt;(17, 19)</t>
        </is>
      </c>
      <c r="G105" s="31" t="n">
        <v>43.6</v>
      </c>
      <c r="H105" s="30" t="inlineStr">
        <is>
          <t>O0094</t>
        </is>
      </c>
    </row>
    <row r="106">
      <c r="A106" s="32" t="n">
        <v>105</v>
      </c>
      <c r="B106" s="31" t="n">
        <v>4686.4</v>
      </c>
      <c r="C106" s="30" t="inlineStr">
        <is>
          <t>AMR1</t>
        </is>
      </c>
      <c r="D106" s="30" t="inlineStr">
        <is>
          <t>AMR2</t>
        </is>
      </c>
      <c r="E106" s="30" t="inlineStr">
        <is>
          <t>경로충돌</t>
        </is>
      </c>
      <c r="F106" s="30" t="inlineStr">
        <is>
          <t>(15, 3)</t>
        </is>
      </c>
      <c r="G106" s="31" t="n">
        <v>53.4</v>
      </c>
      <c r="H106" s="30" t="inlineStr">
        <is>
          <t>O0094 O0095</t>
        </is>
      </c>
    </row>
    <row r="107">
      <c r="A107" s="32" t="n">
        <v>106</v>
      </c>
      <c r="B107" s="31" t="n">
        <v>4924.9</v>
      </c>
      <c r="C107" s="30" t="inlineStr">
        <is>
          <t>AMR1</t>
        </is>
      </c>
      <c r="D107" s="30" t="inlineStr">
        <is>
          <t>AMR2</t>
        </is>
      </c>
      <c r="E107" s="30" t="inlineStr">
        <is>
          <t>경로충돌</t>
        </is>
      </c>
      <c r="F107" s="30" t="inlineStr">
        <is>
          <t>(13, 19)</t>
        </is>
      </c>
      <c r="G107" s="31" t="n">
        <v>47.7</v>
      </c>
      <c r="H107" s="30" t="inlineStr">
        <is>
          <t>O0100</t>
        </is>
      </c>
    </row>
    <row r="108">
      <c r="A108" s="32" t="n">
        <v>107</v>
      </c>
      <c r="B108" s="31" t="n">
        <v>4925.4</v>
      </c>
      <c r="C108" s="30" t="inlineStr">
        <is>
          <t>AMR1</t>
        </is>
      </c>
      <c r="D108" s="30" t="inlineStr">
        <is>
          <t>AMR2</t>
        </is>
      </c>
      <c r="E108" s="30" t="inlineStr">
        <is>
          <t>정면충돌</t>
        </is>
      </c>
      <c r="F108" s="30" t="inlineStr">
        <is>
          <t>(12, 19)&lt;-&gt;(13, 19)</t>
        </is>
      </c>
      <c r="G108" s="31" t="n">
        <v>29.4</v>
      </c>
      <c r="H108" s="30" t="inlineStr">
        <is>
          <t>O0100</t>
        </is>
      </c>
    </row>
    <row r="109">
      <c r="A109" s="32" t="n">
        <v>108</v>
      </c>
      <c r="B109" s="31" t="n">
        <v>4935.6</v>
      </c>
      <c r="C109" s="30" t="inlineStr">
        <is>
          <t>AMR2</t>
        </is>
      </c>
      <c r="D109" s="30" t="inlineStr">
        <is>
          <t>AMR3</t>
        </is>
      </c>
      <c r="E109" s="30" t="inlineStr">
        <is>
          <t>경로충돌</t>
        </is>
      </c>
      <c r="F109" s="30" t="inlineStr">
        <is>
          <t>(12, 14)</t>
        </is>
      </c>
      <c r="G109" s="31" t="n">
        <v>34.6</v>
      </c>
      <c r="H109" s="30" t="inlineStr">
        <is>
          <t>O0100</t>
        </is>
      </c>
    </row>
    <row r="110">
      <c r="A110" s="32" t="n">
        <v>109</v>
      </c>
      <c r="B110" s="31" t="n">
        <v>4936.1</v>
      </c>
      <c r="C110" s="30" t="inlineStr">
        <is>
          <t>AMR2</t>
        </is>
      </c>
      <c r="D110" s="30" t="inlineStr">
        <is>
          <t>AMR3</t>
        </is>
      </c>
      <c r="E110" s="30" t="inlineStr">
        <is>
          <t>정면충돌</t>
        </is>
      </c>
      <c r="F110" s="30" t="inlineStr">
        <is>
          <t>(12, 14)&lt;-&gt;(12, 15)</t>
        </is>
      </c>
      <c r="G110" s="31" t="n">
        <v>55.4</v>
      </c>
      <c r="H110" s="30" t="inlineStr">
        <is>
          <t>O0100</t>
        </is>
      </c>
    </row>
    <row r="111">
      <c r="A111" s="32" t="n">
        <v>110</v>
      </c>
      <c r="B111" s="31" t="n">
        <v>5096.3</v>
      </c>
      <c r="C111" s="30" t="inlineStr">
        <is>
          <t>AMR1</t>
        </is>
      </c>
      <c r="D111" s="30" t="inlineStr">
        <is>
          <t>AMR2</t>
        </is>
      </c>
      <c r="E111" s="30" t="inlineStr">
        <is>
          <t>정면충돌</t>
        </is>
      </c>
      <c r="F111" s="30" t="inlineStr">
        <is>
          <t>(12, 19)&lt;-&gt;(13, 19)</t>
        </is>
      </c>
      <c r="G111" s="31" t="n">
        <v>28.6</v>
      </c>
      <c r="H111" s="30" t="inlineStr">
        <is>
          <t>O0104</t>
        </is>
      </c>
    </row>
    <row r="112">
      <c r="A112" s="32" t="n">
        <v>111</v>
      </c>
      <c r="B112" s="31" t="n">
        <v>5214.7</v>
      </c>
      <c r="C112" s="30" t="inlineStr">
        <is>
          <t>AMR1</t>
        </is>
      </c>
      <c r="D112" s="30" t="inlineStr">
        <is>
          <t>AMR2</t>
        </is>
      </c>
      <c r="E112" s="30" t="inlineStr">
        <is>
          <t>경로충돌</t>
        </is>
      </c>
      <c r="F112" s="30" t="inlineStr">
        <is>
          <t>(18, 9)</t>
        </is>
      </c>
      <c r="G112" s="31" t="n">
        <v>58.2</v>
      </c>
      <c r="H112" s="30" t="inlineStr">
        <is>
          <t>O0107</t>
        </is>
      </c>
    </row>
    <row r="113">
      <c r="A113" s="32" t="n">
        <v>112</v>
      </c>
      <c r="B113" s="31" t="n">
        <v>5232.8</v>
      </c>
      <c r="C113" s="30" t="inlineStr">
        <is>
          <t>AMR1</t>
        </is>
      </c>
      <c r="D113" s="30" t="inlineStr">
        <is>
          <t>AMR3</t>
        </is>
      </c>
      <c r="E113" s="30" t="inlineStr">
        <is>
          <t>경로충돌</t>
        </is>
      </c>
      <c r="F113" s="30" t="inlineStr">
        <is>
          <t>(18, 17)</t>
        </is>
      </c>
      <c r="G113" s="31" t="n">
        <v>35.7</v>
      </c>
      <c r="H113" s="30" t="inlineStr">
        <is>
          <t>O0106</t>
        </is>
      </c>
    </row>
    <row r="114">
      <c r="A114" s="32" t="n">
        <v>113</v>
      </c>
      <c r="B114" s="31" t="n">
        <v>5233.5</v>
      </c>
      <c r="C114" s="30" t="inlineStr">
        <is>
          <t>AMR1</t>
        </is>
      </c>
      <c r="D114" s="30" t="inlineStr">
        <is>
          <t>AMR3</t>
        </is>
      </c>
      <c r="E114" s="30" t="inlineStr">
        <is>
          <t>정면충돌</t>
        </is>
      </c>
      <c r="F114" s="30" t="inlineStr">
        <is>
          <t>(18, 16)&lt;-&gt;(18, 17)</t>
        </is>
      </c>
      <c r="G114" s="31" t="n">
        <v>40.8</v>
      </c>
      <c r="H114" s="30" t="inlineStr">
        <is>
          <t>O0106</t>
        </is>
      </c>
    </row>
    <row r="115">
      <c r="A115" s="32" t="n">
        <v>114</v>
      </c>
      <c r="B115" s="31" t="n">
        <v>5307.8</v>
      </c>
      <c r="C115" s="30" t="inlineStr">
        <is>
          <t>AMR1</t>
        </is>
      </c>
      <c r="D115" s="30" t="inlineStr">
        <is>
          <t>AMR2</t>
        </is>
      </c>
      <c r="E115" s="30" t="inlineStr">
        <is>
          <t>경로충돌</t>
        </is>
      </c>
      <c r="F115" s="30" t="inlineStr">
        <is>
          <t>(18, 18)</t>
        </is>
      </c>
      <c r="G115" s="31" t="n">
        <v>48.3</v>
      </c>
      <c r="H115" s="30" t="inlineStr">
        <is>
          <t>O0108</t>
        </is>
      </c>
    </row>
    <row r="116">
      <c r="A116" s="32" t="n">
        <v>115</v>
      </c>
      <c r="B116" s="31" t="n">
        <v>5308.4</v>
      </c>
      <c r="C116" s="30" t="inlineStr">
        <is>
          <t>AMR1</t>
        </is>
      </c>
      <c r="D116" s="30" t="inlineStr">
        <is>
          <t>AMR2</t>
        </is>
      </c>
      <c r="E116" s="30" t="inlineStr">
        <is>
          <t>정면충돌</t>
        </is>
      </c>
      <c r="F116" s="30" t="inlineStr">
        <is>
          <t>(18, 17)&lt;-&gt;(18, 18)</t>
        </is>
      </c>
      <c r="G116" s="31" t="n">
        <v>47.2</v>
      </c>
      <c r="H116" s="30" t="inlineStr">
        <is>
          <t>O0108</t>
        </is>
      </c>
    </row>
    <row r="117">
      <c r="A117" s="32" t="n">
        <v>116</v>
      </c>
      <c r="B117" s="31" t="n">
        <v>5319.6</v>
      </c>
      <c r="C117" s="30" t="inlineStr">
        <is>
          <t>AMR2</t>
        </is>
      </c>
      <c r="D117" s="30" t="inlineStr">
        <is>
          <t>AMR3</t>
        </is>
      </c>
      <c r="E117" s="30" t="inlineStr">
        <is>
          <t>경로충돌</t>
        </is>
      </c>
      <c r="F117" s="30" t="inlineStr">
        <is>
          <t>(18, 10)</t>
        </is>
      </c>
      <c r="G117" s="31" t="n">
        <v>43.6</v>
      </c>
      <c r="H117" s="30" t="inlineStr">
        <is>
          <t>O0108</t>
        </is>
      </c>
    </row>
    <row r="118">
      <c r="A118" s="32" t="n">
        <v>117</v>
      </c>
      <c r="B118" s="31" t="n">
        <v>5320.8</v>
      </c>
      <c r="C118" s="30" t="inlineStr">
        <is>
          <t>AMR2</t>
        </is>
      </c>
      <c r="D118" s="30" t="inlineStr">
        <is>
          <t>AMR3</t>
        </is>
      </c>
      <c r="E118" s="30" t="inlineStr">
        <is>
          <t>정면충돌</t>
        </is>
      </c>
      <c r="F118" s="30" t="inlineStr">
        <is>
          <t>(18, 9)&lt;-&gt;(18, 10)</t>
        </is>
      </c>
      <c r="G118" s="31" t="n">
        <v>54.7</v>
      </c>
      <c r="H118" s="30" t="inlineStr">
        <is>
          <t>O0108</t>
        </is>
      </c>
    </row>
    <row r="119">
      <c r="A119" s="32" t="n">
        <v>118</v>
      </c>
      <c r="B119" s="31" t="n">
        <v>5356.3</v>
      </c>
      <c r="C119" s="30" t="inlineStr">
        <is>
          <t>AMR1</t>
        </is>
      </c>
      <c r="D119" s="30" t="inlineStr">
        <is>
          <t>AMR3</t>
        </is>
      </c>
      <c r="E119" s="30" t="inlineStr">
        <is>
          <t>경로충돌</t>
        </is>
      </c>
      <c r="F119" s="30" t="inlineStr">
        <is>
          <t>(11, 11)</t>
        </is>
      </c>
      <c r="G119" s="31" t="n">
        <v>45.6</v>
      </c>
      <c r="H119" s="30" t="inlineStr">
        <is>
          <t>O0110</t>
        </is>
      </c>
    </row>
    <row r="120">
      <c r="A120" s="32" t="n">
        <v>119</v>
      </c>
      <c r="B120" s="31" t="n">
        <v>5357.2</v>
      </c>
      <c r="C120" s="30" t="inlineStr">
        <is>
          <t>AMR1</t>
        </is>
      </c>
      <c r="D120" s="30" t="inlineStr">
        <is>
          <t>AMR3</t>
        </is>
      </c>
      <c r="E120" s="30" t="inlineStr">
        <is>
          <t>정면충돌</t>
        </is>
      </c>
      <c r="F120" s="30" t="inlineStr">
        <is>
          <t>(10, 11)&lt;-&gt;(11, 11)</t>
        </is>
      </c>
      <c r="G120" s="31" t="n">
        <v>56.6</v>
      </c>
      <c r="H120" s="30" t="inlineStr">
        <is>
          <t>O0110</t>
        </is>
      </c>
    </row>
    <row r="121">
      <c r="A121" s="32" t="n">
        <v>120</v>
      </c>
      <c r="B121" s="31" t="n">
        <v>5386</v>
      </c>
      <c r="C121" s="30" t="inlineStr">
        <is>
          <t>AMR2</t>
        </is>
      </c>
      <c r="D121" s="30" t="inlineStr">
        <is>
          <t>AMR3</t>
        </is>
      </c>
      <c r="E121" s="30" t="inlineStr">
        <is>
          <t>경로충돌</t>
        </is>
      </c>
      <c r="F121" s="30" t="inlineStr">
        <is>
          <t>(13, 19)</t>
        </is>
      </c>
      <c r="G121" s="31" t="n">
        <v>46.1</v>
      </c>
      <c r="H121" s="30" t="inlineStr">
        <is>
          <t>O0110</t>
        </is>
      </c>
    </row>
    <row r="122">
      <c r="A122" s="32" t="n">
        <v>121</v>
      </c>
      <c r="B122" s="31" t="n">
        <v>5387.4</v>
      </c>
      <c r="C122" s="30" t="inlineStr">
        <is>
          <t>AMR2</t>
        </is>
      </c>
      <c r="D122" s="30" t="inlineStr">
        <is>
          <t>AMR3</t>
        </is>
      </c>
      <c r="E122" s="30" t="inlineStr">
        <is>
          <t>정면충돌</t>
        </is>
      </c>
      <c r="F122" s="30" t="inlineStr">
        <is>
          <t>(13, 19)&lt;-&gt;(14, 19)</t>
        </is>
      </c>
      <c r="G122" s="31" t="n">
        <v>43.5</v>
      </c>
      <c r="H122" s="30" t="inlineStr">
        <is>
          <t>O0110</t>
        </is>
      </c>
    </row>
    <row r="123">
      <c r="A123" s="32" t="n">
        <v>122</v>
      </c>
      <c r="B123" s="31" t="n">
        <v>5454.7</v>
      </c>
      <c r="C123" s="30" t="inlineStr">
        <is>
          <t>AMR1</t>
        </is>
      </c>
      <c r="D123" s="30" t="inlineStr">
        <is>
          <t>AMR3</t>
        </is>
      </c>
      <c r="E123" s="30" t="inlineStr">
        <is>
          <t>경로충돌</t>
        </is>
      </c>
      <c r="F123" s="30" t="inlineStr">
        <is>
          <t>(17, 19)</t>
        </is>
      </c>
      <c r="G123" s="31" t="n">
        <v>22.3</v>
      </c>
      <c r="H123" s="30" t="inlineStr">
        <is>
          <t>O0111</t>
        </is>
      </c>
    </row>
    <row r="124">
      <c r="A124" s="32" t="n">
        <v>123</v>
      </c>
      <c r="B124" s="31" t="n">
        <v>5454.9</v>
      </c>
      <c r="C124" s="30" t="inlineStr">
        <is>
          <t>AMR1</t>
        </is>
      </c>
      <c r="D124" s="30" t="inlineStr">
        <is>
          <t>AMR3</t>
        </is>
      </c>
      <c r="E124" s="30" t="inlineStr">
        <is>
          <t>정면충돌</t>
        </is>
      </c>
      <c r="F124" s="30" t="inlineStr">
        <is>
          <t>(16, 19)&lt;-&gt;(17, 19)</t>
        </is>
      </c>
      <c r="G124" s="31" t="n">
        <v>56.3</v>
      </c>
      <c r="H124" s="30" t="inlineStr">
        <is>
          <t>O0111</t>
        </is>
      </c>
    </row>
    <row r="125">
      <c r="A125" s="32" t="n">
        <v>124</v>
      </c>
      <c r="B125" s="31" t="n">
        <v>5829.6</v>
      </c>
      <c r="C125" s="30" t="inlineStr">
        <is>
          <t>AMR1</t>
        </is>
      </c>
      <c r="D125" s="30" t="inlineStr">
        <is>
          <t>AMR2</t>
        </is>
      </c>
      <c r="E125" s="30" t="inlineStr">
        <is>
          <t>경로충돌</t>
        </is>
      </c>
      <c r="F125" s="30" t="inlineStr">
        <is>
          <t>(14, 19)</t>
        </is>
      </c>
      <c r="G125" s="31" t="n">
        <v>29.2</v>
      </c>
      <c r="H125" s="30" t="inlineStr">
        <is>
          <t>O0119</t>
        </is>
      </c>
    </row>
    <row r="126">
      <c r="A126" s="32" t="n">
        <v>125</v>
      </c>
      <c r="B126" s="31" t="n">
        <v>5830</v>
      </c>
      <c r="C126" s="30" t="inlineStr">
        <is>
          <t>AMR1</t>
        </is>
      </c>
      <c r="D126" s="30" t="inlineStr">
        <is>
          <t>AMR2</t>
        </is>
      </c>
      <c r="E126" s="30" t="inlineStr">
        <is>
          <t>정면충돌</t>
        </is>
      </c>
      <c r="F126" s="30" t="inlineStr">
        <is>
          <t>(14, 19)&lt;-&gt;(15, 19)</t>
        </is>
      </c>
      <c r="G126" s="31" t="n">
        <v>29</v>
      </c>
      <c r="H126" s="30" t="inlineStr">
        <is>
          <t>O0119</t>
        </is>
      </c>
    </row>
    <row r="127">
      <c r="A127" s="32" t="n">
        <v>126</v>
      </c>
      <c r="B127" s="31" t="n">
        <v>5897.1</v>
      </c>
      <c r="C127" s="30" t="inlineStr">
        <is>
          <t>AMR2</t>
        </is>
      </c>
      <c r="D127" s="30" t="inlineStr">
        <is>
          <t>AMR3</t>
        </is>
      </c>
      <c r="E127" s="30" t="inlineStr">
        <is>
          <t>경로충돌</t>
        </is>
      </c>
      <c r="F127" s="30" t="inlineStr">
        <is>
          <t>(18, 16)</t>
        </is>
      </c>
      <c r="G127" s="31" t="n">
        <v>22</v>
      </c>
      <c r="H127" s="30" t="inlineStr">
        <is>
          <t>O0120</t>
        </is>
      </c>
    </row>
    <row r="128">
      <c r="A128" s="32" t="n">
        <v>127</v>
      </c>
      <c r="B128" s="31" t="n">
        <v>5898.4</v>
      </c>
      <c r="C128" s="30" t="inlineStr">
        <is>
          <t>AMR2</t>
        </is>
      </c>
      <c r="D128" s="30" t="inlineStr">
        <is>
          <t>AMR3</t>
        </is>
      </c>
      <c r="E128" s="30" t="inlineStr">
        <is>
          <t>정면충돌</t>
        </is>
      </c>
      <c r="F128" s="30" t="inlineStr">
        <is>
          <t>(18, 15)&lt;-&gt;(18, 16)</t>
        </is>
      </c>
      <c r="G128" s="31" t="n">
        <v>44.9</v>
      </c>
      <c r="H128" s="30" t="inlineStr">
        <is>
          <t>O0120</t>
        </is>
      </c>
    </row>
    <row r="129">
      <c r="A129" s="32" t="n">
        <v>128</v>
      </c>
      <c r="B129" s="31" t="n">
        <v>5906.9</v>
      </c>
      <c r="C129" s="30" t="inlineStr">
        <is>
          <t>AMR1</t>
        </is>
      </c>
      <c r="D129" s="30" t="inlineStr">
        <is>
          <t>AMR2</t>
        </is>
      </c>
      <c r="E129" s="30" t="inlineStr">
        <is>
          <t>경로충돌</t>
        </is>
      </c>
      <c r="F129" s="30" t="inlineStr">
        <is>
          <t>(18, 10)</t>
        </is>
      </c>
      <c r="G129" s="31" t="n">
        <v>34.8</v>
      </c>
      <c r="H129" s="30" t="inlineStr">
        <is>
          <t>O0120</t>
        </is>
      </c>
    </row>
    <row r="130">
      <c r="A130" s="32" t="n">
        <v>129</v>
      </c>
      <c r="B130" s="31" t="n">
        <v>5907.8</v>
      </c>
      <c r="C130" s="30" t="inlineStr">
        <is>
          <t>AMR1</t>
        </is>
      </c>
      <c r="D130" s="30" t="inlineStr">
        <is>
          <t>AMR2</t>
        </is>
      </c>
      <c r="E130" s="30" t="inlineStr">
        <is>
          <t>정면충돌</t>
        </is>
      </c>
      <c r="F130" s="30" t="inlineStr">
        <is>
          <t>(18, 10)&lt;-&gt;(18, 11)</t>
        </is>
      </c>
      <c r="G130" s="31" t="n">
        <v>46.1</v>
      </c>
      <c r="H130" s="30" t="inlineStr">
        <is>
          <t>O0120</t>
        </is>
      </c>
    </row>
    <row r="131">
      <c r="A131" s="32" t="n">
        <v>130</v>
      </c>
      <c r="B131" s="31" t="n">
        <v>5971.1</v>
      </c>
      <c r="C131" s="30" t="inlineStr">
        <is>
          <t>AMR1</t>
        </is>
      </c>
      <c r="D131" s="30" t="inlineStr">
        <is>
          <t>AMR3</t>
        </is>
      </c>
      <c r="E131" s="30" t="inlineStr">
        <is>
          <t>정면충돌</t>
        </is>
      </c>
      <c r="F131" s="30" t="inlineStr">
        <is>
          <t>(15, 19)&lt;-&gt;(16, 19)</t>
        </is>
      </c>
      <c r="G131" s="31" t="n">
        <v>52.5</v>
      </c>
      <c r="H131" s="30" t="inlineStr">
        <is>
          <t>O0121</t>
        </is>
      </c>
    </row>
    <row r="132">
      <c r="A132" s="32" t="n">
        <v>131</v>
      </c>
      <c r="B132" s="31" t="n">
        <v>5977.5</v>
      </c>
      <c r="C132" s="30" t="inlineStr">
        <is>
          <t>AMR2</t>
        </is>
      </c>
      <c r="D132" s="30" t="inlineStr">
        <is>
          <t>AMR3</t>
        </is>
      </c>
      <c r="E132" s="30" t="inlineStr">
        <is>
          <t>경로충돌</t>
        </is>
      </c>
      <c r="F132" s="30" t="inlineStr">
        <is>
          <t>(16, 19)</t>
        </is>
      </c>
      <c r="G132" s="31" t="n">
        <v>57.7</v>
      </c>
      <c r="H132" s="30" t="inlineStr">
        <is>
          <t>O0122</t>
        </is>
      </c>
    </row>
    <row r="133">
      <c r="A133" s="32" t="n">
        <v>132</v>
      </c>
      <c r="B133" s="31" t="n">
        <v>5979.1</v>
      </c>
      <c r="C133" s="30" t="inlineStr">
        <is>
          <t>AMR2</t>
        </is>
      </c>
      <c r="D133" s="30" t="inlineStr">
        <is>
          <t>AMR3</t>
        </is>
      </c>
      <c r="E133" s="30" t="inlineStr">
        <is>
          <t>정면충돌</t>
        </is>
      </c>
      <c r="F133" s="30" t="inlineStr">
        <is>
          <t>(15, 19)&lt;-&gt;(16, 19)</t>
        </is>
      </c>
      <c r="G133" s="31" t="n">
        <v>52.1</v>
      </c>
      <c r="H133" s="30" t="inlineStr">
        <is>
          <t>O0122</t>
        </is>
      </c>
    </row>
    <row r="134">
      <c r="A134" s="32" t="n">
        <v>133</v>
      </c>
      <c r="B134" s="31" t="n">
        <v>6134.1</v>
      </c>
      <c r="C134" s="30" t="inlineStr">
        <is>
          <t>AMR1</t>
        </is>
      </c>
      <c r="D134" s="30" t="inlineStr">
        <is>
          <t>AMR2</t>
        </is>
      </c>
      <c r="E134" s="30" t="inlineStr">
        <is>
          <t>경로충돌</t>
        </is>
      </c>
      <c r="F134" s="30" t="inlineStr">
        <is>
          <t>(18, 11)</t>
        </is>
      </c>
      <c r="G134" s="31" t="n">
        <v>53.5</v>
      </c>
      <c r="H134" s="30" t="inlineStr">
        <is>
          <t>O0125</t>
        </is>
      </c>
    </row>
    <row r="135">
      <c r="A135" s="32" t="n">
        <v>134</v>
      </c>
      <c r="B135" s="31" t="n">
        <v>6135.1</v>
      </c>
      <c r="C135" s="30" t="inlineStr">
        <is>
          <t>AMR1</t>
        </is>
      </c>
      <c r="D135" s="30" t="inlineStr">
        <is>
          <t>AMR2</t>
        </is>
      </c>
      <c r="E135" s="30" t="inlineStr">
        <is>
          <t>정면충돌</t>
        </is>
      </c>
      <c r="F135" s="30" t="inlineStr">
        <is>
          <t>(18, 10)&lt;-&gt;(18, 11)</t>
        </is>
      </c>
      <c r="G135" s="31" t="n">
        <v>35.2</v>
      </c>
      <c r="H135" s="30" t="inlineStr">
        <is>
          <t>O0125</t>
        </is>
      </c>
    </row>
    <row r="136">
      <c r="A136" s="32" t="n">
        <v>135</v>
      </c>
      <c r="B136" s="31" t="n">
        <v>6304.4</v>
      </c>
      <c r="C136" s="30" t="inlineStr">
        <is>
          <t>AMR1</t>
        </is>
      </c>
      <c r="D136" s="30" t="inlineStr">
        <is>
          <t>AMR2</t>
        </is>
      </c>
      <c r="E136" s="30" t="inlineStr">
        <is>
          <t>경로충돌</t>
        </is>
      </c>
      <c r="F136" s="30" t="inlineStr">
        <is>
          <t>(18, 12)</t>
        </is>
      </c>
      <c r="G136" s="31" t="n">
        <v>22.1</v>
      </c>
      <c r="H136" s="30" t="inlineStr">
        <is>
          <t>O0129</t>
        </is>
      </c>
    </row>
    <row r="137">
      <c r="A137" s="32" t="n">
        <v>136</v>
      </c>
      <c r="B137" s="31" t="n">
        <v>6304.6</v>
      </c>
      <c r="C137" s="30" t="inlineStr">
        <is>
          <t>AMR1</t>
        </is>
      </c>
      <c r="D137" s="30" t="inlineStr">
        <is>
          <t>AMR2</t>
        </is>
      </c>
      <c r="E137" s="30" t="inlineStr">
        <is>
          <t>정면충돌</t>
        </is>
      </c>
      <c r="F137" s="30" t="inlineStr">
        <is>
          <t>(18, 11)&lt;-&gt;(18, 12)</t>
        </is>
      </c>
      <c r="G137" s="31" t="n">
        <v>50.8</v>
      </c>
      <c r="H137" s="30" t="inlineStr">
        <is>
          <t>O0129</t>
        </is>
      </c>
    </row>
    <row r="138">
      <c r="A138" s="32" t="n">
        <v>137</v>
      </c>
      <c r="B138" s="31" t="n">
        <v>6346.8</v>
      </c>
      <c r="C138" s="30" t="inlineStr">
        <is>
          <t>AMR1</t>
        </is>
      </c>
      <c r="D138" s="30" t="inlineStr">
        <is>
          <t>AMR3</t>
        </is>
      </c>
      <c r="E138" s="30" t="inlineStr">
        <is>
          <t>경로충돌</t>
        </is>
      </c>
      <c r="F138" s="30" t="inlineStr">
        <is>
          <t>(18, 16)</t>
        </is>
      </c>
      <c r="G138" s="31" t="n">
        <v>59.8</v>
      </c>
      <c r="H138" s="30" t="inlineStr">
        <is>
          <t>O0129</t>
        </is>
      </c>
    </row>
    <row r="139">
      <c r="A139" s="32" t="n">
        <v>138</v>
      </c>
      <c r="B139" s="31" t="n">
        <v>6347.3</v>
      </c>
      <c r="C139" s="30" t="inlineStr">
        <is>
          <t>AMR1</t>
        </is>
      </c>
      <c r="D139" s="30" t="inlineStr">
        <is>
          <t>AMR3</t>
        </is>
      </c>
      <c r="E139" s="30" t="inlineStr">
        <is>
          <t>정면충돌</t>
        </is>
      </c>
      <c r="F139" s="30" t="inlineStr">
        <is>
          <t>(18, 15)&lt;-&gt;(18, 16)</t>
        </is>
      </c>
      <c r="G139" s="31" t="n">
        <v>38.5</v>
      </c>
      <c r="H139" s="30" t="inlineStr">
        <is>
          <t>O0129</t>
        </is>
      </c>
    </row>
    <row r="140">
      <c r="A140" s="32" t="n">
        <v>139</v>
      </c>
      <c r="B140" s="31" t="n">
        <v>6475.1</v>
      </c>
      <c r="C140" s="30" t="inlineStr">
        <is>
          <t>AMR2</t>
        </is>
      </c>
      <c r="D140" s="30" t="inlineStr">
        <is>
          <t>AMR3</t>
        </is>
      </c>
      <c r="E140" s="30" t="inlineStr">
        <is>
          <t>경로충돌</t>
        </is>
      </c>
      <c r="F140" s="30" t="inlineStr">
        <is>
          <t>(18, 14)</t>
        </is>
      </c>
      <c r="G140" s="31" t="n">
        <v>56</v>
      </c>
      <c r="H140" s="30" t="inlineStr">
        <is>
          <t>O0133</t>
        </is>
      </c>
    </row>
    <row r="141">
      <c r="A141" s="32" t="n">
        <v>140</v>
      </c>
      <c r="B141" s="31" t="n">
        <v>6475.4</v>
      </c>
      <c r="C141" s="30" t="inlineStr">
        <is>
          <t>AMR2</t>
        </is>
      </c>
      <c r="D141" s="30" t="inlineStr">
        <is>
          <t>AMR3</t>
        </is>
      </c>
      <c r="E141" s="30" t="inlineStr">
        <is>
          <t>정면충돌</t>
        </is>
      </c>
      <c r="F141" s="30" t="inlineStr">
        <is>
          <t>(18, 13)&lt;-&gt;(18, 14)</t>
        </is>
      </c>
      <c r="G141" s="31" t="n">
        <v>42.6</v>
      </c>
      <c r="H141" s="30" t="inlineStr">
        <is>
          <t>O0133</t>
        </is>
      </c>
    </row>
    <row r="142">
      <c r="A142" s="32" t="n">
        <v>141</v>
      </c>
      <c r="B142" s="31" t="n">
        <v>6613.3</v>
      </c>
      <c r="C142" s="30" t="inlineStr">
        <is>
          <t>AMR1</t>
        </is>
      </c>
      <c r="D142" s="30" t="inlineStr">
        <is>
          <t>AMR2</t>
        </is>
      </c>
      <c r="E142" s="30" t="inlineStr">
        <is>
          <t>경로충돌</t>
        </is>
      </c>
      <c r="F142" s="30" t="inlineStr">
        <is>
          <t>(18, 10)</t>
        </is>
      </c>
      <c r="G142" s="31" t="n">
        <v>35.4</v>
      </c>
      <c r="H142" s="30" t="inlineStr">
        <is>
          <t>O0136</t>
        </is>
      </c>
    </row>
    <row r="143">
      <c r="A143" s="32" t="n">
        <v>142</v>
      </c>
      <c r="B143" s="31" t="n">
        <v>6614.2</v>
      </c>
      <c r="C143" s="30" t="inlineStr">
        <is>
          <t>AMR1</t>
        </is>
      </c>
      <c r="D143" s="30" t="inlineStr">
        <is>
          <t>AMR2</t>
        </is>
      </c>
      <c r="E143" s="30" t="inlineStr">
        <is>
          <t>정면충돌</t>
        </is>
      </c>
      <c r="F143" s="30" t="inlineStr">
        <is>
          <t>(18, 9)&lt;-&gt;(18, 10)</t>
        </is>
      </c>
      <c r="G143" s="31" t="n">
        <v>53.3</v>
      </c>
      <c r="H143" s="30" t="inlineStr">
        <is>
          <t>O0136</t>
        </is>
      </c>
    </row>
    <row r="144">
      <c r="A144" s="32" t="n">
        <v>143</v>
      </c>
      <c r="B144" s="31" t="n">
        <v>6888.9</v>
      </c>
      <c r="C144" s="30" t="inlineStr">
        <is>
          <t>AMR1</t>
        </is>
      </c>
      <c r="D144" s="30" t="inlineStr">
        <is>
          <t>AMR3</t>
        </is>
      </c>
      <c r="E144" s="30" t="inlineStr">
        <is>
          <t>경로충돌</t>
        </is>
      </c>
      <c r="F144" s="30" t="inlineStr">
        <is>
          <t>(15, 19)</t>
        </is>
      </c>
      <c r="G144" s="31" t="n">
        <v>22.5</v>
      </c>
      <c r="H144" s="30" t="inlineStr"/>
    </row>
    <row r="145">
      <c r="A145" s="32" t="n">
        <v>144</v>
      </c>
      <c r="B145" s="31" t="n">
        <v>6889.5</v>
      </c>
      <c r="C145" s="30" t="inlineStr">
        <is>
          <t>AMR1</t>
        </is>
      </c>
      <c r="D145" s="30" t="inlineStr">
        <is>
          <t>AMR3</t>
        </is>
      </c>
      <c r="E145" s="30" t="inlineStr">
        <is>
          <t>정면충돌</t>
        </is>
      </c>
      <c r="F145" s="30" t="inlineStr">
        <is>
          <t>(14, 19)&lt;-&gt;(15, 19)</t>
        </is>
      </c>
      <c r="G145" s="31" t="n">
        <v>34.5</v>
      </c>
      <c r="H145" s="30" t="inlineStr">
        <is>
          <t>O0141</t>
        </is>
      </c>
    </row>
    <row r="146">
      <c r="A146" s="32" t="n">
        <v>145</v>
      </c>
      <c r="B146" s="31" t="n">
        <v>6963.1</v>
      </c>
      <c r="C146" s="30" t="inlineStr">
        <is>
          <t>AMR2</t>
        </is>
      </c>
      <c r="D146" s="30" t="inlineStr">
        <is>
          <t>AMR3</t>
        </is>
      </c>
      <c r="E146" s="30" t="inlineStr">
        <is>
          <t>경로충돌</t>
        </is>
      </c>
      <c r="F146" s="30" t="inlineStr">
        <is>
          <t>(19, 9)</t>
        </is>
      </c>
      <c r="G146" s="31" t="n">
        <v>47.8</v>
      </c>
      <c r="H146" s="30" t="inlineStr">
        <is>
          <t>O0142</t>
        </is>
      </c>
    </row>
    <row r="147">
      <c r="A147" s="32" t="n">
        <v>146</v>
      </c>
      <c r="B147" s="31" t="n">
        <v>6963.8</v>
      </c>
      <c r="C147" s="30" t="inlineStr">
        <is>
          <t>AMR2</t>
        </is>
      </c>
      <c r="D147" s="30" t="inlineStr">
        <is>
          <t>AMR3</t>
        </is>
      </c>
      <c r="E147" s="30" t="inlineStr">
        <is>
          <t>정면충돌</t>
        </is>
      </c>
      <c r="F147" s="30" t="inlineStr">
        <is>
          <t>(18, 9)&lt;-&gt;(19, 9)</t>
        </is>
      </c>
      <c r="G147" s="31" t="n">
        <v>23.3</v>
      </c>
      <c r="H147" s="30" t="inlineStr">
        <is>
          <t>O0142</t>
        </is>
      </c>
    </row>
    <row r="148">
      <c r="A148" s="32" t="n">
        <v>147</v>
      </c>
      <c r="B148" s="31" t="n">
        <v>6967.8</v>
      </c>
      <c r="C148" s="30" t="inlineStr">
        <is>
          <t>AMR1</t>
        </is>
      </c>
      <c r="D148" s="30" t="inlineStr">
        <is>
          <t>AMR2</t>
        </is>
      </c>
      <c r="E148" s="30" t="inlineStr">
        <is>
          <t>경로충돌</t>
        </is>
      </c>
      <c r="F148" s="30" t="inlineStr">
        <is>
          <t>(18, 9)</t>
        </is>
      </c>
      <c r="G148" s="31" t="n">
        <v>42.2</v>
      </c>
      <c r="H148" s="30" t="inlineStr"/>
    </row>
    <row r="149">
      <c r="A149" s="32" t="n">
        <v>148</v>
      </c>
      <c r="B149" s="31" t="n">
        <v>6970.2</v>
      </c>
      <c r="C149" s="30" t="inlineStr">
        <is>
          <t>AMR2</t>
        </is>
      </c>
      <c r="D149" s="30" t="inlineStr">
        <is>
          <t>AMR3</t>
        </is>
      </c>
      <c r="E149" s="30" t="inlineStr">
        <is>
          <t>경로충돌</t>
        </is>
      </c>
      <c r="F149" s="30" t="inlineStr">
        <is>
          <t>(20, 9)</t>
        </is>
      </c>
      <c r="G149" s="31" t="n">
        <v>35.5</v>
      </c>
      <c r="H149" s="30" t="inlineStr">
        <is>
          <t>O0142</t>
        </is>
      </c>
    </row>
    <row r="150">
      <c r="A150" s="32" t="n">
        <v>149</v>
      </c>
      <c r="B150" s="31" t="n">
        <v>7040.1</v>
      </c>
      <c r="C150" s="30" t="inlineStr">
        <is>
          <t>AMR2</t>
        </is>
      </c>
      <c r="D150" s="30" t="inlineStr">
        <is>
          <t>AMR3</t>
        </is>
      </c>
      <c r="E150" s="30" t="inlineStr">
        <is>
          <t>경로충돌</t>
        </is>
      </c>
      <c r="F150" s="30" t="inlineStr">
        <is>
          <t>(12, 19)</t>
        </is>
      </c>
      <c r="G150" s="31" t="n">
        <v>28.8</v>
      </c>
      <c r="H150" s="30" t="inlineStr">
        <is>
          <t>O0144</t>
        </is>
      </c>
    </row>
    <row r="151">
      <c r="A151" s="32" t="n">
        <v>150</v>
      </c>
      <c r="B151" s="31" t="n">
        <v>7040.3</v>
      </c>
      <c r="C151" s="30" t="inlineStr">
        <is>
          <t>AMR2</t>
        </is>
      </c>
      <c r="D151" s="30" t="inlineStr">
        <is>
          <t>AMR3</t>
        </is>
      </c>
      <c r="E151" s="30" t="inlineStr">
        <is>
          <t>정면충돌</t>
        </is>
      </c>
      <c r="F151" s="30" t="inlineStr">
        <is>
          <t>(12, 19)&lt;-&gt;(13, 19)</t>
        </is>
      </c>
      <c r="G151" s="31" t="n">
        <v>36.3</v>
      </c>
      <c r="H151" s="30" t="inlineStr">
        <is>
          <t>O0144</t>
        </is>
      </c>
    </row>
    <row r="152">
      <c r="A152" s="32" t="n">
        <v>151</v>
      </c>
      <c r="B152" s="31" t="n">
        <v>7108</v>
      </c>
      <c r="C152" s="30" t="inlineStr">
        <is>
          <t>AMR1</t>
        </is>
      </c>
      <c r="D152" s="30" t="inlineStr">
        <is>
          <t>AMR2</t>
        </is>
      </c>
      <c r="E152" s="30" t="inlineStr">
        <is>
          <t>경로충돌</t>
        </is>
      </c>
      <c r="F152" s="30" t="inlineStr">
        <is>
          <t>(17, 19)</t>
        </is>
      </c>
      <c r="G152" s="31" t="n">
        <v>49.7</v>
      </c>
      <c r="H152" s="30" t="inlineStr">
        <is>
          <t>O0145</t>
        </is>
      </c>
    </row>
    <row r="153">
      <c r="A153" s="32" t="n">
        <v>152</v>
      </c>
      <c r="B153" s="31" t="n">
        <v>7108.3</v>
      </c>
      <c r="C153" s="30" t="inlineStr">
        <is>
          <t>AMR1</t>
        </is>
      </c>
      <c r="D153" s="30" t="inlineStr">
        <is>
          <t>AMR2</t>
        </is>
      </c>
      <c r="E153" s="30" t="inlineStr">
        <is>
          <t>정면충돌</t>
        </is>
      </c>
      <c r="F153" s="30" t="inlineStr">
        <is>
          <t>(16, 19)&lt;-&gt;(17, 19)</t>
        </is>
      </c>
      <c r="G153" s="31" t="n">
        <v>46.8</v>
      </c>
      <c r="H153" s="30" t="inlineStr">
        <is>
          <t>O0145</t>
        </is>
      </c>
    </row>
    <row r="154">
      <c r="A154" s="32" t="n">
        <v>153</v>
      </c>
      <c r="B154" s="31" t="n">
        <v>7117.3</v>
      </c>
      <c r="C154" s="30" t="inlineStr">
        <is>
          <t>AMR1</t>
        </is>
      </c>
      <c r="D154" s="30" t="inlineStr">
        <is>
          <t>AMR3</t>
        </is>
      </c>
      <c r="E154" s="30" t="inlineStr">
        <is>
          <t>경로충돌</t>
        </is>
      </c>
      <c r="F154" s="30" t="inlineStr">
        <is>
          <t>(16, 19)</t>
        </is>
      </c>
      <c r="G154" s="31" t="n">
        <v>43.7</v>
      </c>
      <c r="H154" s="30" t="inlineStr">
        <is>
          <t>O0146</t>
        </is>
      </c>
    </row>
    <row r="155">
      <c r="A155" s="32" t="n">
        <v>154</v>
      </c>
      <c r="B155" s="31" t="n">
        <v>7117.9</v>
      </c>
      <c r="C155" s="30" t="inlineStr">
        <is>
          <t>AMR1</t>
        </is>
      </c>
      <c r="D155" s="30" t="inlineStr">
        <is>
          <t>AMR3</t>
        </is>
      </c>
      <c r="E155" s="30" t="inlineStr">
        <is>
          <t>정면충돌</t>
        </is>
      </c>
      <c r="F155" s="30" t="inlineStr">
        <is>
          <t>(16, 19)&lt;-&gt;(17, 19)</t>
        </is>
      </c>
      <c r="G155" s="31" t="n">
        <v>51</v>
      </c>
      <c r="H155" s="30" t="inlineStr">
        <is>
          <t>O0146</t>
        </is>
      </c>
    </row>
    <row r="156">
      <c r="A156" s="32" t="n">
        <v>155</v>
      </c>
      <c r="B156" s="31" t="n">
        <v>7192.7</v>
      </c>
      <c r="C156" s="30" t="inlineStr">
        <is>
          <t>AMR2</t>
        </is>
      </c>
      <c r="D156" s="30" t="inlineStr">
        <is>
          <t>AMR3</t>
        </is>
      </c>
      <c r="E156" s="30" t="inlineStr">
        <is>
          <t>경로충돌</t>
        </is>
      </c>
      <c r="F156" s="30" t="inlineStr">
        <is>
          <t>(14, 19)</t>
        </is>
      </c>
      <c r="G156" s="31" t="n">
        <v>36.4</v>
      </c>
      <c r="H156" s="30" t="inlineStr">
        <is>
          <t>O0147</t>
        </is>
      </c>
    </row>
    <row r="157">
      <c r="A157" s="32" t="n">
        <v>156</v>
      </c>
      <c r="B157" s="31" t="n">
        <v>7193.3</v>
      </c>
      <c r="C157" s="30" t="inlineStr">
        <is>
          <t>AMR2</t>
        </is>
      </c>
      <c r="D157" s="30" t="inlineStr">
        <is>
          <t>AMR3</t>
        </is>
      </c>
      <c r="E157" s="30" t="inlineStr">
        <is>
          <t>정면충돌</t>
        </is>
      </c>
      <c r="F157" s="30" t="inlineStr">
        <is>
          <t>(14, 19)&lt;-&gt;(15, 19)</t>
        </is>
      </c>
      <c r="G157" s="31" t="n">
        <v>43.2</v>
      </c>
      <c r="H157" s="30" t="inlineStr">
        <is>
          <t>O0147</t>
        </is>
      </c>
    </row>
    <row r="158">
      <c r="A158" s="32" t="n">
        <v>157</v>
      </c>
      <c r="B158" s="31" t="n">
        <v>7277.1</v>
      </c>
      <c r="C158" s="30" t="inlineStr">
        <is>
          <t>AMR1</t>
        </is>
      </c>
      <c r="D158" s="30" t="inlineStr">
        <is>
          <t>AMR2</t>
        </is>
      </c>
      <c r="E158" s="30" t="inlineStr">
        <is>
          <t>경로충돌</t>
        </is>
      </c>
      <c r="F158" s="30" t="inlineStr">
        <is>
          <t>(18, 11)</t>
        </is>
      </c>
      <c r="G158" s="31" t="n">
        <v>24</v>
      </c>
      <c r="H158" s="30" t="inlineStr">
        <is>
          <t>O0149</t>
        </is>
      </c>
    </row>
    <row r="159">
      <c r="A159" s="32" t="n">
        <v>158</v>
      </c>
      <c r="B159" s="31" t="n">
        <v>7278.1</v>
      </c>
      <c r="C159" s="30" t="inlineStr">
        <is>
          <t>AMR1</t>
        </is>
      </c>
      <c r="D159" s="30" t="inlineStr">
        <is>
          <t>AMR2</t>
        </is>
      </c>
      <c r="E159" s="30" t="inlineStr">
        <is>
          <t>정면충돌</t>
        </is>
      </c>
      <c r="F159" s="30" t="inlineStr">
        <is>
          <t>(18, 10)&lt;-&gt;(18, 11)</t>
        </is>
      </c>
      <c r="G159" s="31" t="n">
        <v>46.4</v>
      </c>
      <c r="H159" s="30" t="inlineStr">
        <is>
          <t>O0149</t>
        </is>
      </c>
    </row>
    <row r="160">
      <c r="A160" s="32" t="n">
        <v>159</v>
      </c>
      <c r="B160" s="31" t="n">
        <v>7353.5</v>
      </c>
      <c r="C160" s="30" t="inlineStr">
        <is>
          <t>AMR1</t>
        </is>
      </c>
      <c r="D160" s="30" t="inlineStr">
        <is>
          <t>AMR2</t>
        </is>
      </c>
      <c r="E160" s="30" t="inlineStr">
        <is>
          <t>경로충돌</t>
        </is>
      </c>
      <c r="F160" s="30" t="inlineStr">
        <is>
          <t>(13, 19)</t>
        </is>
      </c>
      <c r="G160" s="31" t="n">
        <v>46.7</v>
      </c>
      <c r="H160" s="30" t="inlineStr">
        <is>
          <t>O0150</t>
        </is>
      </c>
    </row>
    <row r="161">
      <c r="A161" s="32" t="n">
        <v>160</v>
      </c>
      <c r="B161" s="31" t="n">
        <v>7355</v>
      </c>
      <c r="C161" s="30" t="inlineStr">
        <is>
          <t>AMR1</t>
        </is>
      </c>
      <c r="D161" s="30" t="inlineStr">
        <is>
          <t>AMR2</t>
        </is>
      </c>
      <c r="E161" s="30" t="inlineStr">
        <is>
          <t>정면충돌</t>
        </is>
      </c>
      <c r="F161" s="30" t="inlineStr">
        <is>
          <t>(13, 19)&lt;-&gt;(14, 19)</t>
        </is>
      </c>
      <c r="G161" s="31" t="n">
        <v>45.1</v>
      </c>
      <c r="H161" s="30" t="inlineStr">
        <is>
          <t>O0150</t>
        </is>
      </c>
    </row>
    <row r="162">
      <c r="A162" s="32" t="n">
        <v>161</v>
      </c>
      <c r="B162" s="31" t="n">
        <v>7630</v>
      </c>
      <c r="C162" s="30" t="inlineStr">
        <is>
          <t>AMR1</t>
        </is>
      </c>
      <c r="D162" s="30" t="inlineStr">
        <is>
          <t>AMR3</t>
        </is>
      </c>
      <c r="E162" s="30" t="inlineStr">
        <is>
          <t>정면충돌</t>
        </is>
      </c>
      <c r="F162" s="30" t="inlineStr">
        <is>
          <t>(17, 9)&lt;-&gt;(17, 10)</t>
        </is>
      </c>
      <c r="G162" s="31" t="n">
        <v>51.9</v>
      </c>
      <c r="H162" s="30" t="inlineStr">
        <is>
          <t>O0157</t>
        </is>
      </c>
    </row>
    <row r="163">
      <c r="A163" s="32" t="n">
        <v>162</v>
      </c>
      <c r="B163" s="31" t="n">
        <v>7633.9</v>
      </c>
      <c r="C163" s="30" t="inlineStr">
        <is>
          <t>AMR1</t>
        </is>
      </c>
      <c r="D163" s="30" t="inlineStr">
        <is>
          <t>AMR2</t>
        </is>
      </c>
      <c r="E163" s="30" t="inlineStr">
        <is>
          <t>경로충돌</t>
        </is>
      </c>
      <c r="F163" s="30" t="inlineStr">
        <is>
          <t>(18, 9)</t>
        </is>
      </c>
      <c r="G163" s="31" t="n">
        <v>59.4</v>
      </c>
      <c r="H163" s="30" t="inlineStr"/>
    </row>
    <row r="164">
      <c r="A164" s="32" t="n">
        <v>163</v>
      </c>
      <c r="B164" s="31" t="n">
        <v>7648.8</v>
      </c>
      <c r="C164" s="30" t="inlineStr">
        <is>
          <t>AMR1</t>
        </is>
      </c>
      <c r="D164" s="30" t="inlineStr">
        <is>
          <t>AMR2</t>
        </is>
      </c>
      <c r="E164" s="30" t="inlineStr">
        <is>
          <t>경로충돌</t>
        </is>
      </c>
      <c r="F164" s="30" t="inlineStr">
        <is>
          <t>(17, 19)</t>
        </is>
      </c>
      <c r="G164" s="31" t="n">
        <v>48.9</v>
      </c>
      <c r="H164" s="30" t="inlineStr">
        <is>
          <t>O0156</t>
        </is>
      </c>
    </row>
    <row r="165">
      <c r="A165" s="32" t="n">
        <v>164</v>
      </c>
      <c r="B165" s="31" t="n">
        <v>7649.1</v>
      </c>
      <c r="C165" s="30" t="inlineStr">
        <is>
          <t>AMR1</t>
        </is>
      </c>
      <c r="D165" s="30" t="inlineStr">
        <is>
          <t>AMR2</t>
        </is>
      </c>
      <c r="E165" s="30" t="inlineStr">
        <is>
          <t>정면충돌</t>
        </is>
      </c>
      <c r="F165" s="30" t="inlineStr">
        <is>
          <t>(16, 19)&lt;-&gt;(17, 19)</t>
        </is>
      </c>
      <c r="G165" s="31" t="n">
        <v>59</v>
      </c>
      <c r="H165" s="30" t="inlineStr">
        <is>
          <t>O0156</t>
        </is>
      </c>
    </row>
    <row r="166">
      <c r="A166" s="32" t="n">
        <v>165</v>
      </c>
      <c r="B166" s="31" t="n">
        <v>7655.7</v>
      </c>
      <c r="C166" s="30" t="inlineStr">
        <is>
          <t>AMR1</t>
        </is>
      </c>
      <c r="D166" s="30" t="inlineStr">
        <is>
          <t>AMR3</t>
        </is>
      </c>
      <c r="E166" s="30" t="inlineStr">
        <is>
          <t>경로충돌</t>
        </is>
      </c>
      <c r="F166" s="30" t="inlineStr">
        <is>
          <t>(17, 16)</t>
        </is>
      </c>
      <c r="G166" s="31" t="n">
        <v>46.2</v>
      </c>
      <c r="H166" s="30" t="inlineStr">
        <is>
          <t>O0156</t>
        </is>
      </c>
    </row>
    <row r="167">
      <c r="A167" s="32" t="n">
        <v>166</v>
      </c>
      <c r="B167" s="31" t="n">
        <v>7660.1</v>
      </c>
      <c r="C167" s="30" t="inlineStr">
        <is>
          <t>AMR2</t>
        </is>
      </c>
      <c r="D167" s="30" t="inlineStr">
        <is>
          <t>AMR3</t>
        </is>
      </c>
      <c r="E167" s="30" t="inlineStr">
        <is>
          <t>경로충돌</t>
        </is>
      </c>
      <c r="F167" s="30" t="inlineStr">
        <is>
          <t>(17, 17)</t>
        </is>
      </c>
      <c r="G167" s="31" t="n">
        <v>31.1</v>
      </c>
      <c r="H167" s="30" t="inlineStr">
        <is>
          <t>O0157</t>
        </is>
      </c>
    </row>
    <row r="168">
      <c r="A168" s="32" t="n">
        <v>167</v>
      </c>
      <c r="B168" s="31" t="n">
        <v>7660.7</v>
      </c>
      <c r="C168" s="30" t="inlineStr">
        <is>
          <t>AMR2</t>
        </is>
      </c>
      <c r="D168" s="30" t="inlineStr">
        <is>
          <t>AMR3</t>
        </is>
      </c>
      <c r="E168" s="30" t="inlineStr">
        <is>
          <t>정면충돌</t>
        </is>
      </c>
      <c r="F168" s="30" t="inlineStr">
        <is>
          <t>(17, 16)&lt;-&gt;(17, 17)</t>
        </is>
      </c>
      <c r="G168" s="31" t="n">
        <v>54.6</v>
      </c>
      <c r="H168" s="30" t="inlineStr">
        <is>
          <t>O0157</t>
        </is>
      </c>
    </row>
    <row r="169">
      <c r="A169" s="32" t="n">
        <v>168</v>
      </c>
      <c r="B169" s="31" t="n">
        <v>7917.1</v>
      </c>
      <c r="C169" s="30" t="inlineStr">
        <is>
          <t>AMR1</t>
        </is>
      </c>
      <c r="D169" s="30" t="inlineStr">
        <is>
          <t>AMR3</t>
        </is>
      </c>
      <c r="E169" s="30" t="inlineStr">
        <is>
          <t>경로충돌</t>
        </is>
      </c>
      <c r="F169" s="30" t="inlineStr">
        <is>
          <t>(20, 11)</t>
        </is>
      </c>
      <c r="G169" s="31" t="n">
        <v>46.8</v>
      </c>
      <c r="H169" s="30" t="inlineStr">
        <is>
          <t>O0163</t>
        </is>
      </c>
    </row>
    <row r="170">
      <c r="A170" s="32" t="n">
        <v>169</v>
      </c>
      <c r="B170" s="31" t="n">
        <v>7918</v>
      </c>
      <c r="C170" s="30" t="inlineStr">
        <is>
          <t>AMR1</t>
        </is>
      </c>
      <c r="D170" s="30" t="inlineStr">
        <is>
          <t>AMR3</t>
        </is>
      </c>
      <c r="E170" s="30" t="inlineStr">
        <is>
          <t>정면충돌</t>
        </is>
      </c>
      <c r="F170" s="30" t="inlineStr">
        <is>
          <t>(19, 11)&lt;-&gt;(20, 11)</t>
        </is>
      </c>
      <c r="G170" s="31" t="n">
        <v>45.1</v>
      </c>
      <c r="H170" s="30" t="inlineStr">
        <is>
          <t>O0163</t>
        </is>
      </c>
    </row>
    <row r="171">
      <c r="A171" s="32" t="n">
        <v>170</v>
      </c>
      <c r="B171" s="31" t="n">
        <v>7941.6</v>
      </c>
      <c r="C171" s="30" t="inlineStr">
        <is>
          <t>AMR2</t>
        </is>
      </c>
      <c r="D171" s="30" t="inlineStr">
        <is>
          <t>AMR3</t>
        </is>
      </c>
      <c r="E171" s="30" t="inlineStr">
        <is>
          <t>경로충돌</t>
        </is>
      </c>
      <c r="F171" s="30" t="inlineStr">
        <is>
          <t>(18, 16)</t>
        </is>
      </c>
      <c r="G171" s="31" t="n">
        <v>25.8</v>
      </c>
      <c r="H171" s="30" t="inlineStr">
        <is>
          <t>O0162</t>
        </is>
      </c>
    </row>
    <row r="172">
      <c r="A172" s="32" t="n">
        <v>171</v>
      </c>
      <c r="B172" s="31" t="n">
        <v>7942.5</v>
      </c>
      <c r="C172" s="30" t="inlineStr">
        <is>
          <t>AMR2</t>
        </is>
      </c>
      <c r="D172" s="30" t="inlineStr">
        <is>
          <t>AMR3</t>
        </is>
      </c>
      <c r="E172" s="30" t="inlineStr">
        <is>
          <t>정면충돌</t>
        </is>
      </c>
      <c r="F172" s="30" t="inlineStr">
        <is>
          <t>(18, 15)&lt;-&gt;(18, 16)</t>
        </is>
      </c>
      <c r="G172" s="31" t="n">
        <v>42.6</v>
      </c>
      <c r="H172" s="30" t="inlineStr">
        <is>
          <t>O0162</t>
        </is>
      </c>
    </row>
    <row r="173">
      <c r="A173" s="32" t="n">
        <v>172</v>
      </c>
      <c r="B173" s="31" t="n">
        <v>7953.1</v>
      </c>
      <c r="C173" s="30" t="inlineStr">
        <is>
          <t>AMR1</t>
        </is>
      </c>
      <c r="D173" s="30" t="inlineStr">
        <is>
          <t>AMR2</t>
        </is>
      </c>
      <c r="E173" s="30" t="inlineStr">
        <is>
          <t>경로충돌</t>
        </is>
      </c>
      <c r="F173" s="30" t="inlineStr">
        <is>
          <t>(16, 19)</t>
        </is>
      </c>
      <c r="G173" s="31" t="n">
        <v>33.6</v>
      </c>
      <c r="H173" s="30" t="inlineStr">
        <is>
          <t>O0163</t>
        </is>
      </c>
    </row>
    <row r="174">
      <c r="A174" s="32" t="n">
        <v>173</v>
      </c>
      <c r="B174" s="31" t="n">
        <v>7954.3</v>
      </c>
      <c r="C174" s="30" t="inlineStr">
        <is>
          <t>AMR1</t>
        </is>
      </c>
      <c r="D174" s="30" t="inlineStr">
        <is>
          <t>AMR2</t>
        </is>
      </c>
      <c r="E174" s="30" t="inlineStr">
        <is>
          <t>정면충돌</t>
        </is>
      </c>
      <c r="F174" s="30" t="inlineStr">
        <is>
          <t>(16, 19)&lt;-&gt;(17, 19)</t>
        </is>
      </c>
      <c r="G174" s="31" t="n">
        <v>43.1</v>
      </c>
      <c r="H174" s="30" t="inlineStr">
        <is>
          <t>O0163</t>
        </is>
      </c>
    </row>
    <row r="175">
      <c r="A175" s="32" t="n">
        <v>174</v>
      </c>
      <c r="B175" s="31" t="n">
        <v>7966.8</v>
      </c>
      <c r="C175" s="30" t="inlineStr">
        <is>
          <t>AMR2</t>
        </is>
      </c>
      <c r="D175" s="30" t="inlineStr">
        <is>
          <t>AMR3</t>
        </is>
      </c>
      <c r="E175" s="30" t="inlineStr">
        <is>
          <t>경로충돌</t>
        </is>
      </c>
      <c r="F175" s="30" t="inlineStr">
        <is>
          <t>(18, 11)</t>
        </is>
      </c>
      <c r="G175" s="31" t="n">
        <v>56.9</v>
      </c>
      <c r="H175" s="30" t="inlineStr">
        <is>
          <t>O0162 O0163</t>
        </is>
      </c>
    </row>
    <row r="176">
      <c r="A176" s="32" t="n">
        <v>175</v>
      </c>
      <c r="B176" s="31" t="n">
        <v>7967.9</v>
      </c>
      <c r="C176" s="30" t="inlineStr">
        <is>
          <t>AMR2</t>
        </is>
      </c>
      <c r="D176" s="30" t="inlineStr">
        <is>
          <t>AMR3</t>
        </is>
      </c>
      <c r="E176" s="30" t="inlineStr">
        <is>
          <t>정면충돌</t>
        </is>
      </c>
      <c r="F176" s="30" t="inlineStr">
        <is>
          <t>(18, 11)&lt;-&gt;(19, 11)</t>
        </is>
      </c>
      <c r="G176" s="31" t="n">
        <v>35.3</v>
      </c>
      <c r="H176" s="30" t="inlineStr">
        <is>
          <t>O0162 O0163</t>
        </is>
      </c>
    </row>
    <row r="177">
      <c r="A177" s="32" t="n">
        <v>176</v>
      </c>
      <c r="B177" s="31" t="n">
        <v>7986.3</v>
      </c>
      <c r="C177" s="30" t="inlineStr">
        <is>
          <t>AMR1</t>
        </is>
      </c>
      <c r="D177" s="30" t="inlineStr">
        <is>
          <t>AMR2</t>
        </is>
      </c>
      <c r="E177" s="30" t="inlineStr">
        <is>
          <t>경로충돌</t>
        </is>
      </c>
      <c r="F177" s="30" t="inlineStr">
        <is>
          <t>(18, 11)</t>
        </is>
      </c>
      <c r="G177" s="31" t="n">
        <v>20.8</v>
      </c>
      <c r="H177" s="30" t="inlineStr">
        <is>
          <t>O0163 O0164</t>
        </is>
      </c>
    </row>
    <row r="178">
      <c r="A178" s="32" t="n">
        <v>177</v>
      </c>
      <c r="B178" s="31" t="n">
        <v>7986.5</v>
      </c>
      <c r="C178" s="30" t="inlineStr">
        <is>
          <t>AMR1</t>
        </is>
      </c>
      <c r="D178" s="30" t="inlineStr">
        <is>
          <t>AMR2</t>
        </is>
      </c>
      <c r="E178" s="30" t="inlineStr">
        <is>
          <t>정면충돌</t>
        </is>
      </c>
      <c r="F178" s="30" t="inlineStr">
        <is>
          <t>(18, 11)&lt;-&gt;(19, 11)</t>
        </is>
      </c>
      <c r="G178" s="31" t="n">
        <v>24.9</v>
      </c>
      <c r="H178" s="30" t="inlineStr">
        <is>
          <t>O0163 O0164</t>
        </is>
      </c>
    </row>
    <row r="179">
      <c r="A179" s="32" t="n">
        <v>178</v>
      </c>
      <c r="B179" s="31" t="n">
        <v>8011.9</v>
      </c>
      <c r="C179" s="30" t="inlineStr">
        <is>
          <t>AMR1</t>
        </is>
      </c>
      <c r="D179" s="30" t="inlineStr">
        <is>
          <t>AMR3</t>
        </is>
      </c>
      <c r="E179" s="30" t="inlineStr">
        <is>
          <t>경로충돌</t>
        </is>
      </c>
      <c r="F179" s="30" t="inlineStr">
        <is>
          <t>(18, 11)</t>
        </is>
      </c>
      <c r="G179" s="31" t="n">
        <v>41.5</v>
      </c>
      <c r="H179" s="30" t="inlineStr"/>
    </row>
    <row r="180">
      <c r="A180" s="32" t="n">
        <v>179</v>
      </c>
      <c r="B180" s="31" t="n">
        <v>8025.3</v>
      </c>
      <c r="C180" s="30" t="inlineStr">
        <is>
          <t>AMR1</t>
        </is>
      </c>
      <c r="D180" s="30" t="inlineStr">
        <is>
          <t>AMR3</t>
        </is>
      </c>
      <c r="E180" s="30" t="inlineStr">
        <is>
          <t>정면충돌</t>
        </is>
      </c>
      <c r="F180" s="30" t="inlineStr">
        <is>
          <t>(16, 19)&lt;-&gt;(17, 19)</t>
        </is>
      </c>
      <c r="G180" s="31" t="n">
        <v>53.7</v>
      </c>
      <c r="H180" s="30" t="inlineStr">
        <is>
          <t>O0164</t>
        </is>
      </c>
    </row>
    <row r="181">
      <c r="A181" s="32" t="n">
        <v>180</v>
      </c>
      <c r="B181" s="31" t="n">
        <v>8035.3</v>
      </c>
      <c r="C181" s="30" t="inlineStr">
        <is>
          <t>AMR1</t>
        </is>
      </c>
      <c r="D181" s="30" t="inlineStr">
        <is>
          <t>AMR2</t>
        </is>
      </c>
      <c r="E181" s="30" t="inlineStr">
        <is>
          <t>경로충돌</t>
        </is>
      </c>
      <c r="F181" s="30" t="inlineStr">
        <is>
          <t>(18, 15)</t>
        </is>
      </c>
      <c r="G181" s="31" t="n">
        <v>22</v>
      </c>
      <c r="H181" s="30" t="inlineStr">
        <is>
          <t>O0164</t>
        </is>
      </c>
    </row>
    <row r="182">
      <c r="A182" s="32" t="n">
        <v>181</v>
      </c>
      <c r="B182" s="31" t="n">
        <v>8036</v>
      </c>
      <c r="C182" s="30" t="inlineStr">
        <is>
          <t>AMR1</t>
        </is>
      </c>
      <c r="D182" s="30" t="inlineStr">
        <is>
          <t>AMR2</t>
        </is>
      </c>
      <c r="E182" s="30" t="inlineStr">
        <is>
          <t>정면충돌</t>
        </is>
      </c>
      <c r="F182" s="30" t="inlineStr">
        <is>
          <t>(18, 14)&lt;-&gt;(18, 15)</t>
        </is>
      </c>
      <c r="G182" s="31" t="n">
        <v>36.5</v>
      </c>
      <c r="H182" s="30" t="inlineStr">
        <is>
          <t>O0164</t>
        </is>
      </c>
    </row>
    <row r="183">
      <c r="A183" s="32" t="n">
        <v>182</v>
      </c>
      <c r="B183" s="31" t="n">
        <v>8099.3</v>
      </c>
      <c r="C183" s="30" t="inlineStr">
        <is>
          <t>AMR1</t>
        </is>
      </c>
      <c r="D183" s="30" t="inlineStr">
        <is>
          <t>AMR2</t>
        </is>
      </c>
      <c r="E183" s="30" t="inlineStr">
        <is>
          <t>경로충돌</t>
        </is>
      </c>
      <c r="F183" s="30" t="inlineStr">
        <is>
          <t>(18, 9)</t>
        </is>
      </c>
      <c r="G183" s="31" t="n">
        <v>33.6</v>
      </c>
      <c r="H183" s="30" t="inlineStr"/>
    </row>
    <row r="184">
      <c r="A184" s="32" t="n">
        <v>183</v>
      </c>
      <c r="B184" s="31" t="n">
        <v>8113.8</v>
      </c>
      <c r="C184" s="30" t="inlineStr">
        <is>
          <t>AMR1</t>
        </is>
      </c>
      <c r="D184" s="30" t="inlineStr">
        <is>
          <t>AMR2</t>
        </is>
      </c>
      <c r="E184" s="30" t="inlineStr">
        <is>
          <t>경로충돌</t>
        </is>
      </c>
      <c r="F184" s="30" t="inlineStr">
        <is>
          <t>(17, 19)</t>
        </is>
      </c>
      <c r="G184" s="31" t="n">
        <v>37.7</v>
      </c>
      <c r="H184" s="30" t="inlineStr">
        <is>
          <t>O0166</t>
        </is>
      </c>
    </row>
    <row r="185">
      <c r="A185" s="32" t="n">
        <v>184</v>
      </c>
      <c r="B185" s="31" t="n">
        <v>8114.1</v>
      </c>
      <c r="C185" s="30" t="inlineStr">
        <is>
          <t>AMR1</t>
        </is>
      </c>
      <c r="D185" s="30" t="inlineStr">
        <is>
          <t>AMR2</t>
        </is>
      </c>
      <c r="E185" s="30" t="inlineStr">
        <is>
          <t>정면충돌</t>
        </is>
      </c>
      <c r="F185" s="30" t="inlineStr">
        <is>
          <t>(16, 19)&lt;-&gt;(17, 19)</t>
        </is>
      </c>
      <c r="G185" s="31" t="n">
        <v>45.1</v>
      </c>
      <c r="H185" s="30" t="inlineStr">
        <is>
          <t>O0166</t>
        </is>
      </c>
    </row>
    <row r="186">
      <c r="A186" s="32" t="n">
        <v>185</v>
      </c>
      <c r="B186" s="31" t="n">
        <v>8154.7</v>
      </c>
      <c r="C186" s="30" t="inlineStr">
        <is>
          <t>AMR1</t>
        </is>
      </c>
      <c r="D186" s="30" t="inlineStr">
        <is>
          <t>AMR3</t>
        </is>
      </c>
      <c r="E186" s="30" t="inlineStr">
        <is>
          <t>경로충돌</t>
        </is>
      </c>
      <c r="F186" s="30" t="inlineStr">
        <is>
          <t>(18, 9)</t>
        </is>
      </c>
      <c r="G186" s="31" t="n">
        <v>40.1</v>
      </c>
      <c r="H186" s="30" t="inlineStr">
        <is>
          <t>O0166</t>
        </is>
      </c>
    </row>
    <row r="187">
      <c r="A187" s="32" t="n">
        <v>186</v>
      </c>
      <c r="B187" s="31" t="n">
        <v>8219.799999999999</v>
      </c>
      <c r="C187" s="30" t="inlineStr">
        <is>
          <t>AMR1</t>
        </is>
      </c>
      <c r="D187" s="30" t="inlineStr">
        <is>
          <t>AMR2</t>
        </is>
      </c>
      <c r="E187" s="30" t="inlineStr">
        <is>
          <t>경로충돌</t>
        </is>
      </c>
      <c r="F187" s="30" t="inlineStr">
        <is>
          <t>(12, 17)</t>
        </is>
      </c>
      <c r="G187" s="31" t="n">
        <v>30.9</v>
      </c>
      <c r="H187" s="30" t="inlineStr">
        <is>
          <t>O0169</t>
        </is>
      </c>
    </row>
    <row r="188">
      <c r="A188" s="32" t="n">
        <v>187</v>
      </c>
      <c r="B188" s="31" t="n">
        <v>8313.4</v>
      </c>
      <c r="C188" s="30" t="inlineStr">
        <is>
          <t>AMR2</t>
        </is>
      </c>
      <c r="D188" s="30" t="inlineStr">
        <is>
          <t>AMR3</t>
        </is>
      </c>
      <c r="E188" s="30" t="inlineStr">
        <is>
          <t>경로충돌</t>
        </is>
      </c>
      <c r="F188" s="30" t="inlineStr">
        <is>
          <t>(18, 10)</t>
        </is>
      </c>
      <c r="G188" s="31" t="n">
        <v>54.8</v>
      </c>
      <c r="H188" s="30" t="inlineStr">
        <is>
          <t>O0170</t>
        </is>
      </c>
    </row>
    <row r="189">
      <c r="A189" s="32" t="n">
        <v>188</v>
      </c>
      <c r="B189" s="31" t="n">
        <v>8314.700000000001</v>
      </c>
      <c r="C189" s="30" t="inlineStr">
        <is>
          <t>AMR2</t>
        </is>
      </c>
      <c r="D189" s="30" t="inlineStr">
        <is>
          <t>AMR3</t>
        </is>
      </c>
      <c r="E189" s="30" t="inlineStr">
        <is>
          <t>정면충돌</t>
        </is>
      </c>
      <c r="F189" s="30" t="inlineStr">
        <is>
          <t>(18, 9)&lt;-&gt;(18, 10)</t>
        </is>
      </c>
      <c r="G189" s="31" t="n">
        <v>52.4</v>
      </c>
      <c r="H189" s="30" t="inlineStr">
        <is>
          <t>O0170</t>
        </is>
      </c>
    </row>
    <row r="190">
      <c r="A190" s="32" t="n">
        <v>189</v>
      </c>
      <c r="B190" s="31" t="n">
        <v>8372.1</v>
      </c>
      <c r="C190" s="30" t="inlineStr">
        <is>
          <t>AMR1</t>
        </is>
      </c>
      <c r="D190" s="30" t="inlineStr">
        <is>
          <t>AMR2</t>
        </is>
      </c>
      <c r="E190" s="30" t="inlineStr">
        <is>
          <t>경로충돌</t>
        </is>
      </c>
      <c r="F190" s="30" t="inlineStr">
        <is>
          <t>(18, 11)</t>
        </is>
      </c>
      <c r="G190" s="31" t="n">
        <v>55.9</v>
      </c>
      <c r="H190" s="30" t="inlineStr">
        <is>
          <t>O0171</t>
        </is>
      </c>
    </row>
    <row r="191">
      <c r="A191" s="32" t="n">
        <v>190</v>
      </c>
      <c r="B191" s="31" t="n">
        <v>8425.200000000001</v>
      </c>
      <c r="C191" s="30" t="inlineStr">
        <is>
          <t>AMR1</t>
        </is>
      </c>
      <c r="D191" s="30" t="inlineStr">
        <is>
          <t>AMR2</t>
        </is>
      </c>
      <c r="E191" s="30" t="inlineStr">
        <is>
          <t>경로충돌</t>
        </is>
      </c>
      <c r="F191" s="30" t="inlineStr">
        <is>
          <t>(18, 9)</t>
        </is>
      </c>
      <c r="G191" s="31" t="n">
        <v>25</v>
      </c>
      <c r="H191" s="30" t="inlineStr"/>
    </row>
    <row r="192">
      <c r="A192" s="32" t="n">
        <v>191</v>
      </c>
      <c r="B192" s="31" t="n">
        <v>8440</v>
      </c>
      <c r="C192" s="30" t="inlineStr">
        <is>
          <t>AMR1</t>
        </is>
      </c>
      <c r="D192" s="30" t="inlineStr">
        <is>
          <t>AMR2</t>
        </is>
      </c>
      <c r="E192" s="30" t="inlineStr">
        <is>
          <t>경로충돌</t>
        </is>
      </c>
      <c r="F192" s="30" t="inlineStr">
        <is>
          <t>(16, 19)</t>
        </is>
      </c>
      <c r="G192" s="31" t="n">
        <v>41.4</v>
      </c>
      <c r="H192" s="30" t="inlineStr">
        <is>
          <t>O0173</t>
        </is>
      </c>
    </row>
    <row r="193">
      <c r="A193" s="32" t="n">
        <v>192</v>
      </c>
      <c r="B193" s="31" t="n">
        <v>8440.6</v>
      </c>
      <c r="C193" s="30" t="inlineStr">
        <is>
          <t>AMR1</t>
        </is>
      </c>
      <c r="D193" s="30" t="inlineStr">
        <is>
          <t>AMR2</t>
        </is>
      </c>
      <c r="E193" s="30" t="inlineStr">
        <is>
          <t>정면충돌</t>
        </is>
      </c>
      <c r="F193" s="30" t="inlineStr">
        <is>
          <t>(16, 19)&lt;-&gt;(17, 19)</t>
        </is>
      </c>
      <c r="G193" s="31" t="n">
        <v>29.4</v>
      </c>
      <c r="H193" s="30" t="inlineStr">
        <is>
          <t>O0173</t>
        </is>
      </c>
    </row>
    <row r="194">
      <c r="A194" s="32" t="n">
        <v>193</v>
      </c>
      <c r="B194" s="31" t="n">
        <v>8451.4</v>
      </c>
      <c r="C194" s="30" t="inlineStr">
        <is>
          <t>AMR2</t>
        </is>
      </c>
      <c r="D194" s="30" t="inlineStr">
        <is>
          <t>AMR3</t>
        </is>
      </c>
      <c r="E194" s="30" t="inlineStr">
        <is>
          <t>경로충돌</t>
        </is>
      </c>
      <c r="F194" s="30" t="inlineStr">
        <is>
          <t>(18, 14)</t>
        </is>
      </c>
      <c r="G194" s="31" t="n">
        <v>23.9</v>
      </c>
      <c r="H194" s="30" t="inlineStr">
        <is>
          <t>O0173</t>
        </is>
      </c>
    </row>
    <row r="195">
      <c r="A195" s="32" t="n">
        <v>194</v>
      </c>
      <c r="B195" s="31" t="n">
        <v>8451.700000000001</v>
      </c>
      <c r="C195" s="30" t="inlineStr">
        <is>
          <t>AMR2</t>
        </is>
      </c>
      <c r="D195" s="30" t="inlineStr">
        <is>
          <t>AMR3</t>
        </is>
      </c>
      <c r="E195" s="30" t="inlineStr">
        <is>
          <t>정면충돌</t>
        </is>
      </c>
      <c r="F195" s="30" t="inlineStr">
        <is>
          <t>(18, 14)&lt;-&gt;(18, 15)</t>
        </is>
      </c>
      <c r="G195" s="31" t="n">
        <v>57.1</v>
      </c>
      <c r="H195" s="30" t="inlineStr">
        <is>
          <t>O0173</t>
        </is>
      </c>
    </row>
    <row r="196">
      <c r="A196" s="32" t="n">
        <v>195</v>
      </c>
      <c r="B196" s="31" t="n">
        <v>8524.799999999999</v>
      </c>
      <c r="C196" s="30" t="inlineStr">
        <is>
          <t>AMR2</t>
        </is>
      </c>
      <c r="D196" s="30" t="inlineStr">
        <is>
          <t>AMR3</t>
        </is>
      </c>
      <c r="E196" s="30" t="inlineStr">
        <is>
          <t>경로충돌</t>
        </is>
      </c>
      <c r="F196" s="30" t="inlineStr">
        <is>
          <t>(18, 16)</t>
        </is>
      </c>
      <c r="G196" s="31" t="n">
        <v>46.4</v>
      </c>
      <c r="H196" s="30" t="inlineStr">
        <is>
          <t>O0175</t>
        </is>
      </c>
    </row>
    <row r="197">
      <c r="A197" s="32" t="n">
        <v>196</v>
      </c>
      <c r="B197" s="31" t="n">
        <v>8526</v>
      </c>
      <c r="C197" s="30" t="inlineStr">
        <is>
          <t>AMR2</t>
        </is>
      </c>
      <c r="D197" s="30" t="inlineStr">
        <is>
          <t>AMR3</t>
        </is>
      </c>
      <c r="E197" s="30" t="inlineStr">
        <is>
          <t>정면충돌</t>
        </is>
      </c>
      <c r="F197" s="30" t="inlineStr">
        <is>
          <t>(18, 16)&lt;-&gt;(18, 17)</t>
        </is>
      </c>
      <c r="G197" s="31" t="n">
        <v>38.3</v>
      </c>
      <c r="H197" s="30" t="inlineStr">
        <is>
          <t>O0175</t>
        </is>
      </c>
    </row>
    <row r="198">
      <c r="A198" s="32" t="n">
        <v>197</v>
      </c>
      <c r="B198" s="31" t="n">
        <v>8557.5</v>
      </c>
      <c r="C198" s="30" t="inlineStr">
        <is>
          <t>AMR2</t>
        </is>
      </c>
      <c r="D198" s="30" t="inlineStr">
        <is>
          <t>AMR3</t>
        </is>
      </c>
      <c r="E198" s="30" t="inlineStr">
        <is>
          <t>경로충돌</t>
        </is>
      </c>
      <c r="F198" s="30" t="inlineStr">
        <is>
          <t>(18, 9)</t>
        </is>
      </c>
      <c r="G198" s="31" t="n">
        <v>50.6</v>
      </c>
      <c r="H198" s="30" t="inlineStr">
        <is>
          <t>O0175 O0176</t>
        </is>
      </c>
    </row>
    <row r="199">
      <c r="A199" s="32" t="n">
        <v>198</v>
      </c>
      <c r="B199" s="31" t="n">
        <v>8654.200000000001</v>
      </c>
      <c r="C199" s="30" t="inlineStr">
        <is>
          <t>AMR1</t>
        </is>
      </c>
      <c r="D199" s="30" t="inlineStr">
        <is>
          <t>AMR3</t>
        </is>
      </c>
      <c r="E199" s="30" t="inlineStr">
        <is>
          <t>경로충돌</t>
        </is>
      </c>
      <c r="F199" s="30" t="inlineStr">
        <is>
          <t>(17, 19)</t>
        </is>
      </c>
      <c r="G199" s="31" t="n">
        <v>53.9</v>
      </c>
      <c r="H199" s="30" t="inlineStr">
        <is>
          <t>O0178</t>
        </is>
      </c>
    </row>
    <row r="200">
      <c r="A200" s="32" t="n">
        <v>199</v>
      </c>
      <c r="B200" s="31" t="n">
        <v>8654.4</v>
      </c>
      <c r="C200" s="30" t="inlineStr">
        <is>
          <t>AMR1</t>
        </is>
      </c>
      <c r="D200" s="30" t="inlineStr">
        <is>
          <t>AMR3</t>
        </is>
      </c>
      <c r="E200" s="30" t="inlineStr">
        <is>
          <t>정면충돌</t>
        </is>
      </c>
      <c r="F200" s="30" t="inlineStr">
        <is>
          <t>(16, 19)&lt;-&gt;(17, 19)</t>
        </is>
      </c>
      <c r="G200" s="31" t="n">
        <v>38.6</v>
      </c>
      <c r="H200" s="30" t="inlineStr">
        <is>
          <t>O0178</t>
        </is>
      </c>
    </row>
    <row r="201">
      <c r="A201" s="32" t="n">
        <v>200</v>
      </c>
      <c r="B201" s="31" t="n">
        <v>8716.299999999999</v>
      </c>
      <c r="C201" s="30" t="inlineStr">
        <is>
          <t>AMR1</t>
        </is>
      </c>
      <c r="D201" s="30" t="inlineStr">
        <is>
          <t>AMR2</t>
        </is>
      </c>
      <c r="E201" s="30" t="inlineStr">
        <is>
          <t>경로충돌</t>
        </is>
      </c>
      <c r="F201" s="30" t="inlineStr">
        <is>
          <t>(16, 19)</t>
        </is>
      </c>
      <c r="G201" s="31" t="n">
        <v>24.3</v>
      </c>
      <c r="H201" s="30" t="inlineStr">
        <is>
          <t>O0179</t>
        </is>
      </c>
    </row>
    <row r="202">
      <c r="A202" s="32" t="n">
        <v>201</v>
      </c>
      <c r="B202" s="31" t="n">
        <v>8717</v>
      </c>
      <c r="C202" s="30" t="inlineStr">
        <is>
          <t>AMR1</t>
        </is>
      </c>
      <c r="D202" s="30" t="inlineStr">
        <is>
          <t>AMR2</t>
        </is>
      </c>
      <c r="E202" s="30" t="inlineStr">
        <is>
          <t>정면충돌</t>
        </is>
      </c>
      <c r="F202" s="30" t="inlineStr">
        <is>
          <t>(16, 19)&lt;-&gt;(17, 19)</t>
        </is>
      </c>
      <c r="G202" s="31" t="n">
        <v>56.1</v>
      </c>
      <c r="H202" s="30" t="inlineStr">
        <is>
          <t>O0179</t>
        </is>
      </c>
    </row>
    <row r="203">
      <c r="A203" s="32" t="n">
        <v>202</v>
      </c>
      <c r="B203" s="31" t="n">
        <v>8727.1</v>
      </c>
      <c r="C203" s="30" t="inlineStr">
        <is>
          <t>AMR1</t>
        </is>
      </c>
      <c r="D203" s="30" t="inlineStr">
        <is>
          <t>AMR3</t>
        </is>
      </c>
      <c r="E203" s="30" t="inlineStr">
        <is>
          <t>경로충돌</t>
        </is>
      </c>
      <c r="F203" s="30" t="inlineStr">
        <is>
          <t>(18, 15)</t>
        </is>
      </c>
      <c r="G203" s="31" t="n">
        <v>40.3</v>
      </c>
      <c r="H203" s="30" t="inlineStr">
        <is>
          <t>O0179</t>
        </is>
      </c>
    </row>
    <row r="204">
      <c r="A204" s="32" t="n">
        <v>203</v>
      </c>
      <c r="B204" s="31" t="n">
        <v>8727.5</v>
      </c>
      <c r="C204" s="30" t="inlineStr">
        <is>
          <t>AMR1</t>
        </is>
      </c>
      <c r="D204" s="30" t="inlineStr">
        <is>
          <t>AMR3</t>
        </is>
      </c>
      <c r="E204" s="30" t="inlineStr">
        <is>
          <t>정면충돌</t>
        </is>
      </c>
      <c r="F204" s="30" t="inlineStr">
        <is>
          <t>(18, 15)&lt;-&gt;(18, 16)</t>
        </is>
      </c>
      <c r="G204" s="31" t="n">
        <v>36.7</v>
      </c>
      <c r="H204" s="30" t="inlineStr">
        <is>
          <t>O0179</t>
        </is>
      </c>
    </row>
    <row r="205">
      <c r="A205" s="32" t="n">
        <v>204</v>
      </c>
      <c r="B205" s="31" t="n">
        <v>8813.9</v>
      </c>
      <c r="C205" s="30" t="inlineStr">
        <is>
          <t>AMR2</t>
        </is>
      </c>
      <c r="D205" s="30" t="inlineStr">
        <is>
          <t>AMR3</t>
        </is>
      </c>
      <c r="E205" s="30" t="inlineStr">
        <is>
          <t>경로충돌</t>
        </is>
      </c>
      <c r="F205" s="30" t="inlineStr">
        <is>
          <t>(24, 11)</t>
        </is>
      </c>
      <c r="G205" s="31" t="n">
        <v>27.8</v>
      </c>
      <c r="H205" s="30" t="inlineStr">
        <is>
          <t>O0180 O0181</t>
        </is>
      </c>
    </row>
    <row r="206">
      <c r="A206" s="32" t="n">
        <v>205</v>
      </c>
      <c r="B206" s="31" t="n">
        <v>8912.4</v>
      </c>
      <c r="C206" s="30" t="inlineStr">
        <is>
          <t>AMR1</t>
        </is>
      </c>
      <c r="D206" s="30" t="inlineStr">
        <is>
          <t>AMR3</t>
        </is>
      </c>
      <c r="E206" s="30" t="inlineStr">
        <is>
          <t>경로충돌</t>
        </is>
      </c>
      <c r="F206" s="30" t="inlineStr">
        <is>
          <t>(17, 12)</t>
        </is>
      </c>
      <c r="G206" s="31" t="n">
        <v>40.8</v>
      </c>
      <c r="H206" s="30" t="inlineStr">
        <is>
          <t>O0184</t>
        </is>
      </c>
    </row>
    <row r="207">
      <c r="A207" s="32" t="n">
        <v>206</v>
      </c>
      <c r="B207" s="31" t="n">
        <v>8913.700000000001</v>
      </c>
      <c r="C207" s="30" t="inlineStr">
        <is>
          <t>AMR1</t>
        </is>
      </c>
      <c r="D207" s="30" t="inlineStr">
        <is>
          <t>AMR3</t>
        </is>
      </c>
      <c r="E207" s="30" t="inlineStr">
        <is>
          <t>정면충돌</t>
        </is>
      </c>
      <c r="F207" s="30" t="inlineStr">
        <is>
          <t>(17, 12)&lt;-&gt;(17, 13)</t>
        </is>
      </c>
      <c r="G207" s="31" t="n">
        <v>54.7</v>
      </c>
      <c r="H207" s="30" t="inlineStr">
        <is>
          <t>O0184</t>
        </is>
      </c>
    </row>
    <row r="208">
      <c r="A208" s="32" t="n">
        <v>207</v>
      </c>
      <c r="B208" s="31" t="n">
        <v>9160.5</v>
      </c>
      <c r="C208" s="30" t="inlineStr">
        <is>
          <t>AMR2</t>
        </is>
      </c>
      <c r="D208" s="30" t="inlineStr">
        <is>
          <t>AMR3</t>
        </is>
      </c>
      <c r="E208" s="30" t="inlineStr">
        <is>
          <t>정면충돌</t>
        </is>
      </c>
      <c r="F208" s="30" t="inlineStr">
        <is>
          <t>(16, 19)&lt;-&gt;(17, 19)</t>
        </is>
      </c>
      <c r="G208" s="31" t="n">
        <v>57.3</v>
      </c>
      <c r="H208" s="30" t="inlineStr">
        <is>
          <t>O0188</t>
        </is>
      </c>
    </row>
    <row r="209">
      <c r="A209" s="32" t="n">
        <v>208</v>
      </c>
      <c r="B209" s="31" t="n">
        <v>9339.799999999999</v>
      </c>
      <c r="C209" s="30" t="inlineStr">
        <is>
          <t>AMR2</t>
        </is>
      </c>
      <c r="D209" s="30" t="inlineStr">
        <is>
          <t>AMR3</t>
        </is>
      </c>
      <c r="E209" s="30" t="inlineStr">
        <is>
          <t>정면충돌</t>
        </is>
      </c>
      <c r="F209" s="30" t="inlineStr">
        <is>
          <t>(18, 11)&lt;-&gt;(18, 12)</t>
        </is>
      </c>
      <c r="G209" s="31" t="n">
        <v>25.6</v>
      </c>
      <c r="H209" s="30" t="inlineStr">
        <is>
          <t>O0192</t>
        </is>
      </c>
    </row>
    <row r="210">
      <c r="A210" s="32" t="n">
        <v>209</v>
      </c>
      <c r="B210" s="31" t="n">
        <v>9401.299999999999</v>
      </c>
      <c r="C210" s="30" t="inlineStr">
        <is>
          <t>AMR1</t>
        </is>
      </c>
      <c r="D210" s="30" t="inlineStr">
        <is>
          <t>AMR3</t>
        </is>
      </c>
      <c r="E210" s="30" t="inlineStr">
        <is>
          <t>정면충돌</t>
        </is>
      </c>
      <c r="F210" s="30" t="inlineStr">
        <is>
          <t>(17, 17)&lt;-&gt;(17, 18)</t>
        </is>
      </c>
      <c r="G210" s="31" t="n">
        <v>24.8</v>
      </c>
      <c r="H210" s="30" t="inlineStr">
        <is>
          <t>O0193</t>
        </is>
      </c>
    </row>
    <row r="211">
      <c r="A211" s="32" t="n">
        <v>210</v>
      </c>
      <c r="B211" s="31" t="n">
        <v>9405.9</v>
      </c>
      <c r="C211" s="30" t="inlineStr">
        <is>
          <t>AMR1</t>
        </is>
      </c>
      <c r="D211" s="30" t="inlineStr">
        <is>
          <t>AMR2</t>
        </is>
      </c>
      <c r="E211" s="30" t="inlineStr">
        <is>
          <t>경로충돌</t>
        </is>
      </c>
      <c r="F211" s="30" t="inlineStr">
        <is>
          <t>(18, 17)</t>
        </is>
      </c>
      <c r="G211" s="31" t="n">
        <v>59.7</v>
      </c>
      <c r="H211" s="30" t="inlineStr">
        <is>
          <t>O0193</t>
        </is>
      </c>
    </row>
    <row r="212">
      <c r="A212" s="32" t="n">
        <v>211</v>
      </c>
      <c r="B212" s="31" t="n">
        <v>9406.299999999999</v>
      </c>
      <c r="C212" s="30" t="inlineStr">
        <is>
          <t>AMR1</t>
        </is>
      </c>
      <c r="D212" s="30" t="inlineStr">
        <is>
          <t>AMR2</t>
        </is>
      </c>
      <c r="E212" s="30" t="inlineStr">
        <is>
          <t>정면충돌</t>
        </is>
      </c>
      <c r="F212" s="30" t="inlineStr">
        <is>
          <t>(18, 17)&lt;-&gt;(18, 18)</t>
        </is>
      </c>
      <c r="G212" s="31" t="n">
        <v>40.9</v>
      </c>
      <c r="H212" s="30" t="inlineStr">
        <is>
          <t>O0193</t>
        </is>
      </c>
    </row>
    <row r="213">
      <c r="A213" s="32" t="n">
        <v>212</v>
      </c>
      <c r="B213" s="31" t="n">
        <v>9436.6</v>
      </c>
      <c r="C213" s="30" t="inlineStr">
        <is>
          <t>AMR1</t>
        </is>
      </c>
      <c r="D213" s="30" t="inlineStr">
        <is>
          <t>AMR3</t>
        </is>
      </c>
      <c r="E213" s="30" t="inlineStr">
        <is>
          <t>경로충돌</t>
        </is>
      </c>
      <c r="F213" s="30" t="inlineStr">
        <is>
          <t>(16, 9)</t>
        </is>
      </c>
      <c r="G213" s="31" t="n">
        <v>45.4</v>
      </c>
      <c r="H213" s="30" t="inlineStr">
        <is>
          <t>O0193 O0194</t>
        </is>
      </c>
    </row>
    <row r="214">
      <c r="A214" s="32" t="n">
        <v>213</v>
      </c>
      <c r="B214" s="31" t="n">
        <v>9437.5</v>
      </c>
      <c r="C214" s="30" t="inlineStr">
        <is>
          <t>AMR1</t>
        </is>
      </c>
      <c r="D214" s="30" t="inlineStr">
        <is>
          <t>AMR3</t>
        </is>
      </c>
      <c r="E214" s="30" t="inlineStr">
        <is>
          <t>정면충돌</t>
        </is>
      </c>
      <c r="F214" s="30" t="inlineStr">
        <is>
          <t>(16, 9)&lt;-&gt;(17, 9)</t>
        </is>
      </c>
      <c r="G214" s="31" t="n">
        <v>47.8</v>
      </c>
      <c r="H214" s="30" t="inlineStr">
        <is>
          <t>O0193 O0194</t>
        </is>
      </c>
    </row>
    <row r="215">
      <c r="A215" s="32" t="n">
        <v>214</v>
      </c>
      <c r="B215" s="31" t="n">
        <v>9477.6</v>
      </c>
      <c r="C215" s="30" t="inlineStr">
        <is>
          <t>AMR2</t>
        </is>
      </c>
      <c r="D215" s="30" t="inlineStr">
        <is>
          <t>AMR3</t>
        </is>
      </c>
      <c r="E215" s="30" t="inlineStr">
        <is>
          <t>경로충돌</t>
        </is>
      </c>
      <c r="F215" s="30" t="inlineStr">
        <is>
          <t>(12, 15)</t>
        </is>
      </c>
      <c r="G215" s="31" t="n">
        <v>36.5</v>
      </c>
      <c r="H215" s="30" t="inlineStr">
        <is>
          <t>O0194</t>
        </is>
      </c>
    </row>
    <row r="216">
      <c r="A216" s="32" t="n">
        <v>215</v>
      </c>
      <c r="B216" s="31" t="n">
        <v>9477.799999999999</v>
      </c>
      <c r="C216" s="30" t="inlineStr">
        <is>
          <t>AMR2</t>
        </is>
      </c>
      <c r="D216" s="30" t="inlineStr">
        <is>
          <t>AMR3</t>
        </is>
      </c>
      <c r="E216" s="30" t="inlineStr">
        <is>
          <t>정면충돌</t>
        </is>
      </c>
      <c r="F216" s="30" t="inlineStr">
        <is>
          <t>(12, 15)&lt;-&gt;(12, 16)</t>
        </is>
      </c>
      <c r="G216" s="31" t="n">
        <v>35.8</v>
      </c>
      <c r="H216" s="30" t="inlineStr">
        <is>
          <t>O0194</t>
        </is>
      </c>
    </row>
    <row r="217">
      <c r="A217" s="32" t="n">
        <v>216</v>
      </c>
      <c r="B217" s="31" t="n">
        <v>9487.9</v>
      </c>
      <c r="C217" s="30" t="inlineStr">
        <is>
          <t>AMR1</t>
        </is>
      </c>
      <c r="D217" s="30" t="inlineStr">
        <is>
          <t>AMR2</t>
        </is>
      </c>
      <c r="E217" s="30" t="inlineStr">
        <is>
          <t>경로충돌</t>
        </is>
      </c>
      <c r="F217" s="30" t="inlineStr">
        <is>
          <t>(13, 19)</t>
        </is>
      </c>
      <c r="G217" s="31" t="n">
        <v>54.8</v>
      </c>
      <c r="H217" s="30" t="inlineStr">
        <is>
          <t>O0195</t>
        </is>
      </c>
    </row>
    <row r="218">
      <c r="A218" s="32" t="n">
        <v>217</v>
      </c>
      <c r="B218" s="31" t="n">
        <v>9488.4</v>
      </c>
      <c r="C218" s="30" t="inlineStr">
        <is>
          <t>AMR1</t>
        </is>
      </c>
      <c r="D218" s="30" t="inlineStr">
        <is>
          <t>AMR2</t>
        </is>
      </c>
      <c r="E218" s="30" t="inlineStr">
        <is>
          <t>정면충돌</t>
        </is>
      </c>
      <c r="F218" s="30" t="inlineStr">
        <is>
          <t>(13, 19)&lt;-&gt;(14, 19)</t>
        </is>
      </c>
      <c r="G218" s="31" t="n">
        <v>44.9</v>
      </c>
      <c r="H218" s="30" t="inlineStr">
        <is>
          <t>O0195</t>
        </is>
      </c>
    </row>
    <row r="219">
      <c r="A219" s="32" t="n">
        <v>218</v>
      </c>
      <c r="B219" s="31" t="n">
        <v>9552.700000000001</v>
      </c>
      <c r="C219" s="30" t="inlineStr">
        <is>
          <t>AMR2</t>
        </is>
      </c>
      <c r="D219" s="30" t="inlineStr">
        <is>
          <t>AMR3</t>
        </is>
      </c>
      <c r="E219" s="30" t="inlineStr">
        <is>
          <t>경로충돌</t>
        </is>
      </c>
      <c r="F219" s="30" t="inlineStr">
        <is>
          <t>(17, 19)</t>
        </is>
      </c>
      <c r="G219" s="31" t="n">
        <v>20.9</v>
      </c>
      <c r="H219" s="30" t="inlineStr">
        <is>
          <t>O0196</t>
        </is>
      </c>
    </row>
    <row r="220">
      <c r="A220" s="32" t="n">
        <v>219</v>
      </c>
      <c r="B220" s="31" t="n">
        <v>9621.200000000001</v>
      </c>
      <c r="C220" s="30" t="inlineStr">
        <is>
          <t>AMR2</t>
        </is>
      </c>
      <c r="D220" s="30" t="inlineStr">
        <is>
          <t>AMR3</t>
        </is>
      </c>
      <c r="E220" s="30" t="inlineStr">
        <is>
          <t>경로충돌</t>
        </is>
      </c>
      <c r="F220" s="30" t="inlineStr">
        <is>
          <t>(18, 14)</t>
        </is>
      </c>
      <c r="G220" s="31" t="n">
        <v>21.5</v>
      </c>
      <c r="H220" s="30" t="inlineStr">
        <is>
          <t>O0197</t>
        </is>
      </c>
    </row>
    <row r="221">
      <c r="A221" s="32" t="n">
        <v>220</v>
      </c>
      <c r="B221" s="31" t="n">
        <v>9621.9</v>
      </c>
      <c r="C221" s="30" t="inlineStr">
        <is>
          <t>AMR2</t>
        </is>
      </c>
      <c r="D221" s="30" t="inlineStr">
        <is>
          <t>AMR3</t>
        </is>
      </c>
      <c r="E221" s="30" t="inlineStr">
        <is>
          <t>정면충돌</t>
        </is>
      </c>
      <c r="F221" s="30" t="inlineStr">
        <is>
          <t>(18, 14)&lt;-&gt;(18, 15)</t>
        </is>
      </c>
      <c r="G221" s="31" t="n">
        <v>53.5</v>
      </c>
      <c r="H221" s="30" t="inlineStr">
        <is>
          <t>O0197</t>
        </is>
      </c>
    </row>
    <row r="222">
      <c r="A222" s="32" t="n">
        <v>221</v>
      </c>
      <c r="B222" s="31" t="n">
        <v>9631.6</v>
      </c>
      <c r="C222" s="30" t="inlineStr">
        <is>
          <t>AMR1</t>
        </is>
      </c>
      <c r="D222" s="30" t="inlineStr">
        <is>
          <t>AMR3</t>
        </is>
      </c>
      <c r="E222" s="30" t="inlineStr">
        <is>
          <t>경로충돌</t>
        </is>
      </c>
      <c r="F222" s="30" t="inlineStr">
        <is>
          <t>(17, 9)</t>
        </is>
      </c>
      <c r="G222" s="31" t="n">
        <v>43.7</v>
      </c>
      <c r="H222" s="30" t="inlineStr">
        <is>
          <t>O0197</t>
        </is>
      </c>
    </row>
    <row r="223">
      <c r="A223" s="32" t="n">
        <v>222</v>
      </c>
      <c r="B223" s="31" t="n">
        <v>9632.5</v>
      </c>
      <c r="C223" s="30" t="inlineStr">
        <is>
          <t>AMR1</t>
        </is>
      </c>
      <c r="D223" s="30" t="inlineStr">
        <is>
          <t>AMR3</t>
        </is>
      </c>
      <c r="E223" s="30" t="inlineStr">
        <is>
          <t>정면충돌</t>
        </is>
      </c>
      <c r="F223" s="30" t="inlineStr">
        <is>
          <t>(17, 9)&lt;-&gt;(17, 10)</t>
        </is>
      </c>
      <c r="G223" s="31" t="n">
        <v>49.8</v>
      </c>
      <c r="H223" s="30" t="inlineStr">
        <is>
          <t>O0197</t>
        </is>
      </c>
    </row>
    <row r="224">
      <c r="A224" s="32" t="n">
        <v>223</v>
      </c>
      <c r="B224" s="31" t="n">
        <v>9698.299999999999</v>
      </c>
      <c r="C224" s="30" t="inlineStr">
        <is>
          <t>AMR1</t>
        </is>
      </c>
      <c r="D224" s="30" t="inlineStr">
        <is>
          <t>AMR3</t>
        </is>
      </c>
      <c r="E224" s="30" t="inlineStr">
        <is>
          <t>경로충돌</t>
        </is>
      </c>
      <c r="F224" s="30" t="inlineStr">
        <is>
          <t>(13, 19)</t>
        </is>
      </c>
      <c r="G224" s="31" t="n">
        <v>40</v>
      </c>
      <c r="H224" s="30" t="inlineStr">
        <is>
          <t>O0199</t>
        </is>
      </c>
    </row>
    <row r="225">
      <c r="A225" s="32" t="n">
        <v>224</v>
      </c>
      <c r="B225" s="31" t="n">
        <v>9699.6</v>
      </c>
      <c r="C225" s="30" t="inlineStr">
        <is>
          <t>AMR1</t>
        </is>
      </c>
      <c r="D225" s="30" t="inlineStr">
        <is>
          <t>AMR3</t>
        </is>
      </c>
      <c r="E225" s="30" t="inlineStr">
        <is>
          <t>정면충돌</t>
        </is>
      </c>
      <c r="F225" s="30" t="inlineStr">
        <is>
          <t>(13, 19)&lt;-&gt;(14, 19)</t>
        </is>
      </c>
      <c r="G225" s="31" t="n">
        <v>48.4</v>
      </c>
      <c r="H225" s="30" t="inlineStr">
        <is>
          <t>O0199</t>
        </is>
      </c>
    </row>
    <row r="226">
      <c r="A226" s="32" t="n">
        <v>225</v>
      </c>
      <c r="B226" s="31" t="n">
        <v>9759.200000000001</v>
      </c>
      <c r="C226" s="30" t="inlineStr">
        <is>
          <t>AMR1</t>
        </is>
      </c>
      <c r="D226" s="30" t="inlineStr">
        <is>
          <t>AMR2</t>
        </is>
      </c>
      <c r="E226" s="30" t="inlineStr">
        <is>
          <t>경로충돌</t>
        </is>
      </c>
      <c r="F226" s="30" t="inlineStr">
        <is>
          <t>(17, 17)</t>
        </is>
      </c>
      <c r="G226" s="31" t="n">
        <v>33.9</v>
      </c>
      <c r="H226" s="30" t="inlineStr">
        <is>
          <t>O0200</t>
        </is>
      </c>
    </row>
    <row r="227">
      <c r="A227" s="32" t="n">
        <v>226</v>
      </c>
      <c r="B227" s="31" t="n">
        <v>9759.799999999999</v>
      </c>
      <c r="C227" s="30" t="inlineStr">
        <is>
          <t>AMR1</t>
        </is>
      </c>
      <c r="D227" s="30" t="inlineStr">
        <is>
          <t>AMR2</t>
        </is>
      </c>
      <c r="E227" s="30" t="inlineStr">
        <is>
          <t>정면충돌</t>
        </is>
      </c>
      <c r="F227" s="30" t="inlineStr">
        <is>
          <t>(17, 17)&lt;-&gt;(17, 18)</t>
        </is>
      </c>
      <c r="G227" s="31" t="n">
        <v>34.6</v>
      </c>
      <c r="H227" s="30" t="inlineStr">
        <is>
          <t>O0200</t>
        </is>
      </c>
    </row>
    <row r="228">
      <c r="A228" s="32" t="n">
        <v>227</v>
      </c>
      <c r="B228" s="31" t="n">
        <v>9772.799999999999</v>
      </c>
      <c r="C228" s="30" t="inlineStr">
        <is>
          <t>AMR1</t>
        </is>
      </c>
      <c r="D228" s="30" t="inlineStr">
        <is>
          <t>AMR3</t>
        </is>
      </c>
      <c r="E228" s="30" t="inlineStr">
        <is>
          <t>경로충돌</t>
        </is>
      </c>
      <c r="F228" s="30" t="inlineStr">
        <is>
          <t>(18, 9)</t>
        </is>
      </c>
      <c r="G228" s="31" t="n">
        <v>33.7</v>
      </c>
      <c r="H228" s="30" t="inlineStr">
        <is>
          <t>O0200</t>
        </is>
      </c>
    </row>
    <row r="229">
      <c r="A229" s="32" t="n">
        <v>228</v>
      </c>
      <c r="B229" s="31" t="n">
        <v>9778.799999999999</v>
      </c>
      <c r="C229" s="30" t="inlineStr">
        <is>
          <t>AMR2</t>
        </is>
      </c>
      <c r="D229" s="30" t="inlineStr">
        <is>
          <t>AMR3</t>
        </is>
      </c>
      <c r="E229" s="30" t="inlineStr">
        <is>
          <t>경로충돌</t>
        </is>
      </c>
      <c r="F229" s="30" t="inlineStr">
        <is>
          <t>(18, 11)</t>
        </is>
      </c>
      <c r="G229" s="31" t="n">
        <v>31.7</v>
      </c>
      <c r="H229" s="30" t="inlineStr">
        <is>
          <t>O0201</t>
        </is>
      </c>
    </row>
    <row r="230">
      <c r="A230" s="32" t="n">
        <v>229</v>
      </c>
      <c r="B230" s="31" t="n">
        <v>9927.4</v>
      </c>
      <c r="C230" s="30" t="inlineStr">
        <is>
          <t>AMR1</t>
        </is>
      </c>
      <c r="D230" s="30" t="inlineStr">
        <is>
          <t>AMR3</t>
        </is>
      </c>
      <c r="E230" s="30" t="inlineStr">
        <is>
          <t>경로충돌</t>
        </is>
      </c>
      <c r="F230" s="30" t="inlineStr">
        <is>
          <t>(14, 19)</t>
        </is>
      </c>
      <c r="G230" s="31" t="n">
        <v>57.9</v>
      </c>
      <c r="H230" s="30" t="inlineStr">
        <is>
          <t>O0204</t>
        </is>
      </c>
    </row>
    <row r="231">
      <c r="A231" s="32" t="n">
        <v>230</v>
      </c>
      <c r="B231" s="31" t="n">
        <v>9927.799999999999</v>
      </c>
      <c r="C231" s="30" t="inlineStr">
        <is>
          <t>AMR1</t>
        </is>
      </c>
      <c r="D231" s="30" t="inlineStr">
        <is>
          <t>AMR3</t>
        </is>
      </c>
      <c r="E231" s="30" t="inlineStr">
        <is>
          <t>정면충돌</t>
        </is>
      </c>
      <c r="F231" s="30" t="inlineStr">
        <is>
          <t>(14, 19)&lt;-&gt;(15, 19)</t>
        </is>
      </c>
      <c r="G231" s="31" t="n">
        <v>55</v>
      </c>
      <c r="H231" s="30" t="inlineStr">
        <is>
          <t>O0204</t>
        </is>
      </c>
    </row>
    <row r="232">
      <c r="A232" s="32" t="n">
        <v>231</v>
      </c>
      <c r="B232" s="31" t="n">
        <v>10043.4</v>
      </c>
      <c r="C232" s="30" t="inlineStr">
        <is>
          <t>AMR1</t>
        </is>
      </c>
      <c r="D232" s="30" t="inlineStr">
        <is>
          <t>AMR2</t>
        </is>
      </c>
      <c r="E232" s="30" t="inlineStr">
        <is>
          <t>경로충돌</t>
        </is>
      </c>
      <c r="F232" s="30" t="inlineStr">
        <is>
          <t>(17, 11)</t>
        </is>
      </c>
      <c r="G232" s="31" t="n">
        <v>41.8</v>
      </c>
      <c r="H232" s="30" t="inlineStr">
        <is>
          <t>O0207</t>
        </is>
      </c>
    </row>
    <row r="233">
      <c r="A233" s="32" t="n">
        <v>232</v>
      </c>
      <c r="B233" s="31" t="n">
        <v>10044</v>
      </c>
      <c r="C233" s="30" t="inlineStr">
        <is>
          <t>AMR1</t>
        </is>
      </c>
      <c r="D233" s="30" t="inlineStr">
        <is>
          <t>AMR2</t>
        </is>
      </c>
      <c r="E233" s="30" t="inlineStr">
        <is>
          <t>정면충돌</t>
        </is>
      </c>
      <c r="F233" s="30" t="inlineStr">
        <is>
          <t>(17, 11)&lt;-&gt;(17, 12)</t>
        </is>
      </c>
      <c r="G233" s="31" t="n">
        <v>21.7</v>
      </c>
      <c r="H233" s="30" t="inlineStr">
        <is>
          <t>O0207</t>
        </is>
      </c>
    </row>
    <row r="234">
      <c r="A234" s="32" t="n">
        <v>233</v>
      </c>
      <c r="B234" s="31" t="n">
        <v>10078.6</v>
      </c>
      <c r="C234" s="30" t="inlineStr">
        <is>
          <t>AMR1</t>
        </is>
      </c>
      <c r="D234" s="30" t="inlineStr">
        <is>
          <t>AMR2</t>
        </is>
      </c>
      <c r="E234" s="30" t="inlineStr">
        <is>
          <t>경로충돌</t>
        </is>
      </c>
      <c r="F234" s="30" t="inlineStr">
        <is>
          <t>(17, 12)</t>
        </is>
      </c>
      <c r="G234" s="31" t="n">
        <v>57.1</v>
      </c>
      <c r="H234" s="30" t="inlineStr">
        <is>
          <t>O0208</t>
        </is>
      </c>
    </row>
    <row r="235">
      <c r="A235" s="32" t="n">
        <v>234</v>
      </c>
      <c r="B235" s="31" t="n">
        <v>10079</v>
      </c>
      <c r="C235" s="30" t="inlineStr">
        <is>
          <t>AMR1</t>
        </is>
      </c>
      <c r="D235" s="30" t="inlineStr">
        <is>
          <t>AMR2</t>
        </is>
      </c>
      <c r="E235" s="30" t="inlineStr">
        <is>
          <t>정면충돌</t>
        </is>
      </c>
      <c r="F235" s="30" t="inlineStr">
        <is>
          <t>(17, 11)&lt;-&gt;(17, 12)</t>
        </is>
      </c>
      <c r="G235" s="31" t="n">
        <v>52.4</v>
      </c>
      <c r="H235" s="30" t="inlineStr">
        <is>
          <t>O0208</t>
        </is>
      </c>
    </row>
    <row r="236">
      <c r="A236" s="32" t="n">
        <v>235</v>
      </c>
      <c r="B236" s="31" t="n">
        <v>10082.8</v>
      </c>
      <c r="C236" s="30" t="inlineStr">
        <is>
          <t>AMR2</t>
        </is>
      </c>
      <c r="D236" s="30" t="inlineStr">
        <is>
          <t>AMR3</t>
        </is>
      </c>
      <c r="E236" s="30" t="inlineStr">
        <is>
          <t>경로충돌</t>
        </is>
      </c>
      <c r="F236" s="30" t="inlineStr">
        <is>
          <t>(17, 11)</t>
        </is>
      </c>
      <c r="G236" s="31" t="n">
        <v>45.5</v>
      </c>
      <c r="H236" s="30" t="inlineStr">
        <is>
          <t>O0206 O0208</t>
        </is>
      </c>
    </row>
    <row r="237">
      <c r="A237" s="32" t="n">
        <v>236</v>
      </c>
      <c r="B237" s="31" t="n">
        <v>10087.7</v>
      </c>
      <c r="C237" s="30" t="inlineStr">
        <is>
          <t>AMR2</t>
        </is>
      </c>
      <c r="D237" s="30" t="inlineStr">
        <is>
          <t>AMR3</t>
        </is>
      </c>
      <c r="E237" s="30" t="inlineStr">
        <is>
          <t>경로충돌</t>
        </is>
      </c>
      <c r="F237" s="30" t="inlineStr">
        <is>
          <t>(16, 9)</t>
        </is>
      </c>
      <c r="G237" s="31" t="n">
        <v>58.6</v>
      </c>
      <c r="H237" s="30" t="inlineStr">
        <is>
          <t>O0206 O0208</t>
        </is>
      </c>
    </row>
    <row r="238">
      <c r="A238" s="32" t="n">
        <v>237</v>
      </c>
      <c r="B238" s="31" t="n">
        <v>10267.1</v>
      </c>
      <c r="C238" s="30" t="inlineStr">
        <is>
          <t>AMR1</t>
        </is>
      </c>
      <c r="D238" s="30" t="inlineStr">
        <is>
          <t>AMR2</t>
        </is>
      </c>
      <c r="E238" s="30" t="inlineStr">
        <is>
          <t>경로충돌</t>
        </is>
      </c>
      <c r="F238" s="30" t="inlineStr">
        <is>
          <t>(18, 11)</t>
        </is>
      </c>
      <c r="G238" s="31" t="n">
        <v>50.2</v>
      </c>
      <c r="H238" s="30" t="inlineStr">
        <is>
          <t>O0210</t>
        </is>
      </c>
    </row>
    <row r="239">
      <c r="A239" s="32" t="n">
        <v>238</v>
      </c>
      <c r="B239" s="31" t="n">
        <v>10458</v>
      </c>
      <c r="C239" s="30" t="inlineStr">
        <is>
          <t>AMR1</t>
        </is>
      </c>
      <c r="D239" s="30" t="inlineStr">
        <is>
          <t>AMR2</t>
        </is>
      </c>
      <c r="E239" s="30" t="inlineStr">
        <is>
          <t>정면충돌</t>
        </is>
      </c>
      <c r="F239" s="30" t="inlineStr">
        <is>
          <t>(18, 18)&lt;-&gt;(18, 19)</t>
        </is>
      </c>
      <c r="G239" s="31" t="n">
        <v>44.3</v>
      </c>
      <c r="H239" s="30" t="inlineStr">
        <is>
          <t>O0215</t>
        </is>
      </c>
    </row>
    <row r="240">
      <c r="A240" s="32" t="n">
        <v>239</v>
      </c>
      <c r="B240" s="31" t="n">
        <v>10469.4</v>
      </c>
      <c r="C240" s="30" t="inlineStr">
        <is>
          <t>AMR1</t>
        </is>
      </c>
      <c r="D240" s="30" t="inlineStr">
        <is>
          <t>AMR3</t>
        </is>
      </c>
      <c r="E240" s="30" t="inlineStr">
        <is>
          <t>경로충돌</t>
        </is>
      </c>
      <c r="F240" s="30" t="inlineStr">
        <is>
          <t>(18, 12)</t>
        </is>
      </c>
      <c r="G240" s="31" t="n">
        <v>33.5</v>
      </c>
      <c r="H240" s="30" t="inlineStr">
        <is>
          <t>O0215</t>
        </is>
      </c>
    </row>
    <row r="241">
      <c r="A241" s="32" t="n">
        <v>240</v>
      </c>
      <c r="B241" s="31" t="n">
        <v>10470.1</v>
      </c>
      <c r="C241" s="30" t="inlineStr">
        <is>
          <t>AMR1</t>
        </is>
      </c>
      <c r="D241" s="30" t="inlineStr">
        <is>
          <t>AMR3</t>
        </is>
      </c>
      <c r="E241" s="30" t="inlineStr">
        <is>
          <t>정면충돌</t>
        </is>
      </c>
      <c r="F241" s="30" t="inlineStr">
        <is>
          <t>(18, 11)&lt;-&gt;(18, 12)</t>
        </is>
      </c>
      <c r="G241" s="31" t="n">
        <v>44.9</v>
      </c>
      <c r="H241" s="30" t="inlineStr">
        <is>
          <t>O0215</t>
        </is>
      </c>
    </row>
    <row r="242">
      <c r="A242" s="32" t="n">
        <v>241</v>
      </c>
      <c r="B242" s="31" t="n">
        <v>10546.2</v>
      </c>
      <c r="C242" s="30" t="inlineStr">
        <is>
          <t>AMR1</t>
        </is>
      </c>
      <c r="D242" s="30" t="inlineStr">
        <is>
          <t>AMR3</t>
        </is>
      </c>
      <c r="E242" s="30" t="inlineStr">
        <is>
          <t>경로충돌</t>
        </is>
      </c>
      <c r="F242" s="30" t="inlineStr">
        <is>
          <t>(14, 19)</t>
        </is>
      </c>
      <c r="G242" s="31" t="n">
        <v>36.9</v>
      </c>
      <c r="H242" s="30" t="inlineStr">
        <is>
          <t>O0217</t>
        </is>
      </c>
    </row>
    <row r="243">
      <c r="A243" s="32" t="n">
        <v>242</v>
      </c>
      <c r="B243" s="31" t="n">
        <v>10546.7</v>
      </c>
      <c r="C243" s="30" t="inlineStr">
        <is>
          <t>AMR1</t>
        </is>
      </c>
      <c r="D243" s="30" t="inlineStr">
        <is>
          <t>AMR3</t>
        </is>
      </c>
      <c r="E243" s="30" t="inlineStr">
        <is>
          <t>정면충돌</t>
        </is>
      </c>
      <c r="F243" s="30" t="inlineStr">
        <is>
          <t>(14, 19)&lt;-&gt;(15, 19)</t>
        </is>
      </c>
      <c r="G243" s="31" t="n">
        <v>27</v>
      </c>
      <c r="H243" s="30" t="inlineStr">
        <is>
          <t>O0217</t>
        </is>
      </c>
    </row>
    <row r="244">
      <c r="A244" s="32" t="n">
        <v>243</v>
      </c>
      <c r="B244" s="31" t="n">
        <v>10611.4</v>
      </c>
      <c r="C244" s="30" t="inlineStr">
        <is>
          <t>AMR2</t>
        </is>
      </c>
      <c r="D244" s="30" t="inlineStr">
        <is>
          <t>AMR3</t>
        </is>
      </c>
      <c r="E244" s="30" t="inlineStr">
        <is>
          <t>경로충돌</t>
        </is>
      </c>
      <c r="F244" s="30" t="inlineStr">
        <is>
          <t>(12, 16)</t>
        </is>
      </c>
      <c r="G244" s="31" t="n">
        <v>26.5</v>
      </c>
      <c r="H244" s="30" t="inlineStr">
        <is>
          <t>O0219</t>
        </is>
      </c>
    </row>
    <row r="245">
      <c r="A245" s="32" t="n">
        <v>244</v>
      </c>
      <c r="B245" s="31" t="n">
        <v>10612.4</v>
      </c>
      <c r="C245" s="30" t="inlineStr">
        <is>
          <t>AMR2</t>
        </is>
      </c>
      <c r="D245" s="30" t="inlineStr">
        <is>
          <t>AMR3</t>
        </is>
      </c>
      <c r="E245" s="30" t="inlineStr">
        <is>
          <t>정면충돌</t>
        </is>
      </c>
      <c r="F245" s="30" t="inlineStr">
        <is>
          <t>(12, 15)&lt;-&gt;(12, 16)</t>
        </is>
      </c>
      <c r="G245" s="31" t="n">
        <v>24.3</v>
      </c>
      <c r="H245" s="30" t="inlineStr">
        <is>
          <t>O0219</t>
        </is>
      </c>
    </row>
    <row r="246">
      <c r="A246" s="32" t="n">
        <v>245</v>
      </c>
      <c r="B246" s="31" t="n">
        <v>10651.2</v>
      </c>
      <c r="C246" s="30" t="inlineStr">
        <is>
          <t>AMR1</t>
        </is>
      </c>
      <c r="D246" s="30" t="inlineStr">
        <is>
          <t>AMR2</t>
        </is>
      </c>
      <c r="E246" s="30" t="inlineStr">
        <is>
          <t>경로충돌</t>
        </is>
      </c>
      <c r="F246" s="30" t="inlineStr">
        <is>
          <t>(17, 18)</t>
        </is>
      </c>
      <c r="G246" s="31" t="n">
        <v>47.4</v>
      </c>
      <c r="H246" s="30" t="inlineStr">
        <is>
          <t>O0219</t>
        </is>
      </c>
    </row>
    <row r="247">
      <c r="A247" s="32" t="n">
        <v>246</v>
      </c>
      <c r="B247" s="31" t="n">
        <v>10651.7</v>
      </c>
      <c r="C247" s="30" t="inlineStr">
        <is>
          <t>AMR1</t>
        </is>
      </c>
      <c r="D247" s="30" t="inlineStr">
        <is>
          <t>AMR2</t>
        </is>
      </c>
      <c r="E247" s="30" t="inlineStr">
        <is>
          <t>정면충돌</t>
        </is>
      </c>
      <c r="F247" s="30" t="inlineStr">
        <is>
          <t>(17, 17)&lt;-&gt;(17, 18)</t>
        </is>
      </c>
      <c r="G247" s="31" t="n">
        <v>35</v>
      </c>
      <c r="H247" s="30" t="inlineStr">
        <is>
          <t>O0219</t>
        </is>
      </c>
    </row>
    <row r="248">
      <c r="A248" s="32" t="n">
        <v>247</v>
      </c>
      <c r="B248" s="31" t="n">
        <v>10718.1</v>
      </c>
      <c r="C248" s="30" t="inlineStr">
        <is>
          <t>AMR2</t>
        </is>
      </c>
      <c r="D248" s="30" t="inlineStr">
        <is>
          <t>AMR3</t>
        </is>
      </c>
      <c r="E248" s="30" t="inlineStr">
        <is>
          <t>경로충돌</t>
        </is>
      </c>
      <c r="F248" s="30" t="inlineStr">
        <is>
          <t>(17, 19)</t>
        </is>
      </c>
      <c r="G248" s="31" t="n">
        <v>59.5</v>
      </c>
      <c r="H248" s="30" t="inlineStr">
        <is>
          <t>O0220</t>
        </is>
      </c>
    </row>
    <row r="249">
      <c r="A249" s="32" t="n">
        <v>248</v>
      </c>
      <c r="B249" s="31" t="n">
        <v>10718.5</v>
      </c>
      <c r="C249" s="30" t="inlineStr">
        <is>
          <t>AMR2</t>
        </is>
      </c>
      <c r="D249" s="30" t="inlineStr">
        <is>
          <t>AMR3</t>
        </is>
      </c>
      <c r="E249" s="30" t="inlineStr">
        <is>
          <t>정면충돌</t>
        </is>
      </c>
      <c r="F249" s="30" t="inlineStr">
        <is>
          <t>(16, 19)&lt;-&gt;(17, 19)</t>
        </is>
      </c>
      <c r="G249" s="31" t="n">
        <v>56.7</v>
      </c>
      <c r="H249" s="30" t="inlineStr">
        <is>
          <t>O0220</t>
        </is>
      </c>
    </row>
    <row r="250">
      <c r="A250" s="32" t="n">
        <v>249</v>
      </c>
      <c r="B250" s="31" t="n">
        <v>10827.1</v>
      </c>
      <c r="C250" s="30" t="inlineStr">
        <is>
          <t>AMR2</t>
        </is>
      </c>
      <c r="D250" s="30" t="inlineStr">
        <is>
          <t>AMR3</t>
        </is>
      </c>
      <c r="E250" s="30" t="inlineStr">
        <is>
          <t>경로충돌</t>
        </is>
      </c>
      <c r="F250" s="30" t="inlineStr">
        <is>
          <t>(18, 11)</t>
        </is>
      </c>
      <c r="G250" s="31" t="n">
        <v>31.4</v>
      </c>
      <c r="H250" s="30" t="inlineStr">
        <is>
          <t>O0221 O0223</t>
        </is>
      </c>
    </row>
    <row r="251">
      <c r="A251" s="32" t="n">
        <v>250</v>
      </c>
      <c r="B251" s="31" t="n">
        <v>10874.5</v>
      </c>
      <c r="C251" s="30" t="inlineStr">
        <is>
          <t>AMR2</t>
        </is>
      </c>
      <c r="D251" s="30" t="inlineStr">
        <is>
          <t>AMR3</t>
        </is>
      </c>
      <c r="E251" s="30" t="inlineStr">
        <is>
          <t>정면충돌</t>
        </is>
      </c>
      <c r="F251" s="30" t="inlineStr">
        <is>
          <t>(18, 15)&lt;-&gt;(18, 16)</t>
        </is>
      </c>
      <c r="G251" s="31" t="n">
        <v>24.1</v>
      </c>
      <c r="H251" s="30" t="inlineStr">
        <is>
          <t>O0223</t>
        </is>
      </c>
    </row>
    <row r="252">
      <c r="A252" s="32" t="n">
        <v>251</v>
      </c>
      <c r="B252" s="31" t="n">
        <v>10883.6</v>
      </c>
      <c r="C252" s="30" t="inlineStr">
        <is>
          <t>AMR1</t>
        </is>
      </c>
      <c r="D252" s="30" t="inlineStr">
        <is>
          <t>AMR3</t>
        </is>
      </c>
      <c r="E252" s="30" t="inlineStr">
        <is>
          <t>경로충돌</t>
        </is>
      </c>
      <c r="F252" s="30" t="inlineStr">
        <is>
          <t>(18, 11)</t>
        </is>
      </c>
      <c r="G252" s="31" t="n">
        <v>53.3</v>
      </c>
      <c r="H252" s="30" t="inlineStr">
        <is>
          <t>O0223</t>
        </is>
      </c>
    </row>
    <row r="253">
      <c r="A253" s="32" t="n">
        <v>252</v>
      </c>
      <c r="B253" s="31" t="n">
        <v>10884.1</v>
      </c>
      <c r="C253" s="30" t="inlineStr">
        <is>
          <t>AMR1</t>
        </is>
      </c>
      <c r="D253" s="30" t="inlineStr">
        <is>
          <t>AMR3</t>
        </is>
      </c>
      <c r="E253" s="30" t="inlineStr">
        <is>
          <t>정면충돌</t>
        </is>
      </c>
      <c r="F253" s="30" t="inlineStr">
        <is>
          <t>(18, 10)&lt;-&gt;(18, 11)</t>
        </is>
      </c>
      <c r="G253" s="31" t="n">
        <v>54</v>
      </c>
      <c r="H253" s="30" t="inlineStr">
        <is>
          <t>O0223</t>
        </is>
      </c>
    </row>
    <row r="254">
      <c r="A254" s="32" t="n">
        <v>253</v>
      </c>
      <c r="B254" s="31" t="n">
        <v>10958.7</v>
      </c>
      <c r="C254" s="30" t="inlineStr">
        <is>
          <t>AMR1</t>
        </is>
      </c>
      <c r="D254" s="30" t="inlineStr">
        <is>
          <t>AMR3</t>
        </is>
      </c>
      <c r="E254" s="30" t="inlineStr">
        <is>
          <t>정면충돌</t>
        </is>
      </c>
      <c r="F254" s="30" t="inlineStr">
        <is>
          <t>(18, 17)&lt;-&gt;(18, 18)</t>
        </is>
      </c>
      <c r="G254" s="31" t="n">
        <v>34.8</v>
      </c>
      <c r="H254" s="30" t="inlineStr">
        <is>
          <t>O0225</t>
        </is>
      </c>
    </row>
    <row r="255">
      <c r="A255" s="32" t="n">
        <v>254</v>
      </c>
      <c r="B255" s="31" t="n">
        <v>11085.2</v>
      </c>
      <c r="C255" s="30" t="inlineStr">
        <is>
          <t>AMR1</t>
        </is>
      </c>
      <c r="D255" s="30" t="inlineStr">
        <is>
          <t>AMR3</t>
        </is>
      </c>
      <c r="E255" s="30" t="inlineStr">
        <is>
          <t>경로충돌</t>
        </is>
      </c>
      <c r="F255" s="30" t="inlineStr">
        <is>
          <t>(16, 19)</t>
        </is>
      </c>
      <c r="G255" s="31" t="n">
        <v>50.5</v>
      </c>
      <c r="H255" s="30" t="inlineStr">
        <is>
          <t>O0228</t>
        </is>
      </c>
    </row>
    <row r="256">
      <c r="A256" s="32" t="n">
        <v>255</v>
      </c>
      <c r="B256" s="31" t="n">
        <v>11086.5</v>
      </c>
      <c r="C256" s="30" t="inlineStr">
        <is>
          <t>AMR1</t>
        </is>
      </c>
      <c r="D256" s="30" t="inlineStr">
        <is>
          <t>AMR3</t>
        </is>
      </c>
      <c r="E256" s="30" t="inlineStr">
        <is>
          <t>정면충돌</t>
        </is>
      </c>
      <c r="F256" s="30" t="inlineStr">
        <is>
          <t>(15, 19)&lt;-&gt;(16, 19)</t>
        </is>
      </c>
      <c r="G256" s="31" t="n">
        <v>57.5</v>
      </c>
      <c r="H256" s="30" t="inlineStr">
        <is>
          <t>O0228</t>
        </is>
      </c>
    </row>
    <row r="257">
      <c r="A257" s="32" t="n">
        <v>256</v>
      </c>
      <c r="B257" s="31" t="n">
        <v>11367.5</v>
      </c>
      <c r="C257" s="30" t="inlineStr">
        <is>
          <t>AMR2</t>
        </is>
      </c>
      <c r="D257" s="30" t="inlineStr">
        <is>
          <t>AMR3</t>
        </is>
      </c>
      <c r="E257" s="30" t="inlineStr">
        <is>
          <t>경로충돌</t>
        </is>
      </c>
      <c r="F257" s="30" t="inlineStr">
        <is>
          <t>(16, 19)</t>
        </is>
      </c>
      <c r="G257" s="31" t="n">
        <v>37.9</v>
      </c>
      <c r="H257" s="30" t="inlineStr">
        <is>
          <t>O0233</t>
        </is>
      </c>
    </row>
    <row r="258">
      <c r="A258" s="32" t="n">
        <v>257</v>
      </c>
      <c r="B258" s="31" t="n">
        <v>11367.8</v>
      </c>
      <c r="C258" s="30" t="inlineStr">
        <is>
          <t>AMR2</t>
        </is>
      </c>
      <c r="D258" s="30" t="inlineStr">
        <is>
          <t>AMR3</t>
        </is>
      </c>
      <c r="E258" s="30" t="inlineStr">
        <is>
          <t>정면충돌</t>
        </is>
      </c>
      <c r="F258" s="30" t="inlineStr">
        <is>
          <t>(16, 19)&lt;-&gt;(17, 19)</t>
        </is>
      </c>
      <c r="G258" s="31" t="n">
        <v>37.7</v>
      </c>
      <c r="H258" s="30" t="inlineStr">
        <is>
          <t>O0233</t>
        </is>
      </c>
    </row>
    <row r="259">
      <c r="A259" s="32" t="n">
        <v>258</v>
      </c>
      <c r="B259" s="31" t="n">
        <v>11372.2</v>
      </c>
      <c r="C259" s="30" t="inlineStr">
        <is>
          <t>AMR1</t>
        </is>
      </c>
      <c r="D259" s="30" t="inlineStr">
        <is>
          <t>AMR2</t>
        </is>
      </c>
      <c r="E259" s="30" t="inlineStr">
        <is>
          <t>경로충돌</t>
        </is>
      </c>
      <c r="F259" s="30" t="inlineStr">
        <is>
          <t>(17, 19)</t>
        </is>
      </c>
      <c r="G259" s="31" t="n">
        <v>44.7</v>
      </c>
      <c r="H259" s="30" t="inlineStr">
        <is>
          <t>O0233</t>
        </is>
      </c>
    </row>
    <row r="260">
      <c r="A260" s="32" t="n">
        <v>259</v>
      </c>
      <c r="B260" s="31" t="n">
        <v>11377.5</v>
      </c>
      <c r="C260" s="30" t="inlineStr">
        <is>
          <t>AMR1</t>
        </is>
      </c>
      <c r="D260" s="30" t="inlineStr">
        <is>
          <t>AMR3</t>
        </is>
      </c>
      <c r="E260" s="30" t="inlineStr">
        <is>
          <t>경로충돌</t>
        </is>
      </c>
      <c r="F260" s="30" t="inlineStr">
        <is>
          <t>(16, 19)</t>
        </is>
      </c>
      <c r="G260" s="31" t="n">
        <v>53.8</v>
      </c>
      <c r="H260" s="30" t="inlineStr">
        <is>
          <t>O0234</t>
        </is>
      </c>
    </row>
    <row r="261">
      <c r="A261" s="32" t="n">
        <v>260</v>
      </c>
      <c r="B261" s="31" t="n">
        <v>11577.7</v>
      </c>
      <c r="C261" s="30" t="inlineStr">
        <is>
          <t>AMR2</t>
        </is>
      </c>
      <c r="D261" s="30" t="inlineStr">
        <is>
          <t>AMR3</t>
        </is>
      </c>
      <c r="E261" s="30" t="inlineStr">
        <is>
          <t>경로충돌</t>
        </is>
      </c>
      <c r="F261" s="30" t="inlineStr">
        <is>
          <t>(15, 19)</t>
        </is>
      </c>
      <c r="G261" s="31" t="n">
        <v>48.1</v>
      </c>
      <c r="H261" s="30" t="inlineStr"/>
    </row>
    <row r="262">
      <c r="A262" s="32" t="n">
        <v>261</v>
      </c>
      <c r="B262" s="31" t="n">
        <v>11578.2</v>
      </c>
      <c r="C262" s="30" t="inlineStr">
        <is>
          <t>AMR2</t>
        </is>
      </c>
      <c r="D262" s="30" t="inlineStr">
        <is>
          <t>AMR3</t>
        </is>
      </c>
      <c r="E262" s="30" t="inlineStr">
        <is>
          <t>정면충돌</t>
        </is>
      </c>
      <c r="F262" s="30" t="inlineStr">
        <is>
          <t>(14, 19)&lt;-&gt;(15, 19)</t>
        </is>
      </c>
      <c r="G262" s="31" t="n">
        <v>59.5</v>
      </c>
      <c r="H262" s="30" t="inlineStr">
        <is>
          <t>O0238</t>
        </is>
      </c>
    </row>
    <row r="263">
      <c r="A263" s="32" t="n">
        <v>262</v>
      </c>
      <c r="B263" s="31" t="n">
        <v>11657.7</v>
      </c>
      <c r="C263" s="30" t="inlineStr">
        <is>
          <t>AMR1</t>
        </is>
      </c>
      <c r="D263" s="30" t="inlineStr">
        <is>
          <t>AMR2</t>
        </is>
      </c>
      <c r="E263" s="30" t="inlineStr">
        <is>
          <t>경로충돌</t>
        </is>
      </c>
      <c r="F263" s="30" t="inlineStr">
        <is>
          <t>(16, 19)</t>
        </is>
      </c>
      <c r="G263" s="31" t="n">
        <v>25.7</v>
      </c>
      <c r="H263" s="30" t="inlineStr">
        <is>
          <t>O0240</t>
        </is>
      </c>
    </row>
    <row r="264">
      <c r="A264" s="32" t="n">
        <v>263</v>
      </c>
      <c r="B264" s="31" t="n">
        <v>11658.5</v>
      </c>
      <c r="C264" s="30" t="inlineStr">
        <is>
          <t>AMR1</t>
        </is>
      </c>
      <c r="D264" s="30" t="inlineStr">
        <is>
          <t>AMR2</t>
        </is>
      </c>
      <c r="E264" s="30" t="inlineStr">
        <is>
          <t>정면충돌</t>
        </is>
      </c>
      <c r="F264" s="30" t="inlineStr">
        <is>
          <t>(16, 19)&lt;-&gt;(17, 19)</t>
        </is>
      </c>
      <c r="G264" s="31" t="n">
        <v>23.8</v>
      </c>
      <c r="H264" s="30" t="inlineStr">
        <is>
          <t>O0240</t>
        </is>
      </c>
    </row>
    <row r="265">
      <c r="A265" s="32" t="n">
        <v>264</v>
      </c>
      <c r="B265" s="31" t="n">
        <v>11769.1</v>
      </c>
      <c r="C265" s="30" t="inlineStr">
        <is>
          <t>AMR1</t>
        </is>
      </c>
      <c r="D265" s="30" t="inlineStr">
        <is>
          <t>AMR3</t>
        </is>
      </c>
      <c r="E265" s="30" t="inlineStr">
        <is>
          <t>경로충돌</t>
        </is>
      </c>
      <c r="F265" s="30" t="inlineStr">
        <is>
          <t>(12, 12)</t>
        </is>
      </c>
      <c r="G265" s="31" t="n">
        <v>24.8</v>
      </c>
      <c r="H265" s="30" t="inlineStr">
        <is>
          <t>O0243</t>
        </is>
      </c>
    </row>
    <row r="266">
      <c r="A266" s="32" t="n">
        <v>265</v>
      </c>
      <c r="B266" s="31" t="n">
        <v>11770.5</v>
      </c>
      <c r="C266" s="30" t="inlineStr">
        <is>
          <t>AMR1</t>
        </is>
      </c>
      <c r="D266" s="30" t="inlineStr">
        <is>
          <t>AMR3</t>
        </is>
      </c>
      <c r="E266" s="30" t="inlineStr">
        <is>
          <t>정면충돌</t>
        </is>
      </c>
      <c r="F266" s="30" t="inlineStr">
        <is>
          <t>(12, 12)&lt;-&gt;(12, 13)</t>
        </is>
      </c>
      <c r="G266" s="31" t="n">
        <v>57.6</v>
      </c>
      <c r="H266" s="30" t="inlineStr">
        <is>
          <t>O0243</t>
        </is>
      </c>
    </row>
    <row r="267">
      <c r="A267" s="32" t="n">
        <v>266</v>
      </c>
      <c r="B267" s="31" t="n">
        <v>11792.7</v>
      </c>
      <c r="C267" s="30" t="inlineStr">
        <is>
          <t>AMR1</t>
        </is>
      </c>
      <c r="D267" s="30" t="inlineStr">
        <is>
          <t>AMR3</t>
        </is>
      </c>
      <c r="E267" s="30" t="inlineStr">
        <is>
          <t>정면충돌</t>
        </is>
      </c>
      <c r="F267" s="30" t="inlineStr">
        <is>
          <t>(16, 11)&lt;-&gt;(17, 11)</t>
        </is>
      </c>
      <c r="G267" s="31" t="n">
        <v>31.9</v>
      </c>
      <c r="H267" s="30" t="inlineStr">
        <is>
          <t>O0242</t>
        </is>
      </c>
    </row>
    <row r="268">
      <c r="A268" s="32" t="n">
        <v>267</v>
      </c>
      <c r="B268" s="31" t="n">
        <v>11831.2</v>
      </c>
      <c r="C268" s="30" t="inlineStr">
        <is>
          <t>AMR2</t>
        </is>
      </c>
      <c r="D268" s="30" t="inlineStr">
        <is>
          <t>AMR3</t>
        </is>
      </c>
      <c r="E268" s="30" t="inlineStr">
        <is>
          <t>경로충돌</t>
        </is>
      </c>
      <c r="F268" s="30" t="inlineStr">
        <is>
          <t>(12, 10)</t>
        </is>
      </c>
      <c r="G268" s="31" t="n">
        <v>22.9</v>
      </c>
      <c r="H268" s="30" t="inlineStr">
        <is>
          <t>O0243</t>
        </is>
      </c>
    </row>
    <row r="269">
      <c r="A269" s="32" t="n">
        <v>268</v>
      </c>
      <c r="B269" s="31" t="n">
        <v>11831.4</v>
      </c>
      <c r="C269" s="30" t="inlineStr">
        <is>
          <t>AMR2</t>
        </is>
      </c>
      <c r="D269" s="30" t="inlineStr">
        <is>
          <t>AMR3</t>
        </is>
      </c>
      <c r="E269" s="30" t="inlineStr">
        <is>
          <t>정면충돌</t>
        </is>
      </c>
      <c r="F269" s="30" t="inlineStr">
        <is>
          <t>(12, 10)&lt;-&gt;(12, 11)</t>
        </is>
      </c>
      <c r="G269" s="31" t="n">
        <v>26</v>
      </c>
      <c r="H269" s="30" t="inlineStr">
        <is>
          <t>O0243</t>
        </is>
      </c>
    </row>
    <row r="270">
      <c r="A270" s="32" t="n">
        <v>269</v>
      </c>
      <c r="B270" s="31" t="n">
        <v>11883.1</v>
      </c>
      <c r="C270" s="30" t="inlineStr">
        <is>
          <t>AMR1</t>
        </is>
      </c>
      <c r="D270" s="30" t="inlineStr">
        <is>
          <t>AMR3</t>
        </is>
      </c>
      <c r="E270" s="30" t="inlineStr">
        <is>
          <t>경로충돌</t>
        </is>
      </c>
      <c r="F270" s="30" t="inlineStr">
        <is>
          <t>(18, 17)</t>
        </is>
      </c>
      <c r="G270" s="31" t="n">
        <v>20.9</v>
      </c>
      <c r="H270" s="30" t="inlineStr">
        <is>
          <t>O0245</t>
        </is>
      </c>
    </row>
    <row r="271">
      <c r="A271" s="32" t="n">
        <v>270</v>
      </c>
      <c r="B271" s="31" t="n">
        <v>11883.8</v>
      </c>
      <c r="C271" s="30" t="inlineStr">
        <is>
          <t>AMR1</t>
        </is>
      </c>
      <c r="D271" s="30" t="inlineStr">
        <is>
          <t>AMR3</t>
        </is>
      </c>
      <c r="E271" s="30" t="inlineStr">
        <is>
          <t>정면충돌</t>
        </is>
      </c>
      <c r="F271" s="30" t="inlineStr">
        <is>
          <t>(18, 16)&lt;-&gt;(18, 17)</t>
        </is>
      </c>
      <c r="G271" s="31" t="n">
        <v>41.3</v>
      </c>
      <c r="H271" s="30" t="inlineStr">
        <is>
          <t>O0245</t>
        </is>
      </c>
    </row>
    <row r="272">
      <c r="A272" s="32" t="n">
        <v>271</v>
      </c>
      <c r="B272" s="31" t="n">
        <v>11922.2</v>
      </c>
      <c r="C272" s="30" t="inlineStr">
        <is>
          <t>AMR1</t>
        </is>
      </c>
      <c r="D272" s="30" t="inlineStr">
        <is>
          <t>AMR2</t>
        </is>
      </c>
      <c r="E272" s="30" t="inlineStr">
        <is>
          <t>경로충돌</t>
        </is>
      </c>
      <c r="F272" s="30" t="inlineStr">
        <is>
          <t>(17, 19)</t>
        </is>
      </c>
      <c r="G272" s="31" t="n">
        <v>45.4</v>
      </c>
      <c r="H272" s="30" t="inlineStr">
        <is>
          <t>O0245</t>
        </is>
      </c>
    </row>
    <row r="273">
      <c r="A273" s="32" t="n">
        <v>272</v>
      </c>
      <c r="B273" s="31" t="n">
        <v>11987.9</v>
      </c>
      <c r="C273" s="30" t="inlineStr">
        <is>
          <t>AMR1</t>
        </is>
      </c>
      <c r="D273" s="30" t="inlineStr">
        <is>
          <t>AMR2</t>
        </is>
      </c>
      <c r="E273" s="30" t="inlineStr">
        <is>
          <t>경로충돌</t>
        </is>
      </c>
      <c r="F273" s="30" t="inlineStr">
        <is>
          <t>(18, 14)</t>
        </is>
      </c>
      <c r="G273" s="31" t="n">
        <v>31.4</v>
      </c>
      <c r="H273" s="30" t="inlineStr">
        <is>
          <t>O0247</t>
        </is>
      </c>
    </row>
    <row r="274">
      <c r="A274" s="32" t="n">
        <v>273</v>
      </c>
      <c r="B274" s="31" t="n">
        <v>11988.4</v>
      </c>
      <c r="C274" s="30" t="inlineStr">
        <is>
          <t>AMR1</t>
        </is>
      </c>
      <c r="D274" s="30" t="inlineStr">
        <is>
          <t>AMR2</t>
        </is>
      </c>
      <c r="E274" s="30" t="inlineStr">
        <is>
          <t>정면충돌</t>
        </is>
      </c>
      <c r="F274" s="30" t="inlineStr">
        <is>
          <t>(18, 14)&lt;-&gt;(18, 15)</t>
        </is>
      </c>
      <c r="G274" s="31" t="n">
        <v>20.8</v>
      </c>
      <c r="H274" s="30" t="inlineStr">
        <is>
          <t>O0247</t>
        </is>
      </c>
    </row>
    <row r="275">
      <c r="A275" s="32" t="n">
        <v>274</v>
      </c>
      <c r="B275" s="31" t="n">
        <v>12122.8</v>
      </c>
      <c r="C275" s="30" t="inlineStr">
        <is>
          <t>AMR1</t>
        </is>
      </c>
      <c r="D275" s="30" t="inlineStr">
        <is>
          <t>AMR2</t>
        </is>
      </c>
      <c r="E275" s="30" t="inlineStr">
        <is>
          <t>경로충돌</t>
        </is>
      </c>
      <c r="F275" s="30" t="inlineStr">
        <is>
          <t>(17, 19)</t>
        </is>
      </c>
      <c r="G275" s="31" t="n">
        <v>21.5</v>
      </c>
      <c r="H275" s="30" t="inlineStr">
        <is>
          <t>O0250</t>
        </is>
      </c>
    </row>
    <row r="276">
      <c r="A276" s="32" t="n">
        <v>275</v>
      </c>
      <c r="B276" s="31" t="n">
        <v>12123.3</v>
      </c>
      <c r="C276" s="30" t="inlineStr">
        <is>
          <t>AMR1</t>
        </is>
      </c>
      <c r="D276" s="30" t="inlineStr">
        <is>
          <t>AMR2</t>
        </is>
      </c>
      <c r="E276" s="30" t="inlineStr">
        <is>
          <t>정면충돌</t>
        </is>
      </c>
      <c r="F276" s="30" t="inlineStr">
        <is>
          <t>(16, 19)&lt;-&gt;(17, 19)</t>
        </is>
      </c>
      <c r="G276" s="31" t="n">
        <v>47.5</v>
      </c>
      <c r="H276" s="30" t="inlineStr">
        <is>
          <t>O0250</t>
        </is>
      </c>
    </row>
    <row r="277">
      <c r="A277" s="32" t="n">
        <v>276</v>
      </c>
      <c r="B277" s="31" t="n">
        <v>12134.3</v>
      </c>
      <c r="C277" s="30" t="inlineStr">
        <is>
          <t>AMR2</t>
        </is>
      </c>
      <c r="D277" s="30" t="inlineStr">
        <is>
          <t>AMR3</t>
        </is>
      </c>
      <c r="E277" s="30" t="inlineStr">
        <is>
          <t>경로충돌</t>
        </is>
      </c>
      <c r="F277" s="30" t="inlineStr">
        <is>
          <t>(18, 13)</t>
        </is>
      </c>
      <c r="G277" s="31" t="n">
        <v>20</v>
      </c>
      <c r="H277" s="30" t="inlineStr">
        <is>
          <t>O0250</t>
        </is>
      </c>
    </row>
    <row r="278">
      <c r="A278" s="32" t="n">
        <v>277</v>
      </c>
      <c r="B278" s="31" t="n">
        <v>12134.6</v>
      </c>
      <c r="C278" s="30" t="inlineStr">
        <is>
          <t>AMR2</t>
        </is>
      </c>
      <c r="D278" s="30" t="inlineStr">
        <is>
          <t>AMR3</t>
        </is>
      </c>
      <c r="E278" s="30" t="inlineStr">
        <is>
          <t>정면충돌</t>
        </is>
      </c>
      <c r="F278" s="30" t="inlineStr">
        <is>
          <t>(18, 13)&lt;-&gt;(18, 14)</t>
        </is>
      </c>
      <c r="G278" s="31" t="n">
        <v>29.5</v>
      </c>
      <c r="H278" s="30" t="inlineStr">
        <is>
          <t>O0250</t>
        </is>
      </c>
    </row>
    <row r="279">
      <c r="A279" s="32" t="n">
        <v>278</v>
      </c>
      <c r="B279" s="31" t="n">
        <v>12185.7</v>
      </c>
      <c r="C279" s="30" t="inlineStr">
        <is>
          <t>AMR1</t>
        </is>
      </c>
      <c r="D279" s="30" t="inlineStr">
        <is>
          <t>AMR3</t>
        </is>
      </c>
      <c r="E279" s="30" t="inlineStr">
        <is>
          <t>경로충돌</t>
        </is>
      </c>
      <c r="F279" s="30" t="inlineStr">
        <is>
          <t>(12, 9)</t>
        </is>
      </c>
      <c r="G279" s="31" t="n">
        <v>37.9</v>
      </c>
      <c r="H279" s="30" t="inlineStr"/>
    </row>
    <row r="280">
      <c r="A280" s="32" t="n">
        <v>279</v>
      </c>
      <c r="B280" s="31" t="n">
        <v>12201</v>
      </c>
      <c r="C280" s="30" t="inlineStr">
        <is>
          <t>AMR1</t>
        </is>
      </c>
      <c r="D280" s="30" t="inlineStr">
        <is>
          <t>AMR3</t>
        </is>
      </c>
      <c r="E280" s="30" t="inlineStr">
        <is>
          <t>경로충돌</t>
        </is>
      </c>
      <c r="F280" s="30" t="inlineStr">
        <is>
          <t>(13, 19)</t>
        </is>
      </c>
      <c r="G280" s="31" t="n">
        <v>36.4</v>
      </c>
      <c r="H280" s="30" t="inlineStr">
        <is>
          <t>O0251</t>
        </is>
      </c>
    </row>
    <row r="281">
      <c r="A281" s="32" t="n">
        <v>280</v>
      </c>
      <c r="B281" s="31" t="n">
        <v>12202.1</v>
      </c>
      <c r="C281" s="30" t="inlineStr">
        <is>
          <t>AMR1</t>
        </is>
      </c>
      <c r="D281" s="30" t="inlineStr">
        <is>
          <t>AMR3</t>
        </is>
      </c>
      <c r="E281" s="30" t="inlineStr">
        <is>
          <t>정면충돌</t>
        </is>
      </c>
      <c r="F281" s="30" t="inlineStr">
        <is>
          <t>(13, 19)&lt;-&gt;(14, 19)</t>
        </is>
      </c>
      <c r="G281" s="31" t="n">
        <v>57.3</v>
      </c>
      <c r="H281" s="30" t="inlineStr">
        <is>
          <t>O0251</t>
        </is>
      </c>
    </row>
    <row r="282">
      <c r="A282" s="32" t="n">
        <v>281</v>
      </c>
      <c r="B282" s="31" t="n">
        <v>12275.9</v>
      </c>
      <c r="C282" s="30" t="inlineStr">
        <is>
          <t>AMR2</t>
        </is>
      </c>
      <c r="D282" s="30" t="inlineStr">
        <is>
          <t>AMR3</t>
        </is>
      </c>
      <c r="E282" s="30" t="inlineStr">
        <is>
          <t>경로충돌</t>
        </is>
      </c>
      <c r="F282" s="30" t="inlineStr">
        <is>
          <t>(18, 14)</t>
        </is>
      </c>
      <c r="G282" s="31" t="n">
        <v>57.3</v>
      </c>
      <c r="H282" s="30" t="inlineStr">
        <is>
          <t>O0253</t>
        </is>
      </c>
    </row>
    <row r="283">
      <c r="A283" s="32" t="n">
        <v>282</v>
      </c>
      <c r="B283" s="31" t="n">
        <v>12276.5</v>
      </c>
      <c r="C283" s="30" t="inlineStr">
        <is>
          <t>AMR2</t>
        </is>
      </c>
      <c r="D283" s="30" t="inlineStr">
        <is>
          <t>AMR3</t>
        </is>
      </c>
      <c r="E283" s="30" t="inlineStr">
        <is>
          <t>정면충돌</t>
        </is>
      </c>
      <c r="F283" s="30" t="inlineStr">
        <is>
          <t>(18, 14)&lt;-&gt;(18, 15)</t>
        </is>
      </c>
      <c r="G283" s="31" t="n">
        <v>40.1</v>
      </c>
      <c r="H283" s="30" t="inlineStr">
        <is>
          <t>O0253</t>
        </is>
      </c>
    </row>
    <row r="284">
      <c r="A284" s="32" t="n">
        <v>283</v>
      </c>
      <c r="B284" s="31" t="n">
        <v>12349.3</v>
      </c>
      <c r="C284" s="30" t="inlineStr">
        <is>
          <t>AMR2</t>
        </is>
      </c>
      <c r="D284" s="30" t="inlineStr">
        <is>
          <t>AMR3</t>
        </is>
      </c>
      <c r="E284" s="30" t="inlineStr">
        <is>
          <t>경로충돌</t>
        </is>
      </c>
      <c r="F284" s="30" t="inlineStr">
        <is>
          <t>(17, 19)</t>
        </is>
      </c>
      <c r="G284" s="31" t="n">
        <v>44.6</v>
      </c>
      <c r="H284" s="30" t="inlineStr"/>
    </row>
    <row r="285">
      <c r="A285" s="32" t="n">
        <v>284</v>
      </c>
      <c r="B285" s="31" t="n">
        <v>12350.8</v>
      </c>
      <c r="C285" s="30" t="inlineStr">
        <is>
          <t>AMR1</t>
        </is>
      </c>
      <c r="D285" s="30" t="inlineStr">
        <is>
          <t>AMR2</t>
        </is>
      </c>
      <c r="E285" s="30" t="inlineStr">
        <is>
          <t>경로충돌</t>
        </is>
      </c>
      <c r="F285" s="30" t="inlineStr">
        <is>
          <t>(16, 19)</t>
        </is>
      </c>
      <c r="G285" s="31" t="n">
        <v>34.3</v>
      </c>
      <c r="H285" s="30" t="inlineStr">
        <is>
          <t>O0254</t>
        </is>
      </c>
    </row>
    <row r="286">
      <c r="A286" s="32" t="n">
        <v>285</v>
      </c>
      <c r="B286" s="31" t="n">
        <v>12351.3</v>
      </c>
      <c r="C286" s="30" t="inlineStr">
        <is>
          <t>AMR1</t>
        </is>
      </c>
      <c r="D286" s="30" t="inlineStr">
        <is>
          <t>AMR2</t>
        </is>
      </c>
      <c r="E286" s="30" t="inlineStr">
        <is>
          <t>정면충돌</t>
        </is>
      </c>
      <c r="F286" s="30" t="inlineStr">
        <is>
          <t>(16, 19)&lt;-&gt;(17, 19)</t>
        </is>
      </c>
      <c r="G286" s="31" t="n">
        <v>45.7</v>
      </c>
      <c r="H286" s="30" t="inlineStr">
        <is>
          <t>O0254</t>
        </is>
      </c>
    </row>
    <row r="287">
      <c r="A287" s="32" t="n">
        <v>286</v>
      </c>
      <c r="B287" s="31" t="n">
        <v>12423.9</v>
      </c>
      <c r="C287" s="30" t="inlineStr">
        <is>
          <t>AMR2</t>
        </is>
      </c>
      <c r="D287" s="30" t="inlineStr">
        <is>
          <t>AMR3</t>
        </is>
      </c>
      <c r="E287" s="30" t="inlineStr">
        <is>
          <t>정면충돌</t>
        </is>
      </c>
      <c r="F287" s="30" t="inlineStr">
        <is>
          <t>(18, 14)&lt;-&gt;(18, 15)</t>
        </is>
      </c>
      <c r="G287" s="31" t="n">
        <v>22.3</v>
      </c>
      <c r="H287" s="30" t="inlineStr">
        <is>
          <t>O0256</t>
        </is>
      </c>
    </row>
    <row r="288">
      <c r="A288" s="32" t="n">
        <v>287</v>
      </c>
      <c r="B288" s="31" t="n">
        <v>12433.5</v>
      </c>
      <c r="C288" s="30" t="inlineStr">
        <is>
          <t>AMR1</t>
        </is>
      </c>
      <c r="D288" s="30" t="inlineStr">
        <is>
          <t>AMR2</t>
        </is>
      </c>
      <c r="E288" s="30" t="inlineStr">
        <is>
          <t>경로충돌</t>
        </is>
      </c>
      <c r="F288" s="30" t="inlineStr">
        <is>
          <t>(18, 11)</t>
        </is>
      </c>
      <c r="G288" s="31" t="n">
        <v>27.5</v>
      </c>
      <c r="H288" s="30" t="inlineStr">
        <is>
          <t>O0256</t>
        </is>
      </c>
    </row>
    <row r="289">
      <c r="A289" s="32" t="n">
        <v>288</v>
      </c>
      <c r="B289" s="31" t="n">
        <v>12544.4</v>
      </c>
      <c r="C289" s="30" t="inlineStr">
        <is>
          <t>AMR1</t>
        </is>
      </c>
      <c r="D289" s="30" t="inlineStr">
        <is>
          <t>AMR2</t>
        </is>
      </c>
      <c r="E289" s="30" t="inlineStr">
        <is>
          <t>정면충돌</t>
        </is>
      </c>
      <c r="F289" s="30" t="inlineStr">
        <is>
          <t>(18, 9)&lt;-&gt;(19, 9)</t>
        </is>
      </c>
      <c r="G289" s="31" t="n">
        <v>53</v>
      </c>
      <c r="H289" s="30" t="inlineStr">
        <is>
          <t>O0258 O0259</t>
        </is>
      </c>
    </row>
    <row r="290">
      <c r="A290" s="32" t="n">
        <v>289</v>
      </c>
      <c r="B290" s="31" t="n">
        <v>12580.1</v>
      </c>
      <c r="C290" s="30" t="inlineStr">
        <is>
          <t>AMR1</t>
        </is>
      </c>
      <c r="D290" s="30" t="inlineStr">
        <is>
          <t>AMR3</t>
        </is>
      </c>
      <c r="E290" s="30" t="inlineStr">
        <is>
          <t>경로충돌</t>
        </is>
      </c>
      <c r="F290" s="30" t="inlineStr">
        <is>
          <t>(16, 19)</t>
        </is>
      </c>
      <c r="G290" s="31" t="n">
        <v>38.3</v>
      </c>
      <c r="H290" s="30" t="inlineStr">
        <is>
          <t>O0259</t>
        </is>
      </c>
    </row>
    <row r="291">
      <c r="A291" s="32" t="n">
        <v>290</v>
      </c>
      <c r="B291" s="31" t="n">
        <v>12580.8</v>
      </c>
      <c r="C291" s="30" t="inlineStr">
        <is>
          <t>AMR1</t>
        </is>
      </c>
      <c r="D291" s="30" t="inlineStr">
        <is>
          <t>AMR3</t>
        </is>
      </c>
      <c r="E291" s="30" t="inlineStr">
        <is>
          <t>정면충돌</t>
        </is>
      </c>
      <c r="F291" s="30" t="inlineStr">
        <is>
          <t>(16, 19)&lt;-&gt;(17, 19)</t>
        </is>
      </c>
      <c r="G291" s="31" t="n">
        <v>39.8</v>
      </c>
      <c r="H291" s="30" t="inlineStr">
        <is>
          <t>O0259</t>
        </is>
      </c>
    </row>
    <row r="292">
      <c r="A292" s="32" t="n">
        <v>291</v>
      </c>
      <c r="B292" s="31" t="n">
        <v>12591.6</v>
      </c>
      <c r="C292" s="30" t="inlineStr">
        <is>
          <t>AMR1</t>
        </is>
      </c>
      <c r="D292" s="30" t="inlineStr">
        <is>
          <t>AMR2</t>
        </is>
      </c>
      <c r="E292" s="30" t="inlineStr">
        <is>
          <t>경로충돌</t>
        </is>
      </c>
      <c r="F292" s="30" t="inlineStr">
        <is>
          <t>(18, 14)</t>
        </is>
      </c>
      <c r="G292" s="31" t="n">
        <v>53.3</v>
      </c>
      <c r="H292" s="30" t="inlineStr">
        <is>
          <t>O0259</t>
        </is>
      </c>
    </row>
    <row r="293">
      <c r="A293" s="32" t="n">
        <v>292</v>
      </c>
      <c r="B293" s="31" t="n">
        <v>12592</v>
      </c>
      <c r="C293" s="30" t="inlineStr">
        <is>
          <t>AMR1</t>
        </is>
      </c>
      <c r="D293" s="30" t="inlineStr">
        <is>
          <t>AMR2</t>
        </is>
      </c>
      <c r="E293" s="30" t="inlineStr">
        <is>
          <t>정면충돌</t>
        </is>
      </c>
      <c r="F293" s="30" t="inlineStr">
        <is>
          <t>(18, 14)&lt;-&gt;(18, 15)</t>
        </is>
      </c>
      <c r="G293" s="31" t="n">
        <v>46.1</v>
      </c>
      <c r="H293" s="30" t="inlineStr">
        <is>
          <t>O0259</t>
        </is>
      </c>
    </row>
    <row r="294">
      <c r="A294" s="32" t="n">
        <v>293</v>
      </c>
      <c r="B294" s="31" t="n">
        <v>12940.9</v>
      </c>
      <c r="C294" s="30" t="inlineStr">
        <is>
          <t>AMR1</t>
        </is>
      </c>
      <c r="D294" s="30" t="inlineStr">
        <is>
          <t>AMR3</t>
        </is>
      </c>
      <c r="E294" s="30" t="inlineStr">
        <is>
          <t>경로충돌</t>
        </is>
      </c>
      <c r="F294" s="30" t="inlineStr">
        <is>
          <t>(16, 19)</t>
        </is>
      </c>
      <c r="G294" s="31" t="n">
        <v>26.8</v>
      </c>
      <c r="H294" s="30" t="inlineStr">
        <is>
          <t>O0266</t>
        </is>
      </c>
    </row>
    <row r="295">
      <c r="A295" s="32" t="n">
        <v>294</v>
      </c>
      <c r="B295" s="31" t="n">
        <v>12941.6</v>
      </c>
      <c r="C295" s="30" t="inlineStr">
        <is>
          <t>AMR1</t>
        </is>
      </c>
      <c r="D295" s="30" t="inlineStr">
        <is>
          <t>AMR3</t>
        </is>
      </c>
      <c r="E295" s="30" t="inlineStr">
        <is>
          <t>정면충돌</t>
        </is>
      </c>
      <c r="F295" s="30" t="inlineStr">
        <is>
          <t>(16, 19)&lt;-&gt;(17, 19)</t>
        </is>
      </c>
      <c r="G295" s="31" t="n">
        <v>38.6</v>
      </c>
      <c r="H295" s="30" t="inlineStr">
        <is>
          <t>O0266</t>
        </is>
      </c>
    </row>
    <row r="296">
      <c r="A296" s="32" t="n">
        <v>295</v>
      </c>
      <c r="B296" s="31" t="n">
        <v>12943.2</v>
      </c>
      <c r="C296" s="30" t="inlineStr">
        <is>
          <t>AMR1</t>
        </is>
      </c>
      <c r="D296" s="30" t="inlineStr">
        <is>
          <t>AMR2</t>
        </is>
      </c>
      <c r="E296" s="30" t="inlineStr">
        <is>
          <t>경로충돌</t>
        </is>
      </c>
      <c r="F296" s="30" t="inlineStr">
        <is>
          <t>(17, 18)</t>
        </is>
      </c>
      <c r="G296" s="31" t="n">
        <v>54.2</v>
      </c>
      <c r="H296" s="30" t="inlineStr"/>
    </row>
    <row r="297">
      <c r="A297" s="32" t="n">
        <v>296</v>
      </c>
      <c r="B297" s="31" t="n">
        <v>12975.8</v>
      </c>
      <c r="C297" s="30" t="inlineStr">
        <is>
          <t>AMR1</t>
        </is>
      </c>
      <c r="D297" s="30" t="inlineStr">
        <is>
          <t>AMR3</t>
        </is>
      </c>
      <c r="E297" s="30" t="inlineStr">
        <is>
          <t>경로충돌</t>
        </is>
      </c>
      <c r="F297" s="30" t="inlineStr">
        <is>
          <t>(17, 9)</t>
        </is>
      </c>
      <c r="G297" s="31" t="n">
        <v>34</v>
      </c>
      <c r="H297" s="30" t="inlineStr">
        <is>
          <t>O0266 O0267</t>
        </is>
      </c>
    </row>
    <row r="298">
      <c r="A298" s="32" t="n">
        <v>297</v>
      </c>
      <c r="B298" s="31" t="n">
        <v>13016.3</v>
      </c>
      <c r="C298" s="30" t="inlineStr">
        <is>
          <t>AMR2</t>
        </is>
      </c>
      <c r="D298" s="30" t="inlineStr">
        <is>
          <t>AMR3</t>
        </is>
      </c>
      <c r="E298" s="30" t="inlineStr">
        <is>
          <t>정면충돌</t>
        </is>
      </c>
      <c r="F298" s="30" t="inlineStr">
        <is>
          <t>(18, 14)&lt;-&gt;(18, 15)</t>
        </is>
      </c>
      <c r="G298" s="31" t="n">
        <v>58.1</v>
      </c>
      <c r="H298" s="30" t="inlineStr">
        <is>
          <t>O0268</t>
        </is>
      </c>
    </row>
    <row r="299">
      <c r="A299" s="32" t="n">
        <v>298</v>
      </c>
      <c r="B299" s="31" t="n">
        <v>13091.3</v>
      </c>
      <c r="C299" s="30" t="inlineStr">
        <is>
          <t>AMR1</t>
        </is>
      </c>
      <c r="D299" s="30" t="inlineStr">
        <is>
          <t>AMR2</t>
        </is>
      </c>
      <c r="E299" s="30" t="inlineStr">
        <is>
          <t>경로충돌</t>
        </is>
      </c>
      <c r="F299" s="30" t="inlineStr">
        <is>
          <t>(17, 19)</t>
        </is>
      </c>
      <c r="G299" s="31" t="n">
        <v>27.8</v>
      </c>
      <c r="H299" s="30" t="inlineStr"/>
    </row>
    <row r="300">
      <c r="A300" s="32" t="n">
        <v>299</v>
      </c>
      <c r="B300" s="31" t="n">
        <v>13094.8</v>
      </c>
      <c r="C300" s="30" t="inlineStr">
        <is>
          <t>AMR2</t>
        </is>
      </c>
      <c r="D300" s="30" t="inlineStr">
        <is>
          <t>AMR3</t>
        </is>
      </c>
      <c r="E300" s="30" t="inlineStr">
        <is>
          <t>경로충돌</t>
        </is>
      </c>
      <c r="F300" s="30" t="inlineStr">
        <is>
          <t>(13, 19)</t>
        </is>
      </c>
      <c r="G300" s="31" t="n">
        <v>35.8</v>
      </c>
      <c r="H300" s="30" t="inlineStr">
        <is>
          <t>O0269</t>
        </is>
      </c>
    </row>
    <row r="301">
      <c r="A301" s="32" t="n">
        <v>300</v>
      </c>
      <c r="B301" s="31" t="n">
        <v>13096.4</v>
      </c>
      <c r="C301" s="30" t="inlineStr">
        <is>
          <t>AMR2</t>
        </is>
      </c>
      <c r="D301" s="30" t="inlineStr">
        <is>
          <t>AMR3</t>
        </is>
      </c>
      <c r="E301" s="30" t="inlineStr">
        <is>
          <t>정면충돌</t>
        </is>
      </c>
      <c r="F301" s="30" t="inlineStr">
        <is>
          <t>(13, 19)&lt;-&gt;(14, 19)</t>
        </is>
      </c>
      <c r="G301" s="31" t="n">
        <v>27.6</v>
      </c>
      <c r="H301" s="30" t="inlineStr">
        <is>
          <t>O0269</t>
        </is>
      </c>
    </row>
    <row r="302">
      <c r="A302" s="32" t="n">
        <v>301</v>
      </c>
      <c r="B302" s="31" t="n">
        <v>13187.4</v>
      </c>
      <c r="C302" s="30" t="inlineStr">
        <is>
          <t>AMR1</t>
        </is>
      </c>
      <c r="D302" s="30" t="inlineStr">
        <is>
          <t>AMR2</t>
        </is>
      </c>
      <c r="E302" s="30" t="inlineStr">
        <is>
          <t>경로충돌</t>
        </is>
      </c>
      <c r="F302" s="30" t="inlineStr">
        <is>
          <t>(18, 16)</t>
        </is>
      </c>
      <c r="G302" s="31" t="n">
        <v>31.3</v>
      </c>
      <c r="H302" s="30" t="inlineStr">
        <is>
          <t>O0272</t>
        </is>
      </c>
    </row>
    <row r="303">
      <c r="A303" s="32" t="n">
        <v>302</v>
      </c>
      <c r="B303" s="31" t="n">
        <v>13188.1</v>
      </c>
      <c r="C303" s="30" t="inlineStr">
        <is>
          <t>AMR1</t>
        </is>
      </c>
      <c r="D303" s="30" t="inlineStr">
        <is>
          <t>AMR2</t>
        </is>
      </c>
      <c r="E303" s="30" t="inlineStr">
        <is>
          <t>정면충돌</t>
        </is>
      </c>
      <c r="F303" s="30" t="inlineStr">
        <is>
          <t>(18, 15)&lt;-&gt;(18, 16)</t>
        </is>
      </c>
      <c r="G303" s="31" t="n">
        <v>28.8</v>
      </c>
      <c r="H303" s="30" t="inlineStr">
        <is>
          <t>O0272</t>
        </is>
      </c>
    </row>
    <row r="304">
      <c r="A304" s="32" t="n">
        <v>303</v>
      </c>
      <c r="B304" s="31" t="n">
        <v>13225.3</v>
      </c>
      <c r="C304" s="30" t="inlineStr">
        <is>
          <t>AMR2</t>
        </is>
      </c>
      <c r="D304" s="30" t="inlineStr">
        <is>
          <t>AMR3</t>
        </is>
      </c>
      <c r="E304" s="30" t="inlineStr">
        <is>
          <t>경로충돌</t>
        </is>
      </c>
      <c r="F304" s="30" t="inlineStr">
        <is>
          <t>(18, 9)</t>
        </is>
      </c>
      <c r="G304" s="31" t="n">
        <v>46.1</v>
      </c>
      <c r="H304" s="30" t="inlineStr">
        <is>
          <t>O0273</t>
        </is>
      </c>
    </row>
    <row r="305">
      <c r="A305" s="32" t="n">
        <v>304</v>
      </c>
      <c r="B305" s="31" t="n">
        <v>13238.1</v>
      </c>
      <c r="C305" s="30" t="inlineStr">
        <is>
          <t>AMR1</t>
        </is>
      </c>
      <c r="D305" s="30" t="inlineStr">
        <is>
          <t>AMR3</t>
        </is>
      </c>
      <c r="E305" s="30" t="inlineStr">
        <is>
          <t>경로충돌</t>
        </is>
      </c>
      <c r="F305" s="30" t="inlineStr">
        <is>
          <t>(18, 19)</t>
        </is>
      </c>
      <c r="G305" s="31" t="n">
        <v>50</v>
      </c>
      <c r="H305" s="30" t="inlineStr">
        <is>
          <t>O0272</t>
        </is>
      </c>
    </row>
    <row r="306">
      <c r="A306" s="32" t="n">
        <v>305</v>
      </c>
      <c r="B306" s="31" t="n">
        <v>13238.7</v>
      </c>
      <c r="C306" s="30" t="inlineStr">
        <is>
          <t>AMR1</t>
        </is>
      </c>
      <c r="D306" s="30" t="inlineStr">
        <is>
          <t>AMR3</t>
        </is>
      </c>
      <c r="E306" s="30" t="inlineStr">
        <is>
          <t>정면충돌</t>
        </is>
      </c>
      <c r="F306" s="30" t="inlineStr">
        <is>
          <t>(18, 18)&lt;-&gt;(18, 19)</t>
        </is>
      </c>
      <c r="G306" s="31" t="n">
        <v>55.1</v>
      </c>
      <c r="H306" s="30" t="inlineStr">
        <is>
          <t>O0272</t>
        </is>
      </c>
    </row>
    <row r="307">
      <c r="A307" s="32" t="n">
        <v>306</v>
      </c>
      <c r="B307" s="31" t="n">
        <v>13248.2</v>
      </c>
      <c r="C307" s="30" t="inlineStr">
        <is>
          <t>AMR2</t>
        </is>
      </c>
      <c r="D307" s="30" t="inlineStr">
        <is>
          <t>AMR3</t>
        </is>
      </c>
      <c r="E307" s="30" t="inlineStr">
        <is>
          <t>경로충돌</t>
        </is>
      </c>
      <c r="F307" s="30" t="inlineStr">
        <is>
          <t>(17, 19)</t>
        </is>
      </c>
      <c r="G307" s="31" t="n">
        <v>25.6</v>
      </c>
      <c r="H307" s="30" t="inlineStr">
        <is>
          <t>O0273</t>
        </is>
      </c>
    </row>
    <row r="308">
      <c r="A308" s="32" t="n">
        <v>307</v>
      </c>
      <c r="B308" s="31" t="n">
        <v>13380.3</v>
      </c>
      <c r="C308" s="30" t="inlineStr">
        <is>
          <t>AMR2</t>
        </is>
      </c>
      <c r="D308" s="30" t="inlineStr">
        <is>
          <t>AMR3</t>
        </is>
      </c>
      <c r="E308" s="30" t="inlineStr">
        <is>
          <t>정면충돌</t>
        </is>
      </c>
      <c r="F308" s="30" t="inlineStr">
        <is>
          <t>(18, 17)&lt;-&gt;(18, 18)</t>
        </is>
      </c>
      <c r="G308" s="31" t="n">
        <v>59.8</v>
      </c>
      <c r="H308" s="30" t="inlineStr">
        <is>
          <t>O0275</t>
        </is>
      </c>
    </row>
    <row r="309">
      <c r="A309" s="32" t="n">
        <v>308</v>
      </c>
      <c r="B309" s="31" t="n">
        <v>13410.5</v>
      </c>
      <c r="C309" s="30" t="inlineStr">
        <is>
          <t>AMR2</t>
        </is>
      </c>
      <c r="D309" s="30" t="inlineStr">
        <is>
          <t>AMR3</t>
        </is>
      </c>
      <c r="E309" s="30" t="inlineStr">
        <is>
          <t>경로충돌</t>
        </is>
      </c>
      <c r="F309" s="30" t="inlineStr">
        <is>
          <t>(18, 9)</t>
        </is>
      </c>
      <c r="G309" s="31" t="n">
        <v>47.5</v>
      </c>
      <c r="H309" s="30" t="inlineStr">
        <is>
          <t>O0275 O0277</t>
        </is>
      </c>
    </row>
    <row r="310">
      <c r="A310" s="32" t="n">
        <v>309</v>
      </c>
      <c r="B310" s="31" t="n">
        <v>13451.6</v>
      </c>
      <c r="C310" s="30" t="inlineStr">
        <is>
          <t>AMR2</t>
        </is>
      </c>
      <c r="D310" s="30" t="inlineStr">
        <is>
          <t>AMR3</t>
        </is>
      </c>
      <c r="E310" s="30" t="inlineStr">
        <is>
          <t>경로충돌</t>
        </is>
      </c>
      <c r="F310" s="30" t="inlineStr">
        <is>
          <t>(18, 15)</t>
        </is>
      </c>
      <c r="G310" s="31" t="n">
        <v>30.8</v>
      </c>
      <c r="H310" s="30" t="inlineStr">
        <is>
          <t>O0277</t>
        </is>
      </c>
    </row>
    <row r="311">
      <c r="A311" s="32" t="n">
        <v>310</v>
      </c>
      <c r="B311" s="31" t="n">
        <v>13451.9</v>
      </c>
      <c r="C311" s="30" t="inlineStr">
        <is>
          <t>AMR2</t>
        </is>
      </c>
      <c r="D311" s="30" t="inlineStr">
        <is>
          <t>AMR3</t>
        </is>
      </c>
      <c r="E311" s="30" t="inlineStr">
        <is>
          <t>정면충돌</t>
        </is>
      </c>
      <c r="F311" s="30" t="inlineStr">
        <is>
          <t>(18, 15)&lt;-&gt;(18, 16)</t>
        </is>
      </c>
      <c r="G311" s="31" t="n">
        <v>46.9</v>
      </c>
      <c r="H311" s="30" t="inlineStr">
        <is>
          <t>O0277</t>
        </is>
      </c>
    </row>
    <row r="312">
      <c r="A312" s="32" t="n">
        <v>311</v>
      </c>
      <c r="B312" s="31" t="n">
        <v>13525.8</v>
      </c>
      <c r="C312" s="30" t="inlineStr">
        <is>
          <t>AMR1</t>
        </is>
      </c>
      <c r="D312" s="30" t="inlineStr">
        <is>
          <t>AMR3</t>
        </is>
      </c>
      <c r="E312" s="30" t="inlineStr">
        <is>
          <t>경로충돌</t>
        </is>
      </c>
      <c r="F312" s="30" t="inlineStr">
        <is>
          <t>(12, 19)</t>
        </is>
      </c>
      <c r="G312" s="31" t="n">
        <v>44.5</v>
      </c>
      <c r="H312" s="30" t="inlineStr"/>
    </row>
    <row r="313">
      <c r="A313" s="32" t="n">
        <v>312</v>
      </c>
      <c r="B313" s="31" t="n">
        <v>13529</v>
      </c>
      <c r="C313" s="30" t="inlineStr">
        <is>
          <t>AMR1</t>
        </is>
      </c>
      <c r="D313" s="30" t="inlineStr">
        <is>
          <t>AMR2</t>
        </is>
      </c>
      <c r="E313" s="30" t="inlineStr">
        <is>
          <t>정면충돌</t>
        </is>
      </c>
      <c r="F313" s="30" t="inlineStr">
        <is>
          <t>(14, 19)&lt;-&gt;(15, 19)</t>
        </is>
      </c>
      <c r="G313" s="31" t="n">
        <v>34.1</v>
      </c>
      <c r="H313" s="30" t="inlineStr">
        <is>
          <t>O0278</t>
        </is>
      </c>
    </row>
    <row r="314">
      <c r="A314" s="32" t="n">
        <v>313</v>
      </c>
      <c r="B314" s="31" t="n">
        <v>13675.8</v>
      </c>
      <c r="C314" s="30" t="inlineStr">
        <is>
          <t>AMR2</t>
        </is>
      </c>
      <c r="D314" s="30" t="inlineStr">
        <is>
          <t>AMR3</t>
        </is>
      </c>
      <c r="E314" s="30" t="inlineStr">
        <is>
          <t>경로충돌</t>
        </is>
      </c>
      <c r="F314" s="30" t="inlineStr">
        <is>
          <t>(17, 19)</t>
        </is>
      </c>
      <c r="G314" s="31" t="n">
        <v>31</v>
      </c>
      <c r="H314" s="30" t="inlineStr">
        <is>
          <t>O0282</t>
        </is>
      </c>
    </row>
    <row r="315">
      <c r="A315" s="32" t="n">
        <v>314</v>
      </c>
      <c r="B315" s="31" t="n">
        <v>13676.2</v>
      </c>
      <c r="C315" s="30" t="inlineStr">
        <is>
          <t>AMR2</t>
        </is>
      </c>
      <c r="D315" s="30" t="inlineStr">
        <is>
          <t>AMR3</t>
        </is>
      </c>
      <c r="E315" s="30" t="inlineStr">
        <is>
          <t>정면충돌</t>
        </is>
      </c>
      <c r="F315" s="30" t="inlineStr">
        <is>
          <t>(16, 19)&lt;-&gt;(17, 19)</t>
        </is>
      </c>
      <c r="G315" s="31" t="n">
        <v>23.4</v>
      </c>
      <c r="H315" s="30" t="inlineStr">
        <is>
          <t>O0282</t>
        </is>
      </c>
    </row>
    <row r="316">
      <c r="A316" s="32" t="n">
        <v>315</v>
      </c>
      <c r="B316" s="31" t="n">
        <v>13857.8</v>
      </c>
      <c r="C316" s="30" t="inlineStr">
        <is>
          <t>AMR1</t>
        </is>
      </c>
      <c r="D316" s="30" t="inlineStr">
        <is>
          <t>AMR2</t>
        </is>
      </c>
      <c r="E316" s="30" t="inlineStr">
        <is>
          <t>경로충돌</t>
        </is>
      </c>
      <c r="F316" s="30" t="inlineStr">
        <is>
          <t>(18, 10)</t>
        </is>
      </c>
      <c r="G316" s="31" t="n">
        <v>28.6</v>
      </c>
      <c r="H316" s="30" t="inlineStr">
        <is>
          <t>O0286</t>
        </is>
      </c>
    </row>
    <row r="317">
      <c r="A317" s="32" t="n">
        <v>316</v>
      </c>
      <c r="B317" s="31" t="n">
        <v>13858.7</v>
      </c>
      <c r="C317" s="30" t="inlineStr">
        <is>
          <t>AMR1</t>
        </is>
      </c>
      <c r="D317" s="30" t="inlineStr">
        <is>
          <t>AMR2</t>
        </is>
      </c>
      <c r="E317" s="30" t="inlineStr">
        <is>
          <t>정면충돌</t>
        </is>
      </c>
      <c r="F317" s="30" t="inlineStr">
        <is>
          <t>(18, 9)&lt;-&gt;(18, 10)</t>
        </is>
      </c>
      <c r="G317" s="31" t="n">
        <v>54.3</v>
      </c>
      <c r="H317" s="30" t="inlineStr">
        <is>
          <t>O0286</t>
        </is>
      </c>
    </row>
    <row r="318">
      <c r="A318" s="32" t="n">
        <v>317</v>
      </c>
      <c r="B318" s="31" t="n">
        <v>13901.1</v>
      </c>
      <c r="C318" s="30" t="inlineStr">
        <is>
          <t>AMR1</t>
        </is>
      </c>
      <c r="D318" s="30" t="inlineStr">
        <is>
          <t>AMR3</t>
        </is>
      </c>
      <c r="E318" s="30" t="inlineStr">
        <is>
          <t>경로충돌</t>
        </is>
      </c>
      <c r="F318" s="30" t="inlineStr">
        <is>
          <t>(18, 14)</t>
        </is>
      </c>
      <c r="G318" s="31" t="n">
        <v>34.9</v>
      </c>
      <c r="H318" s="30" t="inlineStr">
        <is>
          <t>O0286</t>
        </is>
      </c>
    </row>
    <row r="319">
      <c r="A319" s="32" t="n">
        <v>318</v>
      </c>
      <c r="B319" s="31" t="n">
        <v>13901.3</v>
      </c>
      <c r="C319" s="30" t="inlineStr">
        <is>
          <t>AMR1</t>
        </is>
      </c>
      <c r="D319" s="30" t="inlineStr">
        <is>
          <t>AMR3</t>
        </is>
      </c>
      <c r="E319" s="30" t="inlineStr">
        <is>
          <t>정면충돌</t>
        </is>
      </c>
      <c r="F319" s="30" t="inlineStr">
        <is>
          <t>(18, 14)&lt;-&gt;(18, 15)</t>
        </is>
      </c>
      <c r="G319" s="31" t="n">
        <v>46.1</v>
      </c>
      <c r="H319" s="30" t="inlineStr">
        <is>
          <t>O0286</t>
        </is>
      </c>
    </row>
    <row r="320">
      <c r="A320" s="32" t="n">
        <v>319</v>
      </c>
      <c r="B320" s="31" t="n">
        <v>13978.6</v>
      </c>
      <c r="C320" s="30" t="inlineStr">
        <is>
          <t>AMR1</t>
        </is>
      </c>
      <c r="D320" s="30" t="inlineStr">
        <is>
          <t>AMR3</t>
        </is>
      </c>
      <c r="E320" s="30" t="inlineStr">
        <is>
          <t>경로충돌</t>
        </is>
      </c>
      <c r="F320" s="30" t="inlineStr">
        <is>
          <t>(17, 19)</t>
        </is>
      </c>
      <c r="G320" s="31" t="n">
        <v>37.9</v>
      </c>
      <c r="H320" s="30" t="inlineStr">
        <is>
          <t>O0288</t>
        </is>
      </c>
    </row>
    <row r="321">
      <c r="A321" s="32" t="n">
        <v>320</v>
      </c>
      <c r="B321" s="31" t="n">
        <v>13978.9</v>
      </c>
      <c r="C321" s="30" t="inlineStr">
        <is>
          <t>AMR1</t>
        </is>
      </c>
      <c r="D321" s="30" t="inlineStr">
        <is>
          <t>AMR3</t>
        </is>
      </c>
      <c r="E321" s="30" t="inlineStr">
        <is>
          <t>정면충돌</t>
        </is>
      </c>
      <c r="F321" s="30" t="inlineStr">
        <is>
          <t>(16, 19)&lt;-&gt;(17, 19)</t>
        </is>
      </c>
      <c r="G321" s="31" t="n">
        <v>29.4</v>
      </c>
      <c r="H321" s="30" t="inlineStr">
        <is>
          <t>O0288</t>
        </is>
      </c>
    </row>
    <row r="322">
      <c r="A322" s="32" t="n">
        <v>321</v>
      </c>
      <c r="B322" s="31" t="n">
        <v>14029.6</v>
      </c>
      <c r="C322" s="30" t="inlineStr">
        <is>
          <t>AMR1</t>
        </is>
      </c>
      <c r="D322" s="30" t="inlineStr">
        <is>
          <t>AMR3</t>
        </is>
      </c>
      <c r="E322" s="30" t="inlineStr">
        <is>
          <t>경로충돌</t>
        </is>
      </c>
      <c r="F322" s="30" t="inlineStr">
        <is>
          <t>(17, 9)</t>
        </is>
      </c>
      <c r="G322" s="31" t="n">
        <v>37.2</v>
      </c>
      <c r="H322" s="30" t="inlineStr">
        <is>
          <t>O0288</t>
        </is>
      </c>
    </row>
    <row r="323">
      <c r="A323" s="32" t="n">
        <v>322</v>
      </c>
      <c r="B323" s="31" t="n">
        <v>14029.9</v>
      </c>
      <c r="C323" s="30" t="inlineStr">
        <is>
          <t>AMR1</t>
        </is>
      </c>
      <c r="D323" s="30" t="inlineStr">
        <is>
          <t>AMR3</t>
        </is>
      </c>
      <c r="E323" s="30" t="inlineStr">
        <is>
          <t>정면충돌</t>
        </is>
      </c>
      <c r="F323" s="30" t="inlineStr">
        <is>
          <t>(17, 9)&lt;-&gt;(17, 10)</t>
        </is>
      </c>
      <c r="G323" s="31" t="n">
        <v>29</v>
      </c>
      <c r="H323" s="30" t="inlineStr">
        <is>
          <t>O0288</t>
        </is>
      </c>
    </row>
    <row r="324">
      <c r="A324" s="32" t="n">
        <v>323</v>
      </c>
      <c r="B324" s="31" t="n">
        <v>14068.2</v>
      </c>
      <c r="C324" s="30" t="inlineStr">
        <is>
          <t>AMR1</t>
        </is>
      </c>
      <c r="D324" s="30" t="inlineStr">
        <is>
          <t>AMR3</t>
        </is>
      </c>
      <c r="E324" s="30" t="inlineStr">
        <is>
          <t>경로충돌</t>
        </is>
      </c>
      <c r="F324" s="30" t="inlineStr">
        <is>
          <t>(18, 10)</t>
        </is>
      </c>
      <c r="G324" s="31" t="n">
        <v>37.2</v>
      </c>
      <c r="H324" s="30" t="inlineStr">
        <is>
          <t>O0290</t>
        </is>
      </c>
    </row>
    <row r="325">
      <c r="A325" s="32" t="n">
        <v>324</v>
      </c>
      <c r="B325" s="31" t="n">
        <v>14068.9</v>
      </c>
      <c r="C325" s="30" t="inlineStr">
        <is>
          <t>AMR1</t>
        </is>
      </c>
      <c r="D325" s="30" t="inlineStr">
        <is>
          <t>AMR3</t>
        </is>
      </c>
      <c r="E325" s="30" t="inlineStr">
        <is>
          <t>정면충돌</t>
        </is>
      </c>
      <c r="F325" s="30" t="inlineStr">
        <is>
          <t>(18, 9)&lt;-&gt;(18, 10)</t>
        </is>
      </c>
      <c r="G325" s="31" t="n">
        <v>27.7</v>
      </c>
      <c r="H325" s="30" t="inlineStr">
        <is>
          <t>O0290</t>
        </is>
      </c>
    </row>
    <row r="326">
      <c r="A326" s="32" t="n">
        <v>325</v>
      </c>
      <c r="B326" s="31" t="n">
        <v>14107.6</v>
      </c>
      <c r="C326" s="30" t="inlineStr">
        <is>
          <t>AMR2</t>
        </is>
      </c>
      <c r="D326" s="30" t="inlineStr">
        <is>
          <t>AMR3</t>
        </is>
      </c>
      <c r="E326" s="30" t="inlineStr">
        <is>
          <t>경로충돌</t>
        </is>
      </c>
      <c r="F326" s="30" t="inlineStr">
        <is>
          <t>(17, 19)</t>
        </is>
      </c>
      <c r="G326" s="31" t="n">
        <v>25.2</v>
      </c>
      <c r="H326" s="30" t="inlineStr">
        <is>
          <t>O0290</t>
        </is>
      </c>
    </row>
    <row r="327">
      <c r="A327" s="32" t="n">
        <v>326</v>
      </c>
      <c r="B327" s="31" t="n">
        <v>14107.8</v>
      </c>
      <c r="C327" s="30" t="inlineStr">
        <is>
          <t>AMR2</t>
        </is>
      </c>
      <c r="D327" s="30" t="inlineStr">
        <is>
          <t>AMR3</t>
        </is>
      </c>
      <c r="E327" s="30" t="inlineStr">
        <is>
          <t>정면충돌</t>
        </is>
      </c>
      <c r="F327" s="30" t="inlineStr">
        <is>
          <t>(16, 19)&lt;-&gt;(17, 19)</t>
        </is>
      </c>
      <c r="G327" s="31" t="n">
        <v>51.8</v>
      </c>
      <c r="H327" s="30" t="inlineStr">
        <is>
          <t>O0290</t>
        </is>
      </c>
    </row>
    <row r="328">
      <c r="A328" s="32" t="n">
        <v>327</v>
      </c>
      <c r="B328" s="31" t="n">
        <v>14242.6</v>
      </c>
      <c r="C328" s="30" t="inlineStr">
        <is>
          <t>AMR2</t>
        </is>
      </c>
      <c r="D328" s="30" t="inlineStr">
        <is>
          <t>AMR3</t>
        </is>
      </c>
      <c r="E328" s="30" t="inlineStr">
        <is>
          <t>경로충돌</t>
        </is>
      </c>
      <c r="F328" s="30" t="inlineStr">
        <is>
          <t>(16, 19)</t>
        </is>
      </c>
      <c r="G328" s="31" t="n">
        <v>32.5</v>
      </c>
      <c r="H328" s="30" t="inlineStr">
        <is>
          <t>O0293</t>
        </is>
      </c>
    </row>
    <row r="329">
      <c r="A329" s="32" t="n">
        <v>328</v>
      </c>
      <c r="B329" s="31" t="n">
        <v>14243.2</v>
      </c>
      <c r="C329" s="30" t="inlineStr">
        <is>
          <t>AMR2</t>
        </is>
      </c>
      <c r="D329" s="30" t="inlineStr">
        <is>
          <t>AMR3</t>
        </is>
      </c>
      <c r="E329" s="30" t="inlineStr">
        <is>
          <t>정면충돌</t>
        </is>
      </c>
      <c r="F329" s="30" t="inlineStr">
        <is>
          <t>(16, 19)&lt;-&gt;(17, 19)</t>
        </is>
      </c>
      <c r="G329" s="31" t="n">
        <v>47.4</v>
      </c>
      <c r="H329" s="30" t="inlineStr">
        <is>
          <t>O0293</t>
        </is>
      </c>
    </row>
    <row r="330">
      <c r="A330" s="32" t="n">
        <v>329</v>
      </c>
      <c r="B330" s="31" t="n">
        <v>14250.2</v>
      </c>
      <c r="C330" s="30" t="inlineStr">
        <is>
          <t>AMR1</t>
        </is>
      </c>
      <c r="D330" s="30" t="inlineStr">
        <is>
          <t>AMR3</t>
        </is>
      </c>
      <c r="E330" s="30" t="inlineStr">
        <is>
          <t>경로충돌</t>
        </is>
      </c>
      <c r="F330" s="30" t="inlineStr">
        <is>
          <t>(18, 18)</t>
        </is>
      </c>
      <c r="G330" s="31" t="n">
        <v>57.1</v>
      </c>
      <c r="H330" s="30" t="inlineStr">
        <is>
          <t>O0293</t>
        </is>
      </c>
    </row>
    <row r="331">
      <c r="A331" s="32" t="n">
        <v>330</v>
      </c>
      <c r="B331" s="31" t="n">
        <v>14251.3</v>
      </c>
      <c r="C331" s="30" t="inlineStr">
        <is>
          <t>AMR1</t>
        </is>
      </c>
      <c r="D331" s="30" t="inlineStr">
        <is>
          <t>AMR3</t>
        </is>
      </c>
      <c r="E331" s="30" t="inlineStr">
        <is>
          <t>정면충돌</t>
        </is>
      </c>
      <c r="F331" s="30" t="inlineStr">
        <is>
          <t>(18, 17)&lt;-&gt;(18, 18)</t>
        </is>
      </c>
      <c r="G331" s="31" t="n">
        <v>56.6</v>
      </c>
      <c r="H331" s="30" t="inlineStr">
        <is>
          <t>O0293</t>
        </is>
      </c>
    </row>
    <row r="332">
      <c r="A332" s="32" t="n">
        <v>331</v>
      </c>
      <c r="B332" s="31" t="n">
        <v>14259.9</v>
      </c>
      <c r="C332" s="30" t="inlineStr">
        <is>
          <t>AMR1</t>
        </is>
      </c>
      <c r="D332" s="30" t="inlineStr">
        <is>
          <t>AMR2</t>
        </is>
      </c>
      <c r="E332" s="30" t="inlineStr">
        <is>
          <t>정면충돌</t>
        </is>
      </c>
      <c r="F332" s="30" t="inlineStr">
        <is>
          <t>(15, 18)&lt;-&gt;(15, 19)</t>
        </is>
      </c>
      <c r="G332" s="31" t="n">
        <v>53.4</v>
      </c>
      <c r="H332" s="30" t="inlineStr">
        <is>
          <t>O0294</t>
        </is>
      </c>
    </row>
    <row r="333">
      <c r="A333" s="32" t="n">
        <v>332</v>
      </c>
      <c r="B333" s="31" t="n">
        <v>14328.5</v>
      </c>
      <c r="C333" s="30" t="inlineStr">
        <is>
          <t>AMR1</t>
        </is>
      </c>
      <c r="D333" s="30" t="inlineStr">
        <is>
          <t>AMR3</t>
        </is>
      </c>
      <c r="E333" s="30" t="inlineStr">
        <is>
          <t>경로충돌</t>
        </is>
      </c>
      <c r="F333" s="30" t="inlineStr">
        <is>
          <t>(18, 19)</t>
        </is>
      </c>
      <c r="G333" s="31" t="n">
        <v>39.9</v>
      </c>
      <c r="H333" s="30" t="inlineStr">
        <is>
          <t>O0295</t>
        </is>
      </c>
    </row>
    <row r="334">
      <c r="A334" s="32" t="n">
        <v>333</v>
      </c>
      <c r="B334" s="31" t="n">
        <v>14460.2</v>
      </c>
      <c r="C334" s="30" t="inlineStr">
        <is>
          <t>AMR1</t>
        </is>
      </c>
      <c r="D334" s="30" t="inlineStr">
        <is>
          <t>AMR3</t>
        </is>
      </c>
      <c r="E334" s="30" t="inlineStr">
        <is>
          <t>경로충돌</t>
        </is>
      </c>
      <c r="F334" s="30" t="inlineStr">
        <is>
          <t>(12, 10)</t>
        </is>
      </c>
      <c r="G334" s="31" t="n">
        <v>40.6</v>
      </c>
      <c r="H334" s="30" t="inlineStr">
        <is>
          <t>O0297</t>
        </is>
      </c>
    </row>
    <row r="335">
      <c r="A335" s="32" t="n">
        <v>334</v>
      </c>
      <c r="B335" s="31" t="n">
        <v>14461.1</v>
      </c>
      <c r="C335" s="30" t="inlineStr">
        <is>
          <t>AMR1</t>
        </is>
      </c>
      <c r="D335" s="30" t="inlineStr">
        <is>
          <t>AMR3</t>
        </is>
      </c>
      <c r="E335" s="30" t="inlineStr">
        <is>
          <t>정면충돌</t>
        </is>
      </c>
      <c r="F335" s="30" t="inlineStr">
        <is>
          <t>(12, 9)&lt;-&gt;(12, 10)</t>
        </is>
      </c>
      <c r="G335" s="31" t="n">
        <v>20.7</v>
      </c>
      <c r="H335" s="30" t="inlineStr">
        <is>
          <t>O0297</t>
        </is>
      </c>
    </row>
    <row r="336">
      <c r="A336" s="32" t="n">
        <v>335</v>
      </c>
      <c r="B336" s="31" t="n">
        <v>14474.8</v>
      </c>
      <c r="C336" s="30" t="inlineStr">
        <is>
          <t>AMR1</t>
        </is>
      </c>
      <c r="D336" s="30" t="inlineStr">
        <is>
          <t>AMR2</t>
        </is>
      </c>
      <c r="E336" s="30" t="inlineStr">
        <is>
          <t>경로충돌</t>
        </is>
      </c>
      <c r="F336" s="30" t="inlineStr">
        <is>
          <t>(12, 19)</t>
        </is>
      </c>
      <c r="G336" s="31" t="n">
        <v>47</v>
      </c>
      <c r="H336" s="30" t="inlineStr">
        <is>
          <t>O0298</t>
        </is>
      </c>
    </row>
    <row r="337">
      <c r="A337" s="32" t="n">
        <v>336</v>
      </c>
      <c r="B337" s="31" t="n">
        <v>14475.8</v>
      </c>
      <c r="C337" s="30" t="inlineStr">
        <is>
          <t>AMR1</t>
        </is>
      </c>
      <c r="D337" s="30" t="inlineStr">
        <is>
          <t>AMR2</t>
        </is>
      </c>
      <c r="E337" s="30" t="inlineStr">
        <is>
          <t>정면충돌</t>
        </is>
      </c>
      <c r="F337" s="30" t="inlineStr">
        <is>
          <t>(12, 19)&lt;-&gt;(13, 19)</t>
        </is>
      </c>
      <c r="G337" s="31" t="n">
        <v>40.2</v>
      </c>
      <c r="H337" s="30" t="inlineStr">
        <is>
          <t>O0298</t>
        </is>
      </c>
    </row>
    <row r="338">
      <c r="A338" s="32" t="n">
        <v>337</v>
      </c>
      <c r="B338" s="31" t="n">
        <v>14509.9</v>
      </c>
      <c r="C338" s="30" t="inlineStr">
        <is>
          <t>AMR1</t>
        </is>
      </c>
      <c r="D338" s="30" t="inlineStr">
        <is>
          <t>AMR2</t>
        </is>
      </c>
      <c r="E338" s="30" t="inlineStr">
        <is>
          <t>경로충돌</t>
        </is>
      </c>
      <c r="F338" s="30" t="inlineStr">
        <is>
          <t>(12, 9)</t>
        </is>
      </c>
      <c r="G338" s="31" t="n">
        <v>33.7</v>
      </c>
      <c r="H338" s="30" t="inlineStr">
        <is>
          <t>O0298 O0299</t>
        </is>
      </c>
    </row>
    <row r="339">
      <c r="A339" s="32" t="n">
        <v>338</v>
      </c>
      <c r="B339" s="31" t="n">
        <v>14537.9</v>
      </c>
      <c r="C339" s="30" t="inlineStr">
        <is>
          <t>AMR1</t>
        </is>
      </c>
      <c r="D339" s="30" t="inlineStr">
        <is>
          <t>AMR3</t>
        </is>
      </c>
      <c r="E339" s="30" t="inlineStr">
        <is>
          <t>경로충돌</t>
        </is>
      </c>
      <c r="F339" s="30" t="inlineStr">
        <is>
          <t>(17, 17)</t>
        </is>
      </c>
      <c r="G339" s="31" t="n">
        <v>54.1</v>
      </c>
      <c r="H339" s="30" t="inlineStr">
        <is>
          <t>O0299</t>
        </is>
      </c>
    </row>
    <row r="340">
      <c r="A340" s="32" t="n">
        <v>339</v>
      </c>
      <c r="B340" s="31" t="n">
        <v>14538.2</v>
      </c>
      <c r="C340" s="30" t="inlineStr">
        <is>
          <t>AMR1</t>
        </is>
      </c>
      <c r="D340" s="30" t="inlineStr">
        <is>
          <t>AMR3</t>
        </is>
      </c>
      <c r="E340" s="30" t="inlineStr">
        <is>
          <t>정면충돌</t>
        </is>
      </c>
      <c r="F340" s="30" t="inlineStr">
        <is>
          <t>(17, 17)&lt;-&gt;(17, 18)</t>
        </is>
      </c>
      <c r="G340" s="31" t="n">
        <v>50.1</v>
      </c>
      <c r="H340" s="30" t="inlineStr">
        <is>
          <t>O0299</t>
        </is>
      </c>
    </row>
    <row r="341">
      <c r="A341" s="32" t="n">
        <v>340</v>
      </c>
      <c r="B341" s="31" t="n">
        <v>14547.7</v>
      </c>
      <c r="C341" s="30" t="inlineStr">
        <is>
          <t>AMR2</t>
        </is>
      </c>
      <c r="D341" s="30" t="inlineStr">
        <is>
          <t>AMR3</t>
        </is>
      </c>
      <c r="E341" s="30" t="inlineStr">
        <is>
          <t>경로충돌</t>
        </is>
      </c>
      <c r="F341" s="30" t="inlineStr">
        <is>
          <t>(18, 12)</t>
        </is>
      </c>
      <c r="G341" s="31" t="n">
        <v>51.5</v>
      </c>
      <c r="H341" s="30" t="inlineStr">
        <is>
          <t>O0299</t>
        </is>
      </c>
    </row>
    <row r="342">
      <c r="A342" s="32" t="n">
        <v>341</v>
      </c>
      <c r="B342" s="31" t="n">
        <v>14548.3</v>
      </c>
      <c r="C342" s="30" t="inlineStr">
        <is>
          <t>AMR2</t>
        </is>
      </c>
      <c r="D342" s="30" t="inlineStr">
        <is>
          <t>AMR3</t>
        </is>
      </c>
      <c r="E342" s="30" t="inlineStr">
        <is>
          <t>정면충돌</t>
        </is>
      </c>
      <c r="F342" s="30" t="inlineStr">
        <is>
          <t>(18, 12)&lt;-&gt;(18, 13)</t>
        </is>
      </c>
      <c r="G342" s="31" t="n">
        <v>33.6</v>
      </c>
      <c r="H342" s="30" t="inlineStr">
        <is>
          <t>O0299</t>
        </is>
      </c>
    </row>
    <row r="343">
      <c r="A343" s="32" t="n">
        <v>342</v>
      </c>
      <c r="B343" s="31" t="n">
        <v>14618.4</v>
      </c>
      <c r="C343" s="30" t="inlineStr">
        <is>
          <t>AMR2</t>
        </is>
      </c>
      <c r="D343" s="30" t="inlineStr">
        <is>
          <t>AMR3</t>
        </is>
      </c>
      <c r="E343" s="30" t="inlineStr">
        <is>
          <t>경로충돌</t>
        </is>
      </c>
      <c r="F343" s="30" t="inlineStr">
        <is>
          <t>(18, 18)</t>
        </is>
      </c>
      <c r="G343" s="31" t="n">
        <v>40.4</v>
      </c>
      <c r="H343" s="30" t="inlineStr">
        <is>
          <t>O0301</t>
        </is>
      </c>
    </row>
    <row r="344">
      <c r="A344" s="32" t="n">
        <v>343</v>
      </c>
      <c r="B344" s="31" t="n">
        <v>14618.7</v>
      </c>
      <c r="C344" s="30" t="inlineStr">
        <is>
          <t>AMR2</t>
        </is>
      </c>
      <c r="D344" s="30" t="inlineStr">
        <is>
          <t>AMR3</t>
        </is>
      </c>
      <c r="E344" s="30" t="inlineStr">
        <is>
          <t>정면충돌</t>
        </is>
      </c>
      <c r="F344" s="30" t="inlineStr">
        <is>
          <t>(18, 17)&lt;-&gt;(18, 18)</t>
        </is>
      </c>
      <c r="G344" s="31" t="n">
        <v>51.1</v>
      </c>
      <c r="H344" s="30" t="inlineStr">
        <is>
          <t>O0301</t>
        </is>
      </c>
    </row>
    <row r="345">
      <c r="A345" s="32" t="n">
        <v>344</v>
      </c>
      <c r="B345" s="31" t="n">
        <v>14647.4</v>
      </c>
      <c r="C345" s="30" t="inlineStr">
        <is>
          <t>AMR2</t>
        </is>
      </c>
      <c r="D345" s="30" t="inlineStr">
        <is>
          <t>AMR3</t>
        </is>
      </c>
      <c r="E345" s="30" t="inlineStr">
        <is>
          <t>경로충돌</t>
        </is>
      </c>
      <c r="F345" s="30" t="inlineStr">
        <is>
          <t>(17, 11)</t>
        </is>
      </c>
      <c r="G345" s="31" t="n">
        <v>56.3</v>
      </c>
      <c r="H345" s="30" t="inlineStr">
        <is>
          <t>O0301 O0302</t>
        </is>
      </c>
    </row>
    <row r="346">
      <c r="A346" s="32" t="n">
        <v>345</v>
      </c>
      <c r="B346" s="31" t="n">
        <v>14736.6</v>
      </c>
      <c r="C346" s="30" t="inlineStr">
        <is>
          <t>AMR2</t>
        </is>
      </c>
      <c r="D346" s="30" t="inlineStr">
        <is>
          <t>AMR3</t>
        </is>
      </c>
      <c r="E346" s="30" t="inlineStr">
        <is>
          <t>경로충돌</t>
        </is>
      </c>
      <c r="F346" s="30" t="inlineStr">
        <is>
          <t>(17, 11)</t>
        </is>
      </c>
      <c r="G346" s="31" t="n">
        <v>39.5</v>
      </c>
      <c r="H346" s="30" t="inlineStr"/>
    </row>
    <row r="347">
      <c r="A347" s="32" t="n">
        <v>346</v>
      </c>
      <c r="B347" s="31" t="n">
        <v>14744</v>
      </c>
      <c r="C347" s="30" t="inlineStr">
        <is>
          <t>AMR1</t>
        </is>
      </c>
      <c r="D347" s="30" t="inlineStr">
        <is>
          <t>AMR3</t>
        </is>
      </c>
      <c r="E347" s="30" t="inlineStr">
        <is>
          <t>경로충돌</t>
        </is>
      </c>
      <c r="F347" s="30" t="inlineStr">
        <is>
          <t>(16, 19)</t>
        </is>
      </c>
      <c r="G347" s="31" t="n">
        <v>48.7</v>
      </c>
      <c r="H347" s="30" t="inlineStr">
        <is>
          <t>O0303</t>
        </is>
      </c>
    </row>
    <row r="348">
      <c r="A348" s="32" t="n">
        <v>347</v>
      </c>
      <c r="B348" s="31" t="n">
        <v>14744.3</v>
      </c>
      <c r="C348" s="30" t="inlineStr">
        <is>
          <t>AMR1</t>
        </is>
      </c>
      <c r="D348" s="30" t="inlineStr">
        <is>
          <t>AMR3</t>
        </is>
      </c>
      <c r="E348" s="30" t="inlineStr">
        <is>
          <t>정면충돌</t>
        </is>
      </c>
      <c r="F348" s="30" t="inlineStr">
        <is>
          <t>(16, 19)&lt;-&gt;(17, 19)</t>
        </is>
      </c>
      <c r="G348" s="31" t="n">
        <v>42.6</v>
      </c>
      <c r="H348" s="30" t="inlineStr">
        <is>
          <t>O0303</t>
        </is>
      </c>
    </row>
    <row r="349">
      <c r="A349" s="32" t="n">
        <v>348</v>
      </c>
      <c r="B349" s="31" t="n">
        <v>14746.6</v>
      </c>
      <c r="C349" s="30" t="inlineStr">
        <is>
          <t>AMR2</t>
        </is>
      </c>
      <c r="D349" s="30" t="inlineStr">
        <is>
          <t>AMR3</t>
        </is>
      </c>
      <c r="E349" s="30" t="inlineStr">
        <is>
          <t>경로충돌</t>
        </is>
      </c>
      <c r="F349" s="30" t="inlineStr">
        <is>
          <t>(17, 18)</t>
        </is>
      </c>
      <c r="G349" s="31" t="n">
        <v>29.1</v>
      </c>
      <c r="H349" s="30" t="inlineStr"/>
    </row>
    <row r="350">
      <c r="A350" s="32" t="n">
        <v>349</v>
      </c>
      <c r="B350" s="31" t="n">
        <v>14771.4</v>
      </c>
      <c r="C350" s="30" t="inlineStr">
        <is>
          <t>AMR1</t>
        </is>
      </c>
      <c r="D350" s="30" t="inlineStr">
        <is>
          <t>AMR3</t>
        </is>
      </c>
      <c r="E350" s="30" t="inlineStr">
        <is>
          <t>정면충돌</t>
        </is>
      </c>
      <c r="F350" s="30" t="inlineStr">
        <is>
          <t>(18, 11)&lt;-&gt;(19, 11)</t>
        </is>
      </c>
      <c r="G350" s="31" t="n">
        <v>54.9</v>
      </c>
      <c r="H350" s="30" t="inlineStr">
        <is>
          <t>O0303 O0304</t>
        </is>
      </c>
    </row>
    <row r="351">
      <c r="A351" s="32" t="n">
        <v>350</v>
      </c>
      <c r="B351" s="31" t="n">
        <v>15072.9</v>
      </c>
      <c r="C351" s="30" t="inlineStr">
        <is>
          <t>AMR1</t>
        </is>
      </c>
      <c r="D351" s="30" t="inlineStr">
        <is>
          <t>AMR3</t>
        </is>
      </c>
      <c r="E351" s="30" t="inlineStr">
        <is>
          <t>경로충돌</t>
        </is>
      </c>
      <c r="F351" s="30" t="inlineStr">
        <is>
          <t>(19, 9)</t>
        </is>
      </c>
      <c r="G351" s="31" t="n">
        <v>41.6</v>
      </c>
      <c r="H351" s="30" t="inlineStr">
        <is>
          <t>O0310 O0311</t>
        </is>
      </c>
    </row>
    <row r="352">
      <c r="A352" s="32" t="n">
        <v>351</v>
      </c>
      <c r="B352" s="31" t="n">
        <v>15073.3</v>
      </c>
      <c r="C352" s="30" t="inlineStr">
        <is>
          <t>AMR1</t>
        </is>
      </c>
      <c r="D352" s="30" t="inlineStr">
        <is>
          <t>AMR3</t>
        </is>
      </c>
      <c r="E352" s="30" t="inlineStr">
        <is>
          <t>정면충돌</t>
        </is>
      </c>
      <c r="F352" s="30" t="inlineStr">
        <is>
          <t>(19, 9)&lt;-&gt;(20, 9)</t>
        </is>
      </c>
      <c r="G352" s="31" t="n">
        <v>26.9</v>
      </c>
      <c r="H352" s="30" t="inlineStr">
        <is>
          <t>O0310 O0311</t>
        </is>
      </c>
    </row>
    <row r="353">
      <c r="A353" s="32" t="n">
        <v>352</v>
      </c>
      <c r="B353" s="31" t="n">
        <v>15103</v>
      </c>
      <c r="C353" s="30" t="inlineStr">
        <is>
          <t>AMR2</t>
        </is>
      </c>
      <c r="D353" s="30" t="inlineStr">
        <is>
          <t>AMR3</t>
        </is>
      </c>
      <c r="E353" s="30" t="inlineStr">
        <is>
          <t>경로충돌</t>
        </is>
      </c>
      <c r="F353" s="30" t="inlineStr">
        <is>
          <t>(17, 19)</t>
        </is>
      </c>
      <c r="G353" s="31" t="n">
        <v>43.2</v>
      </c>
      <c r="H353" s="30" t="inlineStr">
        <is>
          <t>O0311</t>
        </is>
      </c>
    </row>
    <row r="354">
      <c r="A354" s="32" t="n">
        <v>353</v>
      </c>
      <c r="B354" s="31" t="n">
        <v>15294.1</v>
      </c>
      <c r="C354" s="30" t="inlineStr">
        <is>
          <t>AMR1</t>
        </is>
      </c>
      <c r="D354" s="30" t="inlineStr">
        <is>
          <t>AMR2</t>
        </is>
      </c>
      <c r="E354" s="30" t="inlineStr">
        <is>
          <t>경로충돌</t>
        </is>
      </c>
      <c r="F354" s="30" t="inlineStr">
        <is>
          <t>(19, 11)</t>
        </is>
      </c>
      <c r="G354" s="31" t="n">
        <v>54.3</v>
      </c>
      <c r="H354" s="30" t="inlineStr">
        <is>
          <t>O0316</t>
        </is>
      </c>
    </row>
    <row r="355">
      <c r="A355" s="32" t="n">
        <v>354</v>
      </c>
      <c r="B355" s="31" t="n">
        <v>15305</v>
      </c>
      <c r="C355" s="30" t="inlineStr">
        <is>
          <t>AMR2</t>
        </is>
      </c>
      <c r="D355" s="30" t="inlineStr">
        <is>
          <t>AMR3</t>
        </is>
      </c>
      <c r="E355" s="30" t="inlineStr">
        <is>
          <t>경로충돌</t>
        </is>
      </c>
      <c r="F355" s="30" t="inlineStr">
        <is>
          <t>(18, 11)</t>
        </is>
      </c>
      <c r="G355" s="31" t="n">
        <v>26.4</v>
      </c>
      <c r="H355" s="30" t="inlineStr"/>
    </row>
    <row r="356">
      <c r="A356" s="32" t="n">
        <v>355</v>
      </c>
      <c r="B356" s="31" t="n">
        <v>15315.3</v>
      </c>
      <c r="C356" s="30" t="inlineStr">
        <is>
          <t>AMR1</t>
        </is>
      </c>
      <c r="D356" s="30" t="inlineStr">
        <is>
          <t>AMR3</t>
        </is>
      </c>
      <c r="E356" s="30" t="inlineStr">
        <is>
          <t>정면충돌</t>
        </is>
      </c>
      <c r="F356" s="30" t="inlineStr">
        <is>
          <t>(16, 19)&lt;-&gt;(17, 19)</t>
        </is>
      </c>
      <c r="G356" s="31" t="n">
        <v>26.6</v>
      </c>
      <c r="H356" s="30" t="inlineStr">
        <is>
          <t>O0315</t>
        </is>
      </c>
    </row>
    <row r="357">
      <c r="A357" s="32" t="n">
        <v>356</v>
      </c>
      <c r="B357" s="31" t="n">
        <v>15396.5</v>
      </c>
      <c r="C357" s="30" t="inlineStr">
        <is>
          <t>AMR2</t>
        </is>
      </c>
      <c r="D357" s="30" t="inlineStr">
        <is>
          <t>AMR3</t>
        </is>
      </c>
      <c r="E357" s="30" t="inlineStr">
        <is>
          <t>경로충돌</t>
        </is>
      </c>
      <c r="F357" s="30" t="inlineStr">
        <is>
          <t>(18, 19)</t>
        </is>
      </c>
      <c r="G357" s="31" t="n">
        <v>45.4</v>
      </c>
      <c r="H357" s="30" t="inlineStr">
        <is>
          <t>O0317</t>
        </is>
      </c>
    </row>
    <row r="358">
      <c r="A358" s="32" t="n">
        <v>357</v>
      </c>
      <c r="B358" s="31" t="n">
        <v>15595.9</v>
      </c>
      <c r="C358" s="30" t="inlineStr">
        <is>
          <t>AMR2</t>
        </is>
      </c>
      <c r="D358" s="30" t="inlineStr">
        <is>
          <t>AMR3</t>
        </is>
      </c>
      <c r="E358" s="30" t="inlineStr">
        <is>
          <t>경로충돌</t>
        </is>
      </c>
      <c r="F358" s="30" t="inlineStr">
        <is>
          <t>(18, 11)</t>
        </is>
      </c>
      <c r="G358" s="31" t="n">
        <v>25.5</v>
      </c>
      <c r="H358" s="30" t="inlineStr"/>
    </row>
    <row r="359">
      <c r="A359" s="32" t="n">
        <v>358</v>
      </c>
      <c r="B359" s="31" t="n">
        <v>15608.1</v>
      </c>
      <c r="C359" s="30" t="inlineStr">
        <is>
          <t>AMR2</t>
        </is>
      </c>
      <c r="D359" s="30" t="inlineStr">
        <is>
          <t>AMR3</t>
        </is>
      </c>
      <c r="E359" s="30" t="inlineStr">
        <is>
          <t>경로충돌</t>
        </is>
      </c>
      <c r="F359" s="30" t="inlineStr">
        <is>
          <t>(17, 19)</t>
        </is>
      </c>
      <c r="G359" s="31" t="n">
        <v>50.5</v>
      </c>
      <c r="H359" s="30" t="inlineStr">
        <is>
          <t>O0321</t>
        </is>
      </c>
    </row>
    <row r="360">
      <c r="A360" s="32" t="n">
        <v>359</v>
      </c>
      <c r="B360" s="31" t="n">
        <v>15608.4</v>
      </c>
      <c r="C360" s="30" t="inlineStr">
        <is>
          <t>AMR2</t>
        </is>
      </c>
      <c r="D360" s="30" t="inlineStr">
        <is>
          <t>AMR3</t>
        </is>
      </c>
      <c r="E360" s="30" t="inlineStr">
        <is>
          <t>정면충돌</t>
        </is>
      </c>
      <c r="F360" s="30" t="inlineStr">
        <is>
          <t>(16, 19)&lt;-&gt;(17, 19)</t>
        </is>
      </c>
      <c r="G360" s="31" t="n">
        <v>44.4</v>
      </c>
      <c r="H360" s="30" t="inlineStr">
        <is>
          <t>O0321</t>
        </is>
      </c>
    </row>
    <row r="361">
      <c r="A361" s="32" t="n">
        <v>360</v>
      </c>
      <c r="B361" s="31" t="n">
        <v>15620.7</v>
      </c>
      <c r="C361" s="30" t="inlineStr">
        <is>
          <t>AMR1</t>
        </is>
      </c>
      <c r="D361" s="30" t="inlineStr">
        <is>
          <t>AMR3</t>
        </is>
      </c>
      <c r="E361" s="30" t="inlineStr">
        <is>
          <t>경로충돌</t>
        </is>
      </c>
      <c r="F361" s="30" t="inlineStr">
        <is>
          <t>(12, 16)</t>
        </is>
      </c>
      <c r="G361" s="31" t="n">
        <v>39</v>
      </c>
      <c r="H361" s="30" t="inlineStr">
        <is>
          <t>O0322</t>
        </is>
      </c>
    </row>
    <row r="362">
      <c r="A362" s="32" t="n">
        <v>361</v>
      </c>
      <c r="B362" s="31" t="n">
        <v>15622</v>
      </c>
      <c r="C362" s="30" t="inlineStr">
        <is>
          <t>AMR1</t>
        </is>
      </c>
      <c r="D362" s="30" t="inlineStr">
        <is>
          <t>AMR3</t>
        </is>
      </c>
      <c r="E362" s="30" t="inlineStr">
        <is>
          <t>정면충돌</t>
        </is>
      </c>
      <c r="F362" s="30" t="inlineStr">
        <is>
          <t>(12, 16)&lt;-&gt;(12, 17)</t>
        </is>
      </c>
      <c r="G362" s="31" t="n">
        <v>38.1</v>
      </c>
      <c r="H362" s="30" t="inlineStr">
        <is>
          <t>O0322</t>
        </is>
      </c>
    </row>
    <row r="363">
      <c r="A363" s="32" t="n">
        <v>362</v>
      </c>
      <c r="B363" s="31" t="n">
        <v>15756.9</v>
      </c>
      <c r="C363" s="30" t="inlineStr">
        <is>
          <t>AMR1</t>
        </is>
      </c>
      <c r="D363" s="30" t="inlineStr">
        <is>
          <t>AMR3</t>
        </is>
      </c>
      <c r="E363" s="30" t="inlineStr">
        <is>
          <t>경로충돌</t>
        </is>
      </c>
      <c r="F363" s="30" t="inlineStr">
        <is>
          <t>(17, 12)</t>
        </is>
      </c>
      <c r="G363" s="31" t="n">
        <v>59</v>
      </c>
      <c r="H363" s="30" t="inlineStr">
        <is>
          <t>O0324</t>
        </is>
      </c>
    </row>
    <row r="364">
      <c r="A364" s="32" t="n">
        <v>363</v>
      </c>
      <c r="B364" s="31" t="n">
        <v>15757.7</v>
      </c>
      <c r="C364" s="30" t="inlineStr">
        <is>
          <t>AMR1</t>
        </is>
      </c>
      <c r="D364" s="30" t="inlineStr">
        <is>
          <t>AMR3</t>
        </is>
      </c>
      <c r="E364" s="30" t="inlineStr">
        <is>
          <t>정면충돌</t>
        </is>
      </c>
      <c r="F364" s="30" t="inlineStr">
        <is>
          <t>(17, 12)&lt;-&gt;(17, 13)</t>
        </is>
      </c>
      <c r="G364" s="31" t="n">
        <v>32.2</v>
      </c>
      <c r="H364" s="30" t="inlineStr">
        <is>
          <t>O0324</t>
        </is>
      </c>
    </row>
    <row r="365">
      <c r="A365" s="32" t="n">
        <v>364</v>
      </c>
      <c r="B365" s="31" t="n">
        <v>15764.2</v>
      </c>
      <c r="C365" s="30" t="inlineStr">
        <is>
          <t>AMR1</t>
        </is>
      </c>
      <c r="D365" s="30" t="inlineStr">
        <is>
          <t>AMR2</t>
        </is>
      </c>
      <c r="E365" s="30" t="inlineStr">
        <is>
          <t>경로충돌</t>
        </is>
      </c>
      <c r="F365" s="30" t="inlineStr">
        <is>
          <t>(18, 11)</t>
        </is>
      </c>
      <c r="G365" s="31" t="n">
        <v>42.7</v>
      </c>
      <c r="H365" s="30" t="inlineStr">
        <is>
          <t>O0324</t>
        </is>
      </c>
    </row>
    <row r="366">
      <c r="A366" s="32" t="n">
        <v>365</v>
      </c>
      <c r="B366" s="31" t="n">
        <v>15773.6</v>
      </c>
      <c r="C366" s="30" t="inlineStr">
        <is>
          <t>AMR2</t>
        </is>
      </c>
      <c r="D366" s="30" t="inlineStr">
        <is>
          <t>AMR3</t>
        </is>
      </c>
      <c r="E366" s="30" t="inlineStr">
        <is>
          <t>경로충돌</t>
        </is>
      </c>
      <c r="F366" s="30" t="inlineStr">
        <is>
          <t>(18, 18)</t>
        </is>
      </c>
      <c r="G366" s="31" t="n">
        <v>37.3</v>
      </c>
      <c r="H366" s="30" t="inlineStr">
        <is>
          <t>O0325</t>
        </is>
      </c>
    </row>
    <row r="367">
      <c r="A367" s="32" t="n">
        <v>366</v>
      </c>
      <c r="B367" s="31" t="n">
        <v>15774</v>
      </c>
      <c r="C367" s="30" t="inlineStr">
        <is>
          <t>AMR2</t>
        </is>
      </c>
      <c r="D367" s="30" t="inlineStr">
        <is>
          <t>AMR3</t>
        </is>
      </c>
      <c r="E367" s="30" t="inlineStr">
        <is>
          <t>정면충돌</t>
        </is>
      </c>
      <c r="F367" s="30" t="inlineStr">
        <is>
          <t>(18, 18)&lt;-&gt;(18, 19)</t>
        </is>
      </c>
      <c r="G367" s="31" t="n">
        <v>58.3</v>
      </c>
      <c r="H367" s="30" t="inlineStr">
        <is>
          <t>O0325</t>
        </is>
      </c>
    </row>
    <row r="368">
      <c r="A368" s="32" t="n">
        <v>367</v>
      </c>
      <c r="B368" s="31" t="n">
        <v>15835.2</v>
      </c>
      <c r="C368" s="30" t="inlineStr">
        <is>
          <t>AMR1</t>
        </is>
      </c>
      <c r="D368" s="30" t="inlineStr">
        <is>
          <t>AMR2</t>
        </is>
      </c>
      <c r="E368" s="30" t="inlineStr">
        <is>
          <t>경로충돌</t>
        </is>
      </c>
      <c r="F368" s="30" t="inlineStr">
        <is>
          <t>(12, 19)</t>
        </is>
      </c>
      <c r="G368" s="31" t="n">
        <v>35.3</v>
      </c>
      <c r="H368" s="30" t="inlineStr">
        <is>
          <t>O0326</t>
        </is>
      </c>
    </row>
    <row r="369">
      <c r="A369" s="32" t="n">
        <v>368</v>
      </c>
      <c r="B369" s="31" t="n">
        <v>15867.7</v>
      </c>
      <c r="C369" s="30" t="inlineStr">
        <is>
          <t>AMR1</t>
        </is>
      </c>
      <c r="D369" s="30" t="inlineStr">
        <is>
          <t>AMR2</t>
        </is>
      </c>
      <c r="E369" s="30" t="inlineStr">
        <is>
          <t>경로충돌</t>
        </is>
      </c>
      <c r="F369" s="30" t="inlineStr">
        <is>
          <t>(12, 9)</t>
        </is>
      </c>
      <c r="G369" s="31" t="n">
        <v>20.2</v>
      </c>
      <c r="H369" s="30" t="inlineStr">
        <is>
          <t>O0326 O0327</t>
        </is>
      </c>
    </row>
    <row r="370">
      <c r="A370" s="32" t="n">
        <v>369</v>
      </c>
      <c r="B370" s="31" t="n">
        <v>16048.4</v>
      </c>
      <c r="C370" s="30" t="inlineStr">
        <is>
          <t>AMR1</t>
        </is>
      </c>
      <c r="D370" s="30" t="inlineStr">
        <is>
          <t>AMR3</t>
        </is>
      </c>
      <c r="E370" s="30" t="inlineStr">
        <is>
          <t>경로충돌</t>
        </is>
      </c>
      <c r="F370" s="30" t="inlineStr">
        <is>
          <t>(17, 12)</t>
        </is>
      </c>
      <c r="G370" s="31" t="n">
        <v>37.8</v>
      </c>
      <c r="H370" s="30" t="inlineStr">
        <is>
          <t>O0330</t>
        </is>
      </c>
    </row>
    <row r="371">
      <c r="A371" s="32" t="n">
        <v>370</v>
      </c>
      <c r="B371" s="31" t="n">
        <v>16048.6</v>
      </c>
      <c r="C371" s="30" t="inlineStr">
        <is>
          <t>AMR1</t>
        </is>
      </c>
      <c r="D371" s="30" t="inlineStr">
        <is>
          <t>AMR3</t>
        </is>
      </c>
      <c r="E371" s="30" t="inlineStr">
        <is>
          <t>정면충돌</t>
        </is>
      </c>
      <c r="F371" s="30" t="inlineStr">
        <is>
          <t>(17, 11)&lt;-&gt;(17, 12)</t>
        </is>
      </c>
      <c r="G371" s="31" t="n">
        <v>41.8</v>
      </c>
      <c r="H371" s="30" t="inlineStr">
        <is>
          <t>O0330</t>
        </is>
      </c>
    </row>
    <row r="372">
      <c r="A372" s="32" t="n">
        <v>371</v>
      </c>
      <c r="B372" s="31" t="n">
        <v>16057.6</v>
      </c>
      <c r="C372" s="30" t="inlineStr">
        <is>
          <t>AMR2</t>
        </is>
      </c>
      <c r="D372" s="30" t="inlineStr">
        <is>
          <t>AMR3</t>
        </is>
      </c>
      <c r="E372" s="30" t="inlineStr">
        <is>
          <t>경로충돌</t>
        </is>
      </c>
      <c r="F372" s="30" t="inlineStr">
        <is>
          <t>(18, 16)</t>
        </is>
      </c>
      <c r="G372" s="31" t="n">
        <v>49.9</v>
      </c>
      <c r="H372" s="30" t="inlineStr">
        <is>
          <t>O0331</t>
        </is>
      </c>
    </row>
    <row r="373">
      <c r="A373" s="32" t="n">
        <v>372</v>
      </c>
      <c r="B373" s="31" t="n">
        <v>16058.2</v>
      </c>
      <c r="C373" s="30" t="inlineStr">
        <is>
          <t>AMR2</t>
        </is>
      </c>
      <c r="D373" s="30" t="inlineStr">
        <is>
          <t>AMR3</t>
        </is>
      </c>
      <c r="E373" s="30" t="inlineStr">
        <is>
          <t>정면충돌</t>
        </is>
      </c>
      <c r="F373" s="30" t="inlineStr">
        <is>
          <t>(18, 16)&lt;-&gt;(18, 17)</t>
        </is>
      </c>
      <c r="G373" s="31" t="n">
        <v>45.5</v>
      </c>
      <c r="H373" s="30" t="inlineStr">
        <is>
          <t>O0331</t>
        </is>
      </c>
    </row>
    <row r="374">
      <c r="A374" s="32" t="n">
        <v>373</v>
      </c>
      <c r="B374" s="31" t="n">
        <v>16121.2</v>
      </c>
      <c r="C374" s="30" t="inlineStr">
        <is>
          <t>AMR1</t>
        </is>
      </c>
      <c r="D374" s="30" t="inlineStr">
        <is>
          <t>AMR3</t>
        </is>
      </c>
      <c r="E374" s="30" t="inlineStr">
        <is>
          <t>경로충돌</t>
        </is>
      </c>
      <c r="F374" s="30" t="inlineStr">
        <is>
          <t>(17, 19)</t>
        </is>
      </c>
      <c r="G374" s="31" t="n">
        <v>55.5</v>
      </c>
      <c r="H374" s="30" t="inlineStr">
        <is>
          <t>O0332</t>
        </is>
      </c>
    </row>
    <row r="375">
      <c r="A375" s="32" t="n">
        <v>374</v>
      </c>
      <c r="B375" s="31" t="n">
        <v>16126.7</v>
      </c>
      <c r="C375" s="30" t="inlineStr">
        <is>
          <t>AMR1</t>
        </is>
      </c>
      <c r="D375" s="30" t="inlineStr">
        <is>
          <t>AMR2</t>
        </is>
      </c>
      <c r="E375" s="30" t="inlineStr">
        <is>
          <t>경로충돌</t>
        </is>
      </c>
      <c r="F375" s="30" t="inlineStr">
        <is>
          <t>(18, 14)</t>
        </is>
      </c>
      <c r="G375" s="31" t="n">
        <v>29.7</v>
      </c>
      <c r="H375" s="30" t="inlineStr">
        <is>
          <t>O0332</t>
        </is>
      </c>
    </row>
    <row r="376">
      <c r="A376" s="32" t="n">
        <v>375</v>
      </c>
      <c r="B376" s="31" t="n">
        <v>16127.3</v>
      </c>
      <c r="C376" s="30" t="inlineStr">
        <is>
          <t>AMR1</t>
        </is>
      </c>
      <c r="D376" s="30" t="inlineStr">
        <is>
          <t>AMR2</t>
        </is>
      </c>
      <c r="E376" s="30" t="inlineStr">
        <is>
          <t>정면충돌</t>
        </is>
      </c>
      <c r="F376" s="30" t="inlineStr">
        <is>
          <t>(18, 13)&lt;-&gt;(18, 14)</t>
        </is>
      </c>
      <c r="G376" s="31" t="n">
        <v>45.3</v>
      </c>
      <c r="H376" s="30" t="inlineStr">
        <is>
          <t>O0332</t>
        </is>
      </c>
    </row>
    <row r="377">
      <c r="A377" s="32" t="n">
        <v>376</v>
      </c>
      <c r="B377" s="31" t="n">
        <v>16192.8</v>
      </c>
      <c r="C377" s="30" t="inlineStr">
        <is>
          <t>AMR1</t>
        </is>
      </c>
      <c r="D377" s="30" t="inlineStr">
        <is>
          <t>AMR3</t>
        </is>
      </c>
      <c r="E377" s="30" t="inlineStr">
        <is>
          <t>정면충돌</t>
        </is>
      </c>
      <c r="F377" s="30" t="inlineStr">
        <is>
          <t>(18, 14)&lt;-&gt;(18, 15)</t>
        </is>
      </c>
      <c r="G377" s="31" t="n">
        <v>53.3</v>
      </c>
      <c r="H377" s="30" t="inlineStr">
        <is>
          <t>O0333</t>
        </is>
      </c>
    </row>
    <row r="378">
      <c r="A378" s="32" t="n">
        <v>377</v>
      </c>
      <c r="B378" s="31" t="n">
        <v>16407</v>
      </c>
      <c r="C378" s="30" t="inlineStr">
        <is>
          <t>AMR1</t>
        </is>
      </c>
      <c r="D378" s="30" t="inlineStr">
        <is>
          <t>AMR3</t>
        </is>
      </c>
      <c r="E378" s="30" t="inlineStr">
        <is>
          <t>경로충돌</t>
        </is>
      </c>
      <c r="F378" s="30" t="inlineStr">
        <is>
          <t>(17, 17)</t>
        </is>
      </c>
      <c r="G378" s="31" t="n">
        <v>55.5</v>
      </c>
      <c r="H378" s="30" t="inlineStr">
        <is>
          <t>O0338</t>
        </is>
      </c>
    </row>
    <row r="379">
      <c r="A379" s="32" t="n">
        <v>378</v>
      </c>
      <c r="B379" s="31" t="n">
        <v>16407.5</v>
      </c>
      <c r="C379" s="30" t="inlineStr">
        <is>
          <t>AMR1</t>
        </is>
      </c>
      <c r="D379" s="30" t="inlineStr">
        <is>
          <t>AMR3</t>
        </is>
      </c>
      <c r="E379" s="30" t="inlineStr">
        <is>
          <t>정면충돌</t>
        </is>
      </c>
      <c r="F379" s="30" t="inlineStr">
        <is>
          <t>(17, 16)&lt;-&gt;(17, 17)</t>
        </is>
      </c>
      <c r="G379" s="31" t="n">
        <v>52.2</v>
      </c>
      <c r="H379" s="30" t="inlineStr">
        <is>
          <t>O0338</t>
        </is>
      </c>
    </row>
    <row r="380">
      <c r="A380" s="32" t="n">
        <v>379</v>
      </c>
      <c r="B380" s="31" t="n">
        <v>16485.6</v>
      </c>
      <c r="C380" s="30" t="inlineStr">
        <is>
          <t>AMR1</t>
        </is>
      </c>
      <c r="D380" s="30" t="inlineStr">
        <is>
          <t>AMR2</t>
        </is>
      </c>
      <c r="E380" s="30" t="inlineStr">
        <is>
          <t>경로충돌</t>
        </is>
      </c>
      <c r="F380" s="30" t="inlineStr">
        <is>
          <t>(17, 19)</t>
        </is>
      </c>
      <c r="G380" s="31" t="n">
        <v>46.4</v>
      </c>
      <c r="H380" s="30" t="inlineStr">
        <is>
          <t>O0340</t>
        </is>
      </c>
    </row>
    <row r="381">
      <c r="A381" s="32" t="n">
        <v>380</v>
      </c>
      <c r="B381" s="31" t="n">
        <v>16485.8</v>
      </c>
      <c r="C381" s="30" t="inlineStr">
        <is>
          <t>AMR1</t>
        </is>
      </c>
      <c r="D381" s="30" t="inlineStr">
        <is>
          <t>AMR2</t>
        </is>
      </c>
      <c r="E381" s="30" t="inlineStr">
        <is>
          <t>정면충돌</t>
        </is>
      </c>
      <c r="F381" s="30" t="inlineStr">
        <is>
          <t>(16, 19)&lt;-&gt;(17, 19)</t>
        </is>
      </c>
      <c r="G381" s="31" t="n">
        <v>36.8</v>
      </c>
      <c r="H381" s="30" t="inlineStr">
        <is>
          <t>O0340</t>
        </is>
      </c>
    </row>
    <row r="382">
      <c r="A382" s="32" t="n">
        <v>381</v>
      </c>
      <c r="B382" s="31" t="n">
        <v>16515.5</v>
      </c>
      <c r="C382" s="30" t="inlineStr">
        <is>
          <t>AMR2</t>
        </is>
      </c>
      <c r="D382" s="30" t="inlineStr">
        <is>
          <t>AMR3</t>
        </is>
      </c>
      <c r="E382" s="30" t="inlineStr">
        <is>
          <t>경로충돌</t>
        </is>
      </c>
      <c r="F382" s="30" t="inlineStr">
        <is>
          <t>(17, 9)</t>
        </is>
      </c>
      <c r="G382" s="31" t="n">
        <v>56.9</v>
      </c>
      <c r="H382" s="30" t="inlineStr">
        <is>
          <t>O0339 O0340</t>
        </is>
      </c>
    </row>
    <row r="383">
      <c r="A383" s="32" t="n">
        <v>382</v>
      </c>
      <c r="B383" s="31" t="n">
        <v>16612.9</v>
      </c>
      <c r="C383" s="30" t="inlineStr">
        <is>
          <t>AMR1</t>
        </is>
      </c>
      <c r="D383" s="30" t="inlineStr">
        <is>
          <t>AMR3</t>
        </is>
      </c>
      <c r="E383" s="30" t="inlineStr">
        <is>
          <t>경로충돌</t>
        </is>
      </c>
      <c r="F383" s="30" t="inlineStr">
        <is>
          <t>(17, 19)</t>
        </is>
      </c>
      <c r="G383" s="31" t="n">
        <v>49.7</v>
      </c>
      <c r="H383" s="30" t="inlineStr">
        <is>
          <t>O0342</t>
        </is>
      </c>
    </row>
    <row r="384">
      <c r="A384" s="32" t="n">
        <v>383</v>
      </c>
      <c r="B384" s="31" t="n">
        <v>16614.5</v>
      </c>
      <c r="C384" s="30" t="inlineStr">
        <is>
          <t>AMR1</t>
        </is>
      </c>
      <c r="D384" s="30" t="inlineStr">
        <is>
          <t>AMR3</t>
        </is>
      </c>
      <c r="E384" s="30" t="inlineStr">
        <is>
          <t>정면충돌</t>
        </is>
      </c>
      <c r="F384" s="30" t="inlineStr">
        <is>
          <t>(16, 19)&lt;-&gt;(17, 19)</t>
        </is>
      </c>
      <c r="G384" s="31" t="n">
        <v>37.3</v>
      </c>
      <c r="H384" s="30" t="inlineStr">
        <is>
          <t>O0342</t>
        </is>
      </c>
    </row>
    <row r="385">
      <c r="A385" s="32" t="n">
        <v>384</v>
      </c>
      <c r="B385" s="31" t="n">
        <v>16621.8</v>
      </c>
      <c r="C385" s="30" t="inlineStr">
        <is>
          <t>AMR1</t>
        </is>
      </c>
      <c r="D385" s="30" t="inlineStr">
        <is>
          <t>AMR2</t>
        </is>
      </c>
      <c r="E385" s="30" t="inlineStr">
        <is>
          <t>경로충돌</t>
        </is>
      </c>
      <c r="F385" s="30" t="inlineStr">
        <is>
          <t>(17, 19)</t>
        </is>
      </c>
      <c r="G385" s="31" t="n">
        <v>57.6</v>
      </c>
      <c r="H385" s="30" t="inlineStr">
        <is>
          <t>O0343</t>
        </is>
      </c>
    </row>
    <row r="386">
      <c r="A386" s="32" t="n">
        <v>385</v>
      </c>
      <c r="B386" s="31" t="n">
        <v>16622.4</v>
      </c>
      <c r="C386" s="30" t="inlineStr">
        <is>
          <t>AMR1</t>
        </is>
      </c>
      <c r="D386" s="30" t="inlineStr">
        <is>
          <t>AMR2</t>
        </is>
      </c>
      <c r="E386" s="30" t="inlineStr">
        <is>
          <t>정면충돌</t>
        </is>
      </c>
      <c r="F386" s="30" t="inlineStr">
        <is>
          <t>(16, 19)&lt;-&gt;(17, 19)</t>
        </is>
      </c>
      <c r="G386" s="31" t="n">
        <v>55.3</v>
      </c>
      <c r="H386" s="30" t="inlineStr">
        <is>
          <t>O0343</t>
        </is>
      </c>
    </row>
    <row r="387">
      <c r="A387" s="32" t="n">
        <v>386</v>
      </c>
      <c r="B387" s="31" t="n">
        <v>16828.4</v>
      </c>
      <c r="C387" s="30" t="inlineStr">
        <is>
          <t>AMR2</t>
        </is>
      </c>
      <c r="D387" s="30" t="inlineStr">
        <is>
          <t>AMR3</t>
        </is>
      </c>
      <c r="E387" s="30" t="inlineStr">
        <is>
          <t>경로충돌</t>
        </is>
      </c>
      <c r="F387" s="30" t="inlineStr">
        <is>
          <t>(14, 19)</t>
        </is>
      </c>
      <c r="G387" s="31" t="n">
        <v>58.8</v>
      </c>
      <c r="H387" s="30" t="inlineStr">
        <is>
          <t>O0347</t>
        </is>
      </c>
    </row>
    <row r="388">
      <c r="A388" s="32" t="n">
        <v>387</v>
      </c>
      <c r="B388" s="31" t="n">
        <v>16829</v>
      </c>
      <c r="C388" s="30" t="inlineStr">
        <is>
          <t>AMR2</t>
        </is>
      </c>
      <c r="D388" s="30" t="inlineStr">
        <is>
          <t>AMR3</t>
        </is>
      </c>
      <c r="E388" s="30" t="inlineStr">
        <is>
          <t>정면충돌</t>
        </is>
      </c>
      <c r="F388" s="30" t="inlineStr">
        <is>
          <t>(14, 19)&lt;-&gt;(15, 19)</t>
        </is>
      </c>
      <c r="G388" s="31" t="n">
        <v>58</v>
      </c>
      <c r="H388" s="30" t="inlineStr">
        <is>
          <t>O0347</t>
        </is>
      </c>
    </row>
    <row r="389">
      <c r="A389" s="32" t="n">
        <v>388</v>
      </c>
      <c r="B389" s="31" t="n">
        <v>17021.4</v>
      </c>
      <c r="C389" s="30" t="inlineStr">
        <is>
          <t>AMR1</t>
        </is>
      </c>
      <c r="D389" s="30" t="inlineStr">
        <is>
          <t>AMR3</t>
        </is>
      </c>
      <c r="E389" s="30" t="inlineStr">
        <is>
          <t>경로충돌</t>
        </is>
      </c>
      <c r="F389" s="30" t="inlineStr">
        <is>
          <t>(17, 15)</t>
        </is>
      </c>
      <c r="G389" s="31" t="n">
        <v>57.9</v>
      </c>
      <c r="H389" s="30" t="inlineStr">
        <is>
          <t>O0351</t>
        </is>
      </c>
    </row>
    <row r="390">
      <c r="A390" s="32" t="n">
        <v>389</v>
      </c>
      <c r="B390" s="31" t="n">
        <v>17021.7</v>
      </c>
      <c r="C390" s="30" t="inlineStr">
        <is>
          <t>AMR1</t>
        </is>
      </c>
      <c r="D390" s="30" t="inlineStr">
        <is>
          <t>AMR3</t>
        </is>
      </c>
      <c r="E390" s="30" t="inlineStr">
        <is>
          <t>정면충돌</t>
        </is>
      </c>
      <c r="F390" s="30" t="inlineStr">
        <is>
          <t>(17, 15)&lt;-&gt;(17, 16)</t>
        </is>
      </c>
      <c r="G390" s="31" t="n">
        <v>36.6</v>
      </c>
      <c r="H390" s="30" t="inlineStr">
        <is>
          <t>O0351</t>
        </is>
      </c>
    </row>
    <row r="391">
      <c r="A391" s="32" t="n">
        <v>390</v>
      </c>
      <c r="B391" s="31" t="n">
        <v>17026.5</v>
      </c>
      <c r="C391" s="30" t="inlineStr">
        <is>
          <t>AMR2</t>
        </is>
      </c>
      <c r="D391" s="30" t="inlineStr">
        <is>
          <t>AMR3</t>
        </is>
      </c>
      <c r="E391" s="30" t="inlineStr">
        <is>
          <t>경로충돌</t>
        </is>
      </c>
      <c r="F391" s="30" t="inlineStr">
        <is>
          <t>(18, 15)</t>
        </is>
      </c>
      <c r="G391" s="31" t="n">
        <v>36.1</v>
      </c>
      <c r="H391" s="30" t="inlineStr">
        <is>
          <t>O0351</t>
        </is>
      </c>
    </row>
    <row r="392">
      <c r="A392" s="32" t="n">
        <v>391</v>
      </c>
      <c r="B392" s="31" t="n">
        <v>17027.8</v>
      </c>
      <c r="C392" s="30" t="inlineStr">
        <is>
          <t>AMR2</t>
        </is>
      </c>
      <c r="D392" s="30" t="inlineStr">
        <is>
          <t>AMR3</t>
        </is>
      </c>
      <c r="E392" s="30" t="inlineStr">
        <is>
          <t>정면충돌</t>
        </is>
      </c>
      <c r="F392" s="30" t="inlineStr">
        <is>
          <t>(18, 14)&lt;-&gt;(18, 15)</t>
        </is>
      </c>
      <c r="G392" s="31" t="n">
        <v>59</v>
      </c>
      <c r="H392" s="30" t="inlineStr">
        <is>
          <t>O0351</t>
        </is>
      </c>
    </row>
    <row r="393">
      <c r="A393" s="32" t="n">
        <v>392</v>
      </c>
      <c r="B393" s="31" t="n">
        <v>17040.7</v>
      </c>
      <c r="C393" s="30" t="inlineStr">
        <is>
          <t>AMR1</t>
        </is>
      </c>
      <c r="D393" s="30" t="inlineStr">
        <is>
          <t>AMR2</t>
        </is>
      </c>
      <c r="E393" s="30" t="inlineStr">
        <is>
          <t>경로충돌</t>
        </is>
      </c>
      <c r="F393" s="30" t="inlineStr">
        <is>
          <t>(12, 13)</t>
        </is>
      </c>
      <c r="G393" s="31" t="n">
        <v>21.1</v>
      </c>
      <c r="H393" s="30" t="inlineStr">
        <is>
          <t>O0352</t>
        </is>
      </c>
    </row>
    <row r="394">
      <c r="A394" s="32" t="n">
        <v>393</v>
      </c>
      <c r="B394" s="31" t="n">
        <v>17040.9</v>
      </c>
      <c r="C394" s="30" t="inlineStr">
        <is>
          <t>AMR1</t>
        </is>
      </c>
      <c r="D394" s="30" t="inlineStr">
        <is>
          <t>AMR2</t>
        </is>
      </c>
      <c r="E394" s="30" t="inlineStr">
        <is>
          <t>정면충돌</t>
        </is>
      </c>
      <c r="F394" s="30" t="inlineStr">
        <is>
          <t>(12, 12)&lt;-&gt;(12, 13)</t>
        </is>
      </c>
      <c r="G394" s="31" t="n">
        <v>57.9</v>
      </c>
      <c r="H394" s="30" t="inlineStr">
        <is>
          <t>O0352</t>
        </is>
      </c>
    </row>
    <row r="395">
      <c r="A395" s="32" t="n">
        <v>394</v>
      </c>
      <c r="B395" s="31" t="n">
        <v>17246.9</v>
      </c>
      <c r="C395" s="30" t="inlineStr">
        <is>
          <t>AMR1</t>
        </is>
      </c>
      <c r="D395" s="30" t="inlineStr">
        <is>
          <t>AMR2</t>
        </is>
      </c>
      <c r="E395" s="30" t="inlineStr">
        <is>
          <t>경로충돌</t>
        </is>
      </c>
      <c r="F395" s="30" t="inlineStr">
        <is>
          <t>(12, 18)</t>
        </is>
      </c>
      <c r="G395" s="31" t="n">
        <v>53</v>
      </c>
      <c r="H395" s="30" t="inlineStr">
        <is>
          <t>O0356</t>
        </is>
      </c>
    </row>
    <row r="396">
      <c r="A396" s="32" t="n">
        <v>395</v>
      </c>
      <c r="B396" s="31" t="n">
        <v>17247.8</v>
      </c>
      <c r="C396" s="30" t="inlineStr">
        <is>
          <t>AMR1</t>
        </is>
      </c>
      <c r="D396" s="30" t="inlineStr">
        <is>
          <t>AMR2</t>
        </is>
      </c>
      <c r="E396" s="30" t="inlineStr">
        <is>
          <t>정면충돌</t>
        </is>
      </c>
      <c r="F396" s="30" t="inlineStr">
        <is>
          <t>(12, 17)&lt;-&gt;(12, 18)</t>
        </is>
      </c>
      <c r="G396" s="31" t="n">
        <v>27.6</v>
      </c>
      <c r="H396" s="30" t="inlineStr">
        <is>
          <t>O0356</t>
        </is>
      </c>
    </row>
    <row r="397">
      <c r="A397" s="32" t="n">
        <v>396</v>
      </c>
      <c r="B397" s="31" t="n">
        <v>17254.7</v>
      </c>
      <c r="C397" s="30" t="inlineStr">
        <is>
          <t>AMR1</t>
        </is>
      </c>
      <c r="D397" s="30" t="inlineStr">
        <is>
          <t>AMR3</t>
        </is>
      </c>
      <c r="E397" s="30" t="inlineStr">
        <is>
          <t>경로충돌</t>
        </is>
      </c>
      <c r="F397" s="30" t="inlineStr">
        <is>
          <t>(15, 19)</t>
        </is>
      </c>
      <c r="G397" s="31" t="n">
        <v>45.2</v>
      </c>
      <c r="H397" s="30" t="inlineStr"/>
    </row>
    <row r="398">
      <c r="A398" s="32" t="n">
        <v>397</v>
      </c>
      <c r="B398" s="31" t="n">
        <v>17265.7</v>
      </c>
      <c r="C398" s="30" t="inlineStr">
        <is>
          <t>AMR1</t>
        </is>
      </c>
      <c r="D398" s="30" t="inlineStr">
        <is>
          <t>AMR3</t>
        </is>
      </c>
      <c r="E398" s="30" t="inlineStr">
        <is>
          <t>정면충돌</t>
        </is>
      </c>
      <c r="F398" s="30" t="inlineStr">
        <is>
          <t>(15, 18)&lt;-&gt;(15, 19)</t>
        </is>
      </c>
      <c r="G398" s="31" t="n">
        <v>35.2</v>
      </c>
      <c r="H398" s="30" t="inlineStr">
        <is>
          <t>O0357</t>
        </is>
      </c>
    </row>
    <row r="399">
      <c r="A399" s="32" t="n">
        <v>398</v>
      </c>
      <c r="B399" s="31" t="n">
        <v>17269.4</v>
      </c>
      <c r="C399" s="30" t="inlineStr">
        <is>
          <t>AMR1</t>
        </is>
      </c>
      <c r="D399" s="30" t="inlineStr">
        <is>
          <t>AMR3</t>
        </is>
      </c>
      <c r="E399" s="30" t="inlineStr">
        <is>
          <t>경로충돌</t>
        </is>
      </c>
      <c r="F399" s="30" t="inlineStr">
        <is>
          <t>(15, 18)</t>
        </is>
      </c>
      <c r="G399" s="31" t="n">
        <v>49.8</v>
      </c>
      <c r="H399" s="30" t="inlineStr">
        <is>
          <t>O0357</t>
        </is>
      </c>
    </row>
    <row r="400">
      <c r="A400" s="32" t="n">
        <v>399</v>
      </c>
      <c r="B400" s="31" t="n">
        <v>17301.4</v>
      </c>
      <c r="C400" s="30" t="inlineStr">
        <is>
          <t>AMR1</t>
        </is>
      </c>
      <c r="D400" s="30" t="inlineStr">
        <is>
          <t>AMR3</t>
        </is>
      </c>
      <c r="E400" s="30" t="inlineStr">
        <is>
          <t>경로충돌</t>
        </is>
      </c>
      <c r="F400" s="30" t="inlineStr">
        <is>
          <t>(17, 9)</t>
        </is>
      </c>
      <c r="G400" s="31" t="n">
        <v>56.7</v>
      </c>
      <c r="H400" s="30" t="inlineStr">
        <is>
          <t>O0358</t>
        </is>
      </c>
    </row>
    <row r="401">
      <c r="A401" s="32" t="n">
        <v>400</v>
      </c>
      <c r="B401" s="31" t="n">
        <v>17302.3</v>
      </c>
      <c r="C401" s="30" t="inlineStr">
        <is>
          <t>AMR1</t>
        </is>
      </c>
      <c r="D401" s="30" t="inlineStr">
        <is>
          <t>AMR3</t>
        </is>
      </c>
      <c r="E401" s="30" t="inlineStr">
        <is>
          <t>정면충돌</t>
        </is>
      </c>
      <c r="F401" s="30" t="inlineStr">
        <is>
          <t>(17, 9)&lt;-&gt;(17, 10)</t>
        </is>
      </c>
      <c r="G401" s="31" t="n">
        <v>50.1</v>
      </c>
      <c r="H401" s="30" t="inlineStr">
        <is>
          <t>O0358</t>
        </is>
      </c>
    </row>
    <row r="402">
      <c r="A402" s="32" t="n">
        <v>401</v>
      </c>
      <c r="B402" s="31" t="n">
        <v>17330.3</v>
      </c>
      <c r="C402" s="30" t="inlineStr">
        <is>
          <t>AMR1</t>
        </is>
      </c>
      <c r="D402" s="30" t="inlineStr">
        <is>
          <t>AMR2</t>
        </is>
      </c>
      <c r="E402" s="30" t="inlineStr">
        <is>
          <t>경로충돌</t>
        </is>
      </c>
      <c r="F402" s="30" t="inlineStr">
        <is>
          <t>(17, 17)</t>
        </is>
      </c>
      <c r="G402" s="31" t="n">
        <v>53.6</v>
      </c>
      <c r="H402" s="30" t="inlineStr">
        <is>
          <t>O0358</t>
        </is>
      </c>
    </row>
    <row r="403">
      <c r="A403" s="32" t="n">
        <v>402</v>
      </c>
      <c r="B403" s="31" t="n">
        <v>17330.9</v>
      </c>
      <c r="C403" s="30" t="inlineStr">
        <is>
          <t>AMR1</t>
        </is>
      </c>
      <c r="D403" s="30" t="inlineStr">
        <is>
          <t>AMR2</t>
        </is>
      </c>
      <c r="E403" s="30" t="inlineStr">
        <is>
          <t>정면충돌</t>
        </is>
      </c>
      <c r="F403" s="30" t="inlineStr">
        <is>
          <t>(17, 16)&lt;-&gt;(17, 17)</t>
        </is>
      </c>
      <c r="G403" s="31" t="n">
        <v>31.4</v>
      </c>
      <c r="H403" s="30" t="inlineStr">
        <is>
          <t>O0358</t>
        </is>
      </c>
    </row>
    <row r="404">
      <c r="A404" s="32" t="n">
        <v>403</v>
      </c>
      <c r="B404" s="31" t="n">
        <v>17391.1</v>
      </c>
      <c r="C404" s="30" t="inlineStr">
        <is>
          <t>AMR1</t>
        </is>
      </c>
      <c r="D404" s="30" t="inlineStr">
        <is>
          <t>AMR3</t>
        </is>
      </c>
      <c r="E404" s="30" t="inlineStr">
        <is>
          <t>정면충돌</t>
        </is>
      </c>
      <c r="F404" s="30" t="inlineStr">
        <is>
          <t>(16, 19)&lt;-&gt;(17, 19)</t>
        </is>
      </c>
      <c r="G404" s="31" t="n">
        <v>40</v>
      </c>
      <c r="H404" s="30" t="inlineStr">
        <is>
          <t>O0359</t>
        </is>
      </c>
    </row>
    <row r="405">
      <c r="A405" s="32" t="n">
        <v>404</v>
      </c>
      <c r="B405" s="31" t="n">
        <v>17400.8</v>
      </c>
      <c r="C405" s="30" t="inlineStr">
        <is>
          <t>AMR1</t>
        </is>
      </c>
      <c r="D405" s="30" t="inlineStr">
        <is>
          <t>AMR2</t>
        </is>
      </c>
      <c r="E405" s="30" t="inlineStr">
        <is>
          <t>경로충돌</t>
        </is>
      </c>
      <c r="F405" s="30" t="inlineStr">
        <is>
          <t>(18, 15)</t>
        </is>
      </c>
      <c r="G405" s="31" t="n">
        <v>38.8</v>
      </c>
      <c r="H405" s="30" t="inlineStr">
        <is>
          <t>O0359</t>
        </is>
      </c>
    </row>
    <row r="406">
      <c r="A406" s="32" t="n">
        <v>405</v>
      </c>
      <c r="B406" s="31" t="n">
        <v>17401.8</v>
      </c>
      <c r="C406" s="30" t="inlineStr">
        <is>
          <t>AMR1</t>
        </is>
      </c>
      <c r="D406" s="30" t="inlineStr">
        <is>
          <t>AMR2</t>
        </is>
      </c>
      <c r="E406" s="30" t="inlineStr">
        <is>
          <t>정면충돌</t>
        </is>
      </c>
      <c r="F406" s="30" t="inlineStr">
        <is>
          <t>(18, 14)&lt;-&gt;(18, 15)</t>
        </is>
      </c>
      <c r="G406" s="31" t="n">
        <v>57.5</v>
      </c>
      <c r="H406" s="30" t="inlineStr">
        <is>
          <t>O0359</t>
        </is>
      </c>
    </row>
    <row r="407">
      <c r="A407" s="32" t="n">
        <v>406</v>
      </c>
      <c r="B407" s="31" t="n">
        <v>17510</v>
      </c>
      <c r="C407" s="30" t="inlineStr">
        <is>
          <t>AMR1</t>
        </is>
      </c>
      <c r="D407" s="30" t="inlineStr">
        <is>
          <t>AMR3</t>
        </is>
      </c>
      <c r="E407" s="30" t="inlineStr">
        <is>
          <t>경로충돌</t>
        </is>
      </c>
      <c r="F407" s="30" t="inlineStr">
        <is>
          <t>(18, 9)</t>
        </is>
      </c>
      <c r="G407" s="31" t="n">
        <v>28.6</v>
      </c>
      <c r="H407" s="30" t="inlineStr">
        <is>
          <t>O0361</t>
        </is>
      </c>
    </row>
    <row r="408">
      <c r="A408" s="32" t="n">
        <v>407</v>
      </c>
      <c r="B408" s="31" t="n">
        <v>17547.1</v>
      </c>
      <c r="C408" s="30" t="inlineStr">
        <is>
          <t>AMR2</t>
        </is>
      </c>
      <c r="D408" s="30" t="inlineStr">
        <is>
          <t>AMR3</t>
        </is>
      </c>
      <c r="E408" s="30" t="inlineStr">
        <is>
          <t>경로충돌</t>
        </is>
      </c>
      <c r="F408" s="30" t="inlineStr">
        <is>
          <t>(12, 16)</t>
        </is>
      </c>
      <c r="G408" s="31" t="n">
        <v>48.8</v>
      </c>
      <c r="H408" s="30" t="inlineStr">
        <is>
          <t>O0363</t>
        </is>
      </c>
    </row>
    <row r="409">
      <c r="A409" s="32" t="n">
        <v>408</v>
      </c>
      <c r="B409" s="31" t="n">
        <v>17547.5</v>
      </c>
      <c r="C409" s="30" t="inlineStr">
        <is>
          <t>AMR2</t>
        </is>
      </c>
      <c r="D409" s="30" t="inlineStr">
        <is>
          <t>AMR3</t>
        </is>
      </c>
      <c r="E409" s="30" t="inlineStr">
        <is>
          <t>정면충돌</t>
        </is>
      </c>
      <c r="F409" s="30" t="inlineStr">
        <is>
          <t>(12, 15)&lt;-&gt;(12, 16)</t>
        </is>
      </c>
      <c r="G409" s="31" t="n">
        <v>47.3</v>
      </c>
      <c r="H409" s="30" t="inlineStr">
        <is>
          <t>O0363</t>
        </is>
      </c>
    </row>
    <row r="410">
      <c r="A410" s="32" t="n">
        <v>409</v>
      </c>
      <c r="B410" s="31" t="n">
        <v>17558</v>
      </c>
      <c r="C410" s="30" t="inlineStr">
        <is>
          <t>AMR1</t>
        </is>
      </c>
      <c r="D410" s="30" t="inlineStr">
        <is>
          <t>AMR2</t>
        </is>
      </c>
      <c r="E410" s="30" t="inlineStr">
        <is>
          <t>경로충돌</t>
        </is>
      </c>
      <c r="F410" s="30" t="inlineStr">
        <is>
          <t>(14, 19)</t>
        </is>
      </c>
      <c r="G410" s="31" t="n">
        <v>34</v>
      </c>
      <c r="H410" s="30" t="inlineStr">
        <is>
          <t>O0362</t>
        </is>
      </c>
    </row>
    <row r="411">
      <c r="A411" s="32" t="n">
        <v>410</v>
      </c>
      <c r="B411" s="31" t="n">
        <v>17558.3</v>
      </c>
      <c r="C411" s="30" t="inlineStr">
        <is>
          <t>AMR1</t>
        </is>
      </c>
      <c r="D411" s="30" t="inlineStr">
        <is>
          <t>AMR2</t>
        </is>
      </c>
      <c r="E411" s="30" t="inlineStr">
        <is>
          <t>정면충돌</t>
        </is>
      </c>
      <c r="F411" s="30" t="inlineStr">
        <is>
          <t>(13, 19)&lt;-&gt;(14, 19)</t>
        </is>
      </c>
      <c r="G411" s="31" t="n">
        <v>57.4</v>
      </c>
      <c r="H411" s="30" t="inlineStr">
        <is>
          <t>O0362</t>
        </is>
      </c>
    </row>
    <row r="412">
      <c r="A412" s="32" t="n">
        <v>411</v>
      </c>
      <c r="B412" s="31" t="n">
        <v>17741.8</v>
      </c>
      <c r="C412" s="30" t="inlineStr">
        <is>
          <t>AMR2</t>
        </is>
      </c>
      <c r="D412" s="30" t="inlineStr">
        <is>
          <t>AMR3</t>
        </is>
      </c>
      <c r="E412" s="30" t="inlineStr">
        <is>
          <t>경로충돌</t>
        </is>
      </c>
      <c r="F412" s="30" t="inlineStr">
        <is>
          <t>(17, 9)</t>
        </is>
      </c>
      <c r="G412" s="31" t="n">
        <v>56</v>
      </c>
      <c r="H412" s="30" t="inlineStr">
        <is>
          <t>O0366 O0367</t>
        </is>
      </c>
    </row>
    <row r="413">
      <c r="A413" s="32" t="n">
        <v>412</v>
      </c>
      <c r="B413" s="31" t="n">
        <v>17837.2</v>
      </c>
      <c r="C413" s="30" t="inlineStr">
        <is>
          <t>AMR1</t>
        </is>
      </c>
      <c r="D413" s="30" t="inlineStr">
        <is>
          <t>AMR2</t>
        </is>
      </c>
      <c r="E413" s="30" t="inlineStr">
        <is>
          <t>경로충돌</t>
        </is>
      </c>
      <c r="F413" s="30" t="inlineStr">
        <is>
          <t>(18, 11)</t>
        </is>
      </c>
      <c r="G413" s="31" t="n">
        <v>30.3</v>
      </c>
      <c r="H413" s="30" t="inlineStr">
        <is>
          <t>O0368</t>
        </is>
      </c>
    </row>
    <row r="414">
      <c r="A414" s="32" t="n">
        <v>413</v>
      </c>
      <c r="B414" s="31" t="n">
        <v>17838</v>
      </c>
      <c r="C414" s="30" t="inlineStr">
        <is>
          <t>AMR1</t>
        </is>
      </c>
      <c r="D414" s="30" t="inlineStr">
        <is>
          <t>AMR2</t>
        </is>
      </c>
      <c r="E414" s="30" t="inlineStr">
        <is>
          <t>정면충돌</t>
        </is>
      </c>
      <c r="F414" s="30" t="inlineStr">
        <is>
          <t>(18, 10)&lt;-&gt;(18, 11)</t>
        </is>
      </c>
      <c r="G414" s="31" t="n">
        <v>33</v>
      </c>
      <c r="H414" s="30" t="inlineStr">
        <is>
          <t>O0368</t>
        </is>
      </c>
    </row>
    <row r="415">
      <c r="A415" s="32" t="n">
        <v>414</v>
      </c>
      <c r="B415" s="31" t="n">
        <v>17846.5</v>
      </c>
      <c r="C415" s="30" t="inlineStr">
        <is>
          <t>AMR2</t>
        </is>
      </c>
      <c r="D415" s="30" t="inlineStr">
        <is>
          <t>AMR3</t>
        </is>
      </c>
      <c r="E415" s="30" t="inlineStr">
        <is>
          <t>경로충돌</t>
        </is>
      </c>
      <c r="F415" s="30" t="inlineStr">
        <is>
          <t>(17, 16)</t>
        </is>
      </c>
      <c r="G415" s="31" t="n">
        <v>45.6</v>
      </c>
      <c r="H415" s="30" t="inlineStr">
        <is>
          <t>O0369</t>
        </is>
      </c>
    </row>
    <row r="416">
      <c r="A416" s="32" t="n">
        <v>415</v>
      </c>
      <c r="B416" s="31" t="n">
        <v>17847.7</v>
      </c>
      <c r="C416" s="30" t="inlineStr">
        <is>
          <t>AMR2</t>
        </is>
      </c>
      <c r="D416" s="30" t="inlineStr">
        <is>
          <t>AMR3</t>
        </is>
      </c>
      <c r="E416" s="30" t="inlineStr">
        <is>
          <t>정면충돌</t>
        </is>
      </c>
      <c r="F416" s="30" t="inlineStr">
        <is>
          <t>(17, 16)&lt;-&gt;(17, 17)</t>
        </is>
      </c>
      <c r="G416" s="31" t="n">
        <v>25.2</v>
      </c>
      <c r="H416" s="30" t="inlineStr">
        <is>
          <t>O0369</t>
        </is>
      </c>
    </row>
    <row r="417">
      <c r="A417" s="32" t="n">
        <v>416</v>
      </c>
      <c r="B417" s="31" t="n">
        <v>17907.1</v>
      </c>
      <c r="C417" s="30" t="inlineStr">
        <is>
          <t>AMR1</t>
        </is>
      </c>
      <c r="D417" s="30" t="inlineStr">
        <is>
          <t>AMR2</t>
        </is>
      </c>
      <c r="E417" s="30" t="inlineStr">
        <is>
          <t>경로충돌</t>
        </is>
      </c>
      <c r="F417" s="30" t="inlineStr">
        <is>
          <t>(16, 19)</t>
        </is>
      </c>
      <c r="G417" s="31" t="n">
        <v>31.4</v>
      </c>
      <c r="H417" s="30" t="inlineStr">
        <is>
          <t>O0370</t>
        </is>
      </c>
    </row>
    <row r="418">
      <c r="A418" s="32" t="n">
        <v>417</v>
      </c>
      <c r="B418" s="31" t="n">
        <v>17907.8</v>
      </c>
      <c r="C418" s="30" t="inlineStr">
        <is>
          <t>AMR1</t>
        </is>
      </c>
      <c r="D418" s="30" t="inlineStr">
        <is>
          <t>AMR2</t>
        </is>
      </c>
      <c r="E418" s="30" t="inlineStr">
        <is>
          <t>정면충돌</t>
        </is>
      </c>
      <c r="F418" s="30" t="inlineStr">
        <is>
          <t>(16, 19)&lt;-&gt;(17, 19)</t>
        </is>
      </c>
      <c r="G418" s="31" t="n">
        <v>24.6</v>
      </c>
      <c r="H418" s="30" t="inlineStr">
        <is>
          <t>O0370</t>
        </is>
      </c>
    </row>
    <row r="419">
      <c r="A419" s="32" t="n">
        <v>418</v>
      </c>
      <c r="B419" s="31" t="n">
        <v>17916.9</v>
      </c>
      <c r="C419" s="30" t="inlineStr">
        <is>
          <t>AMR2</t>
        </is>
      </c>
      <c r="D419" s="30" t="inlineStr">
        <is>
          <t>AMR3</t>
        </is>
      </c>
      <c r="E419" s="30" t="inlineStr">
        <is>
          <t>경로충돌</t>
        </is>
      </c>
      <c r="F419" s="30" t="inlineStr">
        <is>
          <t>(18, 16)</t>
        </is>
      </c>
      <c r="G419" s="31" t="n">
        <v>48.3</v>
      </c>
      <c r="H419" s="30" t="inlineStr">
        <is>
          <t>O0370</t>
        </is>
      </c>
    </row>
    <row r="420">
      <c r="A420" s="32" t="n">
        <v>419</v>
      </c>
      <c r="B420" s="31" t="n">
        <v>17917.8</v>
      </c>
      <c r="C420" s="30" t="inlineStr">
        <is>
          <t>AMR2</t>
        </is>
      </c>
      <c r="D420" s="30" t="inlineStr">
        <is>
          <t>AMR3</t>
        </is>
      </c>
      <c r="E420" s="30" t="inlineStr">
        <is>
          <t>정면충돌</t>
        </is>
      </c>
      <c r="F420" s="30" t="inlineStr">
        <is>
          <t>(18, 15)&lt;-&gt;(18, 16)</t>
        </is>
      </c>
      <c r="G420" s="31" t="n">
        <v>39.6</v>
      </c>
      <c r="H420" s="30" t="inlineStr">
        <is>
          <t>O0370</t>
        </is>
      </c>
    </row>
    <row r="421">
      <c r="A421" s="32" t="n">
        <v>420</v>
      </c>
      <c r="B421" s="31" t="n">
        <v>18021.9</v>
      </c>
      <c r="C421" s="30" t="inlineStr">
        <is>
          <t>AMR2</t>
        </is>
      </c>
      <c r="D421" s="30" t="inlineStr">
        <is>
          <t>AMR3</t>
        </is>
      </c>
      <c r="E421" s="30" t="inlineStr">
        <is>
          <t>정면충돌</t>
        </is>
      </c>
      <c r="F421" s="30" t="inlineStr">
        <is>
          <t>(10, 9)&lt;-&gt;(11, 9)</t>
        </is>
      </c>
      <c r="G421" s="31" t="n">
        <v>24</v>
      </c>
      <c r="H421" s="30" t="inlineStr">
        <is>
          <t>O0372 O0373</t>
        </is>
      </c>
    </row>
    <row r="422">
      <c r="A422" s="32" t="n">
        <v>421</v>
      </c>
      <c r="B422" s="31" t="n">
        <v>18170.6</v>
      </c>
      <c r="C422" s="30" t="inlineStr">
        <is>
          <t>AMR2</t>
        </is>
      </c>
      <c r="D422" s="30" t="inlineStr">
        <is>
          <t>AMR3</t>
        </is>
      </c>
      <c r="E422" s="30" t="inlineStr">
        <is>
          <t>경로충돌</t>
        </is>
      </c>
      <c r="F422" s="30" t="inlineStr">
        <is>
          <t>(20, 11)</t>
        </is>
      </c>
      <c r="G422" s="31" t="n">
        <v>53.5</v>
      </c>
      <c r="H422" s="30" t="inlineStr">
        <is>
          <t>O0375 O0376</t>
        </is>
      </c>
    </row>
    <row r="423">
      <c r="A423" s="32" t="n">
        <v>422</v>
      </c>
      <c r="B423" s="31" t="n">
        <v>18170.9</v>
      </c>
      <c r="C423" s="30" t="inlineStr">
        <is>
          <t>AMR2</t>
        </is>
      </c>
      <c r="D423" s="30" t="inlineStr">
        <is>
          <t>AMR3</t>
        </is>
      </c>
      <c r="E423" s="30" t="inlineStr">
        <is>
          <t>정면충돌</t>
        </is>
      </c>
      <c r="F423" s="30" t="inlineStr">
        <is>
          <t>(19, 11)&lt;-&gt;(20, 11)</t>
        </is>
      </c>
      <c r="G423" s="31" t="n">
        <v>41.7</v>
      </c>
      <c r="H423" s="30" t="inlineStr">
        <is>
          <t>O0375 O0376</t>
        </is>
      </c>
    </row>
    <row r="424">
      <c r="A424" s="32" t="n">
        <v>423</v>
      </c>
      <c r="B424" s="31" t="n">
        <v>18370</v>
      </c>
      <c r="C424" s="30" t="inlineStr">
        <is>
          <t>AMR1</t>
        </is>
      </c>
      <c r="D424" s="30" t="inlineStr">
        <is>
          <t>AMR2</t>
        </is>
      </c>
      <c r="E424" s="30" t="inlineStr">
        <is>
          <t>정면충돌</t>
        </is>
      </c>
      <c r="F424" s="30" t="inlineStr">
        <is>
          <t>(12, 16)&lt;-&gt;(12, 17)</t>
        </is>
      </c>
      <c r="G424" s="31" t="n">
        <v>46.3</v>
      </c>
      <c r="H424" s="30" t="inlineStr">
        <is>
          <t>O0381</t>
        </is>
      </c>
    </row>
    <row r="425">
      <c r="A425" s="32" t="n">
        <v>424</v>
      </c>
      <c r="B425" s="31" t="n">
        <v>18408.1</v>
      </c>
      <c r="C425" s="30" t="inlineStr">
        <is>
          <t>AMR1</t>
        </is>
      </c>
      <c r="D425" s="30" t="inlineStr">
        <is>
          <t>AMR3</t>
        </is>
      </c>
      <c r="E425" s="30" t="inlineStr">
        <is>
          <t>경로충돌</t>
        </is>
      </c>
      <c r="F425" s="30" t="inlineStr">
        <is>
          <t>(17, 19)</t>
        </is>
      </c>
      <c r="G425" s="31" t="n">
        <v>29.6</v>
      </c>
      <c r="H425" s="30" t="inlineStr">
        <is>
          <t>O0381</t>
        </is>
      </c>
    </row>
    <row r="426">
      <c r="A426" s="32" t="n">
        <v>425</v>
      </c>
      <c r="B426" s="31" t="n">
        <v>18468.6</v>
      </c>
      <c r="C426" s="30" t="inlineStr">
        <is>
          <t>AMR1</t>
        </is>
      </c>
      <c r="D426" s="30" t="inlineStr">
        <is>
          <t>AMR2</t>
        </is>
      </c>
      <c r="E426" s="30" t="inlineStr">
        <is>
          <t>경로충돌</t>
        </is>
      </c>
      <c r="F426" s="30" t="inlineStr">
        <is>
          <t>(18, 9)</t>
        </is>
      </c>
      <c r="G426" s="31" t="n">
        <v>47.2</v>
      </c>
      <c r="H426" s="30" t="inlineStr">
        <is>
          <t>O0382</t>
        </is>
      </c>
    </row>
    <row r="427">
      <c r="A427" s="32" t="n">
        <v>426</v>
      </c>
      <c r="B427" s="31" t="n">
        <v>18535.4</v>
      </c>
      <c r="C427" s="30" t="inlineStr">
        <is>
          <t>AMR1</t>
        </is>
      </c>
      <c r="D427" s="30" t="inlineStr">
        <is>
          <t>AMR2</t>
        </is>
      </c>
      <c r="E427" s="30" t="inlineStr">
        <is>
          <t>경로충돌</t>
        </is>
      </c>
      <c r="F427" s="30" t="inlineStr">
        <is>
          <t>(16, 19)</t>
        </is>
      </c>
      <c r="G427" s="31" t="n">
        <v>33.5</v>
      </c>
      <c r="H427" s="30" t="inlineStr">
        <is>
          <t>O0384</t>
        </is>
      </c>
    </row>
    <row r="428">
      <c r="A428" s="32" t="n">
        <v>427</v>
      </c>
      <c r="B428" s="31" t="n">
        <v>18535.9</v>
      </c>
      <c r="C428" s="30" t="inlineStr">
        <is>
          <t>AMR1</t>
        </is>
      </c>
      <c r="D428" s="30" t="inlineStr">
        <is>
          <t>AMR2</t>
        </is>
      </c>
      <c r="E428" s="30" t="inlineStr">
        <is>
          <t>정면충돌</t>
        </is>
      </c>
      <c r="F428" s="30" t="inlineStr">
        <is>
          <t>(16, 19)&lt;-&gt;(17, 19)</t>
        </is>
      </c>
      <c r="G428" s="31" t="n">
        <v>59.2</v>
      </c>
      <c r="H428" s="30" t="inlineStr">
        <is>
          <t>O0384</t>
        </is>
      </c>
    </row>
    <row r="429">
      <c r="A429" s="32" t="n">
        <v>428</v>
      </c>
      <c r="B429" s="31" t="n">
        <v>18571.3</v>
      </c>
      <c r="C429" s="30" t="inlineStr">
        <is>
          <t>AMR1</t>
        </is>
      </c>
      <c r="D429" s="30" t="inlineStr">
        <is>
          <t>AMR2</t>
        </is>
      </c>
      <c r="E429" s="30" t="inlineStr">
        <is>
          <t>경로충돌</t>
        </is>
      </c>
      <c r="F429" s="30" t="inlineStr">
        <is>
          <t>(18, 9)</t>
        </is>
      </c>
      <c r="G429" s="31" t="n">
        <v>22.7</v>
      </c>
      <c r="H429" s="30" t="inlineStr">
        <is>
          <t>O0384 O0385</t>
        </is>
      </c>
    </row>
    <row r="430">
      <c r="A430" s="32" t="n">
        <v>429</v>
      </c>
      <c r="B430" s="31" t="n">
        <v>18571.8</v>
      </c>
      <c r="C430" s="30" t="inlineStr">
        <is>
          <t>AMR1</t>
        </is>
      </c>
      <c r="D430" s="30" t="inlineStr">
        <is>
          <t>AMR2</t>
        </is>
      </c>
      <c r="E430" s="30" t="inlineStr">
        <is>
          <t>정면충돌</t>
        </is>
      </c>
      <c r="F430" s="30" t="inlineStr">
        <is>
          <t>(18, 9)&lt;-&gt;(19, 9)</t>
        </is>
      </c>
      <c r="G430" s="31" t="n">
        <v>21.9</v>
      </c>
      <c r="H430" s="30" t="inlineStr">
        <is>
          <t>O0384 O0385</t>
        </is>
      </c>
    </row>
    <row r="431">
      <c r="A431" s="32" t="n">
        <v>430</v>
      </c>
      <c r="B431" s="31" t="n">
        <v>18611.1</v>
      </c>
      <c r="C431" s="30" t="inlineStr">
        <is>
          <t>AMR1</t>
        </is>
      </c>
      <c r="D431" s="30" t="inlineStr">
        <is>
          <t>AMR3</t>
        </is>
      </c>
      <c r="E431" s="30" t="inlineStr">
        <is>
          <t>정면충돌</t>
        </is>
      </c>
      <c r="F431" s="30" t="inlineStr">
        <is>
          <t>(18, 18)&lt;-&gt;(18, 19)</t>
        </is>
      </c>
      <c r="G431" s="31" t="n">
        <v>35.6</v>
      </c>
      <c r="H431" s="30" t="inlineStr">
        <is>
          <t>O0385</t>
        </is>
      </c>
    </row>
    <row r="432">
      <c r="A432" s="32" t="n">
        <v>431</v>
      </c>
      <c r="B432" s="31" t="n">
        <v>18621.1</v>
      </c>
      <c r="C432" s="30" t="inlineStr">
        <is>
          <t>AMR1</t>
        </is>
      </c>
      <c r="D432" s="30" t="inlineStr">
        <is>
          <t>AMR2</t>
        </is>
      </c>
      <c r="E432" s="30" t="inlineStr">
        <is>
          <t>정면충돌</t>
        </is>
      </c>
      <c r="F432" s="30" t="inlineStr">
        <is>
          <t>(18, 14)&lt;-&gt;(18, 15)</t>
        </is>
      </c>
      <c r="G432" s="31" t="n">
        <v>25.4</v>
      </c>
      <c r="H432" s="30" t="inlineStr">
        <is>
          <t>O0385</t>
        </is>
      </c>
    </row>
    <row r="433">
      <c r="A433" s="32" t="n">
        <v>432</v>
      </c>
      <c r="B433" s="31" t="n">
        <v>18656.9</v>
      </c>
      <c r="C433" s="30" t="inlineStr">
        <is>
          <t>AMR2</t>
        </is>
      </c>
      <c r="D433" s="30" t="inlineStr">
        <is>
          <t>AMR3</t>
        </is>
      </c>
      <c r="E433" s="30" t="inlineStr">
        <is>
          <t>경로충돌</t>
        </is>
      </c>
      <c r="F433" s="30" t="inlineStr">
        <is>
          <t>(17, 12)</t>
        </is>
      </c>
      <c r="G433" s="31" t="n">
        <v>25.4</v>
      </c>
      <c r="H433" s="30" t="inlineStr">
        <is>
          <t>O0387</t>
        </is>
      </c>
    </row>
    <row r="434">
      <c r="A434" s="32" t="n">
        <v>433</v>
      </c>
      <c r="B434" s="31" t="n">
        <v>18658.3</v>
      </c>
      <c r="C434" s="30" t="inlineStr">
        <is>
          <t>AMR2</t>
        </is>
      </c>
      <c r="D434" s="30" t="inlineStr">
        <is>
          <t>AMR3</t>
        </is>
      </c>
      <c r="E434" s="30" t="inlineStr">
        <is>
          <t>정면충돌</t>
        </is>
      </c>
      <c r="F434" s="30" t="inlineStr">
        <is>
          <t>(17, 12)&lt;-&gt;(17, 13)</t>
        </is>
      </c>
      <c r="G434" s="31" t="n">
        <v>50.3</v>
      </c>
      <c r="H434" s="30" t="inlineStr">
        <is>
          <t>O0387</t>
        </is>
      </c>
    </row>
    <row r="435">
      <c r="A435" s="32" t="n">
        <v>434</v>
      </c>
      <c r="B435" s="31" t="n">
        <v>18750.5</v>
      </c>
      <c r="C435" s="30" t="inlineStr">
        <is>
          <t>AMR1</t>
        </is>
      </c>
      <c r="D435" s="30" t="inlineStr">
        <is>
          <t>AMR3</t>
        </is>
      </c>
      <c r="E435" s="30" t="inlineStr">
        <is>
          <t>경로충돌</t>
        </is>
      </c>
      <c r="F435" s="30" t="inlineStr">
        <is>
          <t>(18, 18)</t>
        </is>
      </c>
      <c r="G435" s="31" t="n">
        <v>41.9</v>
      </c>
      <c r="H435" s="30" t="inlineStr">
        <is>
          <t>O0388</t>
        </is>
      </c>
    </row>
    <row r="436">
      <c r="A436" s="32" t="n">
        <v>435</v>
      </c>
      <c r="B436" s="31" t="n">
        <v>18750.9</v>
      </c>
      <c r="C436" s="30" t="inlineStr">
        <is>
          <t>AMR1</t>
        </is>
      </c>
      <c r="D436" s="30" t="inlineStr">
        <is>
          <t>AMR3</t>
        </is>
      </c>
      <c r="E436" s="30" t="inlineStr">
        <is>
          <t>정면충돌</t>
        </is>
      </c>
      <c r="F436" s="30" t="inlineStr">
        <is>
          <t>(18, 18)&lt;-&gt;(18, 19)</t>
        </is>
      </c>
      <c r="G436" s="31" t="n">
        <v>47.8</v>
      </c>
      <c r="H436" s="30" t="inlineStr">
        <is>
          <t>O0388</t>
        </is>
      </c>
    </row>
    <row r="437">
      <c r="A437" s="32" t="n">
        <v>436</v>
      </c>
      <c r="B437" s="31" t="n">
        <v>18893.4</v>
      </c>
      <c r="C437" s="30" t="inlineStr">
        <is>
          <t>AMR2</t>
        </is>
      </c>
      <c r="D437" s="30" t="inlineStr">
        <is>
          <t>AMR3</t>
        </is>
      </c>
      <c r="E437" s="30" t="inlineStr">
        <is>
          <t>정면충돌</t>
        </is>
      </c>
      <c r="F437" s="30" t="inlineStr">
        <is>
          <t>(17, 18)&lt;-&gt;(17, 19)</t>
        </is>
      </c>
      <c r="G437" s="31" t="n">
        <v>27</v>
      </c>
      <c r="H437" s="30" t="inlineStr">
        <is>
          <t>O0391</t>
        </is>
      </c>
    </row>
    <row r="438">
      <c r="A438" s="32" t="n">
        <v>437</v>
      </c>
      <c r="B438" s="31" t="n">
        <v>18904.9</v>
      </c>
      <c r="C438" s="30" t="inlineStr">
        <is>
          <t>AMR1</t>
        </is>
      </c>
      <c r="D438" s="30" t="inlineStr">
        <is>
          <t>AMR3</t>
        </is>
      </c>
      <c r="E438" s="30" t="inlineStr">
        <is>
          <t>정면충돌</t>
        </is>
      </c>
      <c r="F438" s="30" t="inlineStr">
        <is>
          <t>(18, 10)&lt;-&gt;(18, 11)</t>
        </is>
      </c>
      <c r="G438" s="31" t="n">
        <v>45.6</v>
      </c>
      <c r="H438" s="30" t="inlineStr">
        <is>
          <t>O0391</t>
        </is>
      </c>
    </row>
    <row r="439">
      <c r="A439" s="32" t="n">
        <v>438</v>
      </c>
      <c r="B439" s="31" t="n">
        <v>18945.2</v>
      </c>
      <c r="C439" s="30" t="inlineStr">
        <is>
          <t>AMR1</t>
        </is>
      </c>
      <c r="D439" s="30" t="inlineStr">
        <is>
          <t>AMR2</t>
        </is>
      </c>
      <c r="E439" s="30" t="inlineStr">
        <is>
          <t>경로충돌</t>
        </is>
      </c>
      <c r="F439" s="30" t="inlineStr">
        <is>
          <t>(17, 9)</t>
        </is>
      </c>
      <c r="G439" s="31" t="n">
        <v>50.8</v>
      </c>
      <c r="H439" s="30" t="inlineStr">
        <is>
          <t>O0393</t>
        </is>
      </c>
    </row>
    <row r="440">
      <c r="A440" s="32" t="n">
        <v>439</v>
      </c>
      <c r="B440" s="31" t="n">
        <v>18965.4</v>
      </c>
      <c r="C440" s="30" t="inlineStr">
        <is>
          <t>AMR2</t>
        </is>
      </c>
      <c r="D440" s="30" t="inlineStr">
        <is>
          <t>AMR3</t>
        </is>
      </c>
      <c r="E440" s="30" t="inlineStr">
        <is>
          <t>경로충돌</t>
        </is>
      </c>
      <c r="F440" s="30" t="inlineStr">
        <is>
          <t>(18, 18)</t>
        </is>
      </c>
      <c r="G440" s="31" t="n">
        <v>23.4</v>
      </c>
      <c r="H440" s="30" t="inlineStr">
        <is>
          <t>O0392</t>
        </is>
      </c>
    </row>
    <row r="441">
      <c r="A441" s="32" t="n">
        <v>440</v>
      </c>
      <c r="B441" s="31" t="n">
        <v>18966.4</v>
      </c>
      <c r="C441" s="30" t="inlineStr">
        <is>
          <t>AMR2</t>
        </is>
      </c>
      <c r="D441" s="30" t="inlineStr">
        <is>
          <t>AMR3</t>
        </is>
      </c>
      <c r="E441" s="30" t="inlineStr">
        <is>
          <t>정면충돌</t>
        </is>
      </c>
      <c r="F441" s="30" t="inlineStr">
        <is>
          <t>(18, 17)&lt;-&gt;(18, 18)</t>
        </is>
      </c>
      <c r="G441" s="31" t="n">
        <v>27</v>
      </c>
      <c r="H441" s="30" t="inlineStr">
        <is>
          <t>O0392</t>
        </is>
      </c>
    </row>
    <row r="442">
      <c r="A442" s="32" t="n">
        <v>441</v>
      </c>
      <c r="B442" s="31" t="n">
        <v>19029.4</v>
      </c>
      <c r="C442" s="30" t="inlineStr">
        <is>
          <t>AMR1</t>
        </is>
      </c>
      <c r="D442" s="30" t="inlineStr">
        <is>
          <t>AMR2</t>
        </is>
      </c>
      <c r="E442" s="30" t="inlineStr">
        <is>
          <t>경로충돌</t>
        </is>
      </c>
      <c r="F442" s="30" t="inlineStr">
        <is>
          <t>(18, 9)</t>
        </is>
      </c>
      <c r="G442" s="31" t="n">
        <v>38.4</v>
      </c>
      <c r="H442" s="30" t="inlineStr"/>
    </row>
    <row r="443">
      <c r="A443" s="32" t="n">
        <v>442</v>
      </c>
      <c r="B443" s="31" t="n">
        <v>19044.1</v>
      </c>
      <c r="C443" s="30" t="inlineStr">
        <is>
          <t>AMR1</t>
        </is>
      </c>
      <c r="D443" s="30" t="inlineStr">
        <is>
          <t>AMR2</t>
        </is>
      </c>
      <c r="E443" s="30" t="inlineStr">
        <is>
          <t>경로충돌</t>
        </is>
      </c>
      <c r="F443" s="30" t="inlineStr">
        <is>
          <t>(17, 19)</t>
        </is>
      </c>
      <c r="G443" s="31" t="n">
        <v>33.1</v>
      </c>
      <c r="H443" s="30" t="inlineStr">
        <is>
          <t>O0394</t>
        </is>
      </c>
    </row>
    <row r="444">
      <c r="A444" s="32" t="n">
        <v>443</v>
      </c>
      <c r="B444" s="31" t="n">
        <v>19044.5</v>
      </c>
      <c r="C444" s="30" t="inlineStr">
        <is>
          <t>AMR1</t>
        </is>
      </c>
      <c r="D444" s="30" t="inlineStr">
        <is>
          <t>AMR2</t>
        </is>
      </c>
      <c r="E444" s="30" t="inlineStr">
        <is>
          <t>정면충돌</t>
        </is>
      </c>
      <c r="F444" s="30" t="inlineStr">
        <is>
          <t>(16, 19)&lt;-&gt;(17, 19)</t>
        </is>
      </c>
      <c r="G444" s="31" t="n">
        <v>53.8</v>
      </c>
      <c r="H444" s="30" t="inlineStr">
        <is>
          <t>O0394</t>
        </is>
      </c>
    </row>
    <row r="445">
      <c r="A445" s="32" t="n">
        <v>444</v>
      </c>
      <c r="B445" s="31" t="n">
        <v>19127.9</v>
      </c>
      <c r="C445" s="30" t="inlineStr">
        <is>
          <t>AMR2</t>
        </is>
      </c>
      <c r="D445" s="30" t="inlineStr">
        <is>
          <t>AMR3</t>
        </is>
      </c>
      <c r="E445" s="30" t="inlineStr">
        <is>
          <t>정면충돌</t>
        </is>
      </c>
      <c r="F445" s="30" t="inlineStr">
        <is>
          <t>(18, 17)&lt;-&gt;(18, 18)</t>
        </is>
      </c>
      <c r="G445" s="31" t="n">
        <v>42.4</v>
      </c>
      <c r="H445" s="30" t="inlineStr">
        <is>
          <t>O0396</t>
        </is>
      </c>
    </row>
    <row r="446">
      <c r="A446" s="32" t="n">
        <v>445</v>
      </c>
      <c r="B446" s="31" t="n">
        <v>19249.5</v>
      </c>
      <c r="C446" s="30" t="inlineStr">
        <is>
          <t>AMR1</t>
        </is>
      </c>
      <c r="D446" s="30" t="inlineStr">
        <is>
          <t>AMR2</t>
        </is>
      </c>
      <c r="E446" s="30" t="inlineStr">
        <is>
          <t>정면충돌</t>
        </is>
      </c>
      <c r="F446" s="30" t="inlineStr">
        <is>
          <t>(18, 13)&lt;-&gt;(18, 14)</t>
        </is>
      </c>
      <c r="G446" s="31" t="n">
        <v>38.8</v>
      </c>
      <c r="H446" s="30" t="inlineStr">
        <is>
          <t>O0398</t>
        </is>
      </c>
    </row>
    <row r="447">
      <c r="A447" s="32" t="n">
        <v>446</v>
      </c>
      <c r="B447" s="31" t="n">
        <v>19325.2</v>
      </c>
      <c r="C447" s="30" t="inlineStr">
        <is>
          <t>AMR2</t>
        </is>
      </c>
      <c r="D447" s="30" t="inlineStr">
        <is>
          <t>AMR3</t>
        </is>
      </c>
      <c r="E447" s="30" t="inlineStr">
        <is>
          <t>경로충돌</t>
        </is>
      </c>
      <c r="F447" s="30" t="inlineStr">
        <is>
          <t>(18, 19)</t>
        </is>
      </c>
      <c r="G447" s="31" t="n">
        <v>35.6</v>
      </c>
      <c r="H447" s="30" t="inlineStr">
        <is>
          <t>O0400</t>
        </is>
      </c>
    </row>
    <row r="448">
      <c r="A448" s="32" t="n">
        <v>447</v>
      </c>
      <c r="B448" s="31" t="n">
        <v>19325.7</v>
      </c>
      <c r="C448" s="30" t="inlineStr">
        <is>
          <t>AMR2</t>
        </is>
      </c>
      <c r="D448" s="30" t="inlineStr">
        <is>
          <t>AMR3</t>
        </is>
      </c>
      <c r="E448" s="30" t="inlineStr">
        <is>
          <t>정면충돌</t>
        </is>
      </c>
      <c r="F448" s="30" t="inlineStr">
        <is>
          <t>(17, 19)&lt;-&gt;(18, 19)</t>
        </is>
      </c>
      <c r="G448" s="31" t="n">
        <v>26.7</v>
      </c>
      <c r="H448" s="30" t="inlineStr">
        <is>
          <t>O0400</t>
        </is>
      </c>
    </row>
    <row r="449">
      <c r="A449" s="32" t="n">
        <v>448</v>
      </c>
      <c r="B449" s="31" t="n">
        <v>19370.9</v>
      </c>
      <c r="C449" s="30" t="inlineStr">
        <is>
          <t>AMR1</t>
        </is>
      </c>
      <c r="D449" s="30" t="inlineStr">
        <is>
          <t>AMR2</t>
        </is>
      </c>
      <c r="E449" s="30" t="inlineStr">
        <is>
          <t>경로충돌</t>
        </is>
      </c>
      <c r="F449" s="30" t="inlineStr">
        <is>
          <t>(12, 11)</t>
        </is>
      </c>
      <c r="G449" s="31" t="n">
        <v>27.5</v>
      </c>
      <c r="H449" s="30" t="inlineStr">
        <is>
          <t>O0402</t>
        </is>
      </c>
    </row>
    <row r="450">
      <c r="A450" s="32" t="n">
        <v>449</v>
      </c>
      <c r="B450" s="31" t="n">
        <v>19371.6</v>
      </c>
      <c r="C450" s="30" t="inlineStr">
        <is>
          <t>AMR1</t>
        </is>
      </c>
      <c r="D450" s="30" t="inlineStr">
        <is>
          <t>AMR2</t>
        </is>
      </c>
      <c r="E450" s="30" t="inlineStr">
        <is>
          <t>정면충돌</t>
        </is>
      </c>
      <c r="F450" s="30" t="inlineStr">
        <is>
          <t>(12, 11)&lt;-&gt;(12, 12)</t>
        </is>
      </c>
      <c r="G450" s="31" t="n">
        <v>30.9</v>
      </c>
      <c r="H450" s="30" t="inlineStr">
        <is>
          <t>O0402</t>
        </is>
      </c>
    </row>
    <row r="451">
      <c r="A451" s="32" t="n">
        <v>450</v>
      </c>
      <c r="B451" s="31" t="n">
        <v>19407.7</v>
      </c>
      <c r="C451" s="30" t="inlineStr">
        <is>
          <t>AMR1</t>
        </is>
      </c>
      <c r="D451" s="30" t="inlineStr">
        <is>
          <t>AMR3</t>
        </is>
      </c>
      <c r="E451" s="30" t="inlineStr">
        <is>
          <t>정면충돌</t>
        </is>
      </c>
      <c r="F451" s="30" t="inlineStr">
        <is>
          <t>(13, 19)&lt;-&gt;(14, 19)</t>
        </is>
      </c>
      <c r="G451" s="31" t="n">
        <v>20.5</v>
      </c>
      <c r="H451" s="30" t="inlineStr">
        <is>
          <t>O0402</t>
        </is>
      </c>
    </row>
    <row r="452">
      <c r="A452" s="32" t="n">
        <v>451</v>
      </c>
      <c r="B452" s="31" t="n">
        <v>19420.8</v>
      </c>
      <c r="C452" s="30" t="inlineStr">
        <is>
          <t>AMR2</t>
        </is>
      </c>
      <c r="D452" s="30" t="inlineStr">
        <is>
          <t>AMR3</t>
        </is>
      </c>
      <c r="E452" s="30" t="inlineStr">
        <is>
          <t>경로충돌</t>
        </is>
      </c>
      <c r="F452" s="30" t="inlineStr">
        <is>
          <t>(12, 11)</t>
        </is>
      </c>
      <c r="G452" s="31" t="n">
        <v>26.6</v>
      </c>
      <c r="H452" s="30" t="inlineStr">
        <is>
          <t>O0401 O0402</t>
        </is>
      </c>
    </row>
    <row r="453">
      <c r="A453" s="32" t="n">
        <v>452</v>
      </c>
      <c r="B453" s="31" t="n">
        <v>19474.8</v>
      </c>
      <c r="C453" s="30" t="inlineStr">
        <is>
          <t>AMR1</t>
        </is>
      </c>
      <c r="D453" s="30" t="inlineStr">
        <is>
          <t>AMR2</t>
        </is>
      </c>
      <c r="E453" s="30" t="inlineStr">
        <is>
          <t>경로충돌</t>
        </is>
      </c>
      <c r="F453" s="30" t="inlineStr">
        <is>
          <t>(17, 19)</t>
        </is>
      </c>
      <c r="G453" s="31" t="n">
        <v>43.5</v>
      </c>
      <c r="H453" s="30" t="inlineStr">
        <is>
          <t>O0403</t>
        </is>
      </c>
    </row>
    <row r="454">
      <c r="A454" s="32" t="n">
        <v>453</v>
      </c>
      <c r="B454" s="31" t="n">
        <v>19475.2</v>
      </c>
      <c r="C454" s="30" t="inlineStr">
        <is>
          <t>AMR1</t>
        </is>
      </c>
      <c r="D454" s="30" t="inlineStr">
        <is>
          <t>AMR2</t>
        </is>
      </c>
      <c r="E454" s="30" t="inlineStr">
        <is>
          <t>정면충돌</t>
        </is>
      </c>
      <c r="F454" s="30" t="inlineStr">
        <is>
          <t>(16, 19)&lt;-&gt;(17, 19)</t>
        </is>
      </c>
      <c r="G454" s="31" t="n">
        <v>40.2</v>
      </c>
      <c r="H454" s="30" t="inlineStr">
        <is>
          <t>O0403</t>
        </is>
      </c>
    </row>
    <row r="455">
      <c r="A455" s="32" t="n">
        <v>454</v>
      </c>
      <c r="B455" s="31" t="n">
        <v>19515.6</v>
      </c>
      <c r="C455" s="30" t="inlineStr">
        <is>
          <t>AMR1</t>
        </is>
      </c>
      <c r="D455" s="30" t="inlineStr">
        <is>
          <t>AMR2</t>
        </is>
      </c>
      <c r="E455" s="30" t="inlineStr">
        <is>
          <t>경로충돌</t>
        </is>
      </c>
      <c r="F455" s="30" t="inlineStr">
        <is>
          <t>(26, 9)</t>
        </is>
      </c>
      <c r="G455" s="31" t="n">
        <v>39.9</v>
      </c>
      <c r="H455" s="30" t="inlineStr">
        <is>
          <t>O0403 O0404</t>
        </is>
      </c>
    </row>
    <row r="456">
      <c r="A456" s="32" t="n">
        <v>455</v>
      </c>
      <c r="B456" s="31" t="n">
        <v>19516.9</v>
      </c>
      <c r="C456" s="30" t="inlineStr">
        <is>
          <t>AMR1</t>
        </is>
      </c>
      <c r="D456" s="30" t="inlineStr">
        <is>
          <t>AMR2</t>
        </is>
      </c>
      <c r="E456" s="30" t="inlineStr">
        <is>
          <t>정면충돌</t>
        </is>
      </c>
      <c r="F456" s="30" t="inlineStr">
        <is>
          <t>(25, 9)&lt;-&gt;(26, 9)</t>
        </is>
      </c>
      <c r="G456" s="31" t="n">
        <v>41.8</v>
      </c>
      <c r="H456" s="30" t="inlineStr">
        <is>
          <t>O0403 O0404</t>
        </is>
      </c>
    </row>
    <row r="457">
      <c r="A457" s="32" t="n">
        <v>456</v>
      </c>
      <c r="B457" s="31" t="n">
        <v>19563.6</v>
      </c>
      <c r="C457" s="30" t="inlineStr">
        <is>
          <t>AMR2</t>
        </is>
      </c>
      <c r="D457" s="30" t="inlineStr">
        <is>
          <t>AMR3</t>
        </is>
      </c>
      <c r="E457" s="30" t="inlineStr">
        <is>
          <t>경로충돌</t>
        </is>
      </c>
      <c r="F457" s="30" t="inlineStr">
        <is>
          <t>(18, 9)</t>
        </is>
      </c>
      <c r="G457" s="31" t="n">
        <v>43</v>
      </c>
      <c r="H457" s="30" t="inlineStr"/>
    </row>
    <row r="458">
      <c r="A458" s="32" t="n">
        <v>457</v>
      </c>
      <c r="B458" s="31" t="n">
        <v>19578.1</v>
      </c>
      <c r="C458" s="30" t="inlineStr">
        <is>
          <t>AMR2</t>
        </is>
      </c>
      <c r="D458" s="30" t="inlineStr">
        <is>
          <t>AMR3</t>
        </is>
      </c>
      <c r="E458" s="30" t="inlineStr">
        <is>
          <t>경로충돌</t>
        </is>
      </c>
      <c r="F458" s="30" t="inlineStr">
        <is>
          <t>(17, 19)</t>
        </is>
      </c>
      <c r="G458" s="31" t="n">
        <v>60</v>
      </c>
      <c r="H458" s="30" t="inlineStr">
        <is>
          <t>O0405</t>
        </is>
      </c>
    </row>
    <row r="459">
      <c r="A459" s="32" t="n">
        <v>458</v>
      </c>
      <c r="B459" s="31" t="n">
        <v>19578.4</v>
      </c>
      <c r="C459" s="30" t="inlineStr">
        <is>
          <t>AMR2</t>
        </is>
      </c>
      <c r="D459" s="30" t="inlineStr">
        <is>
          <t>AMR3</t>
        </is>
      </c>
      <c r="E459" s="30" t="inlineStr">
        <is>
          <t>정면충돌</t>
        </is>
      </c>
      <c r="F459" s="30" t="inlineStr">
        <is>
          <t>(16, 19)&lt;-&gt;(17, 19)</t>
        </is>
      </c>
      <c r="G459" s="31" t="n">
        <v>40.9</v>
      </c>
      <c r="H459" s="30" t="inlineStr">
        <is>
          <t>O0405</t>
        </is>
      </c>
    </row>
    <row r="460">
      <c r="A460" s="32" t="n">
        <v>459</v>
      </c>
      <c r="B460" s="31" t="n">
        <v>19653.9</v>
      </c>
      <c r="C460" s="30" t="inlineStr">
        <is>
          <t>AMR1</t>
        </is>
      </c>
      <c r="D460" s="30" t="inlineStr">
        <is>
          <t>AMR3</t>
        </is>
      </c>
      <c r="E460" s="30" t="inlineStr">
        <is>
          <t>경로충돌</t>
        </is>
      </c>
      <c r="F460" s="30" t="inlineStr">
        <is>
          <t>(15, 19)</t>
        </is>
      </c>
      <c r="G460" s="31" t="n">
        <v>50.8</v>
      </c>
      <c r="H460" s="30" t="inlineStr"/>
    </row>
    <row r="461">
      <c r="A461" s="32" t="n">
        <v>460</v>
      </c>
      <c r="B461" s="31" t="n">
        <v>19772.3</v>
      </c>
      <c r="C461" s="30" t="inlineStr">
        <is>
          <t>AMR1</t>
        </is>
      </c>
      <c r="D461" s="30" t="inlineStr">
        <is>
          <t>AMR3</t>
        </is>
      </c>
      <c r="E461" s="30" t="inlineStr">
        <is>
          <t>경로충돌</t>
        </is>
      </c>
      <c r="F461" s="30" t="inlineStr">
        <is>
          <t>(18, 10)</t>
        </is>
      </c>
      <c r="G461" s="31" t="n">
        <v>32.1</v>
      </c>
      <c r="H461" s="30" t="inlineStr">
        <is>
          <t>O0409</t>
        </is>
      </c>
    </row>
    <row r="462">
      <c r="A462" s="32" t="n">
        <v>461</v>
      </c>
      <c r="B462" s="31" t="n">
        <v>19772.6</v>
      </c>
      <c r="C462" s="30" t="inlineStr">
        <is>
          <t>AMR1</t>
        </is>
      </c>
      <c r="D462" s="30" t="inlineStr">
        <is>
          <t>AMR3</t>
        </is>
      </c>
      <c r="E462" s="30" t="inlineStr">
        <is>
          <t>정면충돌</t>
        </is>
      </c>
      <c r="F462" s="30" t="inlineStr">
        <is>
          <t>(18, 10)&lt;-&gt;(18, 11)</t>
        </is>
      </c>
      <c r="G462" s="31" t="n">
        <v>52.2</v>
      </c>
      <c r="H462" s="30" t="inlineStr">
        <is>
          <t>O0409</t>
        </is>
      </c>
    </row>
    <row r="463">
      <c r="A463" s="32" t="n">
        <v>462</v>
      </c>
      <c r="B463" s="31" t="n">
        <v>19813.2</v>
      </c>
      <c r="C463" s="30" t="inlineStr">
        <is>
          <t>AMR2</t>
        </is>
      </c>
      <c r="D463" s="30" t="inlineStr">
        <is>
          <t>AMR3</t>
        </is>
      </c>
      <c r="E463" s="30" t="inlineStr">
        <is>
          <t>경로충돌</t>
        </is>
      </c>
      <c r="F463" s="30" t="inlineStr">
        <is>
          <t>(18, 17)</t>
        </is>
      </c>
      <c r="G463" s="31" t="n">
        <v>41.4</v>
      </c>
      <c r="H463" s="30" t="inlineStr">
        <is>
          <t>O0409</t>
        </is>
      </c>
    </row>
    <row r="464">
      <c r="A464" s="32" t="n">
        <v>463</v>
      </c>
      <c r="B464" s="31" t="n">
        <v>19813.7</v>
      </c>
      <c r="C464" s="30" t="inlineStr">
        <is>
          <t>AMR2</t>
        </is>
      </c>
      <c r="D464" s="30" t="inlineStr">
        <is>
          <t>AMR3</t>
        </is>
      </c>
      <c r="E464" s="30" t="inlineStr">
        <is>
          <t>정면충돌</t>
        </is>
      </c>
      <c r="F464" s="30" t="inlineStr">
        <is>
          <t>(18, 16)&lt;-&gt;(18, 17)</t>
        </is>
      </c>
      <c r="G464" s="31" t="n">
        <v>54.4</v>
      </c>
      <c r="H464" s="30" t="inlineStr">
        <is>
          <t>O0409</t>
        </is>
      </c>
    </row>
    <row r="465">
      <c r="A465" s="32" t="n">
        <v>464</v>
      </c>
      <c r="B465" s="31" t="n">
        <v>19886.3</v>
      </c>
      <c r="C465" s="30" t="inlineStr">
        <is>
          <t>AMR2</t>
        </is>
      </c>
      <c r="D465" s="30" t="inlineStr">
        <is>
          <t>AMR3</t>
        </is>
      </c>
      <c r="E465" s="30" t="inlineStr">
        <is>
          <t>경로충돌</t>
        </is>
      </c>
      <c r="F465" s="30" t="inlineStr">
        <is>
          <t>(18, 19)</t>
        </is>
      </c>
      <c r="G465" s="31" t="n">
        <v>58.3</v>
      </c>
      <c r="H465" s="30" t="inlineStr">
        <is>
          <t>O0411</t>
        </is>
      </c>
    </row>
    <row r="466">
      <c r="A466" s="32" t="n">
        <v>465</v>
      </c>
      <c r="B466" s="31" t="n">
        <v>20084.2</v>
      </c>
      <c r="C466" s="30" t="inlineStr">
        <is>
          <t>AMR1</t>
        </is>
      </c>
      <c r="D466" s="30" t="inlineStr">
        <is>
          <t>AMR2</t>
        </is>
      </c>
      <c r="E466" s="30" t="inlineStr">
        <is>
          <t>경로충돌</t>
        </is>
      </c>
      <c r="F466" s="30" t="inlineStr">
        <is>
          <t>(24, 9)</t>
        </is>
      </c>
      <c r="G466" s="31" t="n">
        <v>27.9</v>
      </c>
      <c r="H466" s="30" t="inlineStr">
        <is>
          <t>O0416</t>
        </is>
      </c>
    </row>
    <row r="467">
      <c r="A467" s="32" t="n">
        <v>466</v>
      </c>
      <c r="B467" s="31" t="n">
        <v>20085.3</v>
      </c>
      <c r="C467" s="30" t="inlineStr">
        <is>
          <t>AMR1</t>
        </is>
      </c>
      <c r="D467" s="30" t="inlineStr">
        <is>
          <t>AMR2</t>
        </is>
      </c>
      <c r="E467" s="30" t="inlineStr">
        <is>
          <t>정면충돌</t>
        </is>
      </c>
      <c r="F467" s="30" t="inlineStr">
        <is>
          <t>(24, 9)&lt;-&gt;(25, 9)</t>
        </is>
      </c>
      <c r="G467" s="31" t="n">
        <v>55.7</v>
      </c>
      <c r="H467" s="30" t="inlineStr">
        <is>
          <t>O0416</t>
        </is>
      </c>
    </row>
    <row r="468">
      <c r="A468" s="32" t="n">
        <v>467</v>
      </c>
      <c r="B468" s="31" t="n">
        <v>20136.5</v>
      </c>
      <c r="C468" s="30" t="inlineStr">
        <is>
          <t>AMR1</t>
        </is>
      </c>
      <c r="D468" s="30" t="inlineStr">
        <is>
          <t>AMR3</t>
        </is>
      </c>
      <c r="E468" s="30" t="inlineStr">
        <is>
          <t>경로충돌</t>
        </is>
      </c>
      <c r="F468" s="30" t="inlineStr">
        <is>
          <t>(24, 9)</t>
        </is>
      </c>
      <c r="G468" s="31" t="n">
        <v>45.4</v>
      </c>
      <c r="H468" s="30" t="inlineStr">
        <is>
          <t>O0415 O0416</t>
        </is>
      </c>
    </row>
    <row r="469">
      <c r="A469" s="32" t="n">
        <v>468</v>
      </c>
      <c r="B469" s="31" t="n">
        <v>20528.3</v>
      </c>
      <c r="C469" s="30" t="inlineStr">
        <is>
          <t>AMR1</t>
        </is>
      </c>
      <c r="D469" s="30" t="inlineStr">
        <is>
          <t>AMR3</t>
        </is>
      </c>
      <c r="E469" s="30" t="inlineStr">
        <is>
          <t>경로충돌</t>
        </is>
      </c>
      <c r="F469" s="30" t="inlineStr">
        <is>
          <t>(5, 9)</t>
        </is>
      </c>
      <c r="G469" s="31" t="n">
        <v>55.8</v>
      </c>
      <c r="H469" s="30" t="inlineStr">
        <is>
          <t>O0423 O0424</t>
        </is>
      </c>
    </row>
    <row r="470">
      <c r="A470" s="32" t="n">
        <v>469</v>
      </c>
      <c r="B470" s="31" t="n">
        <v>20564.9</v>
      </c>
      <c r="C470" s="30" t="inlineStr">
        <is>
          <t>AMR1</t>
        </is>
      </c>
      <c r="D470" s="30" t="inlineStr">
        <is>
          <t>AMR2</t>
        </is>
      </c>
      <c r="E470" s="30" t="inlineStr">
        <is>
          <t>경로충돌</t>
        </is>
      </c>
      <c r="F470" s="30" t="inlineStr">
        <is>
          <t>(14, 19)</t>
        </is>
      </c>
      <c r="G470" s="31" t="n">
        <v>21.9</v>
      </c>
      <c r="H470" s="30" t="inlineStr">
        <is>
          <t>O0424</t>
        </is>
      </c>
    </row>
    <row r="471">
      <c r="A471" s="32" t="n">
        <v>470</v>
      </c>
      <c r="B471" s="31" t="n">
        <v>20565.5</v>
      </c>
      <c r="C471" s="30" t="inlineStr">
        <is>
          <t>AMR1</t>
        </is>
      </c>
      <c r="D471" s="30" t="inlineStr">
        <is>
          <t>AMR2</t>
        </is>
      </c>
      <c r="E471" s="30" t="inlineStr">
        <is>
          <t>정면충돌</t>
        </is>
      </c>
      <c r="F471" s="30" t="inlineStr">
        <is>
          <t>(13, 19)&lt;-&gt;(14, 19)</t>
        </is>
      </c>
      <c r="G471" s="31" t="n">
        <v>53.6</v>
      </c>
      <c r="H471" s="30" t="inlineStr">
        <is>
          <t>O0424</t>
        </is>
      </c>
    </row>
    <row r="472">
      <c r="A472" s="32" t="n">
        <v>471</v>
      </c>
      <c r="B472" s="31" t="n">
        <v>20578.6</v>
      </c>
      <c r="C472" s="30" t="inlineStr">
        <is>
          <t>AMR1</t>
        </is>
      </c>
      <c r="D472" s="30" t="inlineStr">
        <is>
          <t>AMR3</t>
        </is>
      </c>
      <c r="E472" s="30" t="inlineStr">
        <is>
          <t>경로충돌</t>
        </is>
      </c>
      <c r="F472" s="30" t="inlineStr">
        <is>
          <t>(18, 17)</t>
        </is>
      </c>
      <c r="G472" s="31" t="n">
        <v>49.8</v>
      </c>
      <c r="H472" s="30" t="inlineStr">
        <is>
          <t>O0425</t>
        </is>
      </c>
    </row>
    <row r="473">
      <c r="A473" s="32" t="n">
        <v>472</v>
      </c>
      <c r="B473" s="31" t="n">
        <v>20579</v>
      </c>
      <c r="C473" s="30" t="inlineStr">
        <is>
          <t>AMR1</t>
        </is>
      </c>
      <c r="D473" s="30" t="inlineStr">
        <is>
          <t>AMR3</t>
        </is>
      </c>
      <c r="E473" s="30" t="inlineStr">
        <is>
          <t>정면충돌</t>
        </is>
      </c>
      <c r="F473" s="30" t="inlineStr">
        <is>
          <t>(18, 17)&lt;-&gt;(18, 18)</t>
        </is>
      </c>
      <c r="G473" s="31" t="n">
        <v>54.2</v>
      </c>
      <c r="H473" s="30" t="inlineStr">
        <is>
          <t>O0425</t>
        </is>
      </c>
    </row>
    <row r="474">
      <c r="A474" s="32" t="n">
        <v>473</v>
      </c>
      <c r="B474" s="31" t="n">
        <v>20653.2</v>
      </c>
      <c r="C474" s="30" t="inlineStr">
        <is>
          <t>AMR1</t>
        </is>
      </c>
      <c r="D474" s="30" t="inlineStr">
        <is>
          <t>AMR3</t>
        </is>
      </c>
      <c r="E474" s="30" t="inlineStr">
        <is>
          <t>경로충돌</t>
        </is>
      </c>
      <c r="F474" s="30" t="inlineStr">
        <is>
          <t>(17, 19)</t>
        </is>
      </c>
      <c r="G474" s="31" t="n">
        <v>31.3</v>
      </c>
      <c r="H474" s="30" t="inlineStr">
        <is>
          <t>O0426</t>
        </is>
      </c>
    </row>
    <row r="475">
      <c r="A475" s="32" t="n">
        <v>474</v>
      </c>
      <c r="B475" s="31" t="n">
        <v>20654.7</v>
      </c>
      <c r="C475" s="30" t="inlineStr">
        <is>
          <t>AMR1</t>
        </is>
      </c>
      <c r="D475" s="30" t="inlineStr">
        <is>
          <t>AMR3</t>
        </is>
      </c>
      <c r="E475" s="30" t="inlineStr">
        <is>
          <t>정면충돌</t>
        </is>
      </c>
      <c r="F475" s="30" t="inlineStr">
        <is>
          <t>(16, 19)&lt;-&gt;(17, 19)</t>
        </is>
      </c>
      <c r="G475" s="31" t="n">
        <v>33</v>
      </c>
      <c r="H475" s="30" t="inlineStr">
        <is>
          <t>O0426</t>
        </is>
      </c>
    </row>
    <row r="476">
      <c r="A476" s="32" t="n">
        <v>475</v>
      </c>
      <c r="B476" s="31" t="n">
        <v>20707.7</v>
      </c>
      <c r="C476" s="30" t="inlineStr">
        <is>
          <t>AMR1</t>
        </is>
      </c>
      <c r="D476" s="30" t="inlineStr">
        <is>
          <t>AMR2</t>
        </is>
      </c>
      <c r="E476" s="30" t="inlineStr">
        <is>
          <t>정면충돌</t>
        </is>
      </c>
      <c r="F476" s="30" t="inlineStr">
        <is>
          <t>(26, 9)&lt;-&gt;(27, 9)</t>
        </is>
      </c>
      <c r="G476" s="31" t="n">
        <v>46</v>
      </c>
      <c r="H476" s="30" t="inlineStr">
        <is>
          <t>O0428</t>
        </is>
      </c>
    </row>
    <row r="477">
      <c r="A477" s="32" t="n">
        <v>476</v>
      </c>
      <c r="B477" s="31" t="n">
        <v>20747.6</v>
      </c>
      <c r="C477" s="30" t="inlineStr">
        <is>
          <t>AMR2</t>
        </is>
      </c>
      <c r="D477" s="30" t="inlineStr">
        <is>
          <t>AMR3</t>
        </is>
      </c>
      <c r="E477" s="30" t="inlineStr">
        <is>
          <t>경로충돌</t>
        </is>
      </c>
      <c r="F477" s="30" t="inlineStr">
        <is>
          <t>(17, 19)</t>
        </is>
      </c>
      <c r="G477" s="31" t="n">
        <v>34.1</v>
      </c>
      <c r="H477" s="30" t="inlineStr">
        <is>
          <t>O0428</t>
        </is>
      </c>
    </row>
    <row r="478">
      <c r="A478" s="32" t="n">
        <v>477</v>
      </c>
      <c r="B478" s="31" t="n">
        <v>20749</v>
      </c>
      <c r="C478" s="30" t="inlineStr">
        <is>
          <t>AMR2</t>
        </is>
      </c>
      <c r="D478" s="30" t="inlineStr">
        <is>
          <t>AMR3</t>
        </is>
      </c>
      <c r="E478" s="30" t="inlineStr">
        <is>
          <t>정면충돌</t>
        </is>
      </c>
      <c r="F478" s="30" t="inlineStr">
        <is>
          <t>(16, 19)&lt;-&gt;(17, 19)</t>
        </is>
      </c>
      <c r="G478" s="31" t="n">
        <v>41.9</v>
      </c>
      <c r="H478" s="30" t="inlineStr">
        <is>
          <t>O0428</t>
        </is>
      </c>
    </row>
    <row r="479">
      <c r="A479" s="32" t="n">
        <v>478</v>
      </c>
      <c r="B479" s="31" t="n">
        <v>20768.5</v>
      </c>
      <c r="C479" s="30" t="inlineStr">
        <is>
          <t>AMR1</t>
        </is>
      </c>
      <c r="D479" s="30" t="inlineStr">
        <is>
          <t>AMR2</t>
        </is>
      </c>
      <c r="E479" s="30" t="inlineStr">
        <is>
          <t>경로충돌</t>
        </is>
      </c>
      <c r="F479" s="30" t="inlineStr">
        <is>
          <t>(24, 9)</t>
        </is>
      </c>
      <c r="G479" s="31" t="n">
        <v>53.4</v>
      </c>
      <c r="H479" s="30" t="inlineStr">
        <is>
          <t>O0427 O0428</t>
        </is>
      </c>
    </row>
    <row r="480">
      <c r="A480" s="32" t="n">
        <v>479</v>
      </c>
      <c r="B480" s="31" t="n">
        <v>20769.3</v>
      </c>
      <c r="C480" s="30" t="inlineStr">
        <is>
          <t>AMR1</t>
        </is>
      </c>
      <c r="D480" s="30" t="inlineStr">
        <is>
          <t>AMR2</t>
        </is>
      </c>
      <c r="E480" s="30" t="inlineStr">
        <is>
          <t>정면충돌</t>
        </is>
      </c>
      <c r="F480" s="30" t="inlineStr">
        <is>
          <t>(23, 9)&lt;-&gt;(24, 9)</t>
        </is>
      </c>
      <c r="G480" s="31" t="n">
        <v>35.1</v>
      </c>
      <c r="H480" s="30" t="inlineStr">
        <is>
          <t>O0427 O0428</t>
        </is>
      </c>
    </row>
    <row r="481">
      <c r="A481" s="32" t="n">
        <v>480</v>
      </c>
      <c r="B481" s="31" t="n">
        <v>20869.4</v>
      </c>
      <c r="C481" s="30" t="inlineStr">
        <is>
          <t>AMR1</t>
        </is>
      </c>
      <c r="D481" s="30" t="inlineStr">
        <is>
          <t>AMR3</t>
        </is>
      </c>
      <c r="E481" s="30" t="inlineStr">
        <is>
          <t>경로충돌</t>
        </is>
      </c>
      <c r="F481" s="30" t="inlineStr">
        <is>
          <t>(12, 10)</t>
        </is>
      </c>
      <c r="G481" s="31" t="n">
        <v>59.8</v>
      </c>
      <c r="H481" s="30" t="inlineStr">
        <is>
          <t>O0429</t>
        </is>
      </c>
    </row>
    <row r="482">
      <c r="A482" s="32" t="n">
        <v>481</v>
      </c>
      <c r="B482" s="31" t="n">
        <v>20870.1</v>
      </c>
      <c r="C482" s="30" t="inlineStr">
        <is>
          <t>AMR1</t>
        </is>
      </c>
      <c r="D482" s="30" t="inlineStr">
        <is>
          <t>AMR3</t>
        </is>
      </c>
      <c r="E482" s="30" t="inlineStr">
        <is>
          <t>정면충돌</t>
        </is>
      </c>
      <c r="F482" s="30" t="inlineStr">
        <is>
          <t>(12, 9)&lt;-&gt;(12, 10)</t>
        </is>
      </c>
      <c r="G482" s="31" t="n">
        <v>55.6</v>
      </c>
      <c r="H482" s="30" t="inlineStr">
        <is>
          <t>O0429</t>
        </is>
      </c>
    </row>
    <row r="483">
      <c r="A483" s="32" t="n">
        <v>482</v>
      </c>
      <c r="B483" s="31" t="n">
        <v>21196.1</v>
      </c>
      <c r="C483" s="30" t="inlineStr">
        <is>
          <t>AMR1</t>
        </is>
      </c>
      <c r="D483" s="30" t="inlineStr">
        <is>
          <t>AMR2</t>
        </is>
      </c>
      <c r="E483" s="30" t="inlineStr">
        <is>
          <t>경로충돌</t>
        </is>
      </c>
      <c r="F483" s="30" t="inlineStr">
        <is>
          <t>(18, 15)</t>
        </is>
      </c>
      <c r="G483" s="31" t="n">
        <v>49.4</v>
      </c>
      <c r="H483" s="30" t="inlineStr">
        <is>
          <t>O0436</t>
        </is>
      </c>
    </row>
    <row r="484">
      <c r="A484" s="32" t="n">
        <v>483</v>
      </c>
      <c r="B484" s="31" t="n">
        <v>21196.4</v>
      </c>
      <c r="C484" s="30" t="inlineStr">
        <is>
          <t>AMR1</t>
        </is>
      </c>
      <c r="D484" s="30" t="inlineStr">
        <is>
          <t>AMR2</t>
        </is>
      </c>
      <c r="E484" s="30" t="inlineStr">
        <is>
          <t>정면충돌</t>
        </is>
      </c>
      <c r="F484" s="30" t="inlineStr">
        <is>
          <t>(18, 14)&lt;-&gt;(18, 15)</t>
        </is>
      </c>
      <c r="G484" s="31" t="n">
        <v>54.2</v>
      </c>
      <c r="H484" s="30" t="inlineStr">
        <is>
          <t>O0436</t>
        </is>
      </c>
    </row>
    <row r="485">
      <c r="A485" s="32" t="n">
        <v>484</v>
      </c>
      <c r="B485" s="31" t="n">
        <v>21339.4</v>
      </c>
      <c r="C485" s="30" t="inlineStr">
        <is>
          <t>AMR2</t>
        </is>
      </c>
      <c r="D485" s="30" t="inlineStr">
        <is>
          <t>AMR3</t>
        </is>
      </c>
      <c r="E485" s="30" t="inlineStr">
        <is>
          <t>경로충돌</t>
        </is>
      </c>
      <c r="F485" s="30" t="inlineStr">
        <is>
          <t>(16, 19)</t>
        </is>
      </c>
      <c r="G485" s="31" t="n">
        <v>20.7</v>
      </c>
      <c r="H485" s="30" t="inlineStr">
        <is>
          <t>O0440</t>
        </is>
      </c>
    </row>
    <row r="486">
      <c r="A486" s="32" t="n">
        <v>485</v>
      </c>
      <c r="B486" s="31" t="n">
        <v>21340</v>
      </c>
      <c r="C486" s="30" t="inlineStr">
        <is>
          <t>AMR2</t>
        </is>
      </c>
      <c r="D486" s="30" t="inlineStr">
        <is>
          <t>AMR3</t>
        </is>
      </c>
      <c r="E486" s="30" t="inlineStr">
        <is>
          <t>정면충돌</t>
        </is>
      </c>
      <c r="F486" s="30" t="inlineStr">
        <is>
          <t>(16, 19)&lt;-&gt;(17, 19)</t>
        </is>
      </c>
      <c r="G486" s="31" t="n">
        <v>44.9</v>
      </c>
      <c r="H486" s="30" t="inlineStr">
        <is>
          <t>O0440</t>
        </is>
      </c>
    </row>
    <row r="487">
      <c r="A487" s="32" t="n">
        <v>486</v>
      </c>
      <c r="B487" s="31" t="n">
        <v>21487.2</v>
      </c>
      <c r="C487" s="30" t="inlineStr">
        <is>
          <t>AMR1</t>
        </is>
      </c>
      <c r="D487" s="30" t="inlineStr">
        <is>
          <t>AMR3</t>
        </is>
      </c>
      <c r="E487" s="30" t="inlineStr">
        <is>
          <t>정면충돌</t>
        </is>
      </c>
      <c r="F487" s="30" t="inlineStr">
        <is>
          <t>(16, 19)&lt;-&gt;(17, 19)</t>
        </is>
      </c>
      <c r="G487" s="31" t="n">
        <v>56.2</v>
      </c>
      <c r="H487" s="30" t="inlineStr">
        <is>
          <t>O0443</t>
        </is>
      </c>
    </row>
    <row r="488">
      <c r="A488" s="32" t="n">
        <v>487</v>
      </c>
      <c r="B488" s="31" t="n">
        <v>21570.5</v>
      </c>
      <c r="C488" s="30" t="inlineStr">
        <is>
          <t>AMR1</t>
        </is>
      </c>
      <c r="D488" s="30" t="inlineStr">
        <is>
          <t>AMR2</t>
        </is>
      </c>
      <c r="E488" s="30" t="inlineStr">
        <is>
          <t>경로충돌</t>
        </is>
      </c>
      <c r="F488" s="30" t="inlineStr">
        <is>
          <t>(18, 11)</t>
        </is>
      </c>
      <c r="G488" s="31" t="n">
        <v>33.6</v>
      </c>
      <c r="H488" s="30" t="inlineStr"/>
    </row>
    <row r="489">
      <c r="A489" s="32" t="n">
        <v>488</v>
      </c>
      <c r="B489" s="31" t="n">
        <v>21582.3</v>
      </c>
      <c r="C489" s="30" t="inlineStr">
        <is>
          <t>AMR1</t>
        </is>
      </c>
      <c r="D489" s="30" t="inlineStr">
        <is>
          <t>AMR2</t>
        </is>
      </c>
      <c r="E489" s="30" t="inlineStr">
        <is>
          <t>경로충돌</t>
        </is>
      </c>
      <c r="F489" s="30" t="inlineStr">
        <is>
          <t>(17, 19)</t>
        </is>
      </c>
      <c r="G489" s="31" t="n">
        <v>44.2</v>
      </c>
      <c r="H489" s="30" t="inlineStr">
        <is>
          <t>O0445</t>
        </is>
      </c>
    </row>
    <row r="490">
      <c r="A490" s="32" t="n">
        <v>489</v>
      </c>
      <c r="B490" s="31" t="n">
        <v>21582.6</v>
      </c>
      <c r="C490" s="30" t="inlineStr">
        <is>
          <t>AMR1</t>
        </is>
      </c>
      <c r="D490" s="30" t="inlineStr">
        <is>
          <t>AMR2</t>
        </is>
      </c>
      <c r="E490" s="30" t="inlineStr">
        <is>
          <t>정면충돌</t>
        </is>
      </c>
      <c r="F490" s="30" t="inlineStr">
        <is>
          <t>(16, 19)&lt;-&gt;(17, 19)</t>
        </is>
      </c>
      <c r="G490" s="31" t="n">
        <v>23.9</v>
      </c>
      <c r="H490" s="30" t="inlineStr">
        <is>
          <t>O0445</t>
        </is>
      </c>
    </row>
    <row r="491">
      <c r="A491" s="32" t="n">
        <v>490</v>
      </c>
      <c r="B491" s="31" t="n">
        <v>21710.9</v>
      </c>
      <c r="C491" s="30" t="inlineStr">
        <is>
          <t>AMR1</t>
        </is>
      </c>
      <c r="D491" s="30" t="inlineStr">
        <is>
          <t>AMR3</t>
        </is>
      </c>
      <c r="E491" s="30" t="inlineStr">
        <is>
          <t>경로충돌</t>
        </is>
      </c>
      <c r="F491" s="30" t="inlineStr">
        <is>
          <t>(16, 19)</t>
        </is>
      </c>
      <c r="G491" s="31" t="n">
        <v>50.4</v>
      </c>
      <c r="H491" s="30" t="inlineStr">
        <is>
          <t>O0447</t>
        </is>
      </c>
    </row>
    <row r="492">
      <c r="A492" s="32" t="n">
        <v>491</v>
      </c>
      <c r="B492" s="31" t="n">
        <v>21711.2</v>
      </c>
      <c r="C492" s="30" t="inlineStr">
        <is>
          <t>AMR1</t>
        </is>
      </c>
      <c r="D492" s="30" t="inlineStr">
        <is>
          <t>AMR3</t>
        </is>
      </c>
      <c r="E492" s="30" t="inlineStr">
        <is>
          <t>정면충돌</t>
        </is>
      </c>
      <c r="F492" s="30" t="inlineStr">
        <is>
          <t>(16, 19)&lt;-&gt;(17, 19)</t>
        </is>
      </c>
      <c r="G492" s="31" t="n">
        <v>28.8</v>
      </c>
      <c r="H492" s="30" t="inlineStr">
        <is>
          <t>O0447</t>
        </is>
      </c>
    </row>
    <row r="493">
      <c r="A493" s="32" t="n">
        <v>492</v>
      </c>
      <c r="B493" s="31" t="n">
        <v>21715.6</v>
      </c>
      <c r="C493" s="30" t="inlineStr">
        <is>
          <t>AMR1</t>
        </is>
      </c>
      <c r="D493" s="30" t="inlineStr">
        <is>
          <t>AMR2</t>
        </is>
      </c>
      <c r="E493" s="30" t="inlineStr">
        <is>
          <t>경로충돌</t>
        </is>
      </c>
      <c r="F493" s="30" t="inlineStr">
        <is>
          <t>(17, 19)</t>
        </is>
      </c>
      <c r="G493" s="31" t="n">
        <v>59.3</v>
      </c>
      <c r="H493" s="30" t="inlineStr">
        <is>
          <t>O0447</t>
        </is>
      </c>
    </row>
    <row r="494">
      <c r="A494" s="32" t="n">
        <v>493</v>
      </c>
      <c r="B494" s="31" t="n">
        <v>21874.2</v>
      </c>
      <c r="C494" s="30" t="inlineStr">
        <is>
          <t>AMR1</t>
        </is>
      </c>
      <c r="D494" s="30" t="inlineStr">
        <is>
          <t>AMR2</t>
        </is>
      </c>
      <c r="E494" s="30" t="inlineStr">
        <is>
          <t>경로충돌</t>
        </is>
      </c>
      <c r="F494" s="30" t="inlineStr">
        <is>
          <t>(14, 19)</t>
        </is>
      </c>
      <c r="G494" s="31" t="n">
        <v>44.4</v>
      </c>
      <c r="H494" s="30" t="inlineStr">
        <is>
          <t>O0451</t>
        </is>
      </c>
    </row>
    <row r="495">
      <c r="A495" s="32" t="n">
        <v>494</v>
      </c>
      <c r="B495" s="31" t="n">
        <v>21874.4</v>
      </c>
      <c r="C495" s="30" t="inlineStr">
        <is>
          <t>AMR1</t>
        </is>
      </c>
      <c r="D495" s="30" t="inlineStr">
        <is>
          <t>AMR2</t>
        </is>
      </c>
      <c r="E495" s="30" t="inlineStr">
        <is>
          <t>정면충돌</t>
        </is>
      </c>
      <c r="F495" s="30" t="inlineStr">
        <is>
          <t>(13, 19)&lt;-&gt;(14, 19)</t>
        </is>
      </c>
      <c r="G495" s="31" t="n">
        <v>22</v>
      </c>
      <c r="H495" s="30" t="inlineStr">
        <is>
          <t>O0451</t>
        </is>
      </c>
    </row>
    <row r="496">
      <c r="A496" s="32" t="n">
        <v>495</v>
      </c>
      <c r="B496" s="31" t="n">
        <v>21936.5</v>
      </c>
      <c r="C496" s="30" t="inlineStr">
        <is>
          <t>AMR1</t>
        </is>
      </c>
      <c r="D496" s="30" t="inlineStr">
        <is>
          <t>AMR3</t>
        </is>
      </c>
      <c r="E496" s="30" t="inlineStr">
        <is>
          <t>경로충돌</t>
        </is>
      </c>
      <c r="F496" s="30" t="inlineStr">
        <is>
          <t>(18, 9)</t>
        </is>
      </c>
      <c r="G496" s="31" t="n">
        <v>41.3</v>
      </c>
      <c r="H496" s="30" t="inlineStr"/>
    </row>
    <row r="497">
      <c r="A497" s="32" t="n">
        <v>496</v>
      </c>
      <c r="B497" s="31" t="n">
        <v>21951.8</v>
      </c>
      <c r="C497" s="30" t="inlineStr">
        <is>
          <t>AMR1</t>
        </is>
      </c>
      <c r="D497" s="30" t="inlineStr">
        <is>
          <t>AMR3</t>
        </is>
      </c>
      <c r="E497" s="30" t="inlineStr">
        <is>
          <t>경로충돌</t>
        </is>
      </c>
      <c r="F497" s="30" t="inlineStr">
        <is>
          <t>(16, 19)</t>
        </is>
      </c>
      <c r="G497" s="31" t="n">
        <v>25</v>
      </c>
      <c r="H497" s="30" t="inlineStr">
        <is>
          <t>O0452</t>
        </is>
      </c>
    </row>
    <row r="498">
      <c r="A498" s="32" t="n">
        <v>497</v>
      </c>
      <c r="B498" s="31" t="n">
        <v>21952.5</v>
      </c>
      <c r="C498" s="30" t="inlineStr">
        <is>
          <t>AMR1</t>
        </is>
      </c>
      <c r="D498" s="30" t="inlineStr">
        <is>
          <t>AMR3</t>
        </is>
      </c>
      <c r="E498" s="30" t="inlineStr">
        <is>
          <t>정면충돌</t>
        </is>
      </c>
      <c r="F498" s="30" t="inlineStr">
        <is>
          <t>(16, 19)&lt;-&gt;(17, 19)</t>
        </is>
      </c>
      <c r="G498" s="31" t="n">
        <v>33</v>
      </c>
      <c r="H498" s="30" t="inlineStr">
        <is>
          <t>O0452</t>
        </is>
      </c>
    </row>
    <row r="499">
      <c r="A499" s="32" t="n">
        <v>498</v>
      </c>
      <c r="B499" s="31" t="n">
        <v>22035.1</v>
      </c>
      <c r="C499" s="30" t="inlineStr">
        <is>
          <t>AMR1</t>
        </is>
      </c>
      <c r="D499" s="30" t="inlineStr">
        <is>
          <t>AMR2</t>
        </is>
      </c>
      <c r="E499" s="30" t="inlineStr">
        <is>
          <t>경로충돌</t>
        </is>
      </c>
      <c r="F499" s="30" t="inlineStr">
        <is>
          <t>(18, 14)</t>
        </is>
      </c>
      <c r="G499" s="31" t="n">
        <v>46.8</v>
      </c>
      <c r="H499" s="30" t="inlineStr">
        <is>
          <t>O0454</t>
        </is>
      </c>
    </row>
    <row r="500">
      <c r="A500" s="32" t="n">
        <v>499</v>
      </c>
      <c r="B500" s="31" t="n">
        <v>22035.6</v>
      </c>
      <c r="C500" s="30" t="inlineStr">
        <is>
          <t>AMR1</t>
        </is>
      </c>
      <c r="D500" s="30" t="inlineStr">
        <is>
          <t>AMR2</t>
        </is>
      </c>
      <c r="E500" s="30" t="inlineStr">
        <is>
          <t>정면충돌</t>
        </is>
      </c>
      <c r="F500" s="30" t="inlineStr">
        <is>
          <t>(18, 14)&lt;-&gt;(18, 15)</t>
        </is>
      </c>
      <c r="G500" s="31" t="n">
        <v>23.3</v>
      </c>
      <c r="H500" s="30" t="inlineStr">
        <is>
          <t>O0454</t>
        </is>
      </c>
    </row>
    <row r="501">
      <c r="A501" s="32" t="n">
        <v>500</v>
      </c>
      <c r="B501" s="31" t="n">
        <v>22109.4</v>
      </c>
      <c r="C501" s="30" t="inlineStr">
        <is>
          <t>AMR1</t>
        </is>
      </c>
      <c r="D501" s="30" t="inlineStr">
        <is>
          <t>AMR2</t>
        </is>
      </c>
      <c r="E501" s="30" t="inlineStr">
        <is>
          <t>경로충돌</t>
        </is>
      </c>
      <c r="F501" s="30" t="inlineStr">
        <is>
          <t>(18, 16)</t>
        </is>
      </c>
      <c r="G501" s="31" t="n">
        <v>53.2</v>
      </c>
      <c r="H501" s="30" t="inlineStr">
        <is>
          <t>O0455</t>
        </is>
      </c>
    </row>
    <row r="502">
      <c r="A502" s="32" t="n">
        <v>501</v>
      </c>
      <c r="B502" s="31" t="n">
        <v>22109.7</v>
      </c>
      <c r="C502" s="30" t="inlineStr">
        <is>
          <t>AMR1</t>
        </is>
      </c>
      <c r="D502" s="30" t="inlineStr">
        <is>
          <t>AMR2</t>
        </is>
      </c>
      <c r="E502" s="30" t="inlineStr">
        <is>
          <t>정면충돌</t>
        </is>
      </c>
      <c r="F502" s="30" t="inlineStr">
        <is>
          <t>(18, 15)&lt;-&gt;(18, 16)</t>
        </is>
      </c>
      <c r="G502" s="31" t="n">
        <v>47.5</v>
      </c>
      <c r="H502" s="30" t="inlineStr">
        <is>
          <t>O0455</t>
        </is>
      </c>
    </row>
    <row r="503">
      <c r="A503" s="32" t="n">
        <v>502</v>
      </c>
      <c r="B503" s="31" t="n">
        <v>22117.9</v>
      </c>
      <c r="C503" s="30" t="inlineStr">
        <is>
          <t>AMR1</t>
        </is>
      </c>
      <c r="D503" s="30" t="inlineStr">
        <is>
          <t>AMR3</t>
        </is>
      </c>
      <c r="E503" s="30" t="inlineStr">
        <is>
          <t>경로충돌</t>
        </is>
      </c>
      <c r="F503" s="30" t="inlineStr">
        <is>
          <t>(18, 11)</t>
        </is>
      </c>
      <c r="G503" s="31" t="n">
        <v>47</v>
      </c>
      <c r="H503" s="30" t="inlineStr">
        <is>
          <t>O0455</t>
        </is>
      </c>
    </row>
    <row r="504">
      <c r="A504" s="32" t="n">
        <v>503</v>
      </c>
      <c r="B504" s="31" t="n">
        <v>22118.9</v>
      </c>
      <c r="C504" s="30" t="inlineStr">
        <is>
          <t>AMR1</t>
        </is>
      </c>
      <c r="D504" s="30" t="inlineStr">
        <is>
          <t>AMR3</t>
        </is>
      </c>
      <c r="E504" s="30" t="inlineStr">
        <is>
          <t>정면충돌</t>
        </is>
      </c>
      <c r="F504" s="30" t="inlineStr">
        <is>
          <t>(18, 11)&lt;-&gt;(18, 12)</t>
        </is>
      </c>
      <c r="G504" s="31" t="n">
        <v>32.9</v>
      </c>
      <c r="H504" s="30" t="inlineStr">
        <is>
          <t>O0455</t>
        </is>
      </c>
    </row>
    <row r="505">
      <c r="A505" s="32" t="n">
        <v>504</v>
      </c>
      <c r="B505" s="31" t="n">
        <v>22193.9</v>
      </c>
      <c r="C505" s="30" t="inlineStr">
        <is>
          <t>AMR1</t>
        </is>
      </c>
      <c r="D505" s="30" t="inlineStr">
        <is>
          <t>AMR3</t>
        </is>
      </c>
      <c r="E505" s="30" t="inlineStr">
        <is>
          <t>경로충돌</t>
        </is>
      </c>
      <c r="F505" s="30" t="inlineStr">
        <is>
          <t>(17, 19)</t>
        </is>
      </c>
      <c r="G505" s="31" t="n">
        <v>24.4</v>
      </c>
      <c r="H505" s="30" t="inlineStr">
        <is>
          <t>O0457</t>
        </is>
      </c>
    </row>
    <row r="506">
      <c r="A506" s="32" t="n">
        <v>505</v>
      </c>
      <c r="B506" s="31" t="n">
        <v>22195.2</v>
      </c>
      <c r="C506" s="30" t="inlineStr">
        <is>
          <t>AMR1</t>
        </is>
      </c>
      <c r="D506" s="30" t="inlineStr">
        <is>
          <t>AMR3</t>
        </is>
      </c>
      <c r="E506" s="30" t="inlineStr">
        <is>
          <t>정면충돌</t>
        </is>
      </c>
      <c r="F506" s="30" t="inlineStr">
        <is>
          <t>(16, 19)&lt;-&gt;(17, 19)</t>
        </is>
      </c>
      <c r="G506" s="31" t="n">
        <v>41.3</v>
      </c>
      <c r="H506" s="30" t="inlineStr">
        <is>
          <t>O0457</t>
        </is>
      </c>
    </row>
    <row r="507">
      <c r="A507" s="32" t="n">
        <v>506</v>
      </c>
      <c r="B507" s="31" t="n">
        <v>22316.4</v>
      </c>
      <c r="C507" s="30" t="inlineStr">
        <is>
          <t>AMR1</t>
        </is>
      </c>
      <c r="D507" s="30" t="inlineStr">
        <is>
          <t>AMR2</t>
        </is>
      </c>
      <c r="E507" s="30" t="inlineStr">
        <is>
          <t>정면충돌</t>
        </is>
      </c>
      <c r="F507" s="30" t="inlineStr">
        <is>
          <t>(14, 19)&lt;-&gt;(15, 19)</t>
        </is>
      </c>
      <c r="G507" s="31" t="n">
        <v>46.8</v>
      </c>
      <c r="H507" s="30" t="inlineStr">
        <is>
          <t>O0459</t>
        </is>
      </c>
    </row>
    <row r="508">
      <c r="A508" s="32" t="n">
        <v>507</v>
      </c>
      <c r="B508" s="31" t="n">
        <v>22900.7</v>
      </c>
      <c r="C508" s="30" t="inlineStr">
        <is>
          <t>AMR2</t>
        </is>
      </c>
      <c r="D508" s="30" t="inlineStr">
        <is>
          <t>AMR3</t>
        </is>
      </c>
      <c r="E508" s="30" t="inlineStr">
        <is>
          <t>경로충돌</t>
        </is>
      </c>
      <c r="F508" s="30" t="inlineStr">
        <is>
          <t>(15, 19)</t>
        </is>
      </c>
      <c r="G508" s="31" t="n">
        <v>57.8</v>
      </c>
      <c r="H508" s="30" t="inlineStr"/>
    </row>
    <row r="509">
      <c r="A509" s="32" t="n">
        <v>508</v>
      </c>
      <c r="B509" s="31" t="n">
        <v>22901.2</v>
      </c>
      <c r="C509" s="30" t="inlineStr">
        <is>
          <t>AMR2</t>
        </is>
      </c>
      <c r="D509" s="30" t="inlineStr">
        <is>
          <t>AMR3</t>
        </is>
      </c>
      <c r="E509" s="30" t="inlineStr">
        <is>
          <t>정면충돌</t>
        </is>
      </c>
      <c r="F509" s="30" t="inlineStr">
        <is>
          <t>(14, 19)&lt;-&gt;(15, 19)</t>
        </is>
      </c>
      <c r="G509" s="31" t="n">
        <v>46.4</v>
      </c>
      <c r="H509" s="30" t="inlineStr">
        <is>
          <t>O0471</t>
        </is>
      </c>
    </row>
    <row r="510">
      <c r="A510" s="32" t="n">
        <v>509</v>
      </c>
      <c r="B510" s="31" t="n">
        <v>23054.4</v>
      </c>
      <c r="C510" s="30" t="inlineStr">
        <is>
          <t>AMR1</t>
        </is>
      </c>
      <c r="D510" s="30" t="inlineStr">
        <is>
          <t>AMR2</t>
        </is>
      </c>
      <c r="E510" s="30" t="inlineStr">
        <is>
          <t>경로충돌</t>
        </is>
      </c>
      <c r="F510" s="30" t="inlineStr">
        <is>
          <t>(17, 19)</t>
        </is>
      </c>
      <c r="G510" s="31" t="n">
        <v>49.9</v>
      </c>
      <c r="H510" s="30" t="inlineStr">
        <is>
          <t>O0474</t>
        </is>
      </c>
    </row>
    <row r="511">
      <c r="A511" s="32" t="n">
        <v>510</v>
      </c>
      <c r="B511" s="31" t="n">
        <v>23054.9</v>
      </c>
      <c r="C511" s="30" t="inlineStr">
        <is>
          <t>AMR1</t>
        </is>
      </c>
      <c r="D511" s="30" t="inlineStr">
        <is>
          <t>AMR2</t>
        </is>
      </c>
      <c r="E511" s="30" t="inlineStr">
        <is>
          <t>정면충돌</t>
        </is>
      </c>
      <c r="F511" s="30" t="inlineStr">
        <is>
          <t>(17, 19)&lt;-&gt;(18, 19)</t>
        </is>
      </c>
      <c r="G511" s="31" t="n">
        <v>38.5</v>
      </c>
      <c r="H511" s="30" t="inlineStr">
        <is>
          <t>O0474</t>
        </is>
      </c>
    </row>
    <row r="512">
      <c r="A512" s="32" t="n">
        <v>511</v>
      </c>
      <c r="B512" s="31" t="n">
        <v>23117.8</v>
      </c>
      <c r="C512" s="30" t="inlineStr">
        <is>
          <t>AMR1</t>
        </is>
      </c>
      <c r="D512" s="30" t="inlineStr">
        <is>
          <t>AMR2</t>
        </is>
      </c>
      <c r="E512" s="30" t="inlineStr">
        <is>
          <t>경로충돌</t>
        </is>
      </c>
      <c r="F512" s="30" t="inlineStr">
        <is>
          <t>(18, 9)</t>
        </is>
      </c>
      <c r="G512" s="31" t="n">
        <v>29.2</v>
      </c>
      <c r="H512" s="30" t="inlineStr"/>
    </row>
    <row r="513">
      <c r="A513" s="32" t="n">
        <v>512</v>
      </c>
      <c r="B513" s="31" t="n">
        <v>23132.6</v>
      </c>
      <c r="C513" s="30" t="inlineStr">
        <is>
          <t>AMR1</t>
        </is>
      </c>
      <c r="D513" s="30" t="inlineStr">
        <is>
          <t>AMR2</t>
        </is>
      </c>
      <c r="E513" s="30" t="inlineStr">
        <is>
          <t>경로충돌</t>
        </is>
      </c>
      <c r="F513" s="30" t="inlineStr">
        <is>
          <t>(16, 19)</t>
        </is>
      </c>
      <c r="G513" s="31" t="n">
        <v>41.5</v>
      </c>
      <c r="H513" s="30" t="inlineStr">
        <is>
          <t>O0476</t>
        </is>
      </c>
    </row>
    <row r="514">
      <c r="A514" s="32" t="n">
        <v>513</v>
      </c>
      <c r="B514" s="31" t="n">
        <v>23133.3</v>
      </c>
      <c r="C514" s="30" t="inlineStr">
        <is>
          <t>AMR1</t>
        </is>
      </c>
      <c r="D514" s="30" t="inlineStr">
        <is>
          <t>AMR2</t>
        </is>
      </c>
      <c r="E514" s="30" t="inlineStr">
        <is>
          <t>정면충돌</t>
        </is>
      </c>
      <c r="F514" s="30" t="inlineStr">
        <is>
          <t>(16, 19)&lt;-&gt;(17, 19)</t>
        </is>
      </c>
      <c r="G514" s="31" t="n">
        <v>57.3</v>
      </c>
      <c r="H514" s="30" t="inlineStr">
        <is>
          <t>O0476</t>
        </is>
      </c>
    </row>
    <row r="515">
      <c r="A515" s="32" t="n">
        <v>514</v>
      </c>
      <c r="B515" s="31" t="n">
        <v>23348.6</v>
      </c>
      <c r="C515" s="30" t="inlineStr">
        <is>
          <t>AMR1</t>
        </is>
      </c>
      <c r="D515" s="30" t="inlineStr">
        <is>
          <t>AMR2</t>
        </is>
      </c>
      <c r="E515" s="30" t="inlineStr">
        <is>
          <t>경로충돌</t>
        </is>
      </c>
      <c r="F515" s="30" t="inlineStr">
        <is>
          <t>(18, 16)</t>
        </is>
      </c>
      <c r="G515" s="31" t="n">
        <v>42.1</v>
      </c>
      <c r="H515" s="30" t="inlineStr">
        <is>
          <t>O0480</t>
        </is>
      </c>
    </row>
    <row r="516">
      <c r="A516" s="32" t="n">
        <v>515</v>
      </c>
      <c r="B516" s="31" t="n">
        <v>23349.1</v>
      </c>
      <c r="C516" s="30" t="inlineStr">
        <is>
          <t>AMR1</t>
        </is>
      </c>
      <c r="D516" s="30" t="inlineStr">
        <is>
          <t>AMR2</t>
        </is>
      </c>
      <c r="E516" s="30" t="inlineStr">
        <is>
          <t>정면충돌</t>
        </is>
      </c>
      <c r="F516" s="30" t="inlineStr">
        <is>
          <t>(18, 15)&lt;-&gt;(18, 16)</t>
        </is>
      </c>
      <c r="G516" s="31" t="n">
        <v>22.2</v>
      </c>
      <c r="H516" s="30" t="inlineStr">
        <is>
          <t>O0480</t>
        </is>
      </c>
    </row>
    <row r="517">
      <c r="A517" s="32" t="n">
        <v>516</v>
      </c>
      <c r="B517" s="31" t="n">
        <v>23424.6</v>
      </c>
      <c r="C517" s="30" t="inlineStr">
        <is>
          <t>AMR1</t>
        </is>
      </c>
      <c r="D517" s="30" t="inlineStr">
        <is>
          <t>AMR2</t>
        </is>
      </c>
      <c r="E517" s="30" t="inlineStr">
        <is>
          <t>경로충돌</t>
        </is>
      </c>
      <c r="F517" s="30" t="inlineStr">
        <is>
          <t>(13, 19)</t>
        </is>
      </c>
      <c r="G517" s="31" t="n">
        <v>45.4</v>
      </c>
      <c r="H517" s="30" t="inlineStr">
        <is>
          <t>O0482</t>
        </is>
      </c>
    </row>
    <row r="518">
      <c r="A518" s="32" t="n">
        <v>517</v>
      </c>
      <c r="B518" s="31" t="n">
        <v>23425</v>
      </c>
      <c r="C518" s="30" t="inlineStr">
        <is>
          <t>AMR1</t>
        </is>
      </c>
      <c r="D518" s="30" t="inlineStr">
        <is>
          <t>AMR2</t>
        </is>
      </c>
      <c r="E518" s="30" t="inlineStr">
        <is>
          <t>정면충돌</t>
        </is>
      </c>
      <c r="F518" s="30" t="inlineStr">
        <is>
          <t>(12, 19)&lt;-&gt;(13, 19)</t>
        </is>
      </c>
      <c r="G518" s="31" t="n">
        <v>54.2</v>
      </c>
      <c r="H518" s="30" t="inlineStr">
        <is>
          <t>O0482</t>
        </is>
      </c>
    </row>
    <row r="519">
      <c r="A519" s="32" t="n">
        <v>518</v>
      </c>
      <c r="B519" s="31" t="n">
        <v>23462.3</v>
      </c>
      <c r="C519" s="30" t="inlineStr">
        <is>
          <t>AMR1</t>
        </is>
      </c>
      <c r="D519" s="30" t="inlineStr">
        <is>
          <t>AMR2</t>
        </is>
      </c>
      <c r="E519" s="30" t="inlineStr">
        <is>
          <t>경로충돌</t>
        </is>
      </c>
      <c r="F519" s="30" t="inlineStr">
        <is>
          <t>(5, 9)</t>
        </is>
      </c>
      <c r="G519" s="31" t="n">
        <v>39.5</v>
      </c>
      <c r="H519" s="30" t="inlineStr">
        <is>
          <t>O0482 O0483</t>
        </is>
      </c>
    </row>
    <row r="520">
      <c r="A520" s="32" t="n">
        <v>519</v>
      </c>
      <c r="B520" s="31" t="n">
        <v>23463.2</v>
      </c>
      <c r="C520" s="30" t="inlineStr">
        <is>
          <t>AMR1</t>
        </is>
      </c>
      <c r="D520" s="30" t="inlineStr">
        <is>
          <t>AMR2</t>
        </is>
      </c>
      <c r="E520" s="30" t="inlineStr">
        <is>
          <t>정면충돌</t>
        </is>
      </c>
      <c r="F520" s="30" t="inlineStr">
        <is>
          <t>(4, 9)&lt;-&gt;(5, 9)</t>
        </is>
      </c>
      <c r="G520" s="31" t="n">
        <v>47.4</v>
      </c>
      <c r="H520" s="30" t="inlineStr">
        <is>
          <t>O0482 O0483</t>
        </is>
      </c>
    </row>
    <row r="521">
      <c r="A521" s="32" t="n">
        <v>520</v>
      </c>
      <c r="B521" s="31" t="n">
        <v>23657.7</v>
      </c>
      <c r="C521" s="30" t="inlineStr">
        <is>
          <t>AMR2</t>
        </is>
      </c>
      <c r="D521" s="30" t="inlineStr">
        <is>
          <t>AMR3</t>
        </is>
      </c>
      <c r="E521" s="30" t="inlineStr">
        <is>
          <t>경로충돌</t>
        </is>
      </c>
      <c r="F521" s="30" t="inlineStr">
        <is>
          <t>(18, 10)</t>
        </is>
      </c>
      <c r="G521" s="31" t="n">
        <v>26.5</v>
      </c>
      <c r="H521" s="30" t="inlineStr">
        <is>
          <t>O0486</t>
        </is>
      </c>
    </row>
    <row r="522">
      <c r="A522" s="32" t="n">
        <v>521</v>
      </c>
      <c r="B522" s="31" t="n">
        <v>23658.6</v>
      </c>
      <c r="C522" s="30" t="inlineStr">
        <is>
          <t>AMR2</t>
        </is>
      </c>
      <c r="D522" s="30" t="inlineStr">
        <is>
          <t>AMR3</t>
        </is>
      </c>
      <c r="E522" s="30" t="inlineStr">
        <is>
          <t>정면충돌</t>
        </is>
      </c>
      <c r="F522" s="30" t="inlineStr">
        <is>
          <t>(18, 10)&lt;-&gt;(18, 11)</t>
        </is>
      </c>
      <c r="G522" s="31" t="n">
        <v>47</v>
      </c>
      <c r="H522" s="30" t="inlineStr">
        <is>
          <t>O0486</t>
        </is>
      </c>
    </row>
    <row r="523">
      <c r="A523" s="32" t="n">
        <v>522</v>
      </c>
      <c r="B523" s="31" t="n">
        <v>23728.2</v>
      </c>
      <c r="C523" s="30" t="inlineStr">
        <is>
          <t>AMR2</t>
        </is>
      </c>
      <c r="D523" s="30" t="inlineStr">
        <is>
          <t>AMR3</t>
        </is>
      </c>
      <c r="E523" s="30" t="inlineStr">
        <is>
          <t>경로충돌</t>
        </is>
      </c>
      <c r="F523" s="30" t="inlineStr">
        <is>
          <t>(15, 19)</t>
        </is>
      </c>
      <c r="G523" s="31" t="n">
        <v>41.4</v>
      </c>
      <c r="H523" s="30" t="inlineStr"/>
    </row>
    <row r="524">
      <c r="A524" s="32" t="n">
        <v>523</v>
      </c>
      <c r="B524" s="31" t="n">
        <v>23768.6</v>
      </c>
      <c r="C524" s="30" t="inlineStr">
        <is>
          <t>AMR1</t>
        </is>
      </c>
      <c r="D524" s="30" t="inlineStr">
        <is>
          <t>AMR3</t>
        </is>
      </c>
      <c r="E524" s="30" t="inlineStr">
        <is>
          <t>경로충돌</t>
        </is>
      </c>
      <c r="F524" s="30" t="inlineStr">
        <is>
          <t>(17, 11)</t>
        </is>
      </c>
      <c r="G524" s="31" t="n">
        <v>51.9</v>
      </c>
      <c r="H524" s="30" t="inlineStr">
        <is>
          <t>O0490</t>
        </is>
      </c>
    </row>
    <row r="525">
      <c r="A525" s="32" t="n">
        <v>524</v>
      </c>
      <c r="B525" s="31" t="n">
        <v>23770.2</v>
      </c>
      <c r="C525" s="30" t="inlineStr">
        <is>
          <t>AMR1</t>
        </is>
      </c>
      <c r="D525" s="30" t="inlineStr">
        <is>
          <t>AMR3</t>
        </is>
      </c>
      <c r="E525" s="30" t="inlineStr">
        <is>
          <t>정면충돌</t>
        </is>
      </c>
      <c r="F525" s="30" t="inlineStr">
        <is>
          <t>(17, 11)&lt;-&gt;(17, 12)</t>
        </is>
      </c>
      <c r="G525" s="31" t="n">
        <v>39.8</v>
      </c>
      <c r="H525" s="30" t="inlineStr">
        <is>
          <t>O0490</t>
        </is>
      </c>
    </row>
    <row r="526">
      <c r="A526" s="32" t="n">
        <v>525</v>
      </c>
      <c r="B526" s="31" t="n">
        <v>23935.7</v>
      </c>
      <c r="C526" s="30" t="inlineStr">
        <is>
          <t>AMR1</t>
        </is>
      </c>
      <c r="D526" s="30" t="inlineStr">
        <is>
          <t>AMR2</t>
        </is>
      </c>
      <c r="E526" s="30" t="inlineStr">
        <is>
          <t>경로충돌</t>
        </is>
      </c>
      <c r="F526" s="30" t="inlineStr">
        <is>
          <t>(15, 19)</t>
        </is>
      </c>
      <c r="G526" s="31" t="n">
        <v>37.8</v>
      </c>
      <c r="H526" s="30" t="inlineStr"/>
    </row>
    <row r="527">
      <c r="A527" s="32" t="n">
        <v>526</v>
      </c>
      <c r="B527" s="31" t="n">
        <v>23942.5</v>
      </c>
      <c r="C527" s="30" t="inlineStr">
        <is>
          <t>AMR1</t>
        </is>
      </c>
      <c r="D527" s="30" t="inlineStr">
        <is>
          <t>AMR3</t>
        </is>
      </c>
      <c r="E527" s="30" t="inlineStr">
        <is>
          <t>경로충돌</t>
        </is>
      </c>
      <c r="F527" s="30" t="inlineStr">
        <is>
          <t>(18, 19)</t>
        </is>
      </c>
      <c r="G527" s="31" t="n">
        <v>37.7</v>
      </c>
      <c r="H527" s="30" t="inlineStr">
        <is>
          <t>O0493</t>
        </is>
      </c>
    </row>
    <row r="528">
      <c r="A528" s="32" t="n">
        <v>527</v>
      </c>
      <c r="B528" s="31" t="n">
        <v>23943</v>
      </c>
      <c r="C528" s="30" t="inlineStr">
        <is>
          <t>AMR1</t>
        </is>
      </c>
      <c r="D528" s="30" t="inlineStr">
        <is>
          <t>AMR3</t>
        </is>
      </c>
      <c r="E528" s="30" t="inlineStr">
        <is>
          <t>정면충돌</t>
        </is>
      </c>
      <c r="F528" s="30" t="inlineStr">
        <is>
          <t>(18, 18)&lt;-&gt;(18, 19)</t>
        </is>
      </c>
      <c r="G528" s="31" t="n">
        <v>55.5</v>
      </c>
      <c r="H528" s="30" t="inlineStr">
        <is>
          <t>O0493</t>
        </is>
      </c>
    </row>
    <row r="529">
      <c r="A529" s="32" t="n">
        <v>528</v>
      </c>
      <c r="B529" s="31" t="n">
        <v>24011.9</v>
      </c>
      <c r="C529" s="30" t="inlineStr">
        <is>
          <t>AMR1</t>
        </is>
      </c>
      <c r="D529" s="30" t="inlineStr">
        <is>
          <t>AMR3</t>
        </is>
      </c>
      <c r="E529" s="30" t="inlineStr">
        <is>
          <t>경로충돌</t>
        </is>
      </c>
      <c r="F529" s="30" t="inlineStr">
        <is>
          <t>(18, 13)</t>
        </is>
      </c>
      <c r="G529" s="31" t="n">
        <v>59.7</v>
      </c>
      <c r="H529" s="30" t="inlineStr">
        <is>
          <t>O0494</t>
        </is>
      </c>
    </row>
    <row r="530">
      <c r="A530" s="32" t="n">
        <v>529</v>
      </c>
      <c r="B530" s="31" t="n">
        <v>24012.3</v>
      </c>
      <c r="C530" s="30" t="inlineStr">
        <is>
          <t>AMR1</t>
        </is>
      </c>
      <c r="D530" s="30" t="inlineStr">
        <is>
          <t>AMR3</t>
        </is>
      </c>
      <c r="E530" s="30" t="inlineStr">
        <is>
          <t>정면충돌</t>
        </is>
      </c>
      <c r="F530" s="30" t="inlineStr">
        <is>
          <t>(18, 12)&lt;-&gt;(18, 13)</t>
        </is>
      </c>
      <c r="G530" s="31" t="n">
        <v>41</v>
      </c>
      <c r="H530" s="30" t="inlineStr">
        <is>
          <t>O0494</t>
        </is>
      </c>
    </row>
    <row r="531">
      <c r="A531" s="32" t="n">
        <v>530</v>
      </c>
      <c r="B531" s="31" t="n">
        <v>24085.1</v>
      </c>
      <c r="C531" s="30" t="inlineStr">
        <is>
          <t>AMR1</t>
        </is>
      </c>
      <c r="D531" s="30" t="inlineStr">
        <is>
          <t>AMR3</t>
        </is>
      </c>
      <c r="E531" s="30" t="inlineStr">
        <is>
          <t>경로충돌</t>
        </is>
      </c>
      <c r="F531" s="30" t="inlineStr">
        <is>
          <t>(12, 19)</t>
        </is>
      </c>
      <c r="G531" s="31" t="n">
        <v>29.8</v>
      </c>
      <c r="H531" s="30" t="inlineStr">
        <is>
          <t>O0495</t>
        </is>
      </c>
    </row>
    <row r="532">
      <c r="A532" s="32" t="n">
        <v>531</v>
      </c>
      <c r="B532" s="31" t="n">
        <v>24246.8</v>
      </c>
      <c r="C532" s="30" t="inlineStr">
        <is>
          <t>AMR1</t>
        </is>
      </c>
      <c r="D532" s="30" t="inlineStr">
        <is>
          <t>AMR3</t>
        </is>
      </c>
      <c r="E532" s="30" t="inlineStr">
        <is>
          <t>정면충돌</t>
        </is>
      </c>
      <c r="F532" s="30" t="inlineStr">
        <is>
          <t>(12, 10)&lt;-&gt;(12, 11)</t>
        </is>
      </c>
      <c r="G532" s="31" t="n">
        <v>49.4</v>
      </c>
      <c r="H532" s="30" t="inlineStr">
        <is>
          <t>O0498</t>
        </is>
      </c>
    </row>
    <row r="533">
      <c r="A533" s="32" t="n">
        <v>532</v>
      </c>
      <c r="B533" s="31" t="n">
        <v>24335.7</v>
      </c>
      <c r="C533" s="30" t="inlineStr">
        <is>
          <t>AMR1</t>
        </is>
      </c>
      <c r="D533" s="30" t="inlineStr">
        <is>
          <t>AMR3</t>
        </is>
      </c>
      <c r="E533" s="30" t="inlineStr">
        <is>
          <t>경로충돌</t>
        </is>
      </c>
      <c r="F533" s="30" t="inlineStr">
        <is>
          <t>(11, 11)</t>
        </is>
      </c>
      <c r="G533" s="31" t="n">
        <v>30.2</v>
      </c>
      <c r="H533" s="30" t="inlineStr">
        <is>
          <t>O0500 O0501</t>
        </is>
      </c>
    </row>
    <row r="534">
      <c r="A534" s="32" t="n">
        <v>533</v>
      </c>
      <c r="B534" s="31" t="n">
        <v>24377</v>
      </c>
      <c r="C534" s="30" t="inlineStr">
        <is>
          <t>AMR1</t>
        </is>
      </c>
      <c r="D534" s="30" t="inlineStr">
        <is>
          <t>AMR2</t>
        </is>
      </c>
      <c r="E534" s="30" t="inlineStr">
        <is>
          <t>경로충돌</t>
        </is>
      </c>
      <c r="F534" s="30" t="inlineStr">
        <is>
          <t>(14, 19)</t>
        </is>
      </c>
      <c r="G534" s="31" t="n">
        <v>55.6</v>
      </c>
      <c r="H534" s="30" t="inlineStr">
        <is>
          <t>O0501</t>
        </is>
      </c>
    </row>
    <row r="535">
      <c r="A535" s="32" t="n">
        <v>534</v>
      </c>
      <c r="B535" s="31" t="n">
        <v>24377.2</v>
      </c>
      <c r="C535" s="30" t="inlineStr">
        <is>
          <t>AMR1</t>
        </is>
      </c>
      <c r="D535" s="30" t="inlineStr">
        <is>
          <t>AMR2</t>
        </is>
      </c>
      <c r="E535" s="30" t="inlineStr">
        <is>
          <t>정면충돌</t>
        </is>
      </c>
      <c r="F535" s="30" t="inlineStr">
        <is>
          <t>(13, 19)&lt;-&gt;(14, 19)</t>
        </is>
      </c>
      <c r="G535" s="31" t="n">
        <v>24.1</v>
      </c>
      <c r="H535" s="30" t="inlineStr">
        <is>
          <t>O0501</t>
        </is>
      </c>
    </row>
    <row r="536">
      <c r="A536" s="32" t="n">
        <v>535</v>
      </c>
      <c r="B536" s="31" t="n">
        <v>24384.1</v>
      </c>
      <c r="C536" s="30" t="inlineStr">
        <is>
          <t>AMR1</t>
        </is>
      </c>
      <c r="D536" s="30" t="inlineStr">
        <is>
          <t>AMR3</t>
        </is>
      </c>
      <c r="E536" s="30" t="inlineStr">
        <is>
          <t>경로충돌</t>
        </is>
      </c>
      <c r="F536" s="30" t="inlineStr">
        <is>
          <t>(15, 19)</t>
        </is>
      </c>
      <c r="G536" s="31" t="n">
        <v>35.9</v>
      </c>
      <c r="H536" s="30" t="inlineStr"/>
    </row>
    <row r="537">
      <c r="A537" s="32" t="n">
        <v>536</v>
      </c>
      <c r="B537" s="31" t="n">
        <v>24523.4</v>
      </c>
      <c r="C537" s="30" t="inlineStr">
        <is>
          <t>AMR1</t>
        </is>
      </c>
      <c r="D537" s="30" t="inlineStr">
        <is>
          <t>AMR3</t>
        </is>
      </c>
      <c r="E537" s="30" t="inlineStr">
        <is>
          <t>경로충돌</t>
        </is>
      </c>
      <c r="F537" s="30" t="inlineStr">
        <is>
          <t>(17, 19)</t>
        </is>
      </c>
      <c r="G537" s="31" t="n">
        <v>56.6</v>
      </c>
      <c r="H537" s="30" t="inlineStr">
        <is>
          <t>O0504</t>
        </is>
      </c>
    </row>
    <row r="538">
      <c r="A538" s="32" t="n">
        <v>537</v>
      </c>
      <c r="B538" s="31" t="n">
        <v>24523.6</v>
      </c>
      <c r="C538" s="30" t="inlineStr">
        <is>
          <t>AMR1</t>
        </is>
      </c>
      <c r="D538" s="30" t="inlineStr">
        <is>
          <t>AMR3</t>
        </is>
      </c>
      <c r="E538" s="30" t="inlineStr">
        <is>
          <t>정면충돌</t>
        </is>
      </c>
      <c r="F538" s="30" t="inlineStr">
        <is>
          <t>(16, 19)&lt;-&gt;(17, 19)</t>
        </is>
      </c>
      <c r="G538" s="31" t="n">
        <v>21.4</v>
      </c>
      <c r="H538" s="30" t="inlineStr">
        <is>
          <t>O0504</t>
        </is>
      </c>
    </row>
    <row r="539">
      <c r="A539" s="32" t="n">
        <v>538</v>
      </c>
      <c r="B539" s="31" t="n">
        <v>24529.8</v>
      </c>
      <c r="C539" s="30" t="inlineStr">
        <is>
          <t>AMR1</t>
        </is>
      </c>
      <c r="D539" s="30" t="inlineStr">
        <is>
          <t>AMR2</t>
        </is>
      </c>
      <c r="E539" s="30" t="inlineStr">
        <is>
          <t>경로충돌</t>
        </is>
      </c>
      <c r="F539" s="30" t="inlineStr">
        <is>
          <t>(15, 19)</t>
        </is>
      </c>
      <c r="G539" s="31" t="n">
        <v>53.3</v>
      </c>
      <c r="H539" s="30" t="inlineStr"/>
    </row>
    <row r="540">
      <c r="A540" s="32" t="n">
        <v>539</v>
      </c>
      <c r="B540" s="31" t="n">
        <v>24530.6</v>
      </c>
      <c r="C540" s="30" t="inlineStr">
        <is>
          <t>AMR1</t>
        </is>
      </c>
      <c r="D540" s="30" t="inlineStr">
        <is>
          <t>AMR2</t>
        </is>
      </c>
      <c r="E540" s="30" t="inlineStr">
        <is>
          <t>정면충돌</t>
        </is>
      </c>
      <c r="F540" s="30" t="inlineStr">
        <is>
          <t>(14, 19)&lt;-&gt;(15, 19)</t>
        </is>
      </c>
      <c r="G540" s="31" t="n">
        <v>44.1</v>
      </c>
      <c r="H540" s="30" t="inlineStr">
        <is>
          <t>O0505</t>
        </is>
      </c>
    </row>
    <row r="541">
      <c r="A541" s="32" t="n">
        <v>540</v>
      </c>
      <c r="B541" s="31" t="n">
        <v>25077.9</v>
      </c>
      <c r="C541" s="30" t="inlineStr">
        <is>
          <t>AMR1</t>
        </is>
      </c>
      <c r="D541" s="30" t="inlineStr">
        <is>
          <t>AMR2</t>
        </is>
      </c>
      <c r="E541" s="30" t="inlineStr">
        <is>
          <t>경로충돌</t>
        </is>
      </c>
      <c r="F541" s="30" t="inlineStr">
        <is>
          <t>(18, 19)</t>
        </is>
      </c>
      <c r="G541" s="31" t="n">
        <v>48.4</v>
      </c>
      <c r="H541" s="30" t="inlineStr">
        <is>
          <t>O0515</t>
        </is>
      </c>
    </row>
    <row r="542">
      <c r="A542" s="32" t="n">
        <v>541</v>
      </c>
      <c r="B542" s="31" t="n">
        <v>25078.4</v>
      </c>
      <c r="C542" s="30" t="inlineStr">
        <is>
          <t>AMR1</t>
        </is>
      </c>
      <c r="D542" s="30" t="inlineStr">
        <is>
          <t>AMR2</t>
        </is>
      </c>
      <c r="E542" s="30" t="inlineStr">
        <is>
          <t>정면충돌</t>
        </is>
      </c>
      <c r="F542" s="30" t="inlineStr">
        <is>
          <t>(17, 19)&lt;-&gt;(18, 19)</t>
        </is>
      </c>
      <c r="G542" s="31" t="n">
        <v>22.5</v>
      </c>
      <c r="H542" s="30" t="inlineStr">
        <is>
          <t>O0515</t>
        </is>
      </c>
    </row>
    <row r="543">
      <c r="A543" s="32" t="n">
        <v>542</v>
      </c>
      <c r="B543" s="31" t="n">
        <v>25143.9</v>
      </c>
      <c r="C543" s="30" t="inlineStr">
        <is>
          <t>AMR2</t>
        </is>
      </c>
      <c r="D543" s="30" t="inlineStr">
        <is>
          <t>AMR3</t>
        </is>
      </c>
      <c r="E543" s="30" t="inlineStr">
        <is>
          <t>경로충돌</t>
        </is>
      </c>
      <c r="F543" s="30" t="inlineStr">
        <is>
          <t>(12, 16)</t>
        </is>
      </c>
      <c r="G543" s="31" t="n">
        <v>49.5</v>
      </c>
      <c r="H543" s="30" t="inlineStr">
        <is>
          <t>O0516</t>
        </is>
      </c>
    </row>
    <row r="544">
      <c r="A544" s="32" t="n">
        <v>543</v>
      </c>
      <c r="B544" s="31" t="n">
        <v>25145</v>
      </c>
      <c r="C544" s="30" t="inlineStr">
        <is>
          <t>AMR2</t>
        </is>
      </c>
      <c r="D544" s="30" t="inlineStr">
        <is>
          <t>AMR3</t>
        </is>
      </c>
      <c r="E544" s="30" t="inlineStr">
        <is>
          <t>정면충돌</t>
        </is>
      </c>
      <c r="F544" s="30" t="inlineStr">
        <is>
          <t>(12, 15)&lt;-&gt;(12, 16)</t>
        </is>
      </c>
      <c r="G544" s="31" t="n">
        <v>57.8</v>
      </c>
      <c r="H544" s="30" t="inlineStr">
        <is>
          <t>O0516</t>
        </is>
      </c>
    </row>
    <row r="545">
      <c r="A545" s="32" t="n">
        <v>544</v>
      </c>
      <c r="B545" s="31" t="n">
        <v>25307.8</v>
      </c>
      <c r="C545" s="30" t="inlineStr">
        <is>
          <t>AMR1</t>
        </is>
      </c>
      <c r="D545" s="30" t="inlineStr">
        <is>
          <t>AMR2</t>
        </is>
      </c>
      <c r="E545" s="30" t="inlineStr">
        <is>
          <t>정면충돌</t>
        </is>
      </c>
      <c r="F545" s="30" t="inlineStr">
        <is>
          <t>(12, 19)&lt;-&gt;(13, 19)</t>
        </is>
      </c>
      <c r="G545" s="31" t="n">
        <v>20.8</v>
      </c>
      <c r="H545" s="30" t="inlineStr">
        <is>
          <t>O0520</t>
        </is>
      </c>
    </row>
    <row r="546">
      <c r="A546" s="32" t="n">
        <v>545</v>
      </c>
      <c r="B546" s="31" t="n">
        <v>25610.5</v>
      </c>
      <c r="C546" s="30" t="inlineStr">
        <is>
          <t>AMR1</t>
        </is>
      </c>
      <c r="D546" s="30" t="inlineStr">
        <is>
          <t>AMR2</t>
        </is>
      </c>
      <c r="E546" s="30" t="inlineStr">
        <is>
          <t>경로충돌</t>
        </is>
      </c>
      <c r="F546" s="30" t="inlineStr">
        <is>
          <t>(16, 19)</t>
        </is>
      </c>
      <c r="G546" s="31" t="n">
        <v>29.3</v>
      </c>
      <c r="H546" s="30" t="inlineStr">
        <is>
          <t>O0526</t>
        </is>
      </c>
    </row>
    <row r="547">
      <c r="A547" s="32" t="n">
        <v>546</v>
      </c>
      <c r="B547" s="31" t="n">
        <v>25611.4</v>
      </c>
      <c r="C547" s="30" t="inlineStr">
        <is>
          <t>AMR1</t>
        </is>
      </c>
      <c r="D547" s="30" t="inlineStr">
        <is>
          <t>AMR2</t>
        </is>
      </c>
      <c r="E547" s="30" t="inlineStr">
        <is>
          <t>정면충돌</t>
        </is>
      </c>
      <c r="F547" s="30" t="inlineStr">
        <is>
          <t>(16, 19)&lt;-&gt;(17, 19)</t>
        </is>
      </c>
      <c r="G547" s="31" t="n">
        <v>53.1</v>
      </c>
      <c r="H547" s="30" t="inlineStr">
        <is>
          <t>O0526</t>
        </is>
      </c>
    </row>
    <row r="548">
      <c r="A548" s="32" t="n">
        <v>547</v>
      </c>
      <c r="B548" s="31" t="n">
        <v>25686.5</v>
      </c>
      <c r="C548" s="30" t="inlineStr">
        <is>
          <t>AMR1</t>
        </is>
      </c>
      <c r="D548" s="30" t="inlineStr">
        <is>
          <t>AMR2</t>
        </is>
      </c>
      <c r="E548" s="30" t="inlineStr">
        <is>
          <t>경로충돌</t>
        </is>
      </c>
      <c r="F548" s="30" t="inlineStr">
        <is>
          <t>(15, 19)</t>
        </is>
      </c>
      <c r="G548" s="31" t="n">
        <v>51.8</v>
      </c>
      <c r="H548" s="30" t="inlineStr"/>
    </row>
    <row r="549">
      <c r="A549" s="32" t="n">
        <v>548</v>
      </c>
      <c r="B549" s="31" t="n">
        <v>25824.3</v>
      </c>
      <c r="C549" s="30" t="inlineStr">
        <is>
          <t>AMR2</t>
        </is>
      </c>
      <c r="D549" s="30" t="inlineStr">
        <is>
          <t>AMR3</t>
        </is>
      </c>
      <c r="E549" s="30" t="inlineStr">
        <is>
          <t>경로충돌</t>
        </is>
      </c>
      <c r="F549" s="30" t="inlineStr">
        <is>
          <t>(16, 19)</t>
        </is>
      </c>
      <c r="G549" s="31" t="n">
        <v>43.5</v>
      </c>
      <c r="H549" s="30" t="inlineStr">
        <is>
          <t>O0530</t>
        </is>
      </c>
    </row>
    <row r="550">
      <c r="A550" s="32" t="n">
        <v>549</v>
      </c>
      <c r="B550" s="31" t="n">
        <v>25824.6</v>
      </c>
      <c r="C550" s="30" t="inlineStr">
        <is>
          <t>AMR2</t>
        </is>
      </c>
      <c r="D550" s="30" t="inlineStr">
        <is>
          <t>AMR3</t>
        </is>
      </c>
      <c r="E550" s="30" t="inlineStr">
        <is>
          <t>정면충돌</t>
        </is>
      </c>
      <c r="F550" s="30" t="inlineStr">
        <is>
          <t>(16, 19)&lt;-&gt;(17, 19)</t>
        </is>
      </c>
      <c r="G550" s="31" t="n">
        <v>57.5</v>
      </c>
      <c r="H550" s="30" t="inlineStr">
        <is>
          <t>O0530</t>
        </is>
      </c>
    </row>
    <row r="551">
      <c r="A551" s="32" t="n">
        <v>550</v>
      </c>
      <c r="B551" s="31" t="n">
        <v>25901.9</v>
      </c>
      <c r="C551" s="30" t="inlineStr">
        <is>
          <t>AMR1</t>
        </is>
      </c>
      <c r="D551" s="30" t="inlineStr">
        <is>
          <t>AMR3</t>
        </is>
      </c>
      <c r="E551" s="30" t="inlineStr">
        <is>
          <t>경로충돌</t>
        </is>
      </c>
      <c r="F551" s="30" t="inlineStr">
        <is>
          <t>(18, 18)</t>
        </is>
      </c>
      <c r="G551" s="31" t="n">
        <v>42.9</v>
      </c>
      <c r="H551" s="30" t="inlineStr">
        <is>
          <t>O0532</t>
        </is>
      </c>
    </row>
    <row r="552">
      <c r="A552" s="32" t="n">
        <v>551</v>
      </c>
      <c r="B552" s="31" t="n">
        <v>25903.3</v>
      </c>
      <c r="C552" s="30" t="inlineStr">
        <is>
          <t>AMR1</t>
        </is>
      </c>
      <c r="D552" s="30" t="inlineStr">
        <is>
          <t>AMR3</t>
        </is>
      </c>
      <c r="E552" s="30" t="inlineStr">
        <is>
          <t>정면충돌</t>
        </is>
      </c>
      <c r="F552" s="30" t="inlineStr">
        <is>
          <t>(18, 17)&lt;-&gt;(18, 18)</t>
        </is>
      </c>
      <c r="G552" s="31" t="n">
        <v>29.1</v>
      </c>
      <c r="H552" s="30" t="inlineStr">
        <is>
          <t>O0532</t>
        </is>
      </c>
    </row>
    <row r="553">
      <c r="A553" s="32" t="n">
        <v>552</v>
      </c>
      <c r="B553" s="31" t="n">
        <v>25953</v>
      </c>
      <c r="C553" s="30" t="inlineStr">
        <is>
          <t>AMR2</t>
        </is>
      </c>
      <c r="D553" s="30" t="inlineStr">
        <is>
          <t>AMR3</t>
        </is>
      </c>
      <c r="E553" s="30" t="inlineStr">
        <is>
          <t>경로충돌</t>
        </is>
      </c>
      <c r="F553" s="30" t="inlineStr">
        <is>
          <t>(18, 9)</t>
        </is>
      </c>
      <c r="G553" s="31" t="n">
        <v>51.9</v>
      </c>
      <c r="H553" s="30" t="inlineStr"/>
    </row>
    <row r="554">
      <c r="A554" s="32" t="n">
        <v>553</v>
      </c>
      <c r="B554" s="31" t="n">
        <v>25967.3</v>
      </c>
      <c r="C554" s="30" t="inlineStr">
        <is>
          <t>AMR2</t>
        </is>
      </c>
      <c r="D554" s="30" t="inlineStr">
        <is>
          <t>AMR3</t>
        </is>
      </c>
      <c r="E554" s="30" t="inlineStr">
        <is>
          <t>경로충돌</t>
        </is>
      </c>
      <c r="F554" s="30" t="inlineStr">
        <is>
          <t>(16, 19)</t>
        </is>
      </c>
      <c r="G554" s="31" t="n">
        <v>31.7</v>
      </c>
      <c r="H554" s="30" t="inlineStr">
        <is>
          <t>O0533</t>
        </is>
      </c>
    </row>
    <row r="555">
      <c r="A555" s="32" t="n">
        <v>554</v>
      </c>
      <c r="B555" s="31" t="n">
        <v>25967.9</v>
      </c>
      <c r="C555" s="30" t="inlineStr">
        <is>
          <t>AMR2</t>
        </is>
      </c>
      <c r="D555" s="30" t="inlineStr">
        <is>
          <t>AMR3</t>
        </is>
      </c>
      <c r="E555" s="30" t="inlineStr">
        <is>
          <t>정면충돌</t>
        </is>
      </c>
      <c r="F555" s="30" t="inlineStr">
        <is>
          <t>(16, 19)&lt;-&gt;(17, 19)</t>
        </is>
      </c>
      <c r="G555" s="31" t="n">
        <v>28.9</v>
      </c>
      <c r="H555" s="30" t="inlineStr">
        <is>
          <t>O0533</t>
        </is>
      </c>
    </row>
    <row r="556">
      <c r="A556" s="32" t="n">
        <v>555</v>
      </c>
      <c r="B556" s="31" t="n">
        <v>25976.1</v>
      </c>
      <c r="C556" s="30" t="inlineStr">
        <is>
          <t>AMR1</t>
        </is>
      </c>
      <c r="D556" s="30" t="inlineStr">
        <is>
          <t>AMR3</t>
        </is>
      </c>
      <c r="E556" s="30" t="inlineStr">
        <is>
          <t>정면충돌</t>
        </is>
      </c>
      <c r="F556" s="30" t="inlineStr">
        <is>
          <t>(18, 17)&lt;-&gt;(18, 18)</t>
        </is>
      </c>
      <c r="G556" s="31" t="n">
        <v>31</v>
      </c>
      <c r="H556" s="30" t="inlineStr">
        <is>
          <t>O0533</t>
        </is>
      </c>
    </row>
    <row r="557">
      <c r="A557" s="32" t="n">
        <v>556</v>
      </c>
      <c r="B557" s="31" t="n">
        <v>26005.7</v>
      </c>
      <c r="C557" s="30" t="inlineStr">
        <is>
          <t>AMR2</t>
        </is>
      </c>
      <c r="D557" s="30" t="inlineStr">
        <is>
          <t>AMR3</t>
        </is>
      </c>
      <c r="E557" s="30" t="inlineStr">
        <is>
          <t>정면충돌</t>
        </is>
      </c>
      <c r="F557" s="30" t="inlineStr">
        <is>
          <t>(20, 9)&lt;-&gt;(21, 9)</t>
        </is>
      </c>
      <c r="G557" s="31" t="n">
        <v>26.4</v>
      </c>
      <c r="H557" s="30" t="inlineStr">
        <is>
          <t>O0533 O0534</t>
        </is>
      </c>
    </row>
    <row r="558">
      <c r="A558" s="32" t="n">
        <v>557</v>
      </c>
      <c r="B558" s="31" t="n">
        <v>26041.1</v>
      </c>
      <c r="C558" s="30" t="inlineStr">
        <is>
          <t>AMR1</t>
        </is>
      </c>
      <c r="D558" s="30" t="inlineStr">
        <is>
          <t>AMR2</t>
        </is>
      </c>
      <c r="E558" s="30" t="inlineStr">
        <is>
          <t>경로충돌</t>
        </is>
      </c>
      <c r="F558" s="30" t="inlineStr">
        <is>
          <t>(15, 19)</t>
        </is>
      </c>
      <c r="G558" s="31" t="n">
        <v>28</v>
      </c>
      <c r="H558" s="30" t="inlineStr"/>
    </row>
    <row r="559">
      <c r="A559" s="32" t="n">
        <v>558</v>
      </c>
      <c r="B559" s="31" t="n">
        <v>26041.6</v>
      </c>
      <c r="C559" s="30" t="inlineStr">
        <is>
          <t>AMR1</t>
        </is>
      </c>
      <c r="D559" s="30" t="inlineStr">
        <is>
          <t>AMR2</t>
        </is>
      </c>
      <c r="E559" s="30" t="inlineStr">
        <is>
          <t>정면충돌</t>
        </is>
      </c>
      <c r="F559" s="30" t="inlineStr">
        <is>
          <t>(15, 19)&lt;-&gt;(16, 19)</t>
        </is>
      </c>
      <c r="G559" s="31" t="n">
        <v>51.5</v>
      </c>
      <c r="H559" s="30" t="inlineStr">
        <is>
          <t>O0534</t>
        </is>
      </c>
    </row>
    <row r="560">
      <c r="A560" s="32" t="n">
        <v>559</v>
      </c>
      <c r="B560" s="31" t="n">
        <v>26055.2</v>
      </c>
      <c r="C560" s="30" t="inlineStr">
        <is>
          <t>AMR1</t>
        </is>
      </c>
      <c r="D560" s="30" t="inlineStr">
        <is>
          <t>AMR3</t>
        </is>
      </c>
      <c r="E560" s="30" t="inlineStr">
        <is>
          <t>경로충돌</t>
        </is>
      </c>
      <c r="F560" s="30" t="inlineStr">
        <is>
          <t>(18, 12)</t>
        </is>
      </c>
      <c r="G560" s="31" t="n">
        <v>37.9</v>
      </c>
      <c r="H560" s="30" t="inlineStr">
        <is>
          <t>O0534</t>
        </is>
      </c>
    </row>
    <row r="561">
      <c r="A561" s="32" t="n">
        <v>560</v>
      </c>
      <c r="B561" s="31" t="n">
        <v>26055.8</v>
      </c>
      <c r="C561" s="30" t="inlineStr">
        <is>
          <t>AMR1</t>
        </is>
      </c>
      <c r="D561" s="30" t="inlineStr">
        <is>
          <t>AMR3</t>
        </is>
      </c>
      <c r="E561" s="30" t="inlineStr">
        <is>
          <t>정면충돌</t>
        </is>
      </c>
      <c r="F561" s="30" t="inlineStr">
        <is>
          <t>(18, 11)&lt;-&gt;(18, 12)</t>
        </is>
      </c>
      <c r="G561" s="31" t="n">
        <v>20</v>
      </c>
      <c r="H561" s="30" t="inlineStr">
        <is>
          <t>O0534</t>
        </is>
      </c>
    </row>
    <row r="562">
      <c r="A562" s="32" t="n">
        <v>561</v>
      </c>
      <c r="B562" s="31" t="n">
        <v>26310.3</v>
      </c>
      <c r="C562" s="30" t="inlineStr">
        <is>
          <t>AMR2</t>
        </is>
      </c>
      <c r="D562" s="30" t="inlineStr">
        <is>
          <t>AMR3</t>
        </is>
      </c>
      <c r="E562" s="30" t="inlineStr">
        <is>
          <t>경로충돌</t>
        </is>
      </c>
      <c r="F562" s="30" t="inlineStr">
        <is>
          <t>(16, 11)</t>
        </is>
      </c>
      <c r="G562" s="31" t="n">
        <v>57.9</v>
      </c>
      <c r="H562" s="30" t="inlineStr">
        <is>
          <t>O0541</t>
        </is>
      </c>
    </row>
    <row r="563">
      <c r="A563" s="32" t="n">
        <v>562</v>
      </c>
      <c r="B563" s="31" t="n">
        <v>26311.1</v>
      </c>
      <c r="C563" s="30" t="inlineStr">
        <is>
          <t>AMR2</t>
        </is>
      </c>
      <c r="D563" s="30" t="inlineStr">
        <is>
          <t>AMR3</t>
        </is>
      </c>
      <c r="E563" s="30" t="inlineStr">
        <is>
          <t>정면충돌</t>
        </is>
      </c>
      <c r="F563" s="30" t="inlineStr">
        <is>
          <t>(15, 11)&lt;-&gt;(16, 11)</t>
        </is>
      </c>
      <c r="G563" s="31" t="n">
        <v>26.2</v>
      </c>
      <c r="H563" s="30" t="inlineStr">
        <is>
          <t>O0541</t>
        </is>
      </c>
    </row>
    <row r="564">
      <c r="A564" s="32" t="n">
        <v>563</v>
      </c>
      <c r="B564" s="31" t="n">
        <v>26342.2</v>
      </c>
      <c r="C564" s="30" t="inlineStr">
        <is>
          <t>AMR1</t>
        </is>
      </c>
      <c r="D564" s="30" t="inlineStr">
        <is>
          <t>AMR3</t>
        </is>
      </c>
      <c r="E564" s="30" t="inlineStr">
        <is>
          <t>경로충돌</t>
        </is>
      </c>
      <c r="F564" s="30" t="inlineStr">
        <is>
          <t>(16, 19)</t>
        </is>
      </c>
      <c r="G564" s="31" t="n">
        <v>30.5</v>
      </c>
      <c r="H564" s="30" t="inlineStr">
        <is>
          <t>O0541</t>
        </is>
      </c>
    </row>
    <row r="565">
      <c r="A565" s="32" t="n">
        <v>564</v>
      </c>
      <c r="B565" s="31" t="n">
        <v>26342.8</v>
      </c>
      <c r="C565" s="30" t="inlineStr">
        <is>
          <t>AMR1</t>
        </is>
      </c>
      <c r="D565" s="30" t="inlineStr">
        <is>
          <t>AMR3</t>
        </is>
      </c>
      <c r="E565" s="30" t="inlineStr">
        <is>
          <t>정면충돌</t>
        </is>
      </c>
      <c r="F565" s="30" t="inlineStr">
        <is>
          <t>(16, 19)&lt;-&gt;(17, 19)</t>
        </is>
      </c>
      <c r="G565" s="31" t="n">
        <v>40.2</v>
      </c>
      <c r="H565" s="30" t="inlineStr">
        <is>
          <t>O0541</t>
        </is>
      </c>
    </row>
    <row r="566">
      <c r="A566" s="32" t="n">
        <v>565</v>
      </c>
      <c r="B566" s="31" t="n">
        <v>26416.2</v>
      </c>
      <c r="C566" s="30" t="inlineStr">
        <is>
          <t>AMR1</t>
        </is>
      </c>
      <c r="D566" s="30" t="inlineStr">
        <is>
          <t>AMR3</t>
        </is>
      </c>
      <c r="E566" s="30" t="inlineStr">
        <is>
          <t>경로충돌</t>
        </is>
      </c>
      <c r="F566" s="30" t="inlineStr">
        <is>
          <t>(15, 19)</t>
        </is>
      </c>
      <c r="G566" s="31" t="n">
        <v>34.2</v>
      </c>
      <c r="H566" s="30" t="inlineStr"/>
    </row>
    <row r="567">
      <c r="A567" s="32" t="n">
        <v>566</v>
      </c>
      <c r="B567" s="31" t="n">
        <v>26476.6</v>
      </c>
      <c r="C567" s="30" t="inlineStr">
        <is>
          <t>AMR1</t>
        </is>
      </c>
      <c r="D567" s="30" t="inlineStr">
        <is>
          <t>AMR3</t>
        </is>
      </c>
      <c r="E567" s="30" t="inlineStr">
        <is>
          <t>경로충돌</t>
        </is>
      </c>
      <c r="F567" s="30" t="inlineStr">
        <is>
          <t>(17, 11)</t>
        </is>
      </c>
      <c r="G567" s="31" t="n">
        <v>57</v>
      </c>
      <c r="H567" s="30" t="inlineStr"/>
    </row>
    <row r="568">
      <c r="A568" s="32" t="n">
        <v>567</v>
      </c>
      <c r="B568" s="31" t="n">
        <v>26487.7</v>
      </c>
      <c r="C568" s="30" t="inlineStr">
        <is>
          <t>AMR2</t>
        </is>
      </c>
      <c r="D568" s="30" t="inlineStr">
        <is>
          <t>AMR3</t>
        </is>
      </c>
      <c r="E568" s="30" t="inlineStr">
        <is>
          <t>경로충돌</t>
        </is>
      </c>
      <c r="F568" s="30" t="inlineStr">
        <is>
          <t>(17, 19)</t>
        </is>
      </c>
      <c r="G568" s="31" t="n">
        <v>52.7</v>
      </c>
      <c r="H568" s="30" t="inlineStr"/>
    </row>
    <row r="569">
      <c r="A569" s="32" t="n">
        <v>568</v>
      </c>
      <c r="B569" s="31" t="n">
        <v>26489.3</v>
      </c>
      <c r="C569" s="30" t="inlineStr">
        <is>
          <t>AMR1</t>
        </is>
      </c>
      <c r="D569" s="30" t="inlineStr">
        <is>
          <t>AMR2</t>
        </is>
      </c>
      <c r="E569" s="30" t="inlineStr">
        <is>
          <t>정면충돌</t>
        </is>
      </c>
      <c r="F569" s="30" t="inlineStr">
        <is>
          <t>(16, 19)&lt;-&gt;(17, 19)</t>
        </is>
      </c>
      <c r="G569" s="31" t="n">
        <v>55.2</v>
      </c>
      <c r="H569" s="30" t="inlineStr">
        <is>
          <t>O0543</t>
        </is>
      </c>
    </row>
    <row r="570">
      <c r="A570" s="32" t="n">
        <v>569</v>
      </c>
      <c r="B570" s="31" t="n">
        <v>26567.6</v>
      </c>
      <c r="C570" s="30" t="inlineStr">
        <is>
          <t>AMR2</t>
        </is>
      </c>
      <c r="D570" s="30" t="inlineStr">
        <is>
          <t>AMR3</t>
        </is>
      </c>
      <c r="E570" s="30" t="inlineStr">
        <is>
          <t>경로충돌</t>
        </is>
      </c>
      <c r="F570" s="30" t="inlineStr">
        <is>
          <t>(18, 11)</t>
        </is>
      </c>
      <c r="G570" s="31" t="n">
        <v>39.2</v>
      </c>
      <c r="H570" s="30" t="inlineStr">
        <is>
          <t>O0545</t>
        </is>
      </c>
    </row>
    <row r="571">
      <c r="A571" s="32" t="n">
        <v>570</v>
      </c>
      <c r="B571" s="31" t="n">
        <v>26568.3</v>
      </c>
      <c r="C571" s="30" t="inlineStr">
        <is>
          <t>AMR2</t>
        </is>
      </c>
      <c r="D571" s="30" t="inlineStr">
        <is>
          <t>AMR3</t>
        </is>
      </c>
      <c r="E571" s="30" t="inlineStr">
        <is>
          <t>정면충돌</t>
        </is>
      </c>
      <c r="F571" s="30" t="inlineStr">
        <is>
          <t>(18, 10)&lt;-&gt;(18, 11)</t>
        </is>
      </c>
      <c r="G571" s="31" t="n">
        <v>22.7</v>
      </c>
      <c r="H571" s="30" t="inlineStr">
        <is>
          <t>O0545</t>
        </is>
      </c>
    </row>
    <row r="572">
      <c r="A572" s="32" t="n">
        <v>571</v>
      </c>
      <c r="B572" s="31" t="n">
        <v>26631.9</v>
      </c>
      <c r="C572" s="30" t="inlineStr">
        <is>
          <t>AMR2</t>
        </is>
      </c>
      <c r="D572" s="30" t="inlineStr">
        <is>
          <t>AMR3</t>
        </is>
      </c>
      <c r="E572" s="30" t="inlineStr">
        <is>
          <t>경로충돌</t>
        </is>
      </c>
      <c r="F572" s="30" t="inlineStr">
        <is>
          <t>(18, 11)</t>
        </is>
      </c>
      <c r="G572" s="31" t="n">
        <v>30.2</v>
      </c>
      <c r="H572" s="30" t="inlineStr"/>
    </row>
    <row r="573">
      <c r="A573" s="32" t="n">
        <v>572</v>
      </c>
      <c r="B573" s="31" t="n">
        <v>26644.9</v>
      </c>
      <c r="C573" s="30" t="inlineStr">
        <is>
          <t>AMR2</t>
        </is>
      </c>
      <c r="D573" s="30" t="inlineStr">
        <is>
          <t>AMR3</t>
        </is>
      </c>
      <c r="E573" s="30" t="inlineStr">
        <is>
          <t>경로충돌</t>
        </is>
      </c>
      <c r="F573" s="30" t="inlineStr">
        <is>
          <t>(17, 19)</t>
        </is>
      </c>
      <c r="G573" s="31" t="n">
        <v>26</v>
      </c>
      <c r="H573" s="30" t="inlineStr">
        <is>
          <t>O0546</t>
        </is>
      </c>
    </row>
    <row r="574">
      <c r="A574" s="32" t="n">
        <v>573</v>
      </c>
      <c r="B574" s="31" t="n">
        <v>26645.1</v>
      </c>
      <c r="C574" s="30" t="inlineStr">
        <is>
          <t>AMR2</t>
        </is>
      </c>
      <c r="D574" s="30" t="inlineStr">
        <is>
          <t>AMR3</t>
        </is>
      </c>
      <c r="E574" s="30" t="inlineStr">
        <is>
          <t>정면충돌</t>
        </is>
      </c>
      <c r="F574" s="30" t="inlineStr">
        <is>
          <t>(16, 19)&lt;-&gt;(17, 19)</t>
        </is>
      </c>
      <c r="G574" s="31" t="n">
        <v>21.8</v>
      </c>
      <c r="H574" s="30" t="inlineStr">
        <is>
          <t>O0546</t>
        </is>
      </c>
    </row>
    <row r="575">
      <c r="A575" s="32" t="n">
        <v>574</v>
      </c>
      <c r="B575" s="31" t="n">
        <v>26653</v>
      </c>
      <c r="C575" s="30" t="inlineStr">
        <is>
          <t>AMR1</t>
        </is>
      </c>
      <c r="D575" s="30" t="inlineStr">
        <is>
          <t>AMR2</t>
        </is>
      </c>
      <c r="E575" s="30" t="inlineStr">
        <is>
          <t>경로충돌</t>
        </is>
      </c>
      <c r="F575" s="30" t="inlineStr">
        <is>
          <t>(16, 19)</t>
        </is>
      </c>
      <c r="G575" s="31" t="n">
        <v>36.8</v>
      </c>
      <c r="H575" s="30" t="inlineStr">
        <is>
          <t>O0547</t>
        </is>
      </c>
    </row>
    <row r="576">
      <c r="A576" s="32" t="n">
        <v>575</v>
      </c>
      <c r="B576" s="31" t="n">
        <v>26653.8</v>
      </c>
      <c r="C576" s="30" t="inlineStr">
        <is>
          <t>AMR1</t>
        </is>
      </c>
      <c r="D576" s="30" t="inlineStr">
        <is>
          <t>AMR2</t>
        </is>
      </c>
      <c r="E576" s="30" t="inlineStr">
        <is>
          <t>정면충돌</t>
        </is>
      </c>
      <c r="F576" s="30" t="inlineStr">
        <is>
          <t>(16, 19)&lt;-&gt;(17, 19)</t>
        </is>
      </c>
      <c r="G576" s="31" t="n">
        <v>30.4</v>
      </c>
      <c r="H576" s="30" t="inlineStr">
        <is>
          <t>O0547</t>
        </is>
      </c>
    </row>
    <row r="577">
      <c r="A577" s="32" t="n">
        <v>576</v>
      </c>
      <c r="B577" s="31" t="n">
        <v>26687.6</v>
      </c>
      <c r="C577" s="30" t="inlineStr">
        <is>
          <t>AMR2</t>
        </is>
      </c>
      <c r="D577" s="30" t="inlineStr">
        <is>
          <t>AMR3</t>
        </is>
      </c>
      <c r="E577" s="30" t="inlineStr">
        <is>
          <t>경로충돌</t>
        </is>
      </c>
      <c r="F577" s="30" t="inlineStr">
        <is>
          <t>(17, 9)</t>
        </is>
      </c>
      <c r="G577" s="31" t="n">
        <v>28.7</v>
      </c>
      <c r="H577" s="30" t="inlineStr">
        <is>
          <t>O0546 O0547</t>
        </is>
      </c>
    </row>
    <row r="578">
      <c r="A578" s="32" t="n">
        <v>577</v>
      </c>
      <c r="B578" s="31" t="n">
        <v>26795.5</v>
      </c>
      <c r="C578" s="30" t="inlineStr">
        <is>
          <t>AMR1</t>
        </is>
      </c>
      <c r="D578" s="30" t="inlineStr">
        <is>
          <t>AMR3</t>
        </is>
      </c>
      <c r="E578" s="30" t="inlineStr">
        <is>
          <t>경로충돌</t>
        </is>
      </c>
      <c r="F578" s="30" t="inlineStr">
        <is>
          <t>(18, 9)</t>
        </is>
      </c>
      <c r="G578" s="31" t="n">
        <v>21.6</v>
      </c>
      <c r="H578" s="30" t="inlineStr">
        <is>
          <t>O0549</t>
        </is>
      </c>
    </row>
    <row r="579">
      <c r="A579" s="32" t="n">
        <v>578</v>
      </c>
      <c r="B579" s="31" t="n">
        <v>26814.3</v>
      </c>
      <c r="C579" s="30" t="inlineStr">
        <is>
          <t>AMR1</t>
        </is>
      </c>
      <c r="D579" s="30" t="inlineStr">
        <is>
          <t>AMR2</t>
        </is>
      </c>
      <c r="E579" s="30" t="inlineStr">
        <is>
          <t>경로충돌</t>
        </is>
      </c>
      <c r="F579" s="30" t="inlineStr">
        <is>
          <t>(17, 19)</t>
        </is>
      </c>
      <c r="G579" s="31" t="n">
        <v>28.7</v>
      </c>
      <c r="H579" s="30" t="inlineStr">
        <is>
          <t>O0550</t>
        </is>
      </c>
    </row>
    <row r="580">
      <c r="A580" s="32" t="n">
        <v>579</v>
      </c>
      <c r="B580" s="31" t="n">
        <v>26850.8</v>
      </c>
      <c r="C580" s="30" t="inlineStr">
        <is>
          <t>AMR1</t>
        </is>
      </c>
      <c r="D580" s="30" t="inlineStr">
        <is>
          <t>AMR2</t>
        </is>
      </c>
      <c r="E580" s="30" t="inlineStr">
        <is>
          <t>경로충돌</t>
        </is>
      </c>
      <c r="F580" s="30" t="inlineStr">
        <is>
          <t>(24, 9)</t>
        </is>
      </c>
      <c r="G580" s="31" t="n">
        <v>59.1</v>
      </c>
      <c r="H580" s="30" t="inlineStr">
        <is>
          <t>O0550 O0551</t>
        </is>
      </c>
    </row>
    <row r="581">
      <c r="A581" s="32" t="n">
        <v>580</v>
      </c>
      <c r="B581" s="31" t="n">
        <v>26851.2</v>
      </c>
      <c r="C581" s="30" t="inlineStr">
        <is>
          <t>AMR1</t>
        </is>
      </c>
      <c r="D581" s="30" t="inlineStr">
        <is>
          <t>AMR2</t>
        </is>
      </c>
      <c r="E581" s="30" t="inlineStr">
        <is>
          <t>정면충돌</t>
        </is>
      </c>
      <c r="F581" s="30" t="inlineStr">
        <is>
          <t>(24, 9)&lt;-&gt;(25, 9)</t>
        </is>
      </c>
      <c r="G581" s="31" t="n">
        <v>33.4</v>
      </c>
      <c r="H581" s="30" t="inlineStr">
        <is>
          <t>O0550 O0551</t>
        </is>
      </c>
    </row>
    <row r="582">
      <c r="A582" s="32" t="n">
        <v>581</v>
      </c>
      <c r="B582" s="31" t="n">
        <v>27221.6</v>
      </c>
      <c r="C582" s="30" t="inlineStr">
        <is>
          <t>AMR1</t>
        </is>
      </c>
      <c r="D582" s="30" t="inlineStr">
        <is>
          <t>AMR3</t>
        </is>
      </c>
      <c r="E582" s="30" t="inlineStr">
        <is>
          <t>경로충돌</t>
        </is>
      </c>
      <c r="F582" s="30" t="inlineStr">
        <is>
          <t>(18, 11)</t>
        </is>
      </c>
      <c r="G582" s="31" t="n">
        <v>48.2</v>
      </c>
      <c r="H582" s="30" t="inlineStr">
        <is>
          <t>O0557</t>
        </is>
      </c>
    </row>
    <row r="583">
      <c r="A583" s="32" t="n">
        <v>582</v>
      </c>
      <c r="B583" s="31" t="n">
        <v>27223.5</v>
      </c>
      <c r="C583" s="30" t="inlineStr">
        <is>
          <t>AMR1</t>
        </is>
      </c>
      <c r="D583" s="30" t="inlineStr">
        <is>
          <t>AMR3</t>
        </is>
      </c>
      <c r="E583" s="30" t="inlineStr">
        <is>
          <t>정면충돌</t>
        </is>
      </c>
      <c r="F583" s="30" t="inlineStr">
        <is>
          <t>(18, 10)&lt;-&gt;(18, 11)</t>
        </is>
      </c>
      <c r="G583" s="31" t="n">
        <v>36.1</v>
      </c>
      <c r="H583" s="30" t="inlineStr">
        <is>
          <t>O0557</t>
        </is>
      </c>
    </row>
    <row r="584">
      <c r="A584" s="32" t="n">
        <v>583</v>
      </c>
      <c r="B584" s="31" t="n">
        <v>27365.5</v>
      </c>
      <c r="C584" s="30" t="inlineStr">
        <is>
          <t>AMR1</t>
        </is>
      </c>
      <c r="D584" s="30" t="inlineStr">
        <is>
          <t>AMR2</t>
        </is>
      </c>
      <c r="E584" s="30" t="inlineStr">
        <is>
          <t>경로충돌</t>
        </is>
      </c>
      <c r="F584" s="30" t="inlineStr">
        <is>
          <t>(13, 19)</t>
        </is>
      </c>
      <c r="G584" s="31" t="n">
        <v>33.2</v>
      </c>
      <c r="H584" s="30" t="inlineStr">
        <is>
          <t>O0560</t>
        </is>
      </c>
    </row>
    <row r="585">
      <c r="A585" s="32" t="n">
        <v>584</v>
      </c>
      <c r="B585" s="31" t="n">
        <v>27366.2</v>
      </c>
      <c r="C585" s="30" t="inlineStr">
        <is>
          <t>AMR1</t>
        </is>
      </c>
      <c r="D585" s="30" t="inlineStr">
        <is>
          <t>AMR2</t>
        </is>
      </c>
      <c r="E585" s="30" t="inlineStr">
        <is>
          <t>정면충돌</t>
        </is>
      </c>
      <c r="F585" s="30" t="inlineStr">
        <is>
          <t>(12, 19)&lt;-&gt;(13, 19)</t>
        </is>
      </c>
      <c r="G585" s="31" t="n">
        <v>36.4</v>
      </c>
      <c r="H585" s="30" t="inlineStr">
        <is>
          <t>O0560</t>
        </is>
      </c>
    </row>
    <row r="586">
      <c r="A586" s="32" t="n">
        <v>585</v>
      </c>
      <c r="B586" s="31" t="n">
        <v>27444.6</v>
      </c>
      <c r="C586" s="30" t="inlineStr">
        <is>
          <t>AMR2</t>
        </is>
      </c>
      <c r="D586" s="30" t="inlineStr">
        <is>
          <t>AMR3</t>
        </is>
      </c>
      <c r="E586" s="30" t="inlineStr">
        <is>
          <t>경로충돌</t>
        </is>
      </c>
      <c r="F586" s="30" t="inlineStr">
        <is>
          <t>(17, 19)</t>
        </is>
      </c>
      <c r="G586" s="31" t="n">
        <v>38.6</v>
      </c>
      <c r="H586" s="30" t="inlineStr">
        <is>
          <t>O0562</t>
        </is>
      </c>
    </row>
    <row r="587">
      <c r="A587" s="32" t="n">
        <v>586</v>
      </c>
      <c r="B587" s="31" t="n">
        <v>27445.8</v>
      </c>
      <c r="C587" s="30" t="inlineStr">
        <is>
          <t>AMR2</t>
        </is>
      </c>
      <c r="D587" s="30" t="inlineStr">
        <is>
          <t>AMR3</t>
        </is>
      </c>
      <c r="E587" s="30" t="inlineStr">
        <is>
          <t>정면충돌</t>
        </is>
      </c>
      <c r="F587" s="30" t="inlineStr">
        <is>
          <t>(16, 19)&lt;-&gt;(17, 19)</t>
        </is>
      </c>
      <c r="G587" s="31" t="n">
        <v>36.6</v>
      </c>
      <c r="H587" s="30" t="inlineStr">
        <is>
          <t>O0562</t>
        </is>
      </c>
    </row>
    <row r="588">
      <c r="A588" s="32" t="n">
        <v>587</v>
      </c>
      <c r="B588" s="31" t="n">
        <v>27453.1</v>
      </c>
      <c r="C588" s="30" t="inlineStr">
        <is>
          <t>AMR1</t>
        </is>
      </c>
      <c r="D588" s="30" t="inlineStr">
        <is>
          <t>AMR2</t>
        </is>
      </c>
      <c r="E588" s="30" t="inlineStr">
        <is>
          <t>경로충돌</t>
        </is>
      </c>
      <c r="F588" s="30" t="inlineStr">
        <is>
          <t>(18, 16)</t>
        </is>
      </c>
      <c r="G588" s="31" t="n">
        <v>57.1</v>
      </c>
      <c r="H588" s="30" t="inlineStr">
        <is>
          <t>O0562</t>
        </is>
      </c>
    </row>
    <row r="589">
      <c r="A589" s="32" t="n">
        <v>588</v>
      </c>
      <c r="B589" s="31" t="n">
        <v>27552.2</v>
      </c>
      <c r="C589" s="30" t="inlineStr">
        <is>
          <t>AMR1</t>
        </is>
      </c>
      <c r="D589" s="30" t="inlineStr">
        <is>
          <t>AMR3</t>
        </is>
      </c>
      <c r="E589" s="30" t="inlineStr">
        <is>
          <t>경로충돌</t>
        </is>
      </c>
      <c r="F589" s="30" t="inlineStr">
        <is>
          <t>(5, 9)</t>
        </is>
      </c>
      <c r="G589" s="31" t="n">
        <v>23.6</v>
      </c>
      <c r="H589" s="30" t="inlineStr">
        <is>
          <t>O0563 O0564</t>
        </is>
      </c>
    </row>
    <row r="590">
      <c r="A590" s="32" t="n">
        <v>589</v>
      </c>
      <c r="B590" s="31" t="n">
        <v>27571.4</v>
      </c>
      <c r="C590" s="30" t="inlineStr">
        <is>
          <t>AMR1</t>
        </is>
      </c>
      <c r="D590" s="30" t="inlineStr">
        <is>
          <t>AMR2</t>
        </is>
      </c>
      <c r="E590" s="30" t="inlineStr">
        <is>
          <t>정면충돌</t>
        </is>
      </c>
      <c r="F590" s="30" t="inlineStr">
        <is>
          <t>(2, 9)&lt;-&gt;(3, 9)</t>
        </is>
      </c>
      <c r="G590" s="31" t="n">
        <v>53.3</v>
      </c>
      <c r="H590" s="30" t="inlineStr">
        <is>
          <t>O0564 O0565</t>
        </is>
      </c>
    </row>
    <row r="591">
      <c r="A591" s="32" t="n">
        <v>590</v>
      </c>
      <c r="B591" s="31" t="n">
        <v>27639.7</v>
      </c>
      <c r="C591" s="30" t="inlineStr">
        <is>
          <t>AMR2</t>
        </is>
      </c>
      <c r="D591" s="30" t="inlineStr">
        <is>
          <t>AMR3</t>
        </is>
      </c>
      <c r="E591" s="30" t="inlineStr">
        <is>
          <t>경로충돌</t>
        </is>
      </c>
      <c r="F591" s="30" t="inlineStr">
        <is>
          <t>(5, 9)</t>
        </is>
      </c>
      <c r="G591" s="31" t="n">
        <v>48.6</v>
      </c>
      <c r="H591" s="30" t="inlineStr">
        <is>
          <t>O0565 O0566</t>
        </is>
      </c>
    </row>
    <row r="592">
      <c r="A592" s="32" t="n">
        <v>591</v>
      </c>
      <c r="B592" s="31" t="n">
        <v>27640.8</v>
      </c>
      <c r="C592" s="30" t="inlineStr">
        <is>
          <t>AMR2</t>
        </is>
      </c>
      <c r="D592" s="30" t="inlineStr">
        <is>
          <t>AMR3</t>
        </is>
      </c>
      <c r="E592" s="30" t="inlineStr">
        <is>
          <t>정면충돌</t>
        </is>
      </c>
      <c r="F592" s="30" t="inlineStr">
        <is>
          <t>(4, 9)&lt;-&gt;(5, 9)</t>
        </is>
      </c>
      <c r="G592" s="31" t="n">
        <v>53.5</v>
      </c>
      <c r="H592" s="30" t="inlineStr">
        <is>
          <t>O0565 O0566</t>
        </is>
      </c>
    </row>
    <row r="593">
      <c r="A593" s="32" t="n">
        <v>592</v>
      </c>
      <c r="B593" s="31" t="n">
        <v>27701.5</v>
      </c>
      <c r="C593" s="30" t="inlineStr">
        <is>
          <t>AMR1</t>
        </is>
      </c>
      <c r="D593" s="30" t="inlineStr">
        <is>
          <t>AMR3</t>
        </is>
      </c>
      <c r="E593" s="30" t="inlineStr">
        <is>
          <t>정면충돌</t>
        </is>
      </c>
      <c r="F593" s="30" t="inlineStr">
        <is>
          <t>(16, 19)&lt;-&gt;(17, 19)</t>
        </is>
      </c>
      <c r="G593" s="31" t="n">
        <v>51.5</v>
      </c>
      <c r="H593" s="30" t="inlineStr">
        <is>
          <t>O0567</t>
        </is>
      </c>
    </row>
    <row r="594">
      <c r="A594" s="32" t="n">
        <v>593</v>
      </c>
      <c r="B594" s="31" t="n">
        <v>27839.9</v>
      </c>
      <c r="C594" s="30" t="inlineStr">
        <is>
          <t>AMR1</t>
        </is>
      </c>
      <c r="D594" s="30" t="inlineStr">
        <is>
          <t>AMR3</t>
        </is>
      </c>
      <c r="E594" s="30" t="inlineStr">
        <is>
          <t>경로충돌</t>
        </is>
      </c>
      <c r="F594" s="30" t="inlineStr">
        <is>
          <t>(12, 17)</t>
        </is>
      </c>
      <c r="G594" s="31" t="n">
        <v>54.6</v>
      </c>
      <c r="H594" s="30" t="inlineStr">
        <is>
          <t>O0570</t>
        </is>
      </c>
    </row>
    <row r="595">
      <c r="A595" s="32" t="n">
        <v>594</v>
      </c>
      <c r="B595" s="31" t="n">
        <v>27840.1</v>
      </c>
      <c r="C595" s="30" t="inlineStr">
        <is>
          <t>AMR1</t>
        </is>
      </c>
      <c r="D595" s="30" t="inlineStr">
        <is>
          <t>AMR3</t>
        </is>
      </c>
      <c r="E595" s="30" t="inlineStr">
        <is>
          <t>정면충돌</t>
        </is>
      </c>
      <c r="F595" s="30" t="inlineStr">
        <is>
          <t>(12, 16)&lt;-&gt;(12, 17)</t>
        </is>
      </c>
      <c r="G595" s="31" t="n">
        <v>23.3</v>
      </c>
      <c r="H595" s="30" t="inlineStr">
        <is>
          <t>O0570</t>
        </is>
      </c>
    </row>
    <row r="596">
      <c r="A596" s="32" t="n">
        <v>595</v>
      </c>
      <c r="B596" s="31" t="n">
        <v>27864.8</v>
      </c>
      <c r="C596" s="30" t="inlineStr">
        <is>
          <t>AMR2</t>
        </is>
      </c>
      <c r="D596" s="30" t="inlineStr">
        <is>
          <t>AMR3</t>
        </is>
      </c>
      <c r="E596" s="30" t="inlineStr">
        <is>
          <t>경로충돌</t>
        </is>
      </c>
      <c r="F596" s="30" t="inlineStr">
        <is>
          <t>(12, 9)</t>
        </is>
      </c>
      <c r="G596" s="31" t="n">
        <v>33.8</v>
      </c>
      <c r="H596" s="30" t="inlineStr">
        <is>
          <t>O0569 O0570</t>
        </is>
      </c>
    </row>
    <row r="597">
      <c r="A597" s="32" t="n">
        <v>596</v>
      </c>
      <c r="B597" s="31" t="n">
        <v>27913.7</v>
      </c>
      <c r="C597" s="30" t="inlineStr">
        <is>
          <t>AMR1</t>
        </is>
      </c>
      <c r="D597" s="30" t="inlineStr">
        <is>
          <t>AMR2</t>
        </is>
      </c>
      <c r="E597" s="30" t="inlineStr">
        <is>
          <t>경로충돌</t>
        </is>
      </c>
      <c r="F597" s="30" t="inlineStr">
        <is>
          <t>(13, 19)</t>
        </is>
      </c>
      <c r="G597" s="31" t="n">
        <v>44.6</v>
      </c>
      <c r="H597" s="30" t="inlineStr">
        <is>
          <t>O0571</t>
        </is>
      </c>
    </row>
    <row r="598">
      <c r="A598" s="32" t="n">
        <v>597</v>
      </c>
      <c r="B598" s="31" t="n">
        <v>27914.6</v>
      </c>
      <c r="C598" s="30" t="inlineStr">
        <is>
          <t>AMR1</t>
        </is>
      </c>
      <c r="D598" s="30" t="inlineStr">
        <is>
          <t>AMR2</t>
        </is>
      </c>
      <c r="E598" s="30" t="inlineStr">
        <is>
          <t>정면충돌</t>
        </is>
      </c>
      <c r="F598" s="30" t="inlineStr">
        <is>
          <t>(13, 19)&lt;-&gt;(14, 19)</t>
        </is>
      </c>
      <c r="G598" s="31" t="n">
        <v>54.6</v>
      </c>
      <c r="H598" s="30" t="inlineStr">
        <is>
          <t>O0571</t>
        </is>
      </c>
    </row>
    <row r="599">
      <c r="A599" s="32" t="n">
        <v>598</v>
      </c>
      <c r="B599" s="31" t="n">
        <v>28125.1</v>
      </c>
      <c r="C599" s="30" t="inlineStr">
        <is>
          <t>AMR1</t>
        </is>
      </c>
      <c r="D599" s="30" t="inlineStr">
        <is>
          <t>AMR2</t>
        </is>
      </c>
      <c r="E599" s="30" t="inlineStr">
        <is>
          <t>경로충돌</t>
        </is>
      </c>
      <c r="F599" s="30" t="inlineStr">
        <is>
          <t>(18, 13)</t>
        </is>
      </c>
      <c r="G599" s="31" t="n">
        <v>20.4</v>
      </c>
      <c r="H599" s="30" t="inlineStr">
        <is>
          <t>O0575</t>
        </is>
      </c>
    </row>
    <row r="600">
      <c r="A600" s="32" t="n">
        <v>599</v>
      </c>
      <c r="B600" s="31" t="n">
        <v>28125.7</v>
      </c>
      <c r="C600" s="30" t="inlineStr">
        <is>
          <t>AMR1</t>
        </is>
      </c>
      <c r="D600" s="30" t="inlineStr">
        <is>
          <t>AMR2</t>
        </is>
      </c>
      <c r="E600" s="30" t="inlineStr">
        <is>
          <t>정면충돌</t>
        </is>
      </c>
      <c r="F600" s="30" t="inlineStr">
        <is>
          <t>(18, 12)&lt;-&gt;(18, 13)</t>
        </is>
      </c>
      <c r="G600" s="31" t="n">
        <v>34.1</v>
      </c>
      <c r="H600" s="30" t="inlineStr">
        <is>
          <t>O0575</t>
        </is>
      </c>
    </row>
    <row r="601">
      <c r="A601" s="32" t="n">
        <v>600</v>
      </c>
      <c r="B601" s="31" t="n">
        <v>28357.7</v>
      </c>
      <c r="C601" s="30" t="inlineStr">
        <is>
          <t>AMR2</t>
        </is>
      </c>
      <c r="D601" s="30" t="inlineStr">
        <is>
          <t>AMR3</t>
        </is>
      </c>
      <c r="E601" s="30" t="inlineStr">
        <is>
          <t>정면충돌</t>
        </is>
      </c>
      <c r="F601" s="30" t="inlineStr">
        <is>
          <t>(16, 19)&lt;-&gt;(17, 19)</t>
        </is>
      </c>
      <c r="G601" s="31" t="n">
        <v>27.8</v>
      </c>
      <c r="H601" s="30" t="inlineStr">
        <is>
          <t>O0580</t>
        </is>
      </c>
    </row>
    <row r="602">
      <c r="A602" s="32" t="n">
        <v>601</v>
      </c>
      <c r="B602" s="31" t="n">
        <v>28859.2</v>
      </c>
      <c r="C602" s="30" t="inlineStr">
        <is>
          <t>AMR2</t>
        </is>
      </c>
      <c r="D602" s="30" t="inlineStr">
        <is>
          <t>AMR3</t>
        </is>
      </c>
      <c r="E602" s="30" t="inlineStr">
        <is>
          <t>경로충돌</t>
        </is>
      </c>
      <c r="F602" s="30" t="inlineStr">
        <is>
          <t>(13, 19)</t>
        </is>
      </c>
      <c r="G602" s="31" t="n">
        <v>30.9</v>
      </c>
      <c r="H602" s="30" t="inlineStr">
        <is>
          <t>O0590</t>
        </is>
      </c>
    </row>
    <row r="603">
      <c r="A603" s="32" t="n">
        <v>602</v>
      </c>
      <c r="B603" s="31" t="n">
        <v>28859.8</v>
      </c>
      <c r="C603" s="30" t="inlineStr">
        <is>
          <t>AMR2</t>
        </is>
      </c>
      <c r="D603" s="30" t="inlineStr">
        <is>
          <t>AMR3</t>
        </is>
      </c>
      <c r="E603" s="30" t="inlineStr">
        <is>
          <t>정면충돌</t>
        </is>
      </c>
      <c r="F603" s="30" t="inlineStr">
        <is>
          <t>(12, 19)&lt;-&gt;(13, 19)</t>
        </is>
      </c>
      <c r="G603" s="31" t="n">
        <v>51.4</v>
      </c>
      <c r="H603" s="30" t="inlineStr">
        <is>
          <t>O0590</t>
        </is>
      </c>
    </row>
    <row r="604">
      <c r="A604" s="32" t="n">
        <v>603</v>
      </c>
      <c r="B604" s="31" t="n">
        <v>28988.6</v>
      </c>
      <c r="C604" s="30" t="inlineStr">
        <is>
          <t>AMR1</t>
        </is>
      </c>
      <c r="D604" s="30" t="inlineStr">
        <is>
          <t>AMR3</t>
        </is>
      </c>
      <c r="E604" s="30" t="inlineStr">
        <is>
          <t>정면충돌</t>
        </is>
      </c>
      <c r="F604" s="30" t="inlineStr">
        <is>
          <t>(24, 9)&lt;-&gt;(25, 9)</t>
        </is>
      </c>
      <c r="G604" s="31" t="n">
        <v>44.8</v>
      </c>
      <c r="H604" s="30" t="inlineStr">
        <is>
          <t>O0594</t>
        </is>
      </c>
    </row>
    <row r="605">
      <c r="A605" s="32" t="n">
        <v>604</v>
      </c>
      <c r="B605" s="31" t="n">
        <v>29015.5</v>
      </c>
      <c r="C605" s="30" t="inlineStr">
        <is>
          <t>AMR1</t>
        </is>
      </c>
      <c r="D605" s="30" t="inlineStr">
        <is>
          <t>AMR2</t>
        </is>
      </c>
      <c r="E605" s="30" t="inlineStr">
        <is>
          <t>정면충돌</t>
        </is>
      </c>
      <c r="F605" s="30" t="inlineStr">
        <is>
          <t>(17, 19)&lt;-&gt;(18, 19)</t>
        </is>
      </c>
      <c r="G605" s="31" t="n">
        <v>58.9</v>
      </c>
      <c r="H605" s="30" t="inlineStr">
        <is>
          <t>O0593</t>
        </is>
      </c>
    </row>
    <row r="606">
      <c r="A606" s="32" t="n">
        <v>605</v>
      </c>
      <c r="B606" s="31" t="n">
        <v>29020.8</v>
      </c>
      <c r="C606" s="30" t="inlineStr">
        <is>
          <t>AMR1</t>
        </is>
      </c>
      <c r="D606" s="30" t="inlineStr">
        <is>
          <t>AMR3</t>
        </is>
      </c>
      <c r="E606" s="30" t="inlineStr">
        <is>
          <t>경로충돌</t>
        </is>
      </c>
      <c r="F606" s="30" t="inlineStr">
        <is>
          <t>(17, 16)</t>
        </is>
      </c>
      <c r="G606" s="31" t="n">
        <v>43.2</v>
      </c>
      <c r="H606" s="30" t="inlineStr">
        <is>
          <t>O0593</t>
        </is>
      </c>
    </row>
    <row r="607">
      <c r="A607" s="32" t="n">
        <v>606</v>
      </c>
      <c r="B607" s="31" t="n">
        <v>29021.1</v>
      </c>
      <c r="C607" s="30" t="inlineStr">
        <is>
          <t>AMR1</t>
        </is>
      </c>
      <c r="D607" s="30" t="inlineStr">
        <is>
          <t>AMR3</t>
        </is>
      </c>
      <c r="E607" s="30" t="inlineStr">
        <is>
          <t>정면충돌</t>
        </is>
      </c>
      <c r="F607" s="30" t="inlineStr">
        <is>
          <t>(17, 16)&lt;-&gt;(17, 17)</t>
        </is>
      </c>
      <c r="G607" s="31" t="n">
        <v>22.2</v>
      </c>
      <c r="H607" s="30" t="inlineStr">
        <is>
          <t>O0593</t>
        </is>
      </c>
    </row>
    <row r="608">
      <c r="A608" s="32" t="n">
        <v>607</v>
      </c>
      <c r="B608" s="31" t="n">
        <v>29052.1</v>
      </c>
      <c r="C608" s="30" t="inlineStr">
        <is>
          <t>AMR1</t>
        </is>
      </c>
      <c r="D608" s="30" t="inlineStr">
        <is>
          <t>AMR2</t>
        </is>
      </c>
      <c r="E608" s="30" t="inlineStr">
        <is>
          <t>정면충돌</t>
        </is>
      </c>
      <c r="F608" s="30" t="inlineStr">
        <is>
          <t>(26, 9)&lt;-&gt;(27, 9)</t>
        </is>
      </c>
      <c r="G608" s="31" t="n">
        <v>30.1</v>
      </c>
      <c r="H608" s="30" t="inlineStr">
        <is>
          <t>O0593 O0594</t>
        </is>
      </c>
    </row>
    <row r="609">
      <c r="A609" s="32" t="n">
        <v>608</v>
      </c>
      <c r="B609" s="31" t="n">
        <v>29144</v>
      </c>
      <c r="C609" s="30" t="inlineStr">
        <is>
          <t>AMR1</t>
        </is>
      </c>
      <c r="D609" s="30" t="inlineStr">
        <is>
          <t>AMR3</t>
        </is>
      </c>
      <c r="E609" s="30" t="inlineStr">
        <is>
          <t>경로충돌</t>
        </is>
      </c>
      <c r="F609" s="30" t="inlineStr">
        <is>
          <t>(18, 9)</t>
        </is>
      </c>
      <c r="G609" s="31" t="n">
        <v>34.1</v>
      </c>
      <c r="H609" s="30" t="inlineStr">
        <is>
          <t>O0595 O0596</t>
        </is>
      </c>
    </row>
    <row r="610">
      <c r="A610" s="32" t="n">
        <v>609</v>
      </c>
      <c r="B610" s="31" t="n">
        <v>29145.3</v>
      </c>
      <c r="C610" s="30" t="inlineStr">
        <is>
          <t>AMR1</t>
        </is>
      </c>
      <c r="D610" s="30" t="inlineStr">
        <is>
          <t>AMR3</t>
        </is>
      </c>
      <c r="E610" s="30" t="inlineStr">
        <is>
          <t>정면충돌</t>
        </is>
      </c>
      <c r="F610" s="30" t="inlineStr">
        <is>
          <t>(18, 9)&lt;-&gt;(19, 9)</t>
        </is>
      </c>
      <c r="G610" s="31" t="n">
        <v>24.1</v>
      </c>
      <c r="H610" s="30" t="inlineStr">
        <is>
          <t>O0595 O0596</t>
        </is>
      </c>
    </row>
    <row r="611">
      <c r="A611" s="32" t="n">
        <v>610</v>
      </c>
      <c r="B611" s="31" t="n">
        <v>29188</v>
      </c>
      <c r="C611" s="30" t="inlineStr">
        <is>
          <t>AMR1</t>
        </is>
      </c>
      <c r="D611" s="30" t="inlineStr">
        <is>
          <t>AMR3</t>
        </is>
      </c>
      <c r="E611" s="30" t="inlineStr">
        <is>
          <t>경로충돌</t>
        </is>
      </c>
      <c r="F611" s="30" t="inlineStr">
        <is>
          <t>(18, 13)</t>
        </is>
      </c>
      <c r="G611" s="31" t="n">
        <v>51.3</v>
      </c>
      <c r="H611" s="30" t="inlineStr">
        <is>
          <t>O0596</t>
        </is>
      </c>
    </row>
    <row r="612">
      <c r="A612" s="32" t="n">
        <v>611</v>
      </c>
      <c r="B612" s="31" t="n">
        <v>29188.3</v>
      </c>
      <c r="C612" s="30" t="inlineStr">
        <is>
          <t>AMR1</t>
        </is>
      </c>
      <c r="D612" s="30" t="inlineStr">
        <is>
          <t>AMR3</t>
        </is>
      </c>
      <c r="E612" s="30" t="inlineStr">
        <is>
          <t>정면충돌</t>
        </is>
      </c>
      <c r="F612" s="30" t="inlineStr">
        <is>
          <t>(18, 13)&lt;-&gt;(18, 14)</t>
        </is>
      </c>
      <c r="G612" s="31" t="n">
        <v>59.3</v>
      </c>
      <c r="H612" s="30" t="inlineStr">
        <is>
          <t>O0596</t>
        </is>
      </c>
    </row>
    <row r="613">
      <c r="A613" s="32" t="n">
        <v>612</v>
      </c>
      <c r="B613" s="31" t="n">
        <v>29193.8</v>
      </c>
      <c r="C613" s="30" t="inlineStr">
        <is>
          <t>AMR1</t>
        </is>
      </c>
      <c r="D613" s="30" t="inlineStr">
        <is>
          <t>AMR2</t>
        </is>
      </c>
      <c r="E613" s="30" t="inlineStr">
        <is>
          <t>경로충돌</t>
        </is>
      </c>
      <c r="F613" s="30" t="inlineStr">
        <is>
          <t>(17, 13)</t>
        </is>
      </c>
      <c r="G613" s="31" t="n">
        <v>56.1</v>
      </c>
      <c r="H613" s="30" t="inlineStr">
        <is>
          <t>O0596</t>
        </is>
      </c>
    </row>
    <row r="614">
      <c r="A614" s="32" t="n">
        <v>613</v>
      </c>
      <c r="B614" s="31" t="n">
        <v>29194.4</v>
      </c>
      <c r="C614" s="30" t="inlineStr">
        <is>
          <t>AMR1</t>
        </is>
      </c>
      <c r="D614" s="30" t="inlineStr">
        <is>
          <t>AMR2</t>
        </is>
      </c>
      <c r="E614" s="30" t="inlineStr">
        <is>
          <t>정면충돌</t>
        </is>
      </c>
      <c r="F614" s="30" t="inlineStr">
        <is>
          <t>(17, 12)&lt;-&gt;(17, 13)</t>
        </is>
      </c>
      <c r="G614" s="31" t="n">
        <v>20.6</v>
      </c>
      <c r="H614" s="30" t="inlineStr">
        <is>
          <t>O0596</t>
        </is>
      </c>
    </row>
    <row r="615">
      <c r="A615" s="32" t="n">
        <v>614</v>
      </c>
      <c r="B615" s="31" t="n">
        <v>29297.8</v>
      </c>
      <c r="C615" s="30" t="inlineStr">
        <is>
          <t>AMR1</t>
        </is>
      </c>
      <c r="D615" s="30" t="inlineStr">
        <is>
          <t>AMR2</t>
        </is>
      </c>
      <c r="E615" s="30" t="inlineStr">
        <is>
          <t>정면충돌</t>
        </is>
      </c>
      <c r="F615" s="30" t="inlineStr">
        <is>
          <t>(7, 11)&lt;-&gt;(8, 11)</t>
        </is>
      </c>
      <c r="G615" s="31" t="n">
        <v>52.7</v>
      </c>
      <c r="H615" s="30" t="inlineStr">
        <is>
          <t>O0598 O0599</t>
        </is>
      </c>
    </row>
    <row r="616">
      <c r="A616" s="32" t="n">
        <v>615</v>
      </c>
      <c r="B616" s="31" t="n">
        <v>29434.8</v>
      </c>
      <c r="C616" s="30" t="inlineStr">
        <is>
          <t>AMR2</t>
        </is>
      </c>
      <c r="D616" s="30" t="inlineStr">
        <is>
          <t>AMR3</t>
        </is>
      </c>
      <c r="E616" s="30" t="inlineStr">
        <is>
          <t>경로충돌</t>
        </is>
      </c>
      <c r="F616" s="30" t="inlineStr">
        <is>
          <t>(18, 16)</t>
        </is>
      </c>
      <c r="G616" s="31" t="n">
        <v>57.9</v>
      </c>
      <c r="H616" s="30" t="inlineStr">
        <is>
          <t>O0602</t>
        </is>
      </c>
    </row>
    <row r="617">
      <c r="A617" s="32" t="n">
        <v>616</v>
      </c>
      <c r="B617" s="31" t="n">
        <v>29436.3</v>
      </c>
      <c r="C617" s="30" t="inlineStr">
        <is>
          <t>AMR2</t>
        </is>
      </c>
      <c r="D617" s="30" t="inlineStr">
        <is>
          <t>AMR3</t>
        </is>
      </c>
      <c r="E617" s="30" t="inlineStr">
        <is>
          <t>정면충돌</t>
        </is>
      </c>
      <c r="F617" s="30" t="inlineStr">
        <is>
          <t>(18, 15)&lt;-&gt;(18, 16)</t>
        </is>
      </c>
      <c r="G617" s="31" t="n">
        <v>28.8</v>
      </c>
      <c r="H617" s="30" t="inlineStr">
        <is>
          <t>O0602</t>
        </is>
      </c>
    </row>
    <row r="618">
      <c r="A618" s="32" t="n">
        <v>617</v>
      </c>
      <c r="B618" s="31" t="n">
        <v>29483.6</v>
      </c>
      <c r="C618" s="30" t="inlineStr">
        <is>
          <t>AMR1</t>
        </is>
      </c>
      <c r="D618" s="30" t="inlineStr">
        <is>
          <t>AMR2</t>
        </is>
      </c>
      <c r="E618" s="30" t="inlineStr">
        <is>
          <t>경로충돌</t>
        </is>
      </c>
      <c r="F618" s="30" t="inlineStr">
        <is>
          <t>(18, 16)</t>
        </is>
      </c>
      <c r="G618" s="31" t="n">
        <v>29.6</v>
      </c>
      <c r="H618" s="30" t="inlineStr">
        <is>
          <t>O0602</t>
        </is>
      </c>
    </row>
    <row r="619">
      <c r="A619" s="32" t="n">
        <v>618</v>
      </c>
      <c r="B619" s="31" t="n">
        <v>29484.6</v>
      </c>
      <c r="C619" s="30" t="inlineStr">
        <is>
          <t>AMR1</t>
        </is>
      </c>
      <c r="D619" s="30" t="inlineStr">
        <is>
          <t>AMR2</t>
        </is>
      </c>
      <c r="E619" s="30" t="inlineStr">
        <is>
          <t>정면충돌</t>
        </is>
      </c>
      <c r="F619" s="30" t="inlineStr">
        <is>
          <t>(18, 15)&lt;-&gt;(18, 16)</t>
        </is>
      </c>
      <c r="G619" s="31" t="n">
        <v>27.8</v>
      </c>
      <c r="H619" s="30" t="inlineStr">
        <is>
          <t>O0602</t>
        </is>
      </c>
    </row>
    <row r="620">
      <c r="A620" s="32" t="n">
        <v>619</v>
      </c>
      <c r="B620" s="31" t="n">
        <v>29577</v>
      </c>
      <c r="C620" s="30" t="inlineStr">
        <is>
          <t>AMR1</t>
        </is>
      </c>
      <c r="D620" s="30" t="inlineStr">
        <is>
          <t>AMR2</t>
        </is>
      </c>
      <c r="E620" s="30" t="inlineStr">
        <is>
          <t>정면충돌</t>
        </is>
      </c>
      <c r="F620" s="30" t="inlineStr">
        <is>
          <t>(18, 12)&lt;-&gt;(18, 13)</t>
        </is>
      </c>
      <c r="G620" s="31" t="n">
        <v>36.4</v>
      </c>
      <c r="H620" s="30" t="inlineStr">
        <is>
          <t>O0605</t>
        </is>
      </c>
    </row>
    <row r="621">
      <c r="A621" s="32" t="n">
        <v>620</v>
      </c>
      <c r="B621" s="31" t="n">
        <v>29621.2</v>
      </c>
      <c r="C621" s="30" t="inlineStr">
        <is>
          <t>AMR2</t>
        </is>
      </c>
      <c r="D621" s="30" t="inlineStr">
        <is>
          <t>AMR3</t>
        </is>
      </c>
      <c r="E621" s="30" t="inlineStr">
        <is>
          <t>정면충돌</t>
        </is>
      </c>
      <c r="F621" s="30" t="inlineStr">
        <is>
          <t>(18, 12)&lt;-&gt;(18, 13)</t>
        </is>
      </c>
      <c r="G621" s="31" t="n">
        <v>54.8</v>
      </c>
      <c r="H621" s="30" t="inlineStr">
        <is>
          <t>O0605</t>
        </is>
      </c>
    </row>
    <row r="622">
      <c r="A622" s="32" t="n">
        <v>621</v>
      </c>
      <c r="B622" s="31" t="n">
        <v>29752.1</v>
      </c>
      <c r="C622" s="30" t="inlineStr">
        <is>
          <t>AMR1</t>
        </is>
      </c>
      <c r="D622" s="30" t="inlineStr">
        <is>
          <t>AMR3</t>
        </is>
      </c>
      <c r="E622" s="30" t="inlineStr">
        <is>
          <t>정면충돌</t>
        </is>
      </c>
      <c r="F622" s="30" t="inlineStr">
        <is>
          <t>(1, 9)&lt;-&gt;(2, 9)</t>
        </is>
      </c>
      <c r="G622" s="31" t="n">
        <v>53</v>
      </c>
      <c r="H622" s="30" t="inlineStr">
        <is>
          <t>O0609</t>
        </is>
      </c>
    </row>
    <row r="623">
      <c r="A623" s="32" t="n">
        <v>622</v>
      </c>
      <c r="B623" s="31" t="n">
        <v>29819.4</v>
      </c>
      <c r="C623" s="30" t="inlineStr">
        <is>
          <t>AMR1</t>
        </is>
      </c>
      <c r="D623" s="30" t="inlineStr">
        <is>
          <t>AMR2</t>
        </is>
      </c>
      <c r="E623" s="30" t="inlineStr">
        <is>
          <t>경로충돌</t>
        </is>
      </c>
      <c r="F623" s="30" t="inlineStr">
        <is>
          <t>(12, 9)</t>
        </is>
      </c>
      <c r="G623" s="31" t="n">
        <v>24.8</v>
      </c>
      <c r="H623" s="30" t="inlineStr">
        <is>
          <t>O0608 O0609</t>
        </is>
      </c>
    </row>
    <row r="624">
      <c r="A624" s="32" t="n">
        <v>623</v>
      </c>
      <c r="B624" s="31" t="n">
        <v>29907.6</v>
      </c>
      <c r="C624" s="30" t="inlineStr">
        <is>
          <t>AMR1</t>
        </is>
      </c>
      <c r="D624" s="30" t="inlineStr">
        <is>
          <t>AMR2</t>
        </is>
      </c>
      <c r="E624" s="30" t="inlineStr">
        <is>
          <t>경로충돌</t>
        </is>
      </c>
      <c r="F624" s="30" t="inlineStr">
        <is>
          <t>(25, 11)</t>
        </is>
      </c>
      <c r="G624" s="31" t="n">
        <v>24.9</v>
      </c>
      <c r="H624" s="30" t="inlineStr">
        <is>
          <t>O0612</t>
        </is>
      </c>
    </row>
    <row r="625">
      <c r="A625" s="32" t="n">
        <v>624</v>
      </c>
      <c r="B625" s="31" t="n">
        <v>29909.1</v>
      </c>
      <c r="C625" s="30" t="inlineStr">
        <is>
          <t>AMR1</t>
        </is>
      </c>
      <c r="D625" s="30" t="inlineStr">
        <is>
          <t>AMR2</t>
        </is>
      </c>
      <c r="E625" s="30" t="inlineStr">
        <is>
          <t>정면충돌</t>
        </is>
      </c>
      <c r="F625" s="30" t="inlineStr">
        <is>
          <t>(25, 11)&lt;-&gt;(26, 11)</t>
        </is>
      </c>
      <c r="G625" s="31" t="n">
        <v>51.9</v>
      </c>
      <c r="H625" s="30" t="inlineStr">
        <is>
          <t>O0612</t>
        </is>
      </c>
    </row>
    <row r="626">
      <c r="A626" s="32" t="n">
        <v>625</v>
      </c>
      <c r="B626" s="31" t="n">
        <v>30011.1</v>
      </c>
      <c r="C626" s="30" t="inlineStr">
        <is>
          <t>AMR1</t>
        </is>
      </c>
      <c r="D626" s="30" t="inlineStr">
        <is>
          <t>AMR3</t>
        </is>
      </c>
      <c r="E626" s="30" t="inlineStr">
        <is>
          <t>경로충돌</t>
        </is>
      </c>
      <c r="F626" s="30" t="inlineStr">
        <is>
          <t>(15, 19)</t>
        </is>
      </c>
      <c r="G626" s="31" t="n">
        <v>54.8</v>
      </c>
      <c r="H626" s="30" t="inlineStr"/>
    </row>
    <row r="627">
      <c r="A627" s="32" t="n">
        <v>626</v>
      </c>
      <c r="B627" s="31" t="n">
        <v>30100.5</v>
      </c>
      <c r="C627" s="30" t="inlineStr">
        <is>
          <t>AMR1</t>
        </is>
      </c>
      <c r="D627" s="30" t="inlineStr">
        <is>
          <t>AMR2</t>
        </is>
      </c>
      <c r="E627" s="30" t="inlineStr">
        <is>
          <t>경로충돌</t>
        </is>
      </c>
      <c r="F627" s="30" t="inlineStr">
        <is>
          <t>(14, 19)</t>
        </is>
      </c>
      <c r="G627" s="31" t="n">
        <v>51.7</v>
      </c>
      <c r="H627" s="30" t="inlineStr">
        <is>
          <t>O0615</t>
        </is>
      </c>
    </row>
    <row r="628">
      <c r="A628" s="32" t="n">
        <v>627</v>
      </c>
      <c r="B628" s="31" t="n">
        <v>30101.1</v>
      </c>
      <c r="C628" s="30" t="inlineStr">
        <is>
          <t>AMR1</t>
        </is>
      </c>
      <c r="D628" s="30" t="inlineStr">
        <is>
          <t>AMR2</t>
        </is>
      </c>
      <c r="E628" s="30" t="inlineStr">
        <is>
          <t>정면충돌</t>
        </is>
      </c>
      <c r="F628" s="30" t="inlineStr">
        <is>
          <t>(14, 19)&lt;-&gt;(15, 19)</t>
        </is>
      </c>
      <c r="G628" s="31" t="n">
        <v>32</v>
      </c>
      <c r="H628" s="30" t="inlineStr">
        <is>
          <t>O0615</t>
        </is>
      </c>
    </row>
    <row r="629">
      <c r="A629" s="32" t="n">
        <v>628</v>
      </c>
      <c r="B629" s="31" t="n">
        <v>30336.2</v>
      </c>
      <c r="C629" s="30" t="inlineStr">
        <is>
          <t>AMR1</t>
        </is>
      </c>
      <c r="D629" s="30" t="inlineStr">
        <is>
          <t>AMR2</t>
        </is>
      </c>
      <c r="E629" s="30" t="inlineStr">
        <is>
          <t>경로충돌</t>
        </is>
      </c>
      <c r="F629" s="30" t="inlineStr">
        <is>
          <t>(18, 12)</t>
        </is>
      </c>
      <c r="G629" s="31" t="n">
        <v>40.5</v>
      </c>
      <c r="H629" s="30" t="inlineStr">
        <is>
          <t>O0620</t>
        </is>
      </c>
    </row>
    <row r="630">
      <c r="A630" s="32" t="n">
        <v>629</v>
      </c>
      <c r="B630" s="31" t="n">
        <v>30336.5</v>
      </c>
      <c r="C630" s="30" t="inlineStr">
        <is>
          <t>AMR1</t>
        </is>
      </c>
      <c r="D630" s="30" t="inlineStr">
        <is>
          <t>AMR2</t>
        </is>
      </c>
      <c r="E630" s="30" t="inlineStr">
        <is>
          <t>정면충돌</t>
        </is>
      </c>
      <c r="F630" s="30" t="inlineStr">
        <is>
          <t>(18, 12)&lt;-&gt;(18, 13)</t>
        </is>
      </c>
      <c r="G630" s="31" t="n">
        <v>53.9</v>
      </c>
      <c r="H630" s="30" t="inlineStr">
        <is>
          <t>O0620</t>
        </is>
      </c>
    </row>
    <row r="631">
      <c r="A631" s="32" t="n">
        <v>630</v>
      </c>
      <c r="B631" s="31" t="n">
        <v>30371.7</v>
      </c>
      <c r="C631" s="30" t="inlineStr">
        <is>
          <t>AMR2</t>
        </is>
      </c>
      <c r="D631" s="30" t="inlineStr">
        <is>
          <t>AMR3</t>
        </is>
      </c>
      <c r="E631" s="30" t="inlineStr">
        <is>
          <t>경로충돌</t>
        </is>
      </c>
      <c r="F631" s="30" t="inlineStr">
        <is>
          <t>(17, 19)</t>
        </is>
      </c>
      <c r="G631" s="31" t="n">
        <v>59.2</v>
      </c>
      <c r="H631" s="30" t="inlineStr">
        <is>
          <t>O0620</t>
        </is>
      </c>
    </row>
    <row r="632">
      <c r="A632" s="32" t="n">
        <v>631</v>
      </c>
      <c r="B632" s="31" t="n">
        <v>30561.6</v>
      </c>
      <c r="C632" s="30" t="inlineStr">
        <is>
          <t>AMR1</t>
        </is>
      </c>
      <c r="D632" s="30" t="inlineStr">
        <is>
          <t>AMR2</t>
        </is>
      </c>
      <c r="E632" s="30" t="inlineStr">
        <is>
          <t>경로충돌</t>
        </is>
      </c>
      <c r="F632" s="30" t="inlineStr">
        <is>
          <t>(12, 9)</t>
        </is>
      </c>
      <c r="G632" s="31" t="n">
        <v>36.5</v>
      </c>
      <c r="H632" s="30" t="inlineStr">
        <is>
          <t>O0624</t>
        </is>
      </c>
    </row>
    <row r="633">
      <c r="A633" s="32" t="n">
        <v>632</v>
      </c>
      <c r="B633" s="31" t="n">
        <v>30683.2</v>
      </c>
      <c r="C633" s="30" t="inlineStr">
        <is>
          <t>AMR1</t>
        </is>
      </c>
      <c r="D633" s="30" t="inlineStr">
        <is>
          <t>AMR3</t>
        </is>
      </c>
      <c r="E633" s="30" t="inlineStr">
        <is>
          <t>경로충돌</t>
        </is>
      </c>
      <c r="F633" s="30" t="inlineStr">
        <is>
          <t>(17, 11)</t>
        </is>
      </c>
      <c r="G633" s="31" t="n">
        <v>44.1</v>
      </c>
      <c r="H633" s="30" t="inlineStr">
        <is>
          <t>O0626 O0627</t>
        </is>
      </c>
    </row>
    <row r="634">
      <c r="A634" s="32" t="n">
        <v>633</v>
      </c>
      <c r="B634" s="31" t="n">
        <v>30793.3</v>
      </c>
      <c r="C634" s="30" t="inlineStr">
        <is>
          <t>AMR1</t>
        </is>
      </c>
      <c r="D634" s="30" t="inlineStr">
        <is>
          <t>AMR2</t>
        </is>
      </c>
      <c r="E634" s="30" t="inlineStr">
        <is>
          <t>경로충돌</t>
        </is>
      </c>
      <c r="F634" s="30" t="inlineStr">
        <is>
          <t>(13, 19)</t>
        </is>
      </c>
      <c r="G634" s="31" t="n">
        <v>52.4</v>
      </c>
      <c r="H634" s="30" t="inlineStr">
        <is>
          <t>O0629</t>
        </is>
      </c>
    </row>
    <row r="635">
      <c r="A635" s="32" t="n">
        <v>634</v>
      </c>
      <c r="B635" s="31" t="n">
        <v>30794.4</v>
      </c>
      <c r="C635" s="30" t="inlineStr">
        <is>
          <t>AMR1</t>
        </is>
      </c>
      <c r="D635" s="30" t="inlineStr">
        <is>
          <t>AMR2</t>
        </is>
      </c>
      <c r="E635" s="30" t="inlineStr">
        <is>
          <t>정면충돌</t>
        </is>
      </c>
      <c r="F635" s="30" t="inlineStr">
        <is>
          <t>(13, 19)&lt;-&gt;(14, 19)</t>
        </is>
      </c>
      <c r="G635" s="31" t="n">
        <v>57.8</v>
      </c>
      <c r="H635" s="30" t="inlineStr">
        <is>
          <t>O0629</t>
        </is>
      </c>
    </row>
    <row r="636">
      <c r="A636" s="32" t="n">
        <v>635</v>
      </c>
      <c r="B636" s="31" t="n">
        <v>30799.7</v>
      </c>
      <c r="C636" s="30" t="inlineStr">
        <is>
          <t>AMR1</t>
        </is>
      </c>
      <c r="D636" s="30" t="inlineStr">
        <is>
          <t>AMR3</t>
        </is>
      </c>
      <c r="E636" s="30" t="inlineStr">
        <is>
          <t>경로충돌</t>
        </is>
      </c>
      <c r="F636" s="30" t="inlineStr">
        <is>
          <t>(15, 19)</t>
        </is>
      </c>
      <c r="G636" s="31" t="n">
        <v>24.2</v>
      </c>
      <c r="H636" s="30" t="inlineStr"/>
    </row>
    <row r="637">
      <c r="A637" s="32" t="n">
        <v>636</v>
      </c>
      <c r="B637" s="31" t="n">
        <v>30800.1</v>
      </c>
      <c r="C637" s="30" t="inlineStr">
        <is>
          <t>AMR1</t>
        </is>
      </c>
      <c r="D637" s="30" t="inlineStr">
        <is>
          <t>AMR3</t>
        </is>
      </c>
      <c r="E637" s="30" t="inlineStr">
        <is>
          <t>정면충돌</t>
        </is>
      </c>
      <c r="F637" s="30" t="inlineStr">
        <is>
          <t>(14, 19)&lt;-&gt;(15, 19)</t>
        </is>
      </c>
      <c r="G637" s="31" t="n">
        <v>24.9</v>
      </c>
      <c r="H637" s="30" t="inlineStr">
        <is>
          <t>O0630</t>
        </is>
      </c>
    </row>
    <row r="638">
      <c r="A638" s="32" t="n">
        <v>637</v>
      </c>
      <c r="B638" s="31" t="n">
        <v>30923.9</v>
      </c>
      <c r="C638" s="30" t="inlineStr">
        <is>
          <t>AMR2</t>
        </is>
      </c>
      <c r="D638" s="30" t="inlineStr">
        <is>
          <t>AMR3</t>
        </is>
      </c>
      <c r="E638" s="30" t="inlineStr">
        <is>
          <t>경로충돌</t>
        </is>
      </c>
      <c r="F638" s="30" t="inlineStr">
        <is>
          <t>(10, 9)</t>
        </is>
      </c>
      <c r="G638" s="31" t="n">
        <v>33.5</v>
      </c>
      <c r="H638" s="30" t="inlineStr">
        <is>
          <t>O0633</t>
        </is>
      </c>
    </row>
    <row r="639">
      <c r="A639" s="32" t="n">
        <v>638</v>
      </c>
      <c r="B639" s="31" t="n">
        <v>30925.5</v>
      </c>
      <c r="C639" s="30" t="inlineStr">
        <is>
          <t>AMR2</t>
        </is>
      </c>
      <c r="D639" s="30" t="inlineStr">
        <is>
          <t>AMR3</t>
        </is>
      </c>
      <c r="E639" s="30" t="inlineStr">
        <is>
          <t>정면충돌</t>
        </is>
      </c>
      <c r="F639" s="30" t="inlineStr">
        <is>
          <t>(9, 9)&lt;-&gt;(10, 9)</t>
        </is>
      </c>
      <c r="G639" s="31" t="n">
        <v>28.1</v>
      </c>
      <c r="H639" s="30" t="inlineStr">
        <is>
          <t>O0633</t>
        </is>
      </c>
    </row>
    <row r="640">
      <c r="A640" s="32" t="n">
        <v>639</v>
      </c>
      <c r="B640" s="31" t="n">
        <v>31015.5</v>
      </c>
      <c r="C640" s="30" t="inlineStr">
        <is>
          <t>AMR2</t>
        </is>
      </c>
      <c r="D640" s="30" t="inlineStr">
        <is>
          <t>AMR3</t>
        </is>
      </c>
      <c r="E640" s="30" t="inlineStr">
        <is>
          <t>경로충돌</t>
        </is>
      </c>
      <c r="F640" s="30" t="inlineStr">
        <is>
          <t>(18, 19)</t>
        </is>
      </c>
      <c r="G640" s="31" t="n">
        <v>57.8</v>
      </c>
      <c r="H640" s="30" t="inlineStr">
        <is>
          <t>O0634</t>
        </is>
      </c>
    </row>
    <row r="641">
      <c r="A641" s="32" t="n">
        <v>640</v>
      </c>
      <c r="B641" s="31" t="n">
        <v>31046.7</v>
      </c>
      <c r="C641" s="30" t="inlineStr">
        <is>
          <t>AMR2</t>
        </is>
      </c>
      <c r="D641" s="30" t="inlineStr">
        <is>
          <t>AMR3</t>
        </is>
      </c>
      <c r="E641" s="30" t="inlineStr">
        <is>
          <t>경로충돌</t>
        </is>
      </c>
      <c r="F641" s="30" t="inlineStr">
        <is>
          <t>(24, 11)</t>
        </is>
      </c>
      <c r="G641" s="31" t="n">
        <v>27.6</v>
      </c>
      <c r="H641" s="30" t="inlineStr">
        <is>
          <t>O0634 O0635</t>
        </is>
      </c>
    </row>
    <row r="642">
      <c r="A642" s="32" t="n">
        <v>641</v>
      </c>
      <c r="B642" s="31" t="n">
        <v>31085.1</v>
      </c>
      <c r="C642" s="30" t="inlineStr">
        <is>
          <t>AMR1</t>
        </is>
      </c>
      <c r="D642" s="30" t="inlineStr">
        <is>
          <t>AMR3</t>
        </is>
      </c>
      <c r="E642" s="30" t="inlineStr">
        <is>
          <t>경로충돌</t>
        </is>
      </c>
      <c r="F642" s="30" t="inlineStr">
        <is>
          <t>(17, 19)</t>
        </is>
      </c>
      <c r="G642" s="31" t="n">
        <v>35.1</v>
      </c>
      <c r="H642" s="30" t="inlineStr">
        <is>
          <t>O0635</t>
        </is>
      </c>
    </row>
    <row r="643">
      <c r="A643" s="32" t="n">
        <v>642</v>
      </c>
      <c r="B643" s="31" t="n">
        <v>31164</v>
      </c>
      <c r="C643" s="30" t="inlineStr">
        <is>
          <t>AMR2</t>
        </is>
      </c>
      <c r="D643" s="30" t="inlineStr">
        <is>
          <t>AMR3</t>
        </is>
      </c>
      <c r="E643" s="30" t="inlineStr">
        <is>
          <t>경로충돌</t>
        </is>
      </c>
      <c r="F643" s="30" t="inlineStr">
        <is>
          <t>(18, 17)</t>
        </is>
      </c>
      <c r="G643" s="31" t="n">
        <v>31.2</v>
      </c>
      <c r="H643" s="30" t="inlineStr">
        <is>
          <t>O0637</t>
        </is>
      </c>
    </row>
    <row r="644">
      <c r="A644" s="32" t="n">
        <v>643</v>
      </c>
      <c r="B644" s="31" t="n">
        <v>31164.4</v>
      </c>
      <c r="C644" s="30" t="inlineStr">
        <is>
          <t>AMR2</t>
        </is>
      </c>
      <c r="D644" s="30" t="inlineStr">
        <is>
          <t>AMR3</t>
        </is>
      </c>
      <c r="E644" s="30" t="inlineStr">
        <is>
          <t>정면충돌</t>
        </is>
      </c>
      <c r="F644" s="30" t="inlineStr">
        <is>
          <t>(18, 17)&lt;-&gt;(18, 18)</t>
        </is>
      </c>
      <c r="G644" s="31" t="n">
        <v>51.2</v>
      </c>
      <c r="H644" s="30" t="inlineStr">
        <is>
          <t>O0637</t>
        </is>
      </c>
    </row>
    <row r="645">
      <c r="A645" s="32" t="n">
        <v>644</v>
      </c>
      <c r="B645" s="31" t="n">
        <v>31241</v>
      </c>
      <c r="C645" s="30" t="inlineStr">
        <is>
          <t>AMR1</t>
        </is>
      </c>
      <c r="D645" s="30" t="inlineStr">
        <is>
          <t>AMR2</t>
        </is>
      </c>
      <c r="E645" s="30" t="inlineStr">
        <is>
          <t>정면충돌</t>
        </is>
      </c>
      <c r="F645" s="30" t="inlineStr">
        <is>
          <t>(18, 18)&lt;-&gt;(18, 19)</t>
        </is>
      </c>
      <c r="G645" s="31" t="n">
        <v>46.3</v>
      </c>
      <c r="H645" s="30" t="inlineStr">
        <is>
          <t>O0639</t>
        </is>
      </c>
    </row>
    <row r="646">
      <c r="A646" s="32" t="n">
        <v>645</v>
      </c>
      <c r="B646" s="31" t="n">
        <v>31269.7</v>
      </c>
      <c r="C646" s="30" t="inlineStr">
        <is>
          <t>AMR1</t>
        </is>
      </c>
      <c r="D646" s="30" t="inlineStr">
        <is>
          <t>AMR2</t>
        </is>
      </c>
      <c r="E646" s="30" t="inlineStr">
        <is>
          <t>경로충돌</t>
        </is>
      </c>
      <c r="F646" s="30" t="inlineStr">
        <is>
          <t>(17, 11)</t>
        </is>
      </c>
      <c r="G646" s="31" t="n">
        <v>34.9</v>
      </c>
      <c r="H646" s="30" t="inlineStr">
        <is>
          <t>O0639 O0640</t>
        </is>
      </c>
    </row>
    <row r="647">
      <c r="A647" s="32" t="n">
        <v>646</v>
      </c>
      <c r="B647" s="31" t="n">
        <v>31297.8</v>
      </c>
      <c r="C647" s="30" t="inlineStr">
        <is>
          <t>AMR2</t>
        </is>
      </c>
      <c r="D647" s="30" t="inlineStr">
        <is>
          <t>AMR3</t>
        </is>
      </c>
      <c r="E647" s="30" t="inlineStr">
        <is>
          <t>경로충돌</t>
        </is>
      </c>
      <c r="F647" s="30" t="inlineStr">
        <is>
          <t>(17, 19)</t>
        </is>
      </c>
      <c r="G647" s="31" t="n">
        <v>29.9</v>
      </c>
      <c r="H647" s="30" t="inlineStr"/>
    </row>
    <row r="648">
      <c r="A648" s="32" t="n">
        <v>647</v>
      </c>
      <c r="B648" s="31" t="n">
        <v>31382.7</v>
      </c>
      <c r="C648" s="30" t="inlineStr">
        <is>
          <t>AMR1</t>
        </is>
      </c>
      <c r="D648" s="30" t="inlineStr">
        <is>
          <t>AMR2</t>
        </is>
      </c>
      <c r="E648" s="30" t="inlineStr">
        <is>
          <t>경로충돌</t>
        </is>
      </c>
      <c r="F648" s="30" t="inlineStr">
        <is>
          <t>(13, 19)</t>
        </is>
      </c>
      <c r="G648" s="31" t="n">
        <v>50.7</v>
      </c>
      <c r="H648" s="30" t="inlineStr">
        <is>
          <t>O0642</t>
        </is>
      </c>
    </row>
    <row r="649">
      <c r="A649" s="32" t="n">
        <v>648</v>
      </c>
      <c r="B649" s="31" t="n">
        <v>31383.6</v>
      </c>
      <c r="C649" s="30" t="inlineStr">
        <is>
          <t>AMR1</t>
        </is>
      </c>
      <c r="D649" s="30" t="inlineStr">
        <is>
          <t>AMR2</t>
        </is>
      </c>
      <c r="E649" s="30" t="inlineStr">
        <is>
          <t>정면충돌</t>
        </is>
      </c>
      <c r="F649" s="30" t="inlineStr">
        <is>
          <t>(13, 19)&lt;-&gt;(14, 19)</t>
        </is>
      </c>
      <c r="G649" s="31" t="n">
        <v>24.4</v>
      </c>
      <c r="H649" s="30" t="inlineStr">
        <is>
          <t>O0642</t>
        </is>
      </c>
    </row>
    <row r="650">
      <c r="A650" s="32" t="n">
        <v>649</v>
      </c>
      <c r="B650" s="31" t="n">
        <v>31402.6</v>
      </c>
      <c r="C650" s="30" t="inlineStr">
        <is>
          <t>AMR2</t>
        </is>
      </c>
      <c r="D650" s="30" t="inlineStr">
        <is>
          <t>AMR3</t>
        </is>
      </c>
      <c r="E650" s="30" t="inlineStr">
        <is>
          <t>경로충돌</t>
        </is>
      </c>
      <c r="F650" s="30" t="inlineStr">
        <is>
          <t>(5, 11)</t>
        </is>
      </c>
      <c r="G650" s="31" t="n">
        <v>55.8</v>
      </c>
      <c r="H650" s="30" t="inlineStr">
        <is>
          <t>O0641 O0642</t>
        </is>
      </c>
    </row>
    <row r="651">
      <c r="A651" s="32" t="n">
        <v>650</v>
      </c>
      <c r="B651" s="31" t="n">
        <v>31404</v>
      </c>
      <c r="C651" s="30" t="inlineStr">
        <is>
          <t>AMR2</t>
        </is>
      </c>
      <c r="D651" s="30" t="inlineStr">
        <is>
          <t>AMR3</t>
        </is>
      </c>
      <c r="E651" s="30" t="inlineStr">
        <is>
          <t>정면충돌</t>
        </is>
      </c>
      <c r="F651" s="30" t="inlineStr">
        <is>
          <t>(4, 11)&lt;-&gt;(5, 11)</t>
        </is>
      </c>
      <c r="G651" s="31" t="n">
        <v>25.1</v>
      </c>
      <c r="H651" s="30" t="inlineStr">
        <is>
          <t>O0641 O0642</t>
        </is>
      </c>
    </row>
    <row r="652">
      <c r="A652" s="32" t="n">
        <v>651</v>
      </c>
      <c r="B652" s="31" t="n">
        <v>31528.5</v>
      </c>
      <c r="C652" s="30" t="inlineStr">
        <is>
          <t>AMR2</t>
        </is>
      </c>
      <c r="D652" s="30" t="inlineStr">
        <is>
          <t>AMR3</t>
        </is>
      </c>
      <c r="E652" s="30" t="inlineStr">
        <is>
          <t>경로충돌</t>
        </is>
      </c>
      <c r="F652" s="30" t="inlineStr">
        <is>
          <t>(16, 19)</t>
        </is>
      </c>
      <c r="G652" s="31" t="n">
        <v>57.6</v>
      </c>
      <c r="H652" s="30" t="inlineStr">
        <is>
          <t>O0645</t>
        </is>
      </c>
    </row>
    <row r="653">
      <c r="A653" s="32" t="n">
        <v>652</v>
      </c>
      <c r="B653" s="31" t="n">
        <v>31529.8</v>
      </c>
      <c r="C653" s="30" t="inlineStr">
        <is>
          <t>AMR2</t>
        </is>
      </c>
      <c r="D653" s="30" t="inlineStr">
        <is>
          <t>AMR3</t>
        </is>
      </c>
      <c r="E653" s="30" t="inlineStr">
        <is>
          <t>정면충돌</t>
        </is>
      </c>
      <c r="F653" s="30" t="inlineStr">
        <is>
          <t>(16, 19)&lt;-&gt;(17, 19)</t>
        </is>
      </c>
      <c r="G653" s="31" t="n">
        <v>20.6</v>
      </c>
      <c r="H653" s="30" t="inlineStr">
        <is>
          <t>O0645</t>
        </is>
      </c>
    </row>
    <row r="654">
      <c r="A654" s="32" t="n">
        <v>653</v>
      </c>
      <c r="B654" s="31" t="n">
        <v>31669.6</v>
      </c>
      <c r="C654" s="30" t="inlineStr">
        <is>
          <t>AMR2</t>
        </is>
      </c>
      <c r="D654" s="30" t="inlineStr">
        <is>
          <t>AMR3</t>
        </is>
      </c>
      <c r="E654" s="30" t="inlineStr">
        <is>
          <t>경로충돌</t>
        </is>
      </c>
      <c r="F654" s="30" t="inlineStr">
        <is>
          <t>(18, 18)</t>
        </is>
      </c>
      <c r="G654" s="31" t="n">
        <v>55.6</v>
      </c>
      <c r="H654" s="30" t="inlineStr">
        <is>
          <t>O0647</t>
        </is>
      </c>
    </row>
    <row r="655">
      <c r="A655" s="32" t="n">
        <v>654</v>
      </c>
      <c r="B655" s="31" t="n">
        <v>31670.7</v>
      </c>
      <c r="C655" s="30" t="inlineStr">
        <is>
          <t>AMR2</t>
        </is>
      </c>
      <c r="D655" s="30" t="inlineStr">
        <is>
          <t>AMR3</t>
        </is>
      </c>
      <c r="E655" s="30" t="inlineStr">
        <is>
          <t>정면충돌</t>
        </is>
      </c>
      <c r="F655" s="30" t="inlineStr">
        <is>
          <t>(18, 17)&lt;-&gt;(18, 18)</t>
        </is>
      </c>
      <c r="G655" s="31" t="n">
        <v>34.1</v>
      </c>
      <c r="H655" s="30" t="inlineStr">
        <is>
          <t>O0647</t>
        </is>
      </c>
    </row>
    <row r="656">
      <c r="A656" s="32" t="n">
        <v>655</v>
      </c>
      <c r="B656" s="31" t="n">
        <v>31785.9</v>
      </c>
      <c r="C656" s="30" t="inlineStr">
        <is>
          <t>AMR1</t>
        </is>
      </c>
      <c r="D656" s="30" t="inlineStr">
        <is>
          <t>AMR3</t>
        </is>
      </c>
      <c r="E656" s="30" t="inlineStr">
        <is>
          <t>경로충돌</t>
        </is>
      </c>
      <c r="F656" s="30" t="inlineStr">
        <is>
          <t>(11, 11)</t>
        </is>
      </c>
      <c r="G656" s="31" t="n">
        <v>21</v>
      </c>
      <c r="H656" s="30" t="inlineStr">
        <is>
          <t>O0649 O0651</t>
        </is>
      </c>
    </row>
    <row r="657">
      <c r="A657" s="32" t="n">
        <v>656</v>
      </c>
      <c r="B657" s="31" t="n">
        <v>31857.3</v>
      </c>
      <c r="C657" s="30" t="inlineStr">
        <is>
          <t>AMR2</t>
        </is>
      </c>
      <c r="D657" s="30" t="inlineStr">
        <is>
          <t>AMR3</t>
        </is>
      </c>
      <c r="E657" s="30" t="inlineStr">
        <is>
          <t>경로충돌</t>
        </is>
      </c>
      <c r="F657" s="30" t="inlineStr">
        <is>
          <t>(18, 11)</t>
        </is>
      </c>
      <c r="G657" s="31" t="n">
        <v>57.9</v>
      </c>
      <c r="H657" s="30" t="inlineStr">
        <is>
          <t>O0652</t>
        </is>
      </c>
    </row>
    <row r="658">
      <c r="A658" s="32" t="n">
        <v>657</v>
      </c>
      <c r="B658" s="31" t="n">
        <v>31857.6</v>
      </c>
      <c r="C658" s="30" t="inlineStr">
        <is>
          <t>AMR2</t>
        </is>
      </c>
      <c r="D658" s="30" t="inlineStr">
        <is>
          <t>AMR3</t>
        </is>
      </c>
      <c r="E658" s="30" t="inlineStr">
        <is>
          <t>정면충돌</t>
        </is>
      </c>
      <c r="F658" s="30" t="inlineStr">
        <is>
          <t>(18, 10)&lt;-&gt;(18, 11)</t>
        </is>
      </c>
      <c r="G658" s="31" t="n">
        <v>42.7</v>
      </c>
      <c r="H658" s="30" t="inlineStr">
        <is>
          <t>O0652</t>
        </is>
      </c>
    </row>
    <row r="659">
      <c r="A659" s="32" t="n">
        <v>658</v>
      </c>
      <c r="B659" s="31" t="n">
        <v>31894.9</v>
      </c>
      <c r="C659" s="30" t="inlineStr">
        <is>
          <t>AMR1</t>
        </is>
      </c>
      <c r="D659" s="30" t="inlineStr">
        <is>
          <t>AMR3</t>
        </is>
      </c>
      <c r="E659" s="30" t="inlineStr">
        <is>
          <t>경로충돌</t>
        </is>
      </c>
      <c r="F659" s="30" t="inlineStr">
        <is>
          <t>(16, 19)</t>
        </is>
      </c>
      <c r="G659" s="31" t="n">
        <v>34.2</v>
      </c>
      <c r="H659" s="30" t="inlineStr">
        <is>
          <t>O0652</t>
        </is>
      </c>
    </row>
    <row r="660">
      <c r="A660" s="32" t="n">
        <v>659</v>
      </c>
      <c r="B660" s="31" t="n">
        <v>31895.3</v>
      </c>
      <c r="C660" s="30" t="inlineStr">
        <is>
          <t>AMR1</t>
        </is>
      </c>
      <c r="D660" s="30" t="inlineStr">
        <is>
          <t>AMR3</t>
        </is>
      </c>
      <c r="E660" s="30" t="inlineStr">
        <is>
          <t>정면충돌</t>
        </is>
      </c>
      <c r="F660" s="30" t="inlineStr">
        <is>
          <t>(16, 19)&lt;-&gt;(17, 19)</t>
        </is>
      </c>
      <c r="G660" s="31" t="n">
        <v>25.6</v>
      </c>
      <c r="H660" s="30" t="inlineStr">
        <is>
          <t>O0652</t>
        </is>
      </c>
    </row>
    <row r="661">
      <c r="A661" s="32" t="n">
        <v>660</v>
      </c>
      <c r="B661" s="31" t="n">
        <v>31982.2</v>
      </c>
      <c r="C661" s="30" t="inlineStr">
        <is>
          <t>AMR2</t>
        </is>
      </c>
      <c r="D661" s="30" t="inlineStr">
        <is>
          <t>AMR3</t>
        </is>
      </c>
      <c r="E661" s="30" t="inlineStr">
        <is>
          <t>경로충돌</t>
        </is>
      </c>
      <c r="F661" s="30" t="inlineStr">
        <is>
          <t>(12, 9)</t>
        </is>
      </c>
      <c r="G661" s="31" t="n">
        <v>52.3</v>
      </c>
      <c r="H661" s="30" t="inlineStr">
        <is>
          <t>O0653 O0654</t>
        </is>
      </c>
    </row>
    <row r="662">
      <c r="A662" s="32" t="n">
        <v>661</v>
      </c>
      <c r="B662" s="31" t="n">
        <v>32095.8</v>
      </c>
      <c r="C662" s="30" t="inlineStr">
        <is>
          <t>AMR1</t>
        </is>
      </c>
      <c r="D662" s="30" t="inlineStr">
        <is>
          <t>AMR3</t>
        </is>
      </c>
      <c r="E662" s="30" t="inlineStr">
        <is>
          <t>경로충돌</t>
        </is>
      </c>
      <c r="F662" s="30" t="inlineStr">
        <is>
          <t>(18, 19)</t>
        </is>
      </c>
      <c r="G662" s="31" t="n">
        <v>39.7</v>
      </c>
      <c r="H662" s="30" t="inlineStr">
        <is>
          <t>O0656</t>
        </is>
      </c>
    </row>
    <row r="663">
      <c r="A663" s="32" t="n">
        <v>662</v>
      </c>
      <c r="B663" s="31" t="n">
        <v>32096.3</v>
      </c>
      <c r="C663" s="30" t="inlineStr">
        <is>
          <t>AMR1</t>
        </is>
      </c>
      <c r="D663" s="30" t="inlineStr">
        <is>
          <t>AMR3</t>
        </is>
      </c>
      <c r="E663" s="30" t="inlineStr">
        <is>
          <t>정면충돌</t>
        </is>
      </c>
      <c r="F663" s="30" t="inlineStr">
        <is>
          <t>(17, 19)&lt;-&gt;(18, 19)</t>
        </is>
      </c>
      <c r="G663" s="31" t="n">
        <v>25.6</v>
      </c>
      <c r="H663" s="30" t="inlineStr">
        <is>
          <t>O0656</t>
        </is>
      </c>
    </row>
    <row r="664">
      <c r="A664" s="32" t="n">
        <v>663</v>
      </c>
      <c r="B664" s="31" t="n">
        <v>32103.3</v>
      </c>
      <c r="C664" s="30" t="inlineStr">
        <is>
          <t>AMR2</t>
        </is>
      </c>
      <c r="D664" s="30" t="inlineStr">
        <is>
          <t>AMR3</t>
        </is>
      </c>
      <c r="E664" s="30" t="inlineStr">
        <is>
          <t>경로충돌</t>
        </is>
      </c>
      <c r="F664" s="30" t="inlineStr">
        <is>
          <t>(17, 14)</t>
        </is>
      </c>
      <c r="G664" s="31" t="n">
        <v>28.4</v>
      </c>
      <c r="H664" s="30" t="inlineStr">
        <is>
          <t>O0656</t>
        </is>
      </c>
    </row>
    <row r="665">
      <c r="A665" s="32" t="n">
        <v>664</v>
      </c>
      <c r="B665" s="31" t="n">
        <v>32103.9</v>
      </c>
      <c r="C665" s="30" t="inlineStr">
        <is>
          <t>AMR2</t>
        </is>
      </c>
      <c r="D665" s="30" t="inlineStr">
        <is>
          <t>AMR3</t>
        </is>
      </c>
      <c r="E665" s="30" t="inlineStr">
        <is>
          <t>정면충돌</t>
        </is>
      </c>
      <c r="F665" s="30" t="inlineStr">
        <is>
          <t>(17, 13)&lt;-&gt;(17, 14)</t>
        </is>
      </c>
      <c r="G665" s="31" t="n">
        <v>44.3</v>
      </c>
      <c r="H665" s="30" t="inlineStr">
        <is>
          <t>O0656</t>
        </is>
      </c>
    </row>
    <row r="666">
      <c r="A666" s="32" t="n">
        <v>665</v>
      </c>
      <c r="B666" s="31" t="n">
        <v>32119.8</v>
      </c>
      <c r="C666" s="30" t="inlineStr">
        <is>
          <t>AMR1</t>
        </is>
      </c>
      <c r="D666" s="30" t="inlineStr">
        <is>
          <t>AMR3</t>
        </is>
      </c>
      <c r="E666" s="30" t="inlineStr">
        <is>
          <t>경로충돌</t>
        </is>
      </c>
      <c r="F666" s="30" t="inlineStr">
        <is>
          <t>(24, 10)</t>
        </is>
      </c>
      <c r="G666" s="31" t="n">
        <v>41.7</v>
      </c>
      <c r="H666" s="30" t="inlineStr">
        <is>
          <t>O0656 O0657</t>
        </is>
      </c>
    </row>
    <row r="667">
      <c r="A667" s="32" t="n">
        <v>666</v>
      </c>
      <c r="B667" s="31" t="n">
        <v>32250.4</v>
      </c>
      <c r="C667" s="30" t="inlineStr">
        <is>
          <t>AMR1</t>
        </is>
      </c>
      <c r="D667" s="30" t="inlineStr">
        <is>
          <t>AMR2</t>
        </is>
      </c>
      <c r="E667" s="30" t="inlineStr">
        <is>
          <t>경로충돌</t>
        </is>
      </c>
      <c r="F667" s="30" t="inlineStr">
        <is>
          <t>(14, 19)</t>
        </is>
      </c>
      <c r="G667" s="31" t="n">
        <v>38.7</v>
      </c>
      <c r="H667" s="30" t="inlineStr">
        <is>
          <t>O0659</t>
        </is>
      </c>
    </row>
    <row r="668">
      <c r="A668" s="32" t="n">
        <v>667</v>
      </c>
      <c r="B668" s="31" t="n">
        <v>32251</v>
      </c>
      <c r="C668" s="30" t="inlineStr">
        <is>
          <t>AMR1</t>
        </is>
      </c>
      <c r="D668" s="30" t="inlineStr">
        <is>
          <t>AMR2</t>
        </is>
      </c>
      <c r="E668" s="30" t="inlineStr">
        <is>
          <t>정면충돌</t>
        </is>
      </c>
      <c r="F668" s="30" t="inlineStr">
        <is>
          <t>(13, 19)&lt;-&gt;(14, 19)</t>
        </is>
      </c>
      <c r="G668" s="31" t="n">
        <v>54.5</v>
      </c>
      <c r="H668" s="30" t="inlineStr">
        <is>
          <t>O0659</t>
        </is>
      </c>
    </row>
    <row r="669">
      <c r="A669" s="32" t="n">
        <v>668</v>
      </c>
      <c r="B669" s="31" t="n">
        <v>32460.3</v>
      </c>
      <c r="C669" s="30" t="inlineStr">
        <is>
          <t>AMR1</t>
        </is>
      </c>
      <c r="D669" s="30" t="inlineStr">
        <is>
          <t>AMR3</t>
        </is>
      </c>
      <c r="E669" s="30" t="inlineStr">
        <is>
          <t>경로충돌</t>
        </is>
      </c>
      <c r="F669" s="30" t="inlineStr">
        <is>
          <t>(18, 11)</t>
        </is>
      </c>
      <c r="G669" s="31" t="n">
        <v>38.9</v>
      </c>
      <c r="H669" s="30" t="inlineStr"/>
    </row>
    <row r="670">
      <c r="A670" s="32" t="n">
        <v>669</v>
      </c>
      <c r="B670" s="31" t="n">
        <v>32473.3</v>
      </c>
      <c r="C670" s="30" t="inlineStr">
        <is>
          <t>AMR1</t>
        </is>
      </c>
      <c r="D670" s="30" t="inlineStr">
        <is>
          <t>AMR3</t>
        </is>
      </c>
      <c r="E670" s="30" t="inlineStr">
        <is>
          <t>정면충돌</t>
        </is>
      </c>
      <c r="F670" s="30" t="inlineStr">
        <is>
          <t>(16, 19)&lt;-&gt;(17, 19)</t>
        </is>
      </c>
      <c r="G670" s="31" t="n">
        <v>23.6</v>
      </c>
      <c r="H670" s="30" t="inlineStr">
        <is>
          <t>O0664</t>
        </is>
      </c>
    </row>
    <row r="671">
      <c r="A671" s="32" t="n">
        <v>670</v>
      </c>
      <c r="B671" s="31" t="n">
        <v>32484</v>
      </c>
      <c r="C671" s="30" t="inlineStr">
        <is>
          <t>AMR1</t>
        </is>
      </c>
      <c r="D671" s="30" t="inlineStr">
        <is>
          <t>AMR2</t>
        </is>
      </c>
      <c r="E671" s="30" t="inlineStr">
        <is>
          <t>정면충돌</t>
        </is>
      </c>
      <c r="F671" s="30" t="inlineStr">
        <is>
          <t>(18, 14)&lt;-&gt;(18, 15)</t>
        </is>
      </c>
      <c r="G671" s="31" t="n">
        <v>38.5</v>
      </c>
      <c r="H671" s="30" t="inlineStr">
        <is>
          <t>O0664</t>
        </is>
      </c>
    </row>
    <row r="672">
      <c r="A672" s="32" t="n">
        <v>671</v>
      </c>
      <c r="B672" s="31" t="n">
        <v>32564</v>
      </c>
      <c r="C672" s="30" t="inlineStr">
        <is>
          <t>AMR1</t>
        </is>
      </c>
      <c r="D672" s="30" t="inlineStr">
        <is>
          <t>AMR2</t>
        </is>
      </c>
      <c r="E672" s="30" t="inlineStr">
        <is>
          <t>경로충돌</t>
        </is>
      </c>
      <c r="F672" s="30" t="inlineStr">
        <is>
          <t>(13, 19)</t>
        </is>
      </c>
      <c r="G672" s="31" t="n">
        <v>55.9</v>
      </c>
      <c r="H672" s="30" t="inlineStr">
        <is>
          <t>O0666</t>
        </is>
      </c>
    </row>
    <row r="673">
      <c r="A673" s="32" t="n">
        <v>672</v>
      </c>
      <c r="B673" s="31" t="n">
        <v>32564.5</v>
      </c>
      <c r="C673" s="30" t="inlineStr">
        <is>
          <t>AMR1</t>
        </is>
      </c>
      <c r="D673" s="30" t="inlineStr">
        <is>
          <t>AMR2</t>
        </is>
      </c>
      <c r="E673" s="30" t="inlineStr">
        <is>
          <t>정면충돌</t>
        </is>
      </c>
      <c r="F673" s="30" t="inlineStr">
        <is>
          <t>(13, 19)&lt;-&gt;(14, 19)</t>
        </is>
      </c>
      <c r="G673" s="31" t="n">
        <v>22.7</v>
      </c>
      <c r="H673" s="30" t="inlineStr">
        <is>
          <t>O0666</t>
        </is>
      </c>
    </row>
    <row r="674">
      <c r="A674" s="32" t="n">
        <v>673</v>
      </c>
      <c r="B674" s="31" t="n">
        <v>32716.2</v>
      </c>
      <c r="C674" s="30" t="inlineStr">
        <is>
          <t>AMR1</t>
        </is>
      </c>
      <c r="D674" s="30" t="inlineStr">
        <is>
          <t>AMR3</t>
        </is>
      </c>
      <c r="E674" s="30" t="inlineStr">
        <is>
          <t>경로충돌</t>
        </is>
      </c>
      <c r="F674" s="30" t="inlineStr">
        <is>
          <t>(12, 11)</t>
        </is>
      </c>
      <c r="G674" s="31" t="n">
        <v>29.8</v>
      </c>
      <c r="H674" s="30" t="inlineStr">
        <is>
          <t>O0670</t>
        </is>
      </c>
    </row>
    <row r="675">
      <c r="A675" s="32" t="n">
        <v>674</v>
      </c>
      <c r="B675" s="31" t="n">
        <v>32716.4</v>
      </c>
      <c r="C675" s="30" t="inlineStr">
        <is>
          <t>AMR1</t>
        </is>
      </c>
      <c r="D675" s="30" t="inlineStr">
        <is>
          <t>AMR3</t>
        </is>
      </c>
      <c r="E675" s="30" t="inlineStr">
        <is>
          <t>정면충돌</t>
        </is>
      </c>
      <c r="F675" s="30" t="inlineStr">
        <is>
          <t>(12, 11)&lt;-&gt;(12, 12)</t>
        </is>
      </c>
      <c r="G675" s="31" t="n">
        <v>37.8</v>
      </c>
      <c r="H675" s="30" t="inlineStr">
        <is>
          <t>O0670</t>
        </is>
      </c>
    </row>
    <row r="676">
      <c r="A676" s="32" t="n">
        <v>675</v>
      </c>
      <c r="B676" s="31" t="n">
        <v>32878.3</v>
      </c>
      <c r="C676" s="30" t="inlineStr">
        <is>
          <t>AMR1</t>
        </is>
      </c>
      <c r="D676" s="30" t="inlineStr">
        <is>
          <t>AMR3</t>
        </is>
      </c>
      <c r="E676" s="30" t="inlineStr">
        <is>
          <t>경로충돌</t>
        </is>
      </c>
      <c r="F676" s="30" t="inlineStr">
        <is>
          <t>(14, 19)</t>
        </is>
      </c>
      <c r="G676" s="31" t="n">
        <v>24.7</v>
      </c>
      <c r="H676" s="30" t="inlineStr">
        <is>
          <t>O0672</t>
        </is>
      </c>
    </row>
    <row r="677">
      <c r="A677" s="32" t="n">
        <v>676</v>
      </c>
      <c r="B677" s="31" t="n">
        <v>32878.6</v>
      </c>
      <c r="C677" s="30" t="inlineStr">
        <is>
          <t>AMR1</t>
        </is>
      </c>
      <c r="D677" s="30" t="inlineStr">
        <is>
          <t>AMR3</t>
        </is>
      </c>
      <c r="E677" s="30" t="inlineStr">
        <is>
          <t>정면충돌</t>
        </is>
      </c>
      <c r="F677" s="30" t="inlineStr">
        <is>
          <t>(13, 19)&lt;-&gt;(14, 19)</t>
        </is>
      </c>
      <c r="G677" s="31" t="n">
        <v>48.4</v>
      </c>
      <c r="H677" s="30" t="inlineStr">
        <is>
          <t>O0672</t>
        </is>
      </c>
    </row>
    <row r="678">
      <c r="A678" s="32" t="n">
        <v>677</v>
      </c>
      <c r="B678" s="31" t="n">
        <v>32914</v>
      </c>
      <c r="C678" s="30" t="inlineStr">
        <is>
          <t>AMR1</t>
        </is>
      </c>
      <c r="D678" s="30" t="inlineStr">
        <is>
          <t>AMR3</t>
        </is>
      </c>
      <c r="E678" s="30" t="inlineStr">
        <is>
          <t>경로충돌</t>
        </is>
      </c>
      <c r="F678" s="30" t="inlineStr">
        <is>
          <t>(4, 11)</t>
        </is>
      </c>
      <c r="G678" s="31" t="n">
        <v>47.5</v>
      </c>
      <c r="H678" s="30" t="inlineStr">
        <is>
          <t>O0672 O0674</t>
        </is>
      </c>
    </row>
    <row r="679">
      <c r="A679" s="32" t="n">
        <v>678</v>
      </c>
      <c r="B679" s="31" t="n">
        <v>32915.5</v>
      </c>
      <c r="C679" s="30" t="inlineStr">
        <is>
          <t>AMR1</t>
        </is>
      </c>
      <c r="D679" s="30" t="inlineStr">
        <is>
          <t>AMR3</t>
        </is>
      </c>
      <c r="E679" s="30" t="inlineStr">
        <is>
          <t>정면충돌</t>
        </is>
      </c>
      <c r="F679" s="30" t="inlineStr">
        <is>
          <t>(3, 11)&lt;-&gt;(4, 11)</t>
        </is>
      </c>
      <c r="G679" s="31" t="n">
        <v>44.9</v>
      </c>
      <c r="H679" s="30" t="inlineStr">
        <is>
          <t>O0672 O0674</t>
        </is>
      </c>
    </row>
    <row r="680">
      <c r="A680" s="32" t="n">
        <v>679</v>
      </c>
      <c r="B680" s="31" t="n">
        <v>33036.9</v>
      </c>
      <c r="C680" s="30" t="inlineStr">
        <is>
          <t>AMR1</t>
        </is>
      </c>
      <c r="D680" s="30" t="inlineStr">
        <is>
          <t>AMR3</t>
        </is>
      </c>
      <c r="E680" s="30" t="inlineStr">
        <is>
          <t>경로충돌</t>
        </is>
      </c>
      <c r="F680" s="30" t="inlineStr">
        <is>
          <t>(17, 19)</t>
        </is>
      </c>
      <c r="G680" s="31" t="n">
        <v>27.8</v>
      </c>
      <c r="H680" s="30" t="inlineStr">
        <is>
          <t>O0676</t>
        </is>
      </c>
    </row>
    <row r="681">
      <c r="A681" s="32" t="n">
        <v>680</v>
      </c>
      <c r="B681" s="31" t="n">
        <v>33037.2</v>
      </c>
      <c r="C681" s="30" t="inlineStr">
        <is>
          <t>AMR1</t>
        </is>
      </c>
      <c r="D681" s="30" t="inlineStr">
        <is>
          <t>AMR3</t>
        </is>
      </c>
      <c r="E681" s="30" t="inlineStr">
        <is>
          <t>정면충돌</t>
        </is>
      </c>
      <c r="F681" s="30" t="inlineStr">
        <is>
          <t>(16, 19)&lt;-&gt;(17, 19)</t>
        </is>
      </c>
      <c r="G681" s="31" t="n">
        <v>58.7</v>
      </c>
      <c r="H681" s="30" t="inlineStr">
        <is>
          <t>O0676</t>
        </is>
      </c>
    </row>
    <row r="682">
      <c r="A682" s="32" t="n">
        <v>681</v>
      </c>
      <c r="B682" s="31" t="n">
        <v>33071.6</v>
      </c>
      <c r="C682" s="30" t="inlineStr">
        <is>
          <t>AMR1</t>
        </is>
      </c>
      <c r="D682" s="30" t="inlineStr">
        <is>
          <t>AMR3</t>
        </is>
      </c>
      <c r="E682" s="30" t="inlineStr">
        <is>
          <t>경로충돌</t>
        </is>
      </c>
      <c r="F682" s="30" t="inlineStr">
        <is>
          <t>(20, 11)</t>
        </is>
      </c>
      <c r="G682" s="31" t="n">
        <v>52.8</v>
      </c>
      <c r="H682" s="30" t="inlineStr">
        <is>
          <t>O0676 O0677</t>
        </is>
      </c>
    </row>
    <row r="683">
      <c r="A683" s="32" t="n">
        <v>682</v>
      </c>
      <c r="B683" s="31" t="n">
        <v>33071.9</v>
      </c>
      <c r="C683" s="30" t="inlineStr">
        <is>
          <t>AMR1</t>
        </is>
      </c>
      <c r="D683" s="30" t="inlineStr">
        <is>
          <t>AMR3</t>
        </is>
      </c>
      <c r="E683" s="30" t="inlineStr">
        <is>
          <t>정면충돌</t>
        </is>
      </c>
      <c r="F683" s="30" t="inlineStr">
        <is>
          <t>(20, 11)&lt;-&gt;(21, 11)</t>
        </is>
      </c>
      <c r="G683" s="31" t="n">
        <v>27.9</v>
      </c>
      <c r="H683" s="30" t="inlineStr">
        <is>
          <t>O0676 O0677</t>
        </is>
      </c>
    </row>
    <row r="684">
      <c r="A684" s="32" t="n">
        <v>683</v>
      </c>
      <c r="B684" s="31" t="n">
        <v>33079.8</v>
      </c>
      <c r="C684" s="30" t="inlineStr">
        <is>
          <t>AMR1</t>
        </is>
      </c>
      <c r="D684" s="30" t="inlineStr">
        <is>
          <t>AMR2</t>
        </is>
      </c>
      <c r="E684" s="30" t="inlineStr">
        <is>
          <t>경로충돌</t>
        </is>
      </c>
      <c r="F684" s="30" t="inlineStr">
        <is>
          <t>(18, 9)</t>
        </is>
      </c>
      <c r="G684" s="31" t="n">
        <v>39.7</v>
      </c>
      <c r="H684" s="30" t="inlineStr">
        <is>
          <t>O0676</t>
        </is>
      </c>
    </row>
    <row r="685">
      <c r="A685" s="32" t="n">
        <v>684</v>
      </c>
      <c r="B685" s="31" t="n">
        <v>33120.7</v>
      </c>
      <c r="C685" s="30" t="inlineStr">
        <is>
          <t>AMR1</t>
        </is>
      </c>
      <c r="D685" s="30" t="inlineStr">
        <is>
          <t>AMR3</t>
        </is>
      </c>
      <c r="E685" s="30" t="inlineStr">
        <is>
          <t>경로충돌</t>
        </is>
      </c>
      <c r="F685" s="30" t="inlineStr">
        <is>
          <t>(18, 15)</t>
        </is>
      </c>
      <c r="G685" s="31" t="n">
        <v>37.5</v>
      </c>
      <c r="H685" s="30" t="inlineStr">
        <is>
          <t>O0678</t>
        </is>
      </c>
    </row>
    <row r="686">
      <c r="A686" s="32" t="n">
        <v>685</v>
      </c>
      <c r="B686" s="31" t="n">
        <v>33121.3</v>
      </c>
      <c r="C686" s="30" t="inlineStr">
        <is>
          <t>AMR1</t>
        </is>
      </c>
      <c r="D686" s="30" t="inlineStr">
        <is>
          <t>AMR3</t>
        </is>
      </c>
      <c r="E686" s="30" t="inlineStr">
        <is>
          <t>정면충돌</t>
        </is>
      </c>
      <c r="F686" s="30" t="inlineStr">
        <is>
          <t>(18, 14)&lt;-&gt;(18, 15)</t>
        </is>
      </c>
      <c r="G686" s="31" t="n">
        <v>25.7</v>
      </c>
      <c r="H686" s="30" t="inlineStr">
        <is>
          <t>O0678</t>
        </is>
      </c>
    </row>
    <row r="687">
      <c r="A687" s="32" t="n">
        <v>686</v>
      </c>
      <c r="B687" s="31" t="n">
        <v>33167.2</v>
      </c>
      <c r="C687" s="30" t="inlineStr">
        <is>
          <t>AMR2</t>
        </is>
      </c>
      <c r="D687" s="30" t="inlineStr">
        <is>
          <t>AMR3</t>
        </is>
      </c>
      <c r="E687" s="30" t="inlineStr">
        <is>
          <t>경로충돌</t>
        </is>
      </c>
      <c r="F687" s="30" t="inlineStr">
        <is>
          <t>(18, 11)</t>
        </is>
      </c>
      <c r="G687" s="31" t="n">
        <v>22</v>
      </c>
      <c r="H687" s="30" t="inlineStr">
        <is>
          <t>O0678</t>
        </is>
      </c>
    </row>
    <row r="688">
      <c r="A688" s="32" t="n">
        <v>687</v>
      </c>
      <c r="B688" s="31" t="n">
        <v>33168.3</v>
      </c>
      <c r="C688" s="30" t="inlineStr">
        <is>
          <t>AMR2</t>
        </is>
      </c>
      <c r="D688" s="30" t="inlineStr">
        <is>
          <t>AMR3</t>
        </is>
      </c>
      <c r="E688" s="30" t="inlineStr">
        <is>
          <t>정면충돌</t>
        </is>
      </c>
      <c r="F688" s="30" t="inlineStr">
        <is>
          <t>(18, 11)&lt;-&gt;(18, 12)</t>
        </is>
      </c>
      <c r="G688" s="31" t="n">
        <v>23.2</v>
      </c>
      <c r="H688" s="30" t="inlineStr">
        <is>
          <t>O0678</t>
        </is>
      </c>
    </row>
    <row r="689">
      <c r="A689" s="32" t="n">
        <v>688</v>
      </c>
      <c r="B689" s="31" t="n">
        <v>33172.2</v>
      </c>
      <c r="C689" s="30" t="inlineStr">
        <is>
          <t>AMR1</t>
        </is>
      </c>
      <c r="D689" s="30" t="inlineStr">
        <is>
          <t>AMR3</t>
        </is>
      </c>
      <c r="E689" s="30" t="inlineStr">
        <is>
          <t>경로충돌</t>
        </is>
      </c>
      <c r="F689" s="30" t="inlineStr">
        <is>
          <t>(17, 11)</t>
        </is>
      </c>
      <c r="G689" s="31" t="n">
        <v>28.7</v>
      </c>
      <c r="H689" s="30" t="inlineStr">
        <is>
          <t>O0678</t>
        </is>
      </c>
    </row>
    <row r="690">
      <c r="A690" s="32" t="n">
        <v>689</v>
      </c>
      <c r="B690" s="31" t="n">
        <v>33184</v>
      </c>
      <c r="C690" s="30" t="inlineStr">
        <is>
          <t>AMR1</t>
        </is>
      </c>
      <c r="D690" s="30" t="inlineStr">
        <is>
          <t>AMR2</t>
        </is>
      </c>
      <c r="E690" s="30" t="inlineStr">
        <is>
          <t>경로충돌</t>
        </is>
      </c>
      <c r="F690" s="30" t="inlineStr">
        <is>
          <t>(17, 19)</t>
        </is>
      </c>
      <c r="G690" s="31" t="n">
        <v>58.8</v>
      </c>
      <c r="H690" s="30" t="inlineStr">
        <is>
          <t>O0679</t>
        </is>
      </c>
    </row>
    <row r="691">
      <c r="A691" s="32" t="n">
        <v>690</v>
      </c>
      <c r="B691" s="31" t="n">
        <v>33184.4</v>
      </c>
      <c r="C691" s="30" t="inlineStr">
        <is>
          <t>AMR1</t>
        </is>
      </c>
      <c r="D691" s="30" t="inlineStr">
        <is>
          <t>AMR2</t>
        </is>
      </c>
      <c r="E691" s="30" t="inlineStr">
        <is>
          <t>정면충돌</t>
        </is>
      </c>
      <c r="F691" s="30" t="inlineStr">
        <is>
          <t>(16, 19)&lt;-&gt;(17, 19)</t>
        </is>
      </c>
      <c r="G691" s="31" t="n">
        <v>52.3</v>
      </c>
      <c r="H691" s="30" t="inlineStr">
        <is>
          <t>O0679</t>
        </is>
      </c>
    </row>
    <row r="692">
      <c r="A692" s="32" t="n">
        <v>691</v>
      </c>
      <c r="B692" s="31" t="n">
        <v>33195.9</v>
      </c>
      <c r="C692" s="30" t="inlineStr">
        <is>
          <t>AMR2</t>
        </is>
      </c>
      <c r="D692" s="30" t="inlineStr">
        <is>
          <t>AMR3</t>
        </is>
      </c>
      <c r="E692" s="30" t="inlineStr">
        <is>
          <t>경로충돌</t>
        </is>
      </c>
      <c r="F692" s="30" t="inlineStr">
        <is>
          <t>(17, 11)</t>
        </is>
      </c>
      <c r="G692" s="31" t="n">
        <v>23.2</v>
      </c>
      <c r="H692" s="30" t="inlineStr">
        <is>
          <t>O0678 O0679</t>
        </is>
      </c>
    </row>
    <row r="693">
      <c r="A693" s="32" t="n">
        <v>692</v>
      </c>
      <c r="B693" s="31" t="n">
        <v>33324.5</v>
      </c>
      <c r="C693" s="30" t="inlineStr">
        <is>
          <t>AMR1</t>
        </is>
      </c>
      <c r="D693" s="30" t="inlineStr">
        <is>
          <t>AMR2</t>
        </is>
      </c>
      <c r="E693" s="30" t="inlineStr">
        <is>
          <t>경로충돌</t>
        </is>
      </c>
      <c r="F693" s="30" t="inlineStr">
        <is>
          <t>(18, 17)</t>
        </is>
      </c>
      <c r="G693" s="31" t="n">
        <v>22.2</v>
      </c>
      <c r="H693" s="30" t="inlineStr">
        <is>
          <t>O0682</t>
        </is>
      </c>
    </row>
    <row r="694">
      <c r="A694" s="32" t="n">
        <v>693</v>
      </c>
      <c r="B694" s="31" t="n">
        <v>33324.9</v>
      </c>
      <c r="C694" s="30" t="inlineStr">
        <is>
          <t>AMR1</t>
        </is>
      </c>
      <c r="D694" s="30" t="inlineStr">
        <is>
          <t>AMR2</t>
        </is>
      </c>
      <c r="E694" s="30" t="inlineStr">
        <is>
          <t>정면충돌</t>
        </is>
      </c>
      <c r="F694" s="30" t="inlineStr">
        <is>
          <t>(18, 17)&lt;-&gt;(18, 18)</t>
        </is>
      </c>
      <c r="G694" s="31" t="n">
        <v>28.5</v>
      </c>
      <c r="H694" s="30" t="inlineStr">
        <is>
          <t>O0682</t>
        </is>
      </c>
    </row>
    <row r="695">
      <c r="A695" s="32" t="n">
        <v>694</v>
      </c>
      <c r="B695" s="31" t="n">
        <v>33396.1</v>
      </c>
      <c r="C695" s="30" t="inlineStr">
        <is>
          <t>AMR1</t>
        </is>
      </c>
      <c r="D695" s="30" t="inlineStr">
        <is>
          <t>AMR3</t>
        </is>
      </c>
      <c r="E695" s="30" t="inlineStr">
        <is>
          <t>경로충돌</t>
        </is>
      </c>
      <c r="F695" s="30" t="inlineStr">
        <is>
          <t>(12, 17)</t>
        </is>
      </c>
      <c r="G695" s="31" t="n">
        <v>40.9</v>
      </c>
      <c r="H695" s="30" t="inlineStr">
        <is>
          <t>O0684</t>
        </is>
      </c>
    </row>
    <row r="696">
      <c r="A696" s="32" t="n">
        <v>695</v>
      </c>
      <c r="B696" s="31" t="n">
        <v>33399.5</v>
      </c>
      <c r="C696" s="30" t="inlineStr">
        <is>
          <t>AMR1</t>
        </is>
      </c>
      <c r="D696" s="30" t="inlineStr">
        <is>
          <t>AMR2</t>
        </is>
      </c>
      <c r="E696" s="30" t="inlineStr">
        <is>
          <t>정면충돌</t>
        </is>
      </c>
      <c r="F696" s="30" t="inlineStr">
        <is>
          <t>(13, 19)&lt;-&gt;(14, 19)</t>
        </is>
      </c>
      <c r="G696" s="31" t="n">
        <v>30.1</v>
      </c>
      <c r="H696" s="30" t="inlineStr">
        <is>
          <t>O0683</t>
        </is>
      </c>
    </row>
    <row r="697">
      <c r="A697" s="32" t="n">
        <v>696</v>
      </c>
      <c r="B697" s="31" t="n">
        <v>33753.7</v>
      </c>
      <c r="C697" s="30" t="inlineStr">
        <is>
          <t>AMR2</t>
        </is>
      </c>
      <c r="D697" s="30" t="inlineStr">
        <is>
          <t>AMR3</t>
        </is>
      </c>
      <c r="E697" s="30" t="inlineStr">
        <is>
          <t>경로충돌</t>
        </is>
      </c>
      <c r="F697" s="30" t="inlineStr">
        <is>
          <t>(18, 18)</t>
        </is>
      </c>
      <c r="G697" s="31" t="n">
        <v>58.8</v>
      </c>
      <c r="H697" s="30" t="inlineStr">
        <is>
          <t>O0691</t>
        </is>
      </c>
    </row>
    <row r="698">
      <c r="A698" s="32" t="n">
        <v>697</v>
      </c>
      <c r="B698" s="31" t="n">
        <v>33754</v>
      </c>
      <c r="C698" s="30" t="inlineStr">
        <is>
          <t>AMR2</t>
        </is>
      </c>
      <c r="D698" s="30" t="inlineStr">
        <is>
          <t>AMR3</t>
        </is>
      </c>
      <c r="E698" s="30" t="inlineStr">
        <is>
          <t>정면충돌</t>
        </is>
      </c>
      <c r="F698" s="30" t="inlineStr">
        <is>
          <t>(18, 17)&lt;-&gt;(18, 18)</t>
        </is>
      </c>
      <c r="G698" s="31" t="n">
        <v>56.8</v>
      </c>
      <c r="H698" s="30" t="inlineStr">
        <is>
          <t>O0691</t>
        </is>
      </c>
    </row>
    <row r="699">
      <c r="A699" s="32" t="n">
        <v>698</v>
      </c>
      <c r="B699" s="31" t="n">
        <v>33930.6</v>
      </c>
      <c r="C699" s="30" t="inlineStr">
        <is>
          <t>AMR1</t>
        </is>
      </c>
      <c r="D699" s="30" t="inlineStr">
        <is>
          <t>AMR3</t>
        </is>
      </c>
      <c r="E699" s="30" t="inlineStr">
        <is>
          <t>경로충돌</t>
        </is>
      </c>
      <c r="F699" s="30" t="inlineStr">
        <is>
          <t>(2, 9)</t>
        </is>
      </c>
      <c r="G699" s="31" t="n">
        <v>49</v>
      </c>
      <c r="H699" s="30" t="inlineStr">
        <is>
          <t>O0693 O0694</t>
        </is>
      </c>
    </row>
    <row r="700">
      <c r="A700" s="32" t="n">
        <v>699</v>
      </c>
      <c r="B700" s="31" t="n">
        <v>33931.3</v>
      </c>
      <c r="C700" s="30" t="inlineStr">
        <is>
          <t>AMR1</t>
        </is>
      </c>
      <c r="D700" s="30" t="inlineStr">
        <is>
          <t>AMR3</t>
        </is>
      </c>
      <c r="E700" s="30" t="inlineStr">
        <is>
          <t>정면충돌</t>
        </is>
      </c>
      <c r="F700" s="30" t="inlineStr">
        <is>
          <t>(2, 9)&lt;-&gt;(3, 9)</t>
        </is>
      </c>
      <c r="G700" s="31" t="n">
        <v>25.4</v>
      </c>
      <c r="H700" s="30" t="inlineStr">
        <is>
          <t>O0693 O0694</t>
        </is>
      </c>
    </row>
    <row r="701">
      <c r="A701" s="32" t="n">
        <v>700</v>
      </c>
      <c r="B701" s="31" t="n">
        <v>33955.7</v>
      </c>
      <c r="C701" s="30" t="inlineStr">
        <is>
          <t>AMR1</t>
        </is>
      </c>
      <c r="D701" s="30" t="inlineStr">
        <is>
          <t>AMR2</t>
        </is>
      </c>
      <c r="E701" s="30" t="inlineStr">
        <is>
          <t>경로충돌</t>
        </is>
      </c>
      <c r="F701" s="30" t="inlineStr">
        <is>
          <t>(12, 9)</t>
        </is>
      </c>
      <c r="G701" s="31" t="n">
        <v>37.8</v>
      </c>
      <c r="H701" s="30" t="inlineStr">
        <is>
          <t>O0694</t>
        </is>
      </c>
    </row>
    <row r="702">
      <c r="A702" s="32" t="n">
        <v>701</v>
      </c>
      <c r="B702" s="31" t="n">
        <v>34045.6</v>
      </c>
      <c r="C702" s="30" t="inlineStr">
        <is>
          <t>AMR2</t>
        </is>
      </c>
      <c r="D702" s="30" t="inlineStr">
        <is>
          <t>AMR3</t>
        </is>
      </c>
      <c r="E702" s="30" t="inlineStr">
        <is>
          <t>정면충돌</t>
        </is>
      </c>
      <c r="F702" s="30" t="inlineStr">
        <is>
          <t>(16, 19)&lt;-&gt;(17, 19)</t>
        </is>
      </c>
      <c r="G702" s="31" t="n">
        <v>32.6</v>
      </c>
      <c r="H702" s="30" t="inlineStr">
        <is>
          <t>O0696</t>
        </is>
      </c>
    </row>
    <row r="703">
      <c r="A703" s="32" t="n">
        <v>702</v>
      </c>
      <c r="B703" s="31" t="n">
        <v>34119.9</v>
      </c>
      <c r="C703" s="30" t="inlineStr">
        <is>
          <t>AMR1</t>
        </is>
      </c>
      <c r="D703" s="30" t="inlineStr">
        <is>
          <t>AMR3</t>
        </is>
      </c>
      <c r="E703" s="30" t="inlineStr">
        <is>
          <t>경로충돌</t>
        </is>
      </c>
      <c r="F703" s="30" t="inlineStr">
        <is>
          <t>(18, 16)</t>
        </is>
      </c>
      <c r="G703" s="31" t="n">
        <v>27.2</v>
      </c>
      <c r="H703" s="30" t="inlineStr">
        <is>
          <t>O0698</t>
        </is>
      </c>
    </row>
    <row r="704">
      <c r="A704" s="32" t="n">
        <v>703</v>
      </c>
      <c r="B704" s="31" t="n">
        <v>34120.5</v>
      </c>
      <c r="C704" s="30" t="inlineStr">
        <is>
          <t>AMR1</t>
        </is>
      </c>
      <c r="D704" s="30" t="inlineStr">
        <is>
          <t>AMR3</t>
        </is>
      </c>
      <c r="E704" s="30" t="inlineStr">
        <is>
          <t>정면충돌</t>
        </is>
      </c>
      <c r="F704" s="30" t="inlineStr">
        <is>
          <t>(18, 16)&lt;-&gt;(18, 17)</t>
        </is>
      </c>
      <c r="G704" s="31" t="n">
        <v>34.9</v>
      </c>
      <c r="H704" s="30" t="inlineStr">
        <is>
          <t>O0698</t>
        </is>
      </c>
    </row>
    <row r="705">
      <c r="A705" s="32" t="n">
        <v>704</v>
      </c>
      <c r="B705" s="31" t="n">
        <v>34192.4</v>
      </c>
      <c r="C705" s="30" t="inlineStr">
        <is>
          <t>AMR1</t>
        </is>
      </c>
      <c r="D705" s="30" t="inlineStr">
        <is>
          <t>AMR3</t>
        </is>
      </c>
      <c r="E705" s="30" t="inlineStr">
        <is>
          <t>정면충돌</t>
        </is>
      </c>
      <c r="F705" s="30" t="inlineStr">
        <is>
          <t>(18, 18)&lt;-&gt;(18, 19)</t>
        </is>
      </c>
      <c r="G705" s="31" t="n">
        <v>36.1</v>
      </c>
      <c r="H705" s="30" t="inlineStr">
        <is>
          <t>O0699</t>
        </is>
      </c>
    </row>
    <row r="706">
      <c r="A706" s="32" t="n">
        <v>705</v>
      </c>
      <c r="B706" s="31" t="n">
        <v>34202</v>
      </c>
      <c r="C706" s="30" t="inlineStr">
        <is>
          <t>AMR1</t>
        </is>
      </c>
      <c r="D706" s="30" t="inlineStr">
        <is>
          <t>AMR2</t>
        </is>
      </c>
      <c r="E706" s="30" t="inlineStr">
        <is>
          <t>경로충돌</t>
        </is>
      </c>
      <c r="F706" s="30" t="inlineStr">
        <is>
          <t>(17, 19)</t>
        </is>
      </c>
      <c r="G706" s="31" t="n">
        <v>26.9</v>
      </c>
      <c r="H706" s="30" t="inlineStr">
        <is>
          <t>O0700</t>
        </is>
      </c>
    </row>
    <row r="707">
      <c r="A707" s="32" t="n">
        <v>706</v>
      </c>
      <c r="B707" s="31" t="n">
        <v>34202.2</v>
      </c>
      <c r="C707" s="30" t="inlineStr">
        <is>
          <t>AMR1</t>
        </is>
      </c>
      <c r="D707" s="30" t="inlineStr">
        <is>
          <t>AMR2</t>
        </is>
      </c>
      <c r="E707" s="30" t="inlineStr">
        <is>
          <t>정면충돌</t>
        </is>
      </c>
      <c r="F707" s="30" t="inlineStr">
        <is>
          <t>(16, 19)&lt;-&gt;(17, 19)</t>
        </is>
      </c>
      <c r="G707" s="31" t="n">
        <v>33</v>
      </c>
      <c r="H707" s="30" t="inlineStr">
        <is>
          <t>O0700</t>
        </is>
      </c>
    </row>
    <row r="708">
      <c r="A708" s="32" t="n">
        <v>707</v>
      </c>
      <c r="B708" s="31" t="n">
        <v>34337.8</v>
      </c>
      <c r="C708" s="30" t="inlineStr">
        <is>
          <t>AMR2</t>
        </is>
      </c>
      <c r="D708" s="30" t="inlineStr">
        <is>
          <t>AMR3</t>
        </is>
      </c>
      <c r="E708" s="30" t="inlineStr">
        <is>
          <t>경로충돌</t>
        </is>
      </c>
      <c r="F708" s="30" t="inlineStr">
        <is>
          <t>(18, 16)</t>
        </is>
      </c>
      <c r="G708" s="31" t="n">
        <v>30.7</v>
      </c>
      <c r="H708" s="30" t="inlineStr">
        <is>
          <t>O0702</t>
        </is>
      </c>
    </row>
    <row r="709">
      <c r="A709" s="32" t="n">
        <v>708</v>
      </c>
      <c r="B709" s="31" t="n">
        <v>34338.5</v>
      </c>
      <c r="C709" s="30" t="inlineStr">
        <is>
          <t>AMR2</t>
        </is>
      </c>
      <c r="D709" s="30" t="inlineStr">
        <is>
          <t>AMR3</t>
        </is>
      </c>
      <c r="E709" s="30" t="inlineStr">
        <is>
          <t>정면충돌</t>
        </is>
      </c>
      <c r="F709" s="30" t="inlineStr">
        <is>
          <t>(18, 16)&lt;-&gt;(18, 17)</t>
        </is>
      </c>
      <c r="G709" s="31" t="n">
        <v>44.4</v>
      </c>
      <c r="H709" s="30" t="inlineStr">
        <is>
          <t>O0702</t>
        </is>
      </c>
    </row>
    <row r="710">
      <c r="A710" s="32" t="n">
        <v>709</v>
      </c>
      <c r="B710" s="31" t="n">
        <v>34482.3</v>
      </c>
      <c r="C710" s="30" t="inlineStr">
        <is>
          <t>AMR1</t>
        </is>
      </c>
      <c r="D710" s="30" t="inlineStr">
        <is>
          <t>AMR3</t>
        </is>
      </c>
      <c r="E710" s="30" t="inlineStr">
        <is>
          <t>경로충돌</t>
        </is>
      </c>
      <c r="F710" s="30" t="inlineStr">
        <is>
          <t>(16, 19)</t>
        </is>
      </c>
      <c r="G710" s="31" t="n">
        <v>42.8</v>
      </c>
      <c r="H710" s="30" t="inlineStr">
        <is>
          <t>O0706</t>
        </is>
      </c>
    </row>
    <row r="711">
      <c r="A711" s="32" t="n">
        <v>710</v>
      </c>
      <c r="B711" s="31" t="n">
        <v>34482.9</v>
      </c>
      <c r="C711" s="30" t="inlineStr">
        <is>
          <t>AMR1</t>
        </is>
      </c>
      <c r="D711" s="30" t="inlineStr">
        <is>
          <t>AMR3</t>
        </is>
      </c>
      <c r="E711" s="30" t="inlineStr">
        <is>
          <t>정면충돌</t>
        </is>
      </c>
      <c r="F711" s="30" t="inlineStr">
        <is>
          <t>(16, 19)&lt;-&gt;(17, 19)</t>
        </is>
      </c>
      <c r="G711" s="31" t="n">
        <v>24.4</v>
      </c>
      <c r="H711" s="30" t="inlineStr">
        <is>
          <t>O0706</t>
        </is>
      </c>
    </row>
    <row r="712">
      <c r="A712" s="32" t="n">
        <v>711</v>
      </c>
      <c r="B712" s="31" t="n">
        <v>34513.5</v>
      </c>
      <c r="C712" s="30" t="inlineStr">
        <is>
          <t>AMR1</t>
        </is>
      </c>
      <c r="D712" s="30" t="inlineStr">
        <is>
          <t>AMR3</t>
        </is>
      </c>
      <c r="E712" s="30" t="inlineStr">
        <is>
          <t>경로충돌</t>
        </is>
      </c>
      <c r="F712" s="30" t="inlineStr">
        <is>
          <t>(18, 11)</t>
        </is>
      </c>
      <c r="G712" s="31" t="n">
        <v>31</v>
      </c>
      <c r="H712" s="30" t="inlineStr">
        <is>
          <t>O0706 O0707</t>
        </is>
      </c>
    </row>
    <row r="713">
      <c r="A713" s="32" t="n">
        <v>712</v>
      </c>
      <c r="B713" s="31" t="n">
        <v>34554.9</v>
      </c>
      <c r="C713" s="30" t="inlineStr">
        <is>
          <t>AMR1</t>
        </is>
      </c>
      <c r="D713" s="30" t="inlineStr">
        <is>
          <t>AMR2</t>
        </is>
      </c>
      <c r="E713" s="30" t="inlineStr">
        <is>
          <t>경로충돌</t>
        </is>
      </c>
      <c r="F713" s="30" t="inlineStr">
        <is>
          <t>(18, 18)</t>
        </is>
      </c>
      <c r="G713" s="31" t="n">
        <v>34.3</v>
      </c>
      <c r="H713" s="30" t="inlineStr">
        <is>
          <t>O0707</t>
        </is>
      </c>
    </row>
    <row r="714">
      <c r="A714" s="32" t="n">
        <v>713</v>
      </c>
      <c r="B714" s="31" t="n">
        <v>34555.5</v>
      </c>
      <c r="C714" s="30" t="inlineStr">
        <is>
          <t>AMR1</t>
        </is>
      </c>
      <c r="D714" s="30" t="inlineStr">
        <is>
          <t>AMR2</t>
        </is>
      </c>
      <c r="E714" s="30" t="inlineStr">
        <is>
          <t>정면충돌</t>
        </is>
      </c>
      <c r="F714" s="30" t="inlineStr">
        <is>
          <t>(18, 18)&lt;-&gt;(18, 19)</t>
        </is>
      </c>
      <c r="G714" s="31" t="n">
        <v>20.8</v>
      </c>
      <c r="H714" s="30" t="inlineStr">
        <is>
          <t>O0707</t>
        </is>
      </c>
    </row>
    <row r="715">
      <c r="A715" s="32" t="n">
        <v>714</v>
      </c>
      <c r="B715" s="31" t="n">
        <v>34622.1</v>
      </c>
      <c r="C715" s="30" t="inlineStr">
        <is>
          <t>AMR1</t>
        </is>
      </c>
      <c r="D715" s="30" t="inlineStr">
        <is>
          <t>AMR3</t>
        </is>
      </c>
      <c r="E715" s="30" t="inlineStr">
        <is>
          <t>경로충돌</t>
        </is>
      </c>
      <c r="F715" s="30" t="inlineStr">
        <is>
          <t>(18, 9)</t>
        </is>
      </c>
      <c r="G715" s="31" t="n">
        <v>30.1</v>
      </c>
      <c r="H715" s="30" t="inlineStr"/>
    </row>
    <row r="716">
      <c r="A716" s="32" t="n">
        <v>715</v>
      </c>
      <c r="B716" s="31" t="n">
        <v>34636</v>
      </c>
      <c r="C716" s="30" t="inlineStr">
        <is>
          <t>AMR1</t>
        </is>
      </c>
      <c r="D716" s="30" t="inlineStr">
        <is>
          <t>AMR3</t>
        </is>
      </c>
      <c r="E716" s="30" t="inlineStr">
        <is>
          <t>경로충돌</t>
        </is>
      </c>
      <c r="F716" s="30" t="inlineStr">
        <is>
          <t>(17, 19)</t>
        </is>
      </c>
      <c r="G716" s="31" t="n">
        <v>26.8</v>
      </c>
      <c r="H716" s="30" t="inlineStr">
        <is>
          <t>O0709</t>
        </is>
      </c>
    </row>
    <row r="717">
      <c r="A717" s="32" t="n">
        <v>716</v>
      </c>
      <c r="B717" s="31" t="n">
        <v>34636.3</v>
      </c>
      <c r="C717" s="30" t="inlineStr">
        <is>
          <t>AMR1</t>
        </is>
      </c>
      <c r="D717" s="30" t="inlineStr">
        <is>
          <t>AMR3</t>
        </is>
      </c>
      <c r="E717" s="30" t="inlineStr">
        <is>
          <t>정면충돌</t>
        </is>
      </c>
      <c r="F717" s="30" t="inlineStr">
        <is>
          <t>(16, 19)&lt;-&gt;(17, 19)</t>
        </is>
      </c>
      <c r="G717" s="31" t="n">
        <v>35.1</v>
      </c>
      <c r="H717" s="30" t="inlineStr">
        <is>
          <t>O0709</t>
        </is>
      </c>
    </row>
    <row r="718">
      <c r="A718" s="32" t="n">
        <v>717</v>
      </c>
      <c r="B718" s="31" t="n">
        <v>34780.9</v>
      </c>
      <c r="C718" s="30" t="inlineStr">
        <is>
          <t>AMR1</t>
        </is>
      </c>
      <c r="D718" s="30" t="inlineStr">
        <is>
          <t>AMR3</t>
        </is>
      </c>
      <c r="E718" s="30" t="inlineStr">
        <is>
          <t>경로충돌</t>
        </is>
      </c>
      <c r="F718" s="30" t="inlineStr">
        <is>
          <t>(15, 19)</t>
        </is>
      </c>
      <c r="G718" s="31" t="n">
        <v>58.1</v>
      </c>
      <c r="H718" s="30" t="inlineStr"/>
    </row>
    <row r="719">
      <c r="A719" s="32" t="n">
        <v>718</v>
      </c>
      <c r="B719" s="31" t="n">
        <v>34823.2</v>
      </c>
      <c r="C719" s="30" t="inlineStr">
        <is>
          <t>AMR1</t>
        </is>
      </c>
      <c r="D719" s="30" t="inlineStr">
        <is>
          <t>AMR3</t>
        </is>
      </c>
      <c r="E719" s="30" t="inlineStr">
        <is>
          <t>경로충돌</t>
        </is>
      </c>
      <c r="F719" s="30" t="inlineStr">
        <is>
          <t>(12, 11)</t>
        </is>
      </c>
      <c r="G719" s="31" t="n">
        <v>22.8</v>
      </c>
      <c r="H719" s="30" t="inlineStr">
        <is>
          <t>O0712</t>
        </is>
      </c>
    </row>
    <row r="720">
      <c r="A720" s="32" t="n">
        <v>719</v>
      </c>
      <c r="B720" s="31" t="n">
        <v>34899.2</v>
      </c>
      <c r="C720" s="30" t="inlineStr">
        <is>
          <t>AMR1</t>
        </is>
      </c>
      <c r="D720" s="30" t="inlineStr">
        <is>
          <t>AMR3</t>
        </is>
      </c>
      <c r="E720" s="30" t="inlineStr">
        <is>
          <t>경로충돌</t>
        </is>
      </c>
      <c r="F720" s="30" t="inlineStr">
        <is>
          <t>(18, 11)</t>
        </is>
      </c>
      <c r="G720" s="31" t="n">
        <v>27.8</v>
      </c>
      <c r="H720" s="30" t="inlineStr">
        <is>
          <t>O0715</t>
        </is>
      </c>
    </row>
    <row r="721">
      <c r="A721" s="32" t="n">
        <v>720</v>
      </c>
      <c r="B721" s="31" t="n">
        <v>34899.4</v>
      </c>
      <c r="C721" s="30" t="inlineStr">
        <is>
          <t>AMR1</t>
        </is>
      </c>
      <c r="D721" s="30" t="inlineStr">
        <is>
          <t>AMR3</t>
        </is>
      </c>
      <c r="E721" s="30" t="inlineStr">
        <is>
          <t>정면충돌</t>
        </is>
      </c>
      <c r="F721" s="30" t="inlineStr">
        <is>
          <t>(18, 11)&lt;-&gt;(18, 12)</t>
        </is>
      </c>
      <c r="G721" s="31" t="n">
        <v>29.6</v>
      </c>
      <c r="H721" s="30" t="inlineStr">
        <is>
          <t>O0715</t>
        </is>
      </c>
    </row>
    <row r="722">
      <c r="A722" s="32" t="n">
        <v>721</v>
      </c>
      <c r="B722" s="31" t="n">
        <v>34912.3</v>
      </c>
      <c r="C722" s="30" t="inlineStr">
        <is>
          <t>AMR2</t>
        </is>
      </c>
      <c r="D722" s="30" t="inlineStr">
        <is>
          <t>AMR3</t>
        </is>
      </c>
      <c r="E722" s="30" t="inlineStr">
        <is>
          <t>경로충돌</t>
        </is>
      </c>
      <c r="F722" s="30" t="inlineStr">
        <is>
          <t>(17, 19)</t>
        </is>
      </c>
      <c r="G722" s="31" t="n">
        <v>31.3</v>
      </c>
      <c r="H722" s="30" t="inlineStr">
        <is>
          <t>O0714</t>
        </is>
      </c>
    </row>
    <row r="723">
      <c r="A723" s="32" t="n">
        <v>722</v>
      </c>
      <c r="B723" s="31" t="n">
        <v>34912.7</v>
      </c>
      <c r="C723" s="30" t="inlineStr">
        <is>
          <t>AMR2</t>
        </is>
      </c>
      <c r="D723" s="30" t="inlineStr">
        <is>
          <t>AMR3</t>
        </is>
      </c>
      <c r="E723" s="30" t="inlineStr">
        <is>
          <t>정면충돌</t>
        </is>
      </c>
      <c r="F723" s="30" t="inlineStr">
        <is>
          <t>(16, 19)&lt;-&gt;(17, 19)</t>
        </is>
      </c>
      <c r="G723" s="31" t="n">
        <v>49.7</v>
      </c>
      <c r="H723" s="30" t="inlineStr">
        <is>
          <t>O0714</t>
        </is>
      </c>
    </row>
    <row r="724">
      <c r="A724" s="32" t="n">
        <v>723</v>
      </c>
      <c r="B724" s="31" t="n">
        <v>34924.6</v>
      </c>
      <c r="C724" s="30" t="inlineStr">
        <is>
          <t>AMR1</t>
        </is>
      </c>
      <c r="D724" s="30" t="inlineStr">
        <is>
          <t>AMR2</t>
        </is>
      </c>
      <c r="E724" s="30" t="inlineStr">
        <is>
          <t>경로충돌</t>
        </is>
      </c>
      <c r="F724" s="30" t="inlineStr">
        <is>
          <t>(17, 11)</t>
        </is>
      </c>
      <c r="G724" s="31" t="n">
        <v>36.4</v>
      </c>
      <c r="H724" s="30" t="inlineStr">
        <is>
          <t>O0714</t>
        </is>
      </c>
    </row>
    <row r="725">
      <c r="A725" s="32" t="n">
        <v>724</v>
      </c>
      <c r="B725" s="31" t="n">
        <v>34934</v>
      </c>
      <c r="C725" s="30" t="inlineStr">
        <is>
          <t>AMR1</t>
        </is>
      </c>
      <c r="D725" s="30" t="inlineStr">
        <is>
          <t>AMR3</t>
        </is>
      </c>
      <c r="E725" s="30" t="inlineStr">
        <is>
          <t>경로충돌</t>
        </is>
      </c>
      <c r="F725" s="30" t="inlineStr">
        <is>
          <t>(17, 17)</t>
        </is>
      </c>
      <c r="G725" s="31" t="n">
        <v>21.9</v>
      </c>
      <c r="H725" s="30" t="inlineStr">
        <is>
          <t>O0716</t>
        </is>
      </c>
    </row>
    <row r="726">
      <c r="A726" s="32" t="n">
        <v>725</v>
      </c>
      <c r="B726" s="31" t="n">
        <v>34976.3</v>
      </c>
      <c r="C726" s="30" t="inlineStr">
        <is>
          <t>AMR2</t>
        </is>
      </c>
      <c r="D726" s="30" t="inlineStr">
        <is>
          <t>AMR3</t>
        </is>
      </c>
      <c r="E726" s="30" t="inlineStr">
        <is>
          <t>경로충돌</t>
        </is>
      </c>
      <c r="F726" s="30" t="inlineStr">
        <is>
          <t>(18, 9)</t>
        </is>
      </c>
      <c r="G726" s="31" t="n">
        <v>56.8</v>
      </c>
      <c r="H726" s="30" t="inlineStr"/>
    </row>
    <row r="727">
      <c r="A727" s="32" t="n">
        <v>726</v>
      </c>
      <c r="B727" s="31" t="n">
        <v>34991.1</v>
      </c>
      <c r="C727" s="30" t="inlineStr">
        <is>
          <t>AMR2</t>
        </is>
      </c>
      <c r="D727" s="30" t="inlineStr">
        <is>
          <t>AMR3</t>
        </is>
      </c>
      <c r="E727" s="30" t="inlineStr">
        <is>
          <t>경로충돌</t>
        </is>
      </c>
      <c r="F727" s="30" t="inlineStr">
        <is>
          <t>(16, 19)</t>
        </is>
      </c>
      <c r="G727" s="31" t="n">
        <v>37.5</v>
      </c>
      <c r="H727" s="30" t="inlineStr">
        <is>
          <t>O0716</t>
        </is>
      </c>
    </row>
    <row r="728">
      <c r="A728" s="32" t="n">
        <v>727</v>
      </c>
      <c r="B728" s="31" t="n">
        <v>34991.7</v>
      </c>
      <c r="C728" s="30" t="inlineStr">
        <is>
          <t>AMR2</t>
        </is>
      </c>
      <c r="D728" s="30" t="inlineStr">
        <is>
          <t>AMR3</t>
        </is>
      </c>
      <c r="E728" s="30" t="inlineStr">
        <is>
          <t>정면충돌</t>
        </is>
      </c>
      <c r="F728" s="30" t="inlineStr">
        <is>
          <t>(16, 19)&lt;-&gt;(17, 19)</t>
        </is>
      </c>
      <c r="G728" s="31" t="n">
        <v>47.8</v>
      </c>
      <c r="H728" s="30" t="inlineStr">
        <is>
          <t>O0716</t>
        </is>
      </c>
    </row>
    <row r="729">
      <c r="A729" s="32" t="n">
        <v>728</v>
      </c>
      <c r="B729" s="31" t="n">
        <v>35030.7</v>
      </c>
      <c r="C729" s="30" t="inlineStr">
        <is>
          <t>AMR2</t>
        </is>
      </c>
      <c r="D729" s="30" t="inlineStr">
        <is>
          <t>AMR3</t>
        </is>
      </c>
      <c r="E729" s="30" t="inlineStr">
        <is>
          <t>경로충돌</t>
        </is>
      </c>
      <c r="F729" s="30" t="inlineStr">
        <is>
          <t>(21, 9)</t>
        </is>
      </c>
      <c r="G729" s="31" t="n">
        <v>49.8</v>
      </c>
      <c r="H729" s="30" t="inlineStr">
        <is>
          <t>O0716 O0717</t>
        </is>
      </c>
    </row>
    <row r="730">
      <c r="A730" s="32" t="n">
        <v>729</v>
      </c>
      <c r="B730" s="31" t="n">
        <v>35091.2</v>
      </c>
      <c r="C730" s="30" t="inlineStr">
        <is>
          <t>AMR1</t>
        </is>
      </c>
      <c r="D730" s="30" t="inlineStr">
        <is>
          <t>AMR2</t>
        </is>
      </c>
      <c r="E730" s="30" t="inlineStr">
        <is>
          <t>경로충돌</t>
        </is>
      </c>
      <c r="F730" s="30" t="inlineStr">
        <is>
          <t>(17, 9)</t>
        </is>
      </c>
      <c r="G730" s="31" t="n">
        <v>24.9</v>
      </c>
      <c r="H730" s="30" t="inlineStr">
        <is>
          <t>O0717 O0718</t>
        </is>
      </c>
    </row>
    <row r="731">
      <c r="A731" s="32" t="n">
        <v>730</v>
      </c>
      <c r="B731" s="31" t="n">
        <v>35146.6</v>
      </c>
      <c r="C731" s="30" t="inlineStr">
        <is>
          <t>AMR1</t>
        </is>
      </c>
      <c r="D731" s="30" t="inlineStr">
        <is>
          <t>AMR2</t>
        </is>
      </c>
      <c r="E731" s="30" t="inlineStr">
        <is>
          <t>경로충돌</t>
        </is>
      </c>
      <c r="F731" s="30" t="inlineStr">
        <is>
          <t>(18, 15)</t>
        </is>
      </c>
      <c r="G731" s="31" t="n">
        <v>53.3</v>
      </c>
      <c r="H731" s="30" t="inlineStr">
        <is>
          <t>O0719</t>
        </is>
      </c>
    </row>
    <row r="732">
      <c r="A732" s="32" t="n">
        <v>731</v>
      </c>
      <c r="B732" s="31" t="n">
        <v>35147.1</v>
      </c>
      <c r="C732" s="30" t="inlineStr">
        <is>
          <t>AMR1</t>
        </is>
      </c>
      <c r="D732" s="30" t="inlineStr">
        <is>
          <t>AMR2</t>
        </is>
      </c>
      <c r="E732" s="30" t="inlineStr">
        <is>
          <t>정면충돌</t>
        </is>
      </c>
      <c r="F732" s="30" t="inlineStr">
        <is>
          <t>(18, 14)&lt;-&gt;(18, 15)</t>
        </is>
      </c>
      <c r="G732" s="31" t="n">
        <v>52.2</v>
      </c>
      <c r="H732" s="30" t="inlineStr">
        <is>
          <t>O0719</t>
        </is>
      </c>
    </row>
    <row r="733">
      <c r="A733" s="32" t="n">
        <v>732</v>
      </c>
      <c r="B733" s="31" t="n">
        <v>35220.4</v>
      </c>
      <c r="C733" s="30" t="inlineStr">
        <is>
          <t>AMR1</t>
        </is>
      </c>
      <c r="D733" s="30" t="inlineStr">
        <is>
          <t>AMR2</t>
        </is>
      </c>
      <c r="E733" s="30" t="inlineStr">
        <is>
          <t>경로충돌</t>
        </is>
      </c>
      <c r="F733" s="30" t="inlineStr">
        <is>
          <t>(17, 19)</t>
        </is>
      </c>
      <c r="G733" s="31" t="n">
        <v>39.7</v>
      </c>
      <c r="H733" s="30" t="inlineStr">
        <is>
          <t>O0721</t>
        </is>
      </c>
    </row>
    <row r="734">
      <c r="A734" s="32" t="n">
        <v>733</v>
      </c>
      <c r="B734" s="31" t="n">
        <v>35340.4</v>
      </c>
      <c r="C734" s="30" t="inlineStr">
        <is>
          <t>AMR1</t>
        </is>
      </c>
      <c r="D734" s="30" t="inlineStr">
        <is>
          <t>AMR2</t>
        </is>
      </c>
      <c r="E734" s="30" t="inlineStr">
        <is>
          <t>경로충돌</t>
        </is>
      </c>
      <c r="F734" s="30" t="inlineStr">
        <is>
          <t>(17, 14)</t>
        </is>
      </c>
      <c r="G734" s="31" t="n">
        <v>47.9</v>
      </c>
      <c r="H734" s="30" t="inlineStr">
        <is>
          <t>O0723</t>
        </is>
      </c>
    </row>
    <row r="735">
      <c r="A735" s="32" t="n">
        <v>734</v>
      </c>
      <c r="B735" s="31" t="n">
        <v>35340.6</v>
      </c>
      <c r="C735" s="30" t="inlineStr">
        <is>
          <t>AMR1</t>
        </is>
      </c>
      <c r="D735" s="30" t="inlineStr">
        <is>
          <t>AMR2</t>
        </is>
      </c>
      <c r="E735" s="30" t="inlineStr">
        <is>
          <t>정면충돌</t>
        </is>
      </c>
      <c r="F735" s="30" t="inlineStr">
        <is>
          <t>(17, 13)&lt;-&gt;(17, 14)</t>
        </is>
      </c>
      <c r="G735" s="31" t="n">
        <v>34.1</v>
      </c>
      <c r="H735" s="30" t="inlineStr">
        <is>
          <t>O0723</t>
        </is>
      </c>
    </row>
    <row r="736">
      <c r="A736" s="32" t="n">
        <v>735</v>
      </c>
      <c r="B736" s="31" t="n">
        <v>35348.9</v>
      </c>
      <c r="C736" s="30" t="inlineStr">
        <is>
          <t>AMR2</t>
        </is>
      </c>
      <c r="D736" s="30" t="inlineStr">
        <is>
          <t>AMR3</t>
        </is>
      </c>
      <c r="E736" s="30" t="inlineStr">
        <is>
          <t>정면충돌</t>
        </is>
      </c>
      <c r="F736" s="30" t="inlineStr">
        <is>
          <t>(18, 16)&lt;-&gt;(18, 17)</t>
        </is>
      </c>
      <c r="G736" s="31" t="n">
        <v>48.9</v>
      </c>
      <c r="H736" s="30" t="inlineStr">
        <is>
          <t>O0724</t>
        </is>
      </c>
    </row>
    <row r="737">
      <c r="A737" s="32" t="n">
        <v>736</v>
      </c>
      <c r="B737" s="31" t="n">
        <v>35414.1</v>
      </c>
      <c r="C737" s="30" t="inlineStr">
        <is>
          <t>AMR1</t>
        </is>
      </c>
      <c r="D737" s="30" t="inlineStr">
        <is>
          <t>AMR2</t>
        </is>
      </c>
      <c r="E737" s="30" t="inlineStr">
        <is>
          <t>정면충돌</t>
        </is>
      </c>
      <c r="F737" s="30" t="inlineStr">
        <is>
          <t>(17, 19)&lt;-&gt;(18, 19)</t>
        </is>
      </c>
      <c r="G737" s="31" t="n">
        <v>38</v>
      </c>
      <c r="H737" s="30" t="inlineStr">
        <is>
          <t>O0725</t>
        </is>
      </c>
    </row>
    <row r="738">
      <c r="A738" s="32" t="n">
        <v>737</v>
      </c>
      <c r="B738" s="31" t="n">
        <v>35424</v>
      </c>
      <c r="C738" s="30" t="inlineStr">
        <is>
          <t>AMR2</t>
        </is>
      </c>
      <c r="D738" s="30" t="inlineStr">
        <is>
          <t>AMR3</t>
        </is>
      </c>
      <c r="E738" s="30" t="inlineStr">
        <is>
          <t>정면충돌</t>
        </is>
      </c>
      <c r="F738" s="30" t="inlineStr">
        <is>
          <t>(18, 15)&lt;-&gt;(18, 16)</t>
        </is>
      </c>
      <c r="G738" s="31" t="n">
        <v>41.1</v>
      </c>
      <c r="H738" s="30" t="inlineStr">
        <is>
          <t>O0725</t>
        </is>
      </c>
    </row>
    <row r="739">
      <c r="A739" s="32" t="n">
        <v>738</v>
      </c>
      <c r="B739" s="31" t="n">
        <v>35687.7</v>
      </c>
      <c r="C739" s="30" t="inlineStr">
        <is>
          <t>AMR2</t>
        </is>
      </c>
      <c r="D739" s="30" t="inlineStr">
        <is>
          <t>AMR3</t>
        </is>
      </c>
      <c r="E739" s="30" t="inlineStr">
        <is>
          <t>경로충돌</t>
        </is>
      </c>
      <c r="F739" s="30" t="inlineStr">
        <is>
          <t>(18, 18)</t>
        </is>
      </c>
      <c r="G739" s="31" t="n">
        <v>23</v>
      </c>
      <c r="H739" s="30" t="inlineStr">
        <is>
          <t>O0731</t>
        </is>
      </c>
    </row>
    <row r="740">
      <c r="A740" s="32" t="n">
        <v>739</v>
      </c>
      <c r="B740" s="31" t="n">
        <v>35689.3</v>
      </c>
      <c r="C740" s="30" t="inlineStr">
        <is>
          <t>AMR2</t>
        </is>
      </c>
      <c r="D740" s="30" t="inlineStr">
        <is>
          <t>AMR3</t>
        </is>
      </c>
      <c r="E740" s="30" t="inlineStr">
        <is>
          <t>정면충돌</t>
        </is>
      </c>
      <c r="F740" s="30" t="inlineStr">
        <is>
          <t>(18, 17)&lt;-&gt;(18, 18)</t>
        </is>
      </c>
      <c r="G740" s="31" t="n">
        <v>58.7</v>
      </c>
      <c r="H740" s="30" t="inlineStr">
        <is>
          <t>O0731</t>
        </is>
      </c>
    </row>
    <row r="741">
      <c r="A741" s="32" t="n">
        <v>740</v>
      </c>
      <c r="B741" s="31" t="n">
        <v>35696.1</v>
      </c>
      <c r="C741" s="30" t="inlineStr">
        <is>
          <t>AMR1</t>
        </is>
      </c>
      <c r="D741" s="30" t="inlineStr">
        <is>
          <t>AMR3</t>
        </is>
      </c>
      <c r="E741" s="30" t="inlineStr">
        <is>
          <t>경로충돌</t>
        </is>
      </c>
      <c r="F741" s="30" t="inlineStr">
        <is>
          <t>(18, 14)</t>
        </is>
      </c>
      <c r="G741" s="31" t="n">
        <v>36.9</v>
      </c>
      <c r="H741" s="30" t="inlineStr">
        <is>
          <t>O0731</t>
        </is>
      </c>
    </row>
    <row r="742">
      <c r="A742" s="32" t="n">
        <v>741</v>
      </c>
      <c r="B742" s="31" t="n">
        <v>35696.7</v>
      </c>
      <c r="C742" s="30" t="inlineStr">
        <is>
          <t>AMR1</t>
        </is>
      </c>
      <c r="D742" s="30" t="inlineStr">
        <is>
          <t>AMR3</t>
        </is>
      </c>
      <c r="E742" s="30" t="inlineStr">
        <is>
          <t>정면충돌</t>
        </is>
      </c>
      <c r="F742" s="30" t="inlineStr">
        <is>
          <t>(18, 13)&lt;-&gt;(18, 14)</t>
        </is>
      </c>
      <c r="G742" s="31" t="n">
        <v>55.5</v>
      </c>
      <c r="H742" s="30" t="inlineStr">
        <is>
          <t>O0731</t>
        </is>
      </c>
    </row>
    <row r="743">
      <c r="A743" s="32" t="n">
        <v>742</v>
      </c>
      <c r="B743" s="31" t="n">
        <v>35721.3</v>
      </c>
      <c r="C743" s="30" t="inlineStr">
        <is>
          <t>AMR2</t>
        </is>
      </c>
      <c r="D743" s="30" t="inlineStr">
        <is>
          <t>AMR3</t>
        </is>
      </c>
      <c r="E743" s="30" t="inlineStr">
        <is>
          <t>경로충돌</t>
        </is>
      </c>
      <c r="F743" s="30" t="inlineStr">
        <is>
          <t>(19, 9)</t>
        </is>
      </c>
      <c r="G743" s="31" t="n">
        <v>44.1</v>
      </c>
      <c r="H743" s="30" t="inlineStr">
        <is>
          <t>O0731 O0732</t>
        </is>
      </c>
    </row>
    <row r="744">
      <c r="A744" s="32" t="n">
        <v>743</v>
      </c>
      <c r="B744" s="31" t="n">
        <v>35722.9</v>
      </c>
      <c r="C744" s="30" t="inlineStr">
        <is>
          <t>AMR2</t>
        </is>
      </c>
      <c r="D744" s="30" t="inlineStr">
        <is>
          <t>AMR3</t>
        </is>
      </c>
      <c r="E744" s="30" t="inlineStr">
        <is>
          <t>정면충돌</t>
        </is>
      </c>
      <c r="F744" s="30" t="inlineStr">
        <is>
          <t>(18, 9)&lt;-&gt;(19, 9)</t>
        </is>
      </c>
      <c r="G744" s="31" t="n">
        <v>25.2</v>
      </c>
      <c r="H744" s="30" t="inlineStr">
        <is>
          <t>O0731 O0732</t>
        </is>
      </c>
    </row>
    <row r="745">
      <c r="A745" s="32" t="n">
        <v>744</v>
      </c>
      <c r="B745" s="31" t="n">
        <v>35755.2</v>
      </c>
      <c r="C745" s="30" t="inlineStr">
        <is>
          <t>AMR1</t>
        </is>
      </c>
      <c r="D745" s="30" t="inlineStr">
        <is>
          <t>AMR2</t>
        </is>
      </c>
      <c r="E745" s="30" t="inlineStr">
        <is>
          <t>경로충돌</t>
        </is>
      </c>
      <c r="F745" s="30" t="inlineStr">
        <is>
          <t>(16, 19)</t>
        </is>
      </c>
      <c r="G745" s="31" t="n">
        <v>58.3</v>
      </c>
      <c r="H745" s="30" t="inlineStr">
        <is>
          <t>O0732</t>
        </is>
      </c>
    </row>
    <row r="746">
      <c r="A746" s="32" t="n">
        <v>745</v>
      </c>
      <c r="B746" s="31" t="n">
        <v>35756.1</v>
      </c>
      <c r="C746" s="30" t="inlineStr">
        <is>
          <t>AMR1</t>
        </is>
      </c>
      <c r="D746" s="30" t="inlineStr">
        <is>
          <t>AMR2</t>
        </is>
      </c>
      <c r="E746" s="30" t="inlineStr">
        <is>
          <t>정면충돌</t>
        </is>
      </c>
      <c r="F746" s="30" t="inlineStr">
        <is>
          <t>(16, 19)&lt;-&gt;(17, 19)</t>
        </is>
      </c>
      <c r="G746" s="31" t="n">
        <v>51.5</v>
      </c>
      <c r="H746" s="30" t="inlineStr">
        <is>
          <t>O0732</t>
        </is>
      </c>
    </row>
    <row r="747">
      <c r="A747" s="32" t="n">
        <v>746</v>
      </c>
      <c r="B747" s="31" t="n">
        <v>35766.6</v>
      </c>
      <c r="C747" s="30" t="inlineStr">
        <is>
          <t>AMR2</t>
        </is>
      </c>
      <c r="D747" s="30" t="inlineStr">
        <is>
          <t>AMR3</t>
        </is>
      </c>
      <c r="E747" s="30" t="inlineStr">
        <is>
          <t>정면충돌</t>
        </is>
      </c>
      <c r="F747" s="30" t="inlineStr">
        <is>
          <t>(18, 14)&lt;-&gt;(18, 15)</t>
        </is>
      </c>
      <c r="G747" s="31" t="n">
        <v>57</v>
      </c>
      <c r="H747" s="30" t="inlineStr">
        <is>
          <t>O0732</t>
        </is>
      </c>
    </row>
    <row r="748">
      <c r="A748" s="32" t="n">
        <v>747</v>
      </c>
      <c r="B748" s="31" t="n">
        <v>35797.4</v>
      </c>
      <c r="C748" s="30" t="inlineStr">
        <is>
          <t>AMR1</t>
        </is>
      </c>
      <c r="D748" s="30" t="inlineStr">
        <is>
          <t>AMR2</t>
        </is>
      </c>
      <c r="E748" s="30" t="inlineStr">
        <is>
          <t>경로충돌</t>
        </is>
      </c>
      <c r="F748" s="30" t="inlineStr">
        <is>
          <t>(17, 9)</t>
        </is>
      </c>
      <c r="G748" s="31" t="n">
        <v>38.2</v>
      </c>
      <c r="H748" s="30" t="inlineStr">
        <is>
          <t>O0732 O0733</t>
        </is>
      </c>
    </row>
    <row r="749">
      <c r="A749" s="32" t="n">
        <v>748</v>
      </c>
      <c r="B749" s="31" t="n">
        <v>35841.1</v>
      </c>
      <c r="C749" s="30" t="inlineStr">
        <is>
          <t>AMR2</t>
        </is>
      </c>
      <c r="D749" s="30" t="inlineStr">
        <is>
          <t>AMR3</t>
        </is>
      </c>
      <c r="E749" s="30" t="inlineStr">
        <is>
          <t>경로충돌</t>
        </is>
      </c>
      <c r="F749" s="30" t="inlineStr">
        <is>
          <t>(18, 17)</t>
        </is>
      </c>
      <c r="G749" s="31" t="n">
        <v>38.7</v>
      </c>
      <c r="H749" s="30" t="inlineStr">
        <is>
          <t>O0734</t>
        </is>
      </c>
    </row>
    <row r="750">
      <c r="A750" s="32" t="n">
        <v>749</v>
      </c>
      <c r="B750" s="31" t="n">
        <v>35841.3</v>
      </c>
      <c r="C750" s="30" t="inlineStr">
        <is>
          <t>AMR2</t>
        </is>
      </c>
      <c r="D750" s="30" t="inlineStr">
        <is>
          <t>AMR3</t>
        </is>
      </c>
      <c r="E750" s="30" t="inlineStr">
        <is>
          <t>정면충돌</t>
        </is>
      </c>
      <c r="F750" s="30" t="inlineStr">
        <is>
          <t>(18, 17)&lt;-&gt;(18, 18)</t>
        </is>
      </c>
      <c r="G750" s="31" t="n">
        <v>46.8</v>
      </c>
      <c r="H750" s="30" t="inlineStr">
        <is>
          <t>O0734</t>
        </is>
      </c>
    </row>
    <row r="751">
      <c r="A751" s="32" t="n">
        <v>750</v>
      </c>
      <c r="B751" s="31" t="n">
        <v>35876.7</v>
      </c>
      <c r="C751" s="30" t="inlineStr">
        <is>
          <t>AMR2</t>
        </is>
      </c>
      <c r="D751" s="30" t="inlineStr">
        <is>
          <t>AMR3</t>
        </is>
      </c>
      <c r="E751" s="30" t="inlineStr">
        <is>
          <t>경로충돌</t>
        </is>
      </c>
      <c r="F751" s="30" t="inlineStr">
        <is>
          <t>(18, 9)</t>
        </is>
      </c>
      <c r="G751" s="31" t="n">
        <v>41.5</v>
      </c>
      <c r="H751" s="30" t="inlineStr">
        <is>
          <t>O0734 O0735</t>
        </is>
      </c>
    </row>
    <row r="752">
      <c r="A752" s="32" t="n">
        <v>751</v>
      </c>
      <c r="B752" s="31" t="n">
        <v>35916.4</v>
      </c>
      <c r="C752" s="30" t="inlineStr">
        <is>
          <t>AMR2</t>
        </is>
      </c>
      <c r="D752" s="30" t="inlineStr">
        <is>
          <t>AMR3</t>
        </is>
      </c>
      <c r="E752" s="30" t="inlineStr">
        <is>
          <t>경로충돌</t>
        </is>
      </c>
      <c r="F752" s="30" t="inlineStr">
        <is>
          <t>(18, 15)</t>
        </is>
      </c>
      <c r="G752" s="31" t="n">
        <v>31.8</v>
      </c>
      <c r="H752" s="30" t="inlineStr">
        <is>
          <t>O0735</t>
        </is>
      </c>
    </row>
    <row r="753">
      <c r="A753" s="32" t="n">
        <v>752</v>
      </c>
      <c r="B753" s="31" t="n">
        <v>35916.6</v>
      </c>
      <c r="C753" s="30" t="inlineStr">
        <is>
          <t>AMR2</t>
        </is>
      </c>
      <c r="D753" s="30" t="inlineStr">
        <is>
          <t>AMR3</t>
        </is>
      </c>
      <c r="E753" s="30" t="inlineStr">
        <is>
          <t>정면충돌</t>
        </is>
      </c>
      <c r="F753" s="30" t="inlineStr">
        <is>
          <t>(18, 15)&lt;-&gt;(18, 16)</t>
        </is>
      </c>
      <c r="G753" s="31" t="n">
        <v>46.5</v>
      </c>
      <c r="H753" s="30" t="inlineStr">
        <is>
          <t>O0735</t>
        </is>
      </c>
    </row>
    <row r="754">
      <c r="A754" s="32" t="n">
        <v>753</v>
      </c>
      <c r="B754" s="31" t="n">
        <v>35987.8</v>
      </c>
      <c r="C754" s="30" t="inlineStr">
        <is>
          <t>AMR2</t>
        </is>
      </c>
      <c r="D754" s="30" t="inlineStr">
        <is>
          <t>AMR3</t>
        </is>
      </c>
      <c r="E754" s="30" t="inlineStr">
        <is>
          <t>경로충돌</t>
        </is>
      </c>
      <c r="F754" s="30" t="inlineStr">
        <is>
          <t>(18, 18)</t>
        </is>
      </c>
      <c r="G754" s="31" t="n">
        <v>32.4</v>
      </c>
      <c r="H754" s="30" t="inlineStr">
        <is>
          <t>O0737</t>
        </is>
      </c>
    </row>
    <row r="755">
      <c r="A755" s="32" t="n">
        <v>754</v>
      </c>
      <c r="B755" s="31" t="n">
        <v>35988.1</v>
      </c>
      <c r="C755" s="30" t="inlineStr">
        <is>
          <t>AMR2</t>
        </is>
      </c>
      <c r="D755" s="30" t="inlineStr">
        <is>
          <t>AMR3</t>
        </is>
      </c>
      <c r="E755" s="30" t="inlineStr">
        <is>
          <t>정면충돌</t>
        </is>
      </c>
      <c r="F755" s="30" t="inlineStr">
        <is>
          <t>(18, 17)&lt;-&gt;(18, 18)</t>
        </is>
      </c>
      <c r="G755" s="31" t="n">
        <v>22.7</v>
      </c>
      <c r="H755" s="30" t="inlineStr">
        <is>
          <t>O0737</t>
        </is>
      </c>
    </row>
    <row r="756">
      <c r="A756" s="32" t="n">
        <v>755</v>
      </c>
      <c r="B756" s="31" t="n">
        <v>35998.2</v>
      </c>
      <c r="C756" s="30" t="inlineStr">
        <is>
          <t>AMR1</t>
        </is>
      </c>
      <c r="D756" s="30" t="inlineStr">
        <is>
          <t>AMR3</t>
        </is>
      </c>
      <c r="E756" s="30" t="inlineStr">
        <is>
          <t>경로충돌</t>
        </is>
      </c>
      <c r="F756" s="30" t="inlineStr">
        <is>
          <t>(18, 11)</t>
        </is>
      </c>
      <c r="G756" s="31" t="n">
        <v>23.9</v>
      </c>
      <c r="H756" s="30" t="inlineStr">
        <is>
          <t>O0737</t>
        </is>
      </c>
    </row>
    <row r="757">
      <c r="A757" s="32" t="n">
        <v>756</v>
      </c>
      <c r="B757" s="31" t="n">
        <v>35998.8</v>
      </c>
      <c r="C757" s="30" t="inlineStr">
        <is>
          <t>AMR1</t>
        </is>
      </c>
      <c r="D757" s="30" t="inlineStr">
        <is>
          <t>AMR3</t>
        </is>
      </c>
      <c r="E757" s="30" t="inlineStr">
        <is>
          <t>정면충돌</t>
        </is>
      </c>
      <c r="F757" s="30" t="inlineStr">
        <is>
          <t>(18, 11)&lt;-&gt;(18, 12)</t>
        </is>
      </c>
      <c r="G757" s="31" t="n">
        <v>53</v>
      </c>
      <c r="H757" s="30" t="inlineStr">
        <is>
          <t>O0737</t>
        </is>
      </c>
    </row>
    <row r="758">
      <c r="A758" s="32" t="n">
        <v>757</v>
      </c>
      <c r="B758" s="31" t="n">
        <v>36020.4</v>
      </c>
      <c r="C758" s="30" t="inlineStr">
        <is>
          <t>AMR2</t>
        </is>
      </c>
      <c r="D758" s="30" t="inlineStr">
        <is>
          <t>AMR3</t>
        </is>
      </c>
      <c r="E758" s="30" t="inlineStr">
        <is>
          <t>경로충돌</t>
        </is>
      </c>
      <c r="F758" s="30" t="inlineStr">
        <is>
          <t>(18, 11)</t>
        </is>
      </c>
      <c r="G758" s="31" t="n">
        <v>26.9</v>
      </c>
      <c r="H758" s="30" t="inlineStr">
        <is>
          <t>O0737 O0738</t>
        </is>
      </c>
    </row>
    <row r="759">
      <c r="A759" s="32" t="n">
        <v>758</v>
      </c>
      <c r="B759" s="31" t="n">
        <v>36057</v>
      </c>
      <c r="C759" s="30" t="inlineStr">
        <is>
          <t>AMR1</t>
        </is>
      </c>
      <c r="D759" s="30" t="inlineStr">
        <is>
          <t>AMR2</t>
        </is>
      </c>
      <c r="E759" s="30" t="inlineStr">
        <is>
          <t>경로충돌</t>
        </is>
      </c>
      <c r="F759" s="30" t="inlineStr">
        <is>
          <t>(15, 19)</t>
        </is>
      </c>
      <c r="G759" s="31" t="n">
        <v>54.4</v>
      </c>
      <c r="H759" s="30" t="inlineStr"/>
    </row>
    <row r="760">
      <c r="A760" s="32" t="n">
        <v>759</v>
      </c>
      <c r="B760" s="31" t="n">
        <v>36066.9</v>
      </c>
      <c r="C760" s="30" t="inlineStr">
        <is>
          <t>AMR2</t>
        </is>
      </c>
      <c r="D760" s="30" t="inlineStr">
        <is>
          <t>AMR3</t>
        </is>
      </c>
      <c r="E760" s="30" t="inlineStr">
        <is>
          <t>경로충돌</t>
        </is>
      </c>
      <c r="F760" s="30" t="inlineStr">
        <is>
          <t>(18, 11)</t>
        </is>
      </c>
      <c r="G760" s="31" t="n">
        <v>54.6</v>
      </c>
      <c r="H760" s="30" t="inlineStr">
        <is>
          <t>O0738</t>
        </is>
      </c>
    </row>
    <row r="761">
      <c r="A761" s="32" t="n">
        <v>760</v>
      </c>
      <c r="B761" s="31" t="n">
        <v>36068.1</v>
      </c>
      <c r="C761" s="30" t="inlineStr">
        <is>
          <t>AMR2</t>
        </is>
      </c>
      <c r="D761" s="30" t="inlineStr">
        <is>
          <t>AMR3</t>
        </is>
      </c>
      <c r="E761" s="30" t="inlineStr">
        <is>
          <t>정면충돌</t>
        </is>
      </c>
      <c r="F761" s="30" t="inlineStr">
        <is>
          <t>(18, 11)&lt;-&gt;(18, 12)</t>
        </is>
      </c>
      <c r="G761" s="31" t="n">
        <v>44.8</v>
      </c>
      <c r="H761" s="30" t="inlineStr">
        <is>
          <t>O0738</t>
        </is>
      </c>
    </row>
    <row r="762">
      <c r="A762" s="32" t="n">
        <v>761</v>
      </c>
      <c r="B762" s="31" t="n">
        <v>36123.2</v>
      </c>
      <c r="C762" s="30" t="inlineStr">
        <is>
          <t>AMR1</t>
        </is>
      </c>
      <c r="D762" s="30" t="inlineStr">
        <is>
          <t>AMR3</t>
        </is>
      </c>
      <c r="E762" s="30" t="inlineStr">
        <is>
          <t>경로충돌</t>
        </is>
      </c>
      <c r="F762" s="30" t="inlineStr">
        <is>
          <t>(18, 9)</t>
        </is>
      </c>
      <c r="G762" s="31" t="n">
        <v>21.4</v>
      </c>
      <c r="H762" s="30" t="inlineStr"/>
    </row>
    <row r="763">
      <c r="A763" s="32" t="n">
        <v>762</v>
      </c>
      <c r="B763" s="31" t="n">
        <v>36138</v>
      </c>
      <c r="C763" s="30" t="inlineStr">
        <is>
          <t>AMR1</t>
        </is>
      </c>
      <c r="D763" s="30" t="inlineStr">
        <is>
          <t>AMR3</t>
        </is>
      </c>
      <c r="E763" s="30" t="inlineStr">
        <is>
          <t>경로충돌</t>
        </is>
      </c>
      <c r="F763" s="30" t="inlineStr">
        <is>
          <t>(17, 19)</t>
        </is>
      </c>
      <c r="G763" s="31" t="n">
        <v>53.8</v>
      </c>
      <c r="H763" s="30" t="inlineStr">
        <is>
          <t>O0740</t>
        </is>
      </c>
    </row>
    <row r="764">
      <c r="A764" s="32" t="n">
        <v>763</v>
      </c>
      <c r="B764" s="31" t="n">
        <v>36138.3</v>
      </c>
      <c r="C764" s="30" t="inlineStr">
        <is>
          <t>AMR1</t>
        </is>
      </c>
      <c r="D764" s="30" t="inlineStr">
        <is>
          <t>AMR3</t>
        </is>
      </c>
      <c r="E764" s="30" t="inlineStr">
        <is>
          <t>정면충돌</t>
        </is>
      </c>
      <c r="F764" s="30" t="inlineStr">
        <is>
          <t>(16, 19)&lt;-&gt;(17, 19)</t>
        </is>
      </c>
      <c r="G764" s="31" t="n">
        <v>26.4</v>
      </c>
      <c r="H764" s="30" t="inlineStr">
        <is>
          <t>O0740</t>
        </is>
      </c>
    </row>
    <row r="765">
      <c r="A765" s="32" t="n">
        <v>764</v>
      </c>
      <c r="B765" s="31" t="n">
        <v>36401.3</v>
      </c>
      <c r="C765" s="30" t="inlineStr">
        <is>
          <t>AMR1</t>
        </is>
      </c>
      <c r="D765" s="30" t="inlineStr">
        <is>
          <t>AMR3</t>
        </is>
      </c>
      <c r="E765" s="30" t="inlineStr">
        <is>
          <t>정면충돌</t>
        </is>
      </c>
      <c r="F765" s="30" t="inlineStr">
        <is>
          <t>(16, 19)&lt;-&gt;(17, 19)</t>
        </is>
      </c>
      <c r="G765" s="31" t="n">
        <v>44.3</v>
      </c>
      <c r="H765" s="30" t="inlineStr">
        <is>
          <t>O0746</t>
        </is>
      </c>
    </row>
    <row r="766">
      <c r="A766" s="32" t="n">
        <v>765</v>
      </c>
      <c r="B766" s="31" t="n">
        <v>36412.5</v>
      </c>
      <c r="C766" s="30" t="inlineStr">
        <is>
          <t>AMR1</t>
        </is>
      </c>
      <c r="D766" s="30" t="inlineStr">
        <is>
          <t>AMR2</t>
        </is>
      </c>
      <c r="E766" s="30" t="inlineStr">
        <is>
          <t>경로충돌</t>
        </is>
      </c>
      <c r="F766" s="30" t="inlineStr">
        <is>
          <t>(18, 14)</t>
        </is>
      </c>
      <c r="G766" s="31" t="n">
        <v>58</v>
      </c>
      <c r="H766" s="30" t="inlineStr">
        <is>
          <t>O0746</t>
        </is>
      </c>
    </row>
    <row r="767">
      <c r="A767" s="32" t="n">
        <v>766</v>
      </c>
      <c r="B767" s="31" t="n">
        <v>36412.7</v>
      </c>
      <c r="C767" s="30" t="inlineStr">
        <is>
          <t>AMR1</t>
        </is>
      </c>
      <c r="D767" s="30" t="inlineStr">
        <is>
          <t>AMR2</t>
        </is>
      </c>
      <c r="E767" s="30" t="inlineStr">
        <is>
          <t>정면충돌</t>
        </is>
      </c>
      <c r="F767" s="30" t="inlineStr">
        <is>
          <t>(18, 13)&lt;-&gt;(18, 14)</t>
        </is>
      </c>
      <c r="G767" s="31" t="n">
        <v>50.7</v>
      </c>
      <c r="H767" s="30" t="inlineStr">
        <is>
          <t>O0746</t>
        </is>
      </c>
    </row>
    <row r="768">
      <c r="A768" s="32" t="n">
        <v>767</v>
      </c>
      <c r="B768" s="31" t="n">
        <v>36431.4</v>
      </c>
      <c r="C768" s="30" t="inlineStr">
        <is>
          <t>AMR1</t>
        </is>
      </c>
      <c r="D768" s="30" t="inlineStr">
        <is>
          <t>AMR3</t>
        </is>
      </c>
      <c r="E768" s="30" t="inlineStr">
        <is>
          <t>경로충돌</t>
        </is>
      </c>
      <c r="F768" s="30" t="inlineStr">
        <is>
          <t>(19, 11)</t>
        </is>
      </c>
      <c r="G768" s="31" t="n">
        <v>24</v>
      </c>
      <c r="H768" s="30" t="inlineStr">
        <is>
          <t>O0746 O0747</t>
        </is>
      </c>
    </row>
    <row r="769">
      <c r="A769" s="32" t="n">
        <v>768</v>
      </c>
      <c r="B769" s="31" t="n">
        <v>36488.2</v>
      </c>
      <c r="C769" s="30" t="inlineStr">
        <is>
          <t>AMR1</t>
        </is>
      </c>
      <c r="D769" s="30" t="inlineStr">
        <is>
          <t>AMR2</t>
        </is>
      </c>
      <c r="E769" s="30" t="inlineStr">
        <is>
          <t>경로충돌</t>
        </is>
      </c>
      <c r="F769" s="30" t="inlineStr">
        <is>
          <t>(16, 19)</t>
        </is>
      </c>
      <c r="G769" s="31" t="n">
        <v>25.8</v>
      </c>
      <c r="H769" s="30" t="inlineStr">
        <is>
          <t>O0748</t>
        </is>
      </c>
    </row>
    <row r="770">
      <c r="A770" s="32" t="n">
        <v>769</v>
      </c>
      <c r="B770" s="31" t="n">
        <v>36488.8</v>
      </c>
      <c r="C770" s="30" t="inlineStr">
        <is>
          <t>AMR1</t>
        </is>
      </c>
      <c r="D770" s="30" t="inlineStr">
        <is>
          <t>AMR2</t>
        </is>
      </c>
      <c r="E770" s="30" t="inlineStr">
        <is>
          <t>정면충돌</t>
        </is>
      </c>
      <c r="F770" s="30" t="inlineStr">
        <is>
          <t>(16, 19)&lt;-&gt;(17, 19)</t>
        </is>
      </c>
      <c r="G770" s="31" t="n">
        <v>58.6</v>
      </c>
      <c r="H770" s="30" t="inlineStr">
        <is>
          <t>O0748</t>
        </is>
      </c>
    </row>
    <row r="771">
      <c r="A771" s="32" t="n">
        <v>770</v>
      </c>
      <c r="B771" s="31" t="n">
        <v>36583.1</v>
      </c>
      <c r="C771" s="30" t="inlineStr">
        <is>
          <t>AMR1</t>
        </is>
      </c>
      <c r="D771" s="30" t="inlineStr">
        <is>
          <t>AMR3</t>
        </is>
      </c>
      <c r="E771" s="30" t="inlineStr">
        <is>
          <t>경로충돌</t>
        </is>
      </c>
      <c r="F771" s="30" t="inlineStr">
        <is>
          <t>(17, 9)</t>
        </is>
      </c>
      <c r="G771" s="31" t="n">
        <v>41</v>
      </c>
      <c r="H771" s="30" t="inlineStr">
        <is>
          <t>O0749</t>
        </is>
      </c>
    </row>
    <row r="772">
      <c r="A772" s="32" t="n">
        <v>771</v>
      </c>
      <c r="B772" s="31" t="n">
        <v>36712.9</v>
      </c>
      <c r="C772" s="30" t="inlineStr">
        <is>
          <t>AMR1</t>
        </is>
      </c>
      <c r="D772" s="30" t="inlineStr">
        <is>
          <t>AMR3</t>
        </is>
      </c>
      <c r="E772" s="30" t="inlineStr">
        <is>
          <t>경로충돌</t>
        </is>
      </c>
      <c r="F772" s="30" t="inlineStr">
        <is>
          <t>(18, 19)</t>
        </is>
      </c>
      <c r="G772" s="31" t="n">
        <v>51.2</v>
      </c>
      <c r="H772" s="30" t="inlineStr">
        <is>
          <t>O0752</t>
        </is>
      </c>
    </row>
    <row r="773">
      <c r="A773" s="32" t="n">
        <v>772</v>
      </c>
      <c r="B773" s="31" t="n">
        <v>36713.5</v>
      </c>
      <c r="C773" s="30" t="inlineStr">
        <is>
          <t>AMR1</t>
        </is>
      </c>
      <c r="D773" s="30" t="inlineStr">
        <is>
          <t>AMR3</t>
        </is>
      </c>
      <c r="E773" s="30" t="inlineStr">
        <is>
          <t>정면충돌</t>
        </is>
      </c>
      <c r="F773" s="30" t="inlineStr">
        <is>
          <t>(17, 19)&lt;-&gt;(18, 19)</t>
        </is>
      </c>
      <c r="G773" s="31" t="n">
        <v>55.8</v>
      </c>
      <c r="H773" s="30" t="inlineStr">
        <is>
          <t>O0752</t>
        </is>
      </c>
    </row>
    <row r="774">
      <c r="A774" s="32" t="n">
        <v>773</v>
      </c>
      <c r="B774" s="31" t="n">
        <v>36783.7</v>
      </c>
      <c r="C774" s="30" t="inlineStr">
        <is>
          <t>AMR1</t>
        </is>
      </c>
      <c r="D774" s="30" t="inlineStr">
        <is>
          <t>AMR2</t>
        </is>
      </c>
      <c r="E774" s="30" t="inlineStr">
        <is>
          <t>경로충돌</t>
        </is>
      </c>
      <c r="F774" s="30" t="inlineStr">
        <is>
          <t>(18, 9)</t>
        </is>
      </c>
      <c r="G774" s="31" t="n">
        <v>43.8</v>
      </c>
      <c r="H774" s="30" t="inlineStr">
        <is>
          <t>O0754</t>
        </is>
      </c>
    </row>
    <row r="775">
      <c r="A775" s="32" t="n">
        <v>774</v>
      </c>
      <c r="B775" s="31" t="n">
        <v>36784.9</v>
      </c>
      <c r="C775" s="30" t="inlineStr">
        <is>
          <t>AMR1</t>
        </is>
      </c>
      <c r="D775" s="30" t="inlineStr">
        <is>
          <t>AMR2</t>
        </is>
      </c>
      <c r="E775" s="30" t="inlineStr">
        <is>
          <t>정면충돌</t>
        </is>
      </c>
      <c r="F775" s="30" t="inlineStr">
        <is>
          <t>(18, 9)&lt;-&gt;(18, 10)</t>
        </is>
      </c>
      <c r="G775" s="31" t="n">
        <v>29.3</v>
      </c>
      <c r="H775" s="30" t="inlineStr">
        <is>
          <t>O0754</t>
        </is>
      </c>
    </row>
    <row r="776">
      <c r="A776" s="32" t="n">
        <v>775</v>
      </c>
      <c r="B776" s="31" t="n">
        <v>36855.1</v>
      </c>
      <c r="C776" s="30" t="inlineStr">
        <is>
          <t>AMR1</t>
        </is>
      </c>
      <c r="D776" s="30" t="inlineStr">
        <is>
          <t>AMR2</t>
        </is>
      </c>
      <c r="E776" s="30" t="inlineStr">
        <is>
          <t>경로충돌</t>
        </is>
      </c>
      <c r="F776" s="30" t="inlineStr">
        <is>
          <t>(17, 19)</t>
        </is>
      </c>
      <c r="G776" s="31" t="n">
        <v>48.1</v>
      </c>
      <c r="H776" s="30" t="inlineStr">
        <is>
          <t>O0755</t>
        </is>
      </c>
    </row>
    <row r="777">
      <c r="A777" s="32" t="n">
        <v>776</v>
      </c>
      <c r="B777" s="31" t="n">
        <v>36855.3</v>
      </c>
      <c r="C777" s="30" t="inlineStr">
        <is>
          <t>AMR1</t>
        </is>
      </c>
      <c r="D777" s="30" t="inlineStr">
        <is>
          <t>AMR2</t>
        </is>
      </c>
      <c r="E777" s="30" t="inlineStr">
        <is>
          <t>정면충돌</t>
        </is>
      </c>
      <c r="F777" s="30" t="inlineStr">
        <is>
          <t>(16, 19)&lt;-&gt;(17, 19)</t>
        </is>
      </c>
      <c r="G777" s="31" t="n">
        <v>37</v>
      </c>
      <c r="H777" s="30" t="inlineStr">
        <is>
          <t>O0755</t>
        </is>
      </c>
    </row>
    <row r="778">
      <c r="A778" s="32" t="n">
        <v>777</v>
      </c>
      <c r="B778" s="31" t="n">
        <v>36862.8</v>
      </c>
      <c r="C778" s="30" t="inlineStr">
        <is>
          <t>AMR1</t>
        </is>
      </c>
      <c r="D778" s="30" t="inlineStr">
        <is>
          <t>AMR3</t>
        </is>
      </c>
      <c r="E778" s="30" t="inlineStr">
        <is>
          <t>경로충돌</t>
        </is>
      </c>
      <c r="F778" s="30" t="inlineStr">
        <is>
          <t>(16, 19)</t>
        </is>
      </c>
      <c r="G778" s="31" t="n">
        <v>51.8</v>
      </c>
      <c r="H778" s="30" t="inlineStr">
        <is>
          <t>O0756</t>
        </is>
      </c>
    </row>
    <row r="779">
      <c r="A779" s="32" t="n">
        <v>778</v>
      </c>
      <c r="B779" s="31" t="n">
        <v>36864</v>
      </c>
      <c r="C779" s="30" t="inlineStr">
        <is>
          <t>AMR1</t>
        </is>
      </c>
      <c r="D779" s="30" t="inlineStr">
        <is>
          <t>AMR3</t>
        </is>
      </c>
      <c r="E779" s="30" t="inlineStr">
        <is>
          <t>정면충돌</t>
        </is>
      </c>
      <c r="F779" s="30" t="inlineStr">
        <is>
          <t>(16, 19)&lt;-&gt;(17, 19)</t>
        </is>
      </c>
      <c r="G779" s="31" t="n">
        <v>38.2</v>
      </c>
      <c r="H779" s="30" t="inlineStr">
        <is>
          <t>O0756</t>
        </is>
      </c>
    </row>
    <row r="780">
      <c r="A780" s="32" t="n">
        <v>779</v>
      </c>
      <c r="B780" s="31" t="n">
        <v>36937.5</v>
      </c>
      <c r="C780" s="30" t="inlineStr">
        <is>
          <t>AMR2</t>
        </is>
      </c>
      <c r="D780" s="30" t="inlineStr">
        <is>
          <t>AMR3</t>
        </is>
      </c>
      <c r="E780" s="30" t="inlineStr">
        <is>
          <t>경로충돌</t>
        </is>
      </c>
      <c r="F780" s="30" t="inlineStr">
        <is>
          <t>(17, 19)</t>
        </is>
      </c>
      <c r="G780" s="31" t="n">
        <v>32.2</v>
      </c>
      <c r="H780" s="30" t="inlineStr">
        <is>
          <t>O0757</t>
        </is>
      </c>
    </row>
    <row r="781">
      <c r="A781" s="32" t="n">
        <v>780</v>
      </c>
      <c r="B781" s="31" t="n">
        <v>36938.9</v>
      </c>
      <c r="C781" s="30" t="inlineStr">
        <is>
          <t>AMR2</t>
        </is>
      </c>
      <c r="D781" s="30" t="inlineStr">
        <is>
          <t>AMR3</t>
        </is>
      </c>
      <c r="E781" s="30" t="inlineStr">
        <is>
          <t>정면충돌</t>
        </is>
      </c>
      <c r="F781" s="30" t="inlineStr">
        <is>
          <t>(16, 19)&lt;-&gt;(17, 19)</t>
        </is>
      </c>
      <c r="G781" s="31" t="n">
        <v>45.6</v>
      </c>
      <c r="H781" s="30" t="inlineStr">
        <is>
          <t>O0757</t>
        </is>
      </c>
    </row>
    <row r="782">
      <c r="A782" s="32" t="n">
        <v>781</v>
      </c>
      <c r="B782" s="31" t="n">
        <v>36946.1</v>
      </c>
      <c r="C782" s="30" t="inlineStr">
        <is>
          <t>AMR1</t>
        </is>
      </c>
      <c r="D782" s="30" t="inlineStr">
        <is>
          <t>AMR3</t>
        </is>
      </c>
      <c r="E782" s="30" t="inlineStr">
        <is>
          <t>경로충돌</t>
        </is>
      </c>
      <c r="F782" s="30" t="inlineStr">
        <is>
          <t>(18, 16)</t>
        </is>
      </c>
      <c r="G782" s="31" t="n">
        <v>44.6</v>
      </c>
      <c r="H782" s="30" t="inlineStr">
        <is>
          <t>O0757</t>
        </is>
      </c>
    </row>
    <row r="783">
      <c r="A783" s="32" t="n">
        <v>782</v>
      </c>
      <c r="B783" s="31" t="n">
        <v>37001.2</v>
      </c>
      <c r="C783" s="30" t="inlineStr">
        <is>
          <t>AMR1</t>
        </is>
      </c>
      <c r="D783" s="30" t="inlineStr">
        <is>
          <t>AMR2</t>
        </is>
      </c>
      <c r="E783" s="30" t="inlineStr">
        <is>
          <t>경로충돌</t>
        </is>
      </c>
      <c r="F783" s="30" t="inlineStr">
        <is>
          <t>(12, 11)</t>
        </is>
      </c>
      <c r="G783" s="31" t="n">
        <v>39.9</v>
      </c>
      <c r="H783" s="30" t="inlineStr"/>
    </row>
    <row r="784">
      <c r="A784" s="32" t="n">
        <v>783</v>
      </c>
      <c r="B784" s="31" t="n">
        <v>37013</v>
      </c>
      <c r="C784" s="30" t="inlineStr">
        <is>
          <t>AMR1</t>
        </is>
      </c>
      <c r="D784" s="30" t="inlineStr">
        <is>
          <t>AMR2</t>
        </is>
      </c>
      <c r="E784" s="30" t="inlineStr">
        <is>
          <t>경로충돌</t>
        </is>
      </c>
      <c r="F784" s="30" t="inlineStr">
        <is>
          <t>(13, 19)</t>
        </is>
      </c>
      <c r="G784" s="31" t="n">
        <v>49.3</v>
      </c>
      <c r="H784" s="30" t="inlineStr">
        <is>
          <t>O0758</t>
        </is>
      </c>
    </row>
    <row r="785">
      <c r="A785" s="32" t="n">
        <v>784</v>
      </c>
      <c r="B785" s="31" t="n">
        <v>37013.8</v>
      </c>
      <c r="C785" s="30" t="inlineStr">
        <is>
          <t>AMR1</t>
        </is>
      </c>
      <c r="D785" s="30" t="inlineStr">
        <is>
          <t>AMR2</t>
        </is>
      </c>
      <c r="E785" s="30" t="inlineStr">
        <is>
          <t>정면충돌</t>
        </is>
      </c>
      <c r="F785" s="30" t="inlineStr">
        <is>
          <t>(13, 19)&lt;-&gt;(14, 19)</t>
        </is>
      </c>
      <c r="G785" s="31" t="n">
        <v>53.6</v>
      </c>
      <c r="H785" s="30" t="inlineStr">
        <is>
          <t>O0758</t>
        </is>
      </c>
    </row>
    <row r="786">
      <c r="A786" s="32" t="n">
        <v>785</v>
      </c>
      <c r="B786" s="31" t="n">
        <v>37097.7</v>
      </c>
      <c r="C786" s="30" t="inlineStr">
        <is>
          <t>AMR1</t>
        </is>
      </c>
      <c r="D786" s="30" t="inlineStr">
        <is>
          <t>AMR3</t>
        </is>
      </c>
      <c r="E786" s="30" t="inlineStr">
        <is>
          <t>경로충돌</t>
        </is>
      </c>
      <c r="F786" s="30" t="inlineStr">
        <is>
          <t>(14, 19)</t>
        </is>
      </c>
      <c r="G786" s="31" t="n">
        <v>39.3</v>
      </c>
      <c r="H786" s="30" t="inlineStr">
        <is>
          <t>O0760</t>
        </is>
      </c>
    </row>
    <row r="787">
      <c r="A787" s="32" t="n">
        <v>786</v>
      </c>
      <c r="B787" s="31" t="n">
        <v>37098.3</v>
      </c>
      <c r="C787" s="30" t="inlineStr">
        <is>
          <t>AMR1</t>
        </is>
      </c>
      <c r="D787" s="30" t="inlineStr">
        <is>
          <t>AMR3</t>
        </is>
      </c>
      <c r="E787" s="30" t="inlineStr">
        <is>
          <t>정면충돌</t>
        </is>
      </c>
      <c r="F787" s="30" t="inlineStr">
        <is>
          <t>(14, 19)&lt;-&gt;(15, 19)</t>
        </is>
      </c>
      <c r="G787" s="31" t="n">
        <v>59.4</v>
      </c>
      <c r="H787" s="30" t="inlineStr">
        <is>
          <t>O0760</t>
        </is>
      </c>
    </row>
    <row r="788">
      <c r="A788" s="32" t="n">
        <v>787</v>
      </c>
      <c r="B788" s="31" t="n">
        <v>37171.1</v>
      </c>
      <c r="C788" s="30" t="inlineStr">
        <is>
          <t>AMR2</t>
        </is>
      </c>
      <c r="D788" s="30" t="inlineStr">
        <is>
          <t>AMR3</t>
        </is>
      </c>
      <c r="E788" s="30" t="inlineStr">
        <is>
          <t>경로충돌</t>
        </is>
      </c>
      <c r="F788" s="30" t="inlineStr">
        <is>
          <t>(18, 9)</t>
        </is>
      </c>
      <c r="G788" s="31" t="n">
        <v>37.2</v>
      </c>
      <c r="H788" s="30" t="inlineStr">
        <is>
          <t>O0761</t>
        </is>
      </c>
    </row>
    <row r="789">
      <c r="A789" s="32" t="n">
        <v>788</v>
      </c>
      <c r="B789" s="31" t="n">
        <v>37319.7</v>
      </c>
      <c r="C789" s="30" t="inlineStr">
        <is>
          <t>AMR2</t>
        </is>
      </c>
      <c r="D789" s="30" t="inlineStr">
        <is>
          <t>AMR3</t>
        </is>
      </c>
      <c r="E789" s="30" t="inlineStr">
        <is>
          <t>경로충돌</t>
        </is>
      </c>
      <c r="F789" s="30" t="inlineStr">
        <is>
          <t>(18, 11)</t>
        </is>
      </c>
      <c r="G789" s="31" t="n">
        <v>48.1</v>
      </c>
      <c r="H789" s="30" t="inlineStr"/>
    </row>
    <row r="790">
      <c r="A790" s="32" t="n">
        <v>789</v>
      </c>
      <c r="B790" s="31" t="n">
        <v>37331</v>
      </c>
      <c r="C790" s="30" t="inlineStr">
        <is>
          <t>AMR2</t>
        </is>
      </c>
      <c r="D790" s="30" t="inlineStr">
        <is>
          <t>AMR3</t>
        </is>
      </c>
      <c r="E790" s="30" t="inlineStr">
        <is>
          <t>경로충돌</t>
        </is>
      </c>
      <c r="F790" s="30" t="inlineStr">
        <is>
          <t>(17, 19)</t>
        </is>
      </c>
      <c r="G790" s="31" t="n">
        <v>42.9</v>
      </c>
      <c r="H790" s="30" t="inlineStr">
        <is>
          <t>O0765</t>
        </is>
      </c>
    </row>
    <row r="791">
      <c r="A791" s="32" t="n">
        <v>790</v>
      </c>
      <c r="B791" s="31" t="n">
        <v>37331.4</v>
      </c>
      <c r="C791" s="30" t="inlineStr">
        <is>
          <t>AMR2</t>
        </is>
      </c>
      <c r="D791" s="30" t="inlineStr">
        <is>
          <t>AMR3</t>
        </is>
      </c>
      <c r="E791" s="30" t="inlineStr">
        <is>
          <t>정면충돌</t>
        </is>
      </c>
      <c r="F791" s="30" t="inlineStr">
        <is>
          <t>(16, 19)&lt;-&gt;(17, 19)</t>
        </is>
      </c>
      <c r="G791" s="31" t="n">
        <v>45.6</v>
      </c>
      <c r="H791" s="30" t="inlineStr">
        <is>
          <t>O0765</t>
        </is>
      </c>
    </row>
    <row r="792">
      <c r="A792" s="32" t="n">
        <v>791</v>
      </c>
      <c r="B792" s="31" t="n">
        <v>37370.8</v>
      </c>
      <c r="C792" s="30" t="inlineStr">
        <is>
          <t>AMR1</t>
        </is>
      </c>
      <c r="D792" s="30" t="inlineStr">
        <is>
          <t>AMR3</t>
        </is>
      </c>
      <c r="E792" s="30" t="inlineStr">
        <is>
          <t>경로충돌</t>
        </is>
      </c>
      <c r="F792" s="30" t="inlineStr">
        <is>
          <t>(18, 11)</t>
        </is>
      </c>
      <c r="G792" s="31" t="n">
        <v>49.8</v>
      </c>
      <c r="H792" s="30" t="inlineStr">
        <is>
          <t>O0765</t>
        </is>
      </c>
    </row>
    <row r="793">
      <c r="A793" s="32" t="n">
        <v>792</v>
      </c>
      <c r="B793" s="31" t="n">
        <v>37412.5</v>
      </c>
      <c r="C793" s="30" t="inlineStr">
        <is>
          <t>AMR1</t>
        </is>
      </c>
      <c r="D793" s="30" t="inlineStr">
        <is>
          <t>AMR3</t>
        </is>
      </c>
      <c r="E793" s="30" t="inlineStr">
        <is>
          <t>경로충돌</t>
        </is>
      </c>
      <c r="F793" s="30" t="inlineStr">
        <is>
          <t>(18, 9)</t>
        </is>
      </c>
      <c r="G793" s="31" t="n">
        <v>43.8</v>
      </c>
      <c r="H793" s="30" t="inlineStr">
        <is>
          <t>O0766</t>
        </is>
      </c>
    </row>
    <row r="794">
      <c r="A794" s="32" t="n">
        <v>793</v>
      </c>
      <c r="B794" s="31" t="n">
        <v>37478.1</v>
      </c>
      <c r="C794" s="30" t="inlineStr">
        <is>
          <t>AMR1</t>
        </is>
      </c>
      <c r="D794" s="30" t="inlineStr">
        <is>
          <t>AMR3</t>
        </is>
      </c>
      <c r="E794" s="30" t="inlineStr">
        <is>
          <t>경로충돌</t>
        </is>
      </c>
      <c r="F794" s="30" t="inlineStr">
        <is>
          <t>(17, 17)</t>
        </is>
      </c>
      <c r="G794" s="31" t="n">
        <v>27</v>
      </c>
      <c r="H794" s="30" t="inlineStr">
        <is>
          <t>O0769</t>
        </is>
      </c>
    </row>
    <row r="795">
      <c r="A795" s="32" t="n">
        <v>794</v>
      </c>
      <c r="B795" s="31" t="n">
        <v>37502.1</v>
      </c>
      <c r="C795" s="30" t="inlineStr">
        <is>
          <t>AMR1</t>
        </is>
      </c>
      <c r="D795" s="30" t="inlineStr">
        <is>
          <t>AMR3</t>
        </is>
      </c>
      <c r="E795" s="30" t="inlineStr">
        <is>
          <t>정면충돌</t>
        </is>
      </c>
      <c r="F795" s="30" t="inlineStr">
        <is>
          <t>(20, 11)&lt;-&gt;(21, 11)</t>
        </is>
      </c>
      <c r="G795" s="31" t="n">
        <v>20.6</v>
      </c>
      <c r="H795" s="30" t="inlineStr">
        <is>
          <t>O0768</t>
        </is>
      </c>
    </row>
    <row r="796">
      <c r="A796" s="32" t="n">
        <v>795</v>
      </c>
      <c r="B796" s="31" t="n">
        <v>37524.7</v>
      </c>
      <c r="C796" s="30" t="inlineStr">
        <is>
          <t>AMR1</t>
        </is>
      </c>
      <c r="D796" s="30" t="inlineStr">
        <is>
          <t>AMR2</t>
        </is>
      </c>
      <c r="E796" s="30" t="inlineStr">
        <is>
          <t>경로충돌</t>
        </is>
      </c>
      <c r="F796" s="30" t="inlineStr">
        <is>
          <t>(18, 19)</t>
        </is>
      </c>
      <c r="G796" s="31" t="n">
        <v>30.6</v>
      </c>
      <c r="H796" s="30" t="inlineStr">
        <is>
          <t>O0769</t>
        </is>
      </c>
    </row>
    <row r="797">
      <c r="A797" s="32" t="n">
        <v>796</v>
      </c>
      <c r="B797" s="31" t="n">
        <v>37525.3</v>
      </c>
      <c r="C797" s="30" t="inlineStr">
        <is>
          <t>AMR1</t>
        </is>
      </c>
      <c r="D797" s="30" t="inlineStr">
        <is>
          <t>AMR2</t>
        </is>
      </c>
      <c r="E797" s="30" t="inlineStr">
        <is>
          <t>정면충돌</t>
        </is>
      </c>
      <c r="F797" s="30" t="inlineStr">
        <is>
          <t>(18, 18)&lt;-&gt;(18, 19)</t>
        </is>
      </c>
      <c r="G797" s="31" t="n">
        <v>25.1</v>
      </c>
      <c r="H797" s="30" t="inlineStr">
        <is>
          <t>O0769</t>
        </is>
      </c>
    </row>
    <row r="798">
      <c r="A798" s="32" t="n">
        <v>797</v>
      </c>
      <c r="B798" s="31" t="n">
        <v>37643.1</v>
      </c>
      <c r="C798" s="30" t="inlineStr">
        <is>
          <t>AMR2</t>
        </is>
      </c>
      <c r="D798" s="30" t="inlineStr">
        <is>
          <t>AMR3</t>
        </is>
      </c>
      <c r="E798" s="30" t="inlineStr">
        <is>
          <t>경로충돌</t>
        </is>
      </c>
      <c r="F798" s="30" t="inlineStr">
        <is>
          <t>(18, 15)</t>
        </is>
      </c>
      <c r="G798" s="31" t="n">
        <v>42.3</v>
      </c>
      <c r="H798" s="30" t="inlineStr">
        <is>
          <t>O0771</t>
        </is>
      </c>
    </row>
    <row r="799">
      <c r="A799" s="32" t="n">
        <v>798</v>
      </c>
      <c r="B799" s="31" t="n">
        <v>37643.4</v>
      </c>
      <c r="C799" s="30" t="inlineStr">
        <is>
          <t>AMR2</t>
        </is>
      </c>
      <c r="D799" s="30" t="inlineStr">
        <is>
          <t>AMR3</t>
        </is>
      </c>
      <c r="E799" s="30" t="inlineStr">
        <is>
          <t>정면충돌</t>
        </is>
      </c>
      <c r="F799" s="30" t="inlineStr">
        <is>
          <t>(18, 15)&lt;-&gt;(18, 16)</t>
        </is>
      </c>
      <c r="G799" s="31" t="n">
        <v>27</v>
      </c>
      <c r="H799" s="30" t="inlineStr">
        <is>
          <t>O0771</t>
        </is>
      </c>
    </row>
    <row r="800">
      <c r="A800" s="32" t="n">
        <v>799</v>
      </c>
      <c r="B800" s="31" t="n">
        <v>37649.5</v>
      </c>
      <c r="C800" s="30" t="inlineStr">
        <is>
          <t>AMR1</t>
        </is>
      </c>
      <c r="D800" s="30" t="inlineStr">
        <is>
          <t>AMR2</t>
        </is>
      </c>
      <c r="E800" s="30" t="inlineStr">
        <is>
          <t>경로충돌</t>
        </is>
      </c>
      <c r="F800" s="30" t="inlineStr">
        <is>
          <t>(17, 14)</t>
        </is>
      </c>
      <c r="G800" s="31" t="n">
        <v>20.4</v>
      </c>
      <c r="H800" s="30" t="inlineStr">
        <is>
          <t>O0771</t>
        </is>
      </c>
    </row>
    <row r="801">
      <c r="A801" s="32" t="n">
        <v>800</v>
      </c>
      <c r="B801" s="31" t="n">
        <v>37650.1</v>
      </c>
      <c r="C801" s="30" t="inlineStr">
        <is>
          <t>AMR1</t>
        </is>
      </c>
      <c r="D801" s="30" t="inlineStr">
        <is>
          <t>AMR2</t>
        </is>
      </c>
      <c r="E801" s="30" t="inlineStr">
        <is>
          <t>정면충돌</t>
        </is>
      </c>
      <c r="F801" s="30" t="inlineStr">
        <is>
          <t>(17, 14)&lt;-&gt;(17, 15)</t>
        </is>
      </c>
      <c r="G801" s="31" t="n">
        <v>52</v>
      </c>
      <c r="H801" s="30" t="inlineStr">
        <is>
          <t>O0771</t>
        </is>
      </c>
    </row>
    <row r="802">
      <c r="A802" s="32" t="n">
        <v>801</v>
      </c>
      <c r="B802" s="31" t="n">
        <v>37722.6</v>
      </c>
      <c r="C802" s="30" t="inlineStr">
        <is>
          <t>AMR1</t>
        </is>
      </c>
      <c r="D802" s="30" t="inlineStr">
        <is>
          <t>AMR2</t>
        </is>
      </c>
      <c r="E802" s="30" t="inlineStr">
        <is>
          <t>경로충돌</t>
        </is>
      </c>
      <c r="F802" s="30" t="inlineStr">
        <is>
          <t>(18, 18)</t>
        </is>
      </c>
      <c r="G802" s="31" t="n">
        <v>53.3</v>
      </c>
      <c r="H802" s="30" t="inlineStr">
        <is>
          <t>O0773</t>
        </is>
      </c>
    </row>
    <row r="803">
      <c r="A803" s="32" t="n">
        <v>802</v>
      </c>
      <c r="B803" s="31" t="n">
        <v>37723.2</v>
      </c>
      <c r="C803" s="30" t="inlineStr">
        <is>
          <t>AMR1</t>
        </is>
      </c>
      <c r="D803" s="30" t="inlineStr">
        <is>
          <t>AMR2</t>
        </is>
      </c>
      <c r="E803" s="30" t="inlineStr">
        <is>
          <t>정면충돌</t>
        </is>
      </c>
      <c r="F803" s="30" t="inlineStr">
        <is>
          <t>(18, 18)&lt;-&gt;(18, 19)</t>
        </is>
      </c>
      <c r="G803" s="31" t="n">
        <v>31.6</v>
      </c>
      <c r="H803" s="30" t="inlineStr">
        <is>
          <t>O0773</t>
        </is>
      </c>
    </row>
    <row r="804">
      <c r="A804" s="32" t="n">
        <v>803</v>
      </c>
      <c r="B804" s="31" t="n">
        <v>37786.8</v>
      </c>
      <c r="C804" s="30" t="inlineStr">
        <is>
          <t>AMR2</t>
        </is>
      </c>
      <c r="D804" s="30" t="inlineStr">
        <is>
          <t>AMR3</t>
        </is>
      </c>
      <c r="E804" s="30" t="inlineStr">
        <is>
          <t>경로충돌</t>
        </is>
      </c>
      <c r="F804" s="30" t="inlineStr">
        <is>
          <t>(17, 16)</t>
        </is>
      </c>
      <c r="G804" s="31" t="n">
        <v>57.9</v>
      </c>
      <c r="H804" s="30" t="inlineStr">
        <is>
          <t>O0774</t>
        </is>
      </c>
    </row>
    <row r="805">
      <c r="A805" s="32" t="n">
        <v>804</v>
      </c>
      <c r="B805" s="31" t="n">
        <v>37788</v>
      </c>
      <c r="C805" s="30" t="inlineStr">
        <is>
          <t>AMR2</t>
        </is>
      </c>
      <c r="D805" s="30" t="inlineStr">
        <is>
          <t>AMR3</t>
        </is>
      </c>
      <c r="E805" s="30" t="inlineStr">
        <is>
          <t>정면충돌</t>
        </is>
      </c>
      <c r="F805" s="30" t="inlineStr">
        <is>
          <t>(17, 16)&lt;-&gt;(17, 17)</t>
        </is>
      </c>
      <c r="G805" s="31" t="n">
        <v>22.6</v>
      </c>
      <c r="H805" s="30" t="inlineStr">
        <is>
          <t>O0774</t>
        </is>
      </c>
    </row>
    <row r="806">
      <c r="A806" s="32" t="n">
        <v>805</v>
      </c>
      <c r="B806" s="31" t="n">
        <v>37794.7</v>
      </c>
      <c r="C806" s="30" t="inlineStr">
        <is>
          <t>AMR1</t>
        </is>
      </c>
      <c r="D806" s="30" t="inlineStr">
        <is>
          <t>AMR2</t>
        </is>
      </c>
      <c r="E806" s="30" t="inlineStr">
        <is>
          <t>경로충돌</t>
        </is>
      </c>
      <c r="F806" s="30" t="inlineStr">
        <is>
          <t>(18, 13)</t>
        </is>
      </c>
      <c r="G806" s="31" t="n">
        <v>50</v>
      </c>
      <c r="H806" s="30" t="inlineStr">
        <is>
          <t>O0774</t>
        </is>
      </c>
    </row>
    <row r="807">
      <c r="A807" s="32" t="n">
        <v>806</v>
      </c>
      <c r="B807" s="31" t="n">
        <v>37795.3</v>
      </c>
      <c r="C807" s="30" t="inlineStr">
        <is>
          <t>AMR1</t>
        </is>
      </c>
      <c r="D807" s="30" t="inlineStr">
        <is>
          <t>AMR2</t>
        </is>
      </c>
      <c r="E807" s="30" t="inlineStr">
        <is>
          <t>정면충돌</t>
        </is>
      </c>
      <c r="F807" s="30" t="inlineStr">
        <is>
          <t>(18, 12)&lt;-&gt;(18, 13)</t>
        </is>
      </c>
      <c r="G807" s="31" t="n">
        <v>49.2</v>
      </c>
      <c r="H807" s="30" t="inlineStr">
        <is>
          <t>O0774</t>
        </is>
      </c>
    </row>
    <row r="808">
      <c r="A808" s="32" t="n">
        <v>807</v>
      </c>
      <c r="B808" s="31" t="n">
        <v>37802.5</v>
      </c>
      <c r="C808" s="30" t="inlineStr">
        <is>
          <t>AMR1</t>
        </is>
      </c>
      <c r="D808" s="30" t="inlineStr">
        <is>
          <t>AMR3</t>
        </is>
      </c>
      <c r="E808" s="30" t="inlineStr">
        <is>
          <t>경로충돌</t>
        </is>
      </c>
      <c r="F808" s="30" t="inlineStr">
        <is>
          <t>(17, 16)</t>
        </is>
      </c>
      <c r="G808" s="31" t="n">
        <v>55.9</v>
      </c>
      <c r="H808" s="30" t="inlineStr">
        <is>
          <t>O0775</t>
        </is>
      </c>
    </row>
    <row r="809">
      <c r="A809" s="32" t="n">
        <v>808</v>
      </c>
      <c r="B809" s="31" t="n">
        <v>37803.1</v>
      </c>
      <c r="C809" s="30" t="inlineStr">
        <is>
          <t>AMR1</t>
        </is>
      </c>
      <c r="D809" s="30" t="inlineStr">
        <is>
          <t>AMR3</t>
        </is>
      </c>
      <c r="E809" s="30" t="inlineStr">
        <is>
          <t>정면충돌</t>
        </is>
      </c>
      <c r="F809" s="30" t="inlineStr">
        <is>
          <t>(17, 15)&lt;-&gt;(17, 16)</t>
        </is>
      </c>
      <c r="G809" s="31" t="n">
        <v>55.4</v>
      </c>
      <c r="H809" s="30" t="inlineStr">
        <is>
          <t>O0775</t>
        </is>
      </c>
    </row>
    <row r="810">
      <c r="A810" s="32" t="n">
        <v>809</v>
      </c>
      <c r="B810" s="31" t="n">
        <v>37945.8</v>
      </c>
      <c r="C810" s="30" t="inlineStr">
        <is>
          <t>AMR1</t>
        </is>
      </c>
      <c r="D810" s="30" t="inlineStr">
        <is>
          <t>AMR3</t>
        </is>
      </c>
      <c r="E810" s="30" t="inlineStr">
        <is>
          <t>경로충돌</t>
        </is>
      </c>
      <c r="F810" s="30" t="inlineStr">
        <is>
          <t>(17, 12)</t>
        </is>
      </c>
      <c r="G810" s="31" t="n">
        <v>29.1</v>
      </c>
      <c r="H810" s="30" t="inlineStr">
        <is>
          <t>O0777</t>
        </is>
      </c>
    </row>
    <row r="811">
      <c r="A811" s="32" t="n">
        <v>810</v>
      </c>
      <c r="B811" s="31" t="n">
        <v>37946.1</v>
      </c>
      <c r="C811" s="30" t="inlineStr">
        <is>
          <t>AMR1</t>
        </is>
      </c>
      <c r="D811" s="30" t="inlineStr">
        <is>
          <t>AMR3</t>
        </is>
      </c>
      <c r="E811" s="30" t="inlineStr">
        <is>
          <t>정면충돌</t>
        </is>
      </c>
      <c r="F811" s="30" t="inlineStr">
        <is>
          <t>(17, 11)&lt;-&gt;(17, 12)</t>
        </is>
      </c>
      <c r="G811" s="31" t="n">
        <v>53.5</v>
      </c>
      <c r="H811" s="30" t="inlineStr">
        <is>
          <t>O0777</t>
        </is>
      </c>
    </row>
    <row r="812">
      <c r="A812" s="32" t="n">
        <v>811</v>
      </c>
      <c r="B812" s="31" t="n">
        <v>38097.3</v>
      </c>
      <c r="C812" s="30" t="inlineStr">
        <is>
          <t>AMR1</t>
        </is>
      </c>
      <c r="D812" s="30" t="inlineStr">
        <is>
          <t>AMR3</t>
        </is>
      </c>
      <c r="E812" s="30" t="inlineStr">
        <is>
          <t>경로충돌</t>
        </is>
      </c>
      <c r="F812" s="30" t="inlineStr">
        <is>
          <t>(18, 17)</t>
        </is>
      </c>
      <c r="G812" s="31" t="n">
        <v>54.8</v>
      </c>
      <c r="H812" s="30" t="inlineStr">
        <is>
          <t>O0781</t>
        </is>
      </c>
    </row>
    <row r="813">
      <c r="A813" s="32" t="n">
        <v>812</v>
      </c>
      <c r="B813" s="31" t="n">
        <v>38097.6</v>
      </c>
      <c r="C813" s="30" t="inlineStr">
        <is>
          <t>AMR1</t>
        </is>
      </c>
      <c r="D813" s="30" t="inlineStr">
        <is>
          <t>AMR3</t>
        </is>
      </c>
      <c r="E813" s="30" t="inlineStr">
        <is>
          <t>정면충돌</t>
        </is>
      </c>
      <c r="F813" s="30" t="inlineStr">
        <is>
          <t>(18, 16)&lt;-&gt;(18, 17)</t>
        </is>
      </c>
      <c r="G813" s="31" t="n">
        <v>28.9</v>
      </c>
      <c r="H813" s="30" t="inlineStr">
        <is>
          <t>O0781</t>
        </is>
      </c>
    </row>
    <row r="814">
      <c r="A814" s="32" t="n">
        <v>813</v>
      </c>
      <c r="B814" s="31" t="n">
        <v>38165.8</v>
      </c>
      <c r="C814" s="30" t="inlineStr">
        <is>
          <t>AMR1</t>
        </is>
      </c>
      <c r="D814" s="30" t="inlineStr">
        <is>
          <t>AMR2</t>
        </is>
      </c>
      <c r="E814" s="30" t="inlineStr">
        <is>
          <t>경로충돌</t>
        </is>
      </c>
      <c r="F814" s="30" t="inlineStr">
        <is>
          <t>(12, 19)</t>
        </is>
      </c>
      <c r="G814" s="31" t="n">
        <v>36.3</v>
      </c>
      <c r="H814" s="30" t="inlineStr">
        <is>
          <t>O0782</t>
        </is>
      </c>
    </row>
    <row r="815">
      <c r="A815" s="32" t="n">
        <v>814</v>
      </c>
      <c r="B815" s="31" t="n">
        <v>38245.3</v>
      </c>
      <c r="C815" s="30" t="inlineStr">
        <is>
          <t>AMR2</t>
        </is>
      </c>
      <c r="D815" s="30" t="inlineStr">
        <is>
          <t>AMR3</t>
        </is>
      </c>
      <c r="E815" s="30" t="inlineStr">
        <is>
          <t>경로충돌</t>
        </is>
      </c>
      <c r="F815" s="30" t="inlineStr">
        <is>
          <t>(18, 16)</t>
        </is>
      </c>
      <c r="G815" s="31" t="n">
        <v>35.4</v>
      </c>
      <c r="H815" s="30" t="inlineStr">
        <is>
          <t>O0784</t>
        </is>
      </c>
    </row>
    <row r="816">
      <c r="A816" s="32" t="n">
        <v>815</v>
      </c>
      <c r="B816" s="31" t="n">
        <v>38246.6</v>
      </c>
      <c r="C816" s="30" t="inlineStr">
        <is>
          <t>AMR2</t>
        </is>
      </c>
      <c r="D816" s="30" t="inlineStr">
        <is>
          <t>AMR3</t>
        </is>
      </c>
      <c r="E816" s="30" t="inlineStr">
        <is>
          <t>정면충돌</t>
        </is>
      </c>
      <c r="F816" s="30" t="inlineStr">
        <is>
          <t>(18, 16)&lt;-&gt;(18, 17)</t>
        </is>
      </c>
      <c r="G816" s="31" t="n">
        <v>34</v>
      </c>
      <c r="H816" s="30" t="inlineStr">
        <is>
          <t>O0784</t>
        </is>
      </c>
    </row>
    <row r="817">
      <c r="A817" s="32" t="n">
        <v>816</v>
      </c>
      <c r="B817" s="31" t="n">
        <v>38309.7</v>
      </c>
      <c r="C817" s="30" t="inlineStr">
        <is>
          <t>AMR1</t>
        </is>
      </c>
      <c r="D817" s="30" t="inlineStr">
        <is>
          <t>AMR3</t>
        </is>
      </c>
      <c r="E817" s="30" t="inlineStr">
        <is>
          <t>경로충돌</t>
        </is>
      </c>
      <c r="F817" s="30" t="inlineStr">
        <is>
          <t>(18, 10)</t>
        </is>
      </c>
      <c r="G817" s="31" t="n">
        <v>26.8</v>
      </c>
      <c r="H817" s="30" t="inlineStr">
        <is>
          <t>O0785</t>
        </is>
      </c>
    </row>
    <row r="818">
      <c r="A818" s="32" t="n">
        <v>817</v>
      </c>
      <c r="B818" s="31" t="n">
        <v>38310.9</v>
      </c>
      <c r="C818" s="30" t="inlineStr">
        <is>
          <t>AMR1</t>
        </is>
      </c>
      <c r="D818" s="30" t="inlineStr">
        <is>
          <t>AMR3</t>
        </is>
      </c>
      <c r="E818" s="30" t="inlineStr">
        <is>
          <t>정면충돌</t>
        </is>
      </c>
      <c r="F818" s="30" t="inlineStr">
        <is>
          <t>(18, 10)&lt;-&gt;(18, 11)</t>
        </is>
      </c>
      <c r="G818" s="31" t="n">
        <v>55.6</v>
      </c>
      <c r="H818" s="30" t="inlineStr">
        <is>
          <t>O0785</t>
        </is>
      </c>
    </row>
    <row r="819">
      <c r="A819" s="32" t="n">
        <v>818</v>
      </c>
      <c r="B819" s="31" t="n">
        <v>38435.8</v>
      </c>
      <c r="C819" s="30" t="inlineStr">
        <is>
          <t>AMR2</t>
        </is>
      </c>
      <c r="D819" s="30" t="inlineStr">
        <is>
          <t>AMR3</t>
        </is>
      </c>
      <c r="E819" s="30" t="inlineStr">
        <is>
          <t>경로충돌</t>
        </is>
      </c>
      <c r="F819" s="30" t="inlineStr">
        <is>
          <t>(16, 19)</t>
        </is>
      </c>
      <c r="G819" s="31" t="n">
        <v>36.5</v>
      </c>
      <c r="H819" s="30" t="inlineStr">
        <is>
          <t>O0788</t>
        </is>
      </c>
    </row>
    <row r="820">
      <c r="A820" s="32" t="n">
        <v>819</v>
      </c>
      <c r="B820" s="31" t="n">
        <v>38436.4</v>
      </c>
      <c r="C820" s="30" t="inlineStr">
        <is>
          <t>AMR2</t>
        </is>
      </c>
      <c r="D820" s="30" t="inlineStr">
        <is>
          <t>AMR3</t>
        </is>
      </c>
      <c r="E820" s="30" t="inlineStr">
        <is>
          <t>정면충돌</t>
        </is>
      </c>
      <c r="F820" s="30" t="inlineStr">
        <is>
          <t>(16, 19)&lt;-&gt;(17, 19)</t>
        </is>
      </c>
      <c r="G820" s="31" t="n">
        <v>25.8</v>
      </c>
      <c r="H820" s="30" t="inlineStr">
        <is>
          <t>O0788</t>
        </is>
      </c>
    </row>
    <row r="821">
      <c r="A821" s="32" t="n">
        <v>820</v>
      </c>
      <c r="B821" s="31" t="n">
        <v>38463.2</v>
      </c>
      <c r="C821" s="30" t="inlineStr">
        <is>
          <t>AMR1</t>
        </is>
      </c>
      <c r="D821" s="30" t="inlineStr">
        <is>
          <t>AMR3</t>
        </is>
      </c>
      <c r="E821" s="30" t="inlineStr">
        <is>
          <t>경로충돌</t>
        </is>
      </c>
      <c r="F821" s="30" t="inlineStr">
        <is>
          <t>(18, 16)</t>
        </is>
      </c>
      <c r="G821" s="31" t="n">
        <v>23.6</v>
      </c>
      <c r="H821" s="30" t="inlineStr">
        <is>
          <t>O0789</t>
        </is>
      </c>
    </row>
    <row r="822">
      <c r="A822" s="32" t="n">
        <v>821</v>
      </c>
      <c r="B822" s="31" t="n">
        <v>38463.7</v>
      </c>
      <c r="C822" s="30" t="inlineStr">
        <is>
          <t>AMR1</t>
        </is>
      </c>
      <c r="D822" s="30" t="inlineStr">
        <is>
          <t>AMR3</t>
        </is>
      </c>
      <c r="E822" s="30" t="inlineStr">
        <is>
          <t>정면충돌</t>
        </is>
      </c>
      <c r="F822" s="30" t="inlineStr">
        <is>
          <t>(18, 16)&lt;-&gt;(18, 17)</t>
        </is>
      </c>
      <c r="G822" s="31" t="n">
        <v>26.4</v>
      </c>
      <c r="H822" s="30" t="inlineStr">
        <is>
          <t>O0789</t>
        </is>
      </c>
    </row>
    <row r="823">
      <c r="A823" s="32" t="n">
        <v>822</v>
      </c>
      <c r="B823" s="31" t="n">
        <v>38509</v>
      </c>
      <c r="C823" s="30" t="inlineStr">
        <is>
          <t>AMR2</t>
        </is>
      </c>
      <c r="D823" s="30" t="inlineStr">
        <is>
          <t>AMR3</t>
        </is>
      </c>
      <c r="E823" s="30" t="inlineStr">
        <is>
          <t>경로충돌</t>
        </is>
      </c>
      <c r="F823" s="30" t="inlineStr">
        <is>
          <t>(18, 14)</t>
        </is>
      </c>
      <c r="G823" s="31" t="n">
        <v>54.1</v>
      </c>
      <c r="H823" s="30" t="inlineStr">
        <is>
          <t>O0789</t>
        </is>
      </c>
    </row>
    <row r="824">
      <c r="A824" s="32" t="n">
        <v>823</v>
      </c>
      <c r="B824" s="31" t="n">
        <v>38509.3</v>
      </c>
      <c r="C824" s="30" t="inlineStr">
        <is>
          <t>AMR2</t>
        </is>
      </c>
      <c r="D824" s="30" t="inlineStr">
        <is>
          <t>AMR3</t>
        </is>
      </c>
      <c r="E824" s="30" t="inlineStr">
        <is>
          <t>정면충돌</t>
        </is>
      </c>
      <c r="F824" s="30" t="inlineStr">
        <is>
          <t>(18, 13)&lt;-&gt;(18, 14)</t>
        </is>
      </c>
      <c r="G824" s="31" t="n">
        <v>49.6</v>
      </c>
      <c r="H824" s="30" t="inlineStr">
        <is>
          <t>O0789</t>
        </is>
      </c>
    </row>
    <row r="825">
      <c r="A825" s="32" t="n">
        <v>824</v>
      </c>
      <c r="B825" s="31" t="n">
        <v>38582.2</v>
      </c>
      <c r="C825" s="30" t="inlineStr">
        <is>
          <t>AMR1</t>
        </is>
      </c>
      <c r="D825" s="30" t="inlineStr">
        <is>
          <t>AMR3</t>
        </is>
      </c>
      <c r="E825" s="30" t="inlineStr">
        <is>
          <t>경로충돌</t>
        </is>
      </c>
      <c r="F825" s="30" t="inlineStr">
        <is>
          <t>(18, 17)</t>
        </is>
      </c>
      <c r="G825" s="31" t="n">
        <v>54.1</v>
      </c>
      <c r="H825" s="30" t="inlineStr">
        <is>
          <t>O0791</t>
        </is>
      </c>
    </row>
    <row r="826">
      <c r="A826" s="32" t="n">
        <v>825</v>
      </c>
      <c r="B826" s="31" t="n">
        <v>38582.4</v>
      </c>
      <c r="C826" s="30" t="inlineStr">
        <is>
          <t>AMR1</t>
        </is>
      </c>
      <c r="D826" s="30" t="inlineStr">
        <is>
          <t>AMR3</t>
        </is>
      </c>
      <c r="E826" s="30" t="inlineStr">
        <is>
          <t>정면충돌</t>
        </is>
      </c>
      <c r="F826" s="30" t="inlineStr">
        <is>
          <t>(18, 16)&lt;-&gt;(18, 17)</t>
        </is>
      </c>
      <c r="G826" s="31" t="n">
        <v>41.7</v>
      </c>
      <c r="H826" s="30" t="inlineStr">
        <is>
          <t>O0791</t>
        </is>
      </c>
    </row>
    <row r="827">
      <c r="A827" s="32" t="n">
        <v>826</v>
      </c>
      <c r="B827" s="31" t="n">
        <v>38592.3</v>
      </c>
      <c r="C827" s="30" t="inlineStr">
        <is>
          <t>AMR1</t>
        </is>
      </c>
      <c r="D827" s="30" t="inlineStr">
        <is>
          <t>AMR2</t>
        </is>
      </c>
      <c r="E827" s="30" t="inlineStr">
        <is>
          <t>경로충돌</t>
        </is>
      </c>
      <c r="F827" s="30" t="inlineStr">
        <is>
          <t>(18, 11)</t>
        </is>
      </c>
      <c r="G827" s="31" t="n">
        <v>57.7</v>
      </c>
      <c r="H827" s="30" t="inlineStr">
        <is>
          <t>O0791</t>
        </is>
      </c>
    </row>
    <row r="828">
      <c r="A828" s="32" t="n">
        <v>827</v>
      </c>
      <c r="B828" s="31" t="n">
        <v>38648.2</v>
      </c>
      <c r="C828" s="30" t="inlineStr">
        <is>
          <t>AMR1</t>
        </is>
      </c>
      <c r="D828" s="30" t="inlineStr">
        <is>
          <t>AMR2</t>
        </is>
      </c>
      <c r="E828" s="30" t="inlineStr">
        <is>
          <t>경로충돌</t>
        </is>
      </c>
      <c r="F828" s="30" t="inlineStr">
        <is>
          <t>(18, 11)</t>
        </is>
      </c>
      <c r="G828" s="31" t="n">
        <v>44.1</v>
      </c>
      <c r="H828" s="30" t="inlineStr"/>
    </row>
    <row r="829">
      <c r="A829" s="32" t="n">
        <v>828</v>
      </c>
      <c r="B829" s="31" t="n">
        <v>38656.1</v>
      </c>
      <c r="C829" s="30" t="inlineStr">
        <is>
          <t>AMR1</t>
        </is>
      </c>
      <c r="D829" s="30" t="inlineStr">
        <is>
          <t>AMR3</t>
        </is>
      </c>
      <c r="E829" s="30" t="inlineStr">
        <is>
          <t>경로충돌</t>
        </is>
      </c>
      <c r="F829" s="30" t="inlineStr">
        <is>
          <t>(17, 19)</t>
        </is>
      </c>
      <c r="G829" s="31" t="n">
        <v>33.2</v>
      </c>
      <c r="H829" s="30" t="inlineStr">
        <is>
          <t>O0792</t>
        </is>
      </c>
    </row>
    <row r="830">
      <c r="A830" s="32" t="n">
        <v>829</v>
      </c>
      <c r="B830" s="31" t="n">
        <v>38657.2</v>
      </c>
      <c r="C830" s="30" t="inlineStr">
        <is>
          <t>AMR1</t>
        </is>
      </c>
      <c r="D830" s="30" t="inlineStr">
        <is>
          <t>AMR3</t>
        </is>
      </c>
      <c r="E830" s="30" t="inlineStr">
        <is>
          <t>정면충돌</t>
        </is>
      </c>
      <c r="F830" s="30" t="inlineStr">
        <is>
          <t>(16, 19)&lt;-&gt;(17, 19)</t>
        </is>
      </c>
      <c r="G830" s="31" t="n">
        <v>40.6</v>
      </c>
      <c r="H830" s="30" t="inlineStr">
        <is>
          <t>O0792</t>
        </is>
      </c>
    </row>
    <row r="831">
      <c r="A831" s="32" t="n">
        <v>830</v>
      </c>
      <c r="B831" s="31" t="n">
        <v>38664.1</v>
      </c>
      <c r="C831" s="30" t="inlineStr">
        <is>
          <t>AMR1</t>
        </is>
      </c>
      <c r="D831" s="30" t="inlineStr">
        <is>
          <t>AMR2</t>
        </is>
      </c>
      <c r="E831" s="30" t="inlineStr">
        <is>
          <t>경로충돌</t>
        </is>
      </c>
      <c r="F831" s="30" t="inlineStr">
        <is>
          <t>(16, 19)</t>
        </is>
      </c>
      <c r="G831" s="31" t="n">
        <v>34.6</v>
      </c>
      <c r="H831" s="30" t="inlineStr">
        <is>
          <t>O0793</t>
        </is>
      </c>
    </row>
    <row r="832">
      <c r="A832" s="32" t="n">
        <v>831</v>
      </c>
      <c r="B832" s="31" t="n">
        <v>38665</v>
      </c>
      <c r="C832" s="30" t="inlineStr">
        <is>
          <t>AMR1</t>
        </is>
      </c>
      <c r="D832" s="30" t="inlineStr">
        <is>
          <t>AMR2</t>
        </is>
      </c>
      <c r="E832" s="30" t="inlineStr">
        <is>
          <t>정면충돌</t>
        </is>
      </c>
      <c r="F832" s="30" t="inlineStr">
        <is>
          <t>(16, 19)&lt;-&gt;(17, 19)</t>
        </is>
      </c>
      <c r="G832" s="31" t="n">
        <v>29.8</v>
      </c>
      <c r="H832" s="30" t="inlineStr">
        <is>
          <t>O0793</t>
        </is>
      </c>
    </row>
    <row r="833">
      <c r="A833" s="32" t="n">
        <v>832</v>
      </c>
      <c r="B833" s="31" t="n">
        <v>38782.2</v>
      </c>
      <c r="C833" s="30" t="inlineStr">
        <is>
          <t>AMR2</t>
        </is>
      </c>
      <c r="D833" s="30" t="inlineStr">
        <is>
          <t>AMR3</t>
        </is>
      </c>
      <c r="E833" s="30" t="inlineStr">
        <is>
          <t>경로충돌</t>
        </is>
      </c>
      <c r="F833" s="30" t="inlineStr">
        <is>
          <t>(18, 14)</t>
        </is>
      </c>
      <c r="G833" s="31" t="n">
        <v>40.2</v>
      </c>
      <c r="H833" s="30" t="inlineStr">
        <is>
          <t>O0796</t>
        </is>
      </c>
    </row>
    <row r="834">
      <c r="A834" s="32" t="n">
        <v>833</v>
      </c>
      <c r="B834" s="31" t="n">
        <v>38782.9</v>
      </c>
      <c r="C834" s="30" t="inlineStr">
        <is>
          <t>AMR2</t>
        </is>
      </c>
      <c r="D834" s="30" t="inlineStr">
        <is>
          <t>AMR3</t>
        </is>
      </c>
      <c r="E834" s="30" t="inlineStr">
        <is>
          <t>정면충돌</t>
        </is>
      </c>
      <c r="F834" s="30" t="inlineStr">
        <is>
          <t>(18, 14)&lt;-&gt;(18, 15)</t>
        </is>
      </c>
      <c r="G834" s="31" t="n">
        <v>44.2</v>
      </c>
      <c r="H834" s="30" t="inlineStr">
        <is>
          <t>O0796</t>
        </is>
      </c>
    </row>
    <row r="835">
      <c r="A835" s="32" t="n">
        <v>834</v>
      </c>
      <c r="B835" s="31" t="n">
        <v>38869.9</v>
      </c>
      <c r="C835" s="30" t="inlineStr">
        <is>
          <t>AMR1</t>
        </is>
      </c>
      <c r="D835" s="30" t="inlineStr">
        <is>
          <t>AMR2</t>
        </is>
      </c>
      <c r="E835" s="30" t="inlineStr">
        <is>
          <t>정면충돌</t>
        </is>
      </c>
      <c r="F835" s="30" t="inlineStr">
        <is>
          <t>(18, 13)&lt;-&gt;(18, 14)</t>
        </is>
      </c>
      <c r="G835" s="31" t="n">
        <v>21</v>
      </c>
      <c r="H835" s="30" t="inlineStr">
        <is>
          <t>O0797</t>
        </is>
      </c>
    </row>
    <row r="836">
      <c r="A836" s="32" t="n">
        <v>835</v>
      </c>
      <c r="B836" s="31" t="n">
        <v>38900.8</v>
      </c>
      <c r="C836" s="30" t="inlineStr">
        <is>
          <t>AMR2</t>
        </is>
      </c>
      <c r="D836" s="30" t="inlineStr">
        <is>
          <t>AMR3</t>
        </is>
      </c>
      <c r="E836" s="30" t="inlineStr">
        <is>
          <t>경로충돌</t>
        </is>
      </c>
      <c r="F836" s="30" t="inlineStr">
        <is>
          <t>(18, 16)</t>
        </is>
      </c>
      <c r="G836" s="31" t="n">
        <v>52.5</v>
      </c>
      <c r="H836" s="30" t="inlineStr">
        <is>
          <t>O0798</t>
        </is>
      </c>
    </row>
    <row r="837">
      <c r="A837" s="32" t="n">
        <v>836</v>
      </c>
      <c r="B837" s="31" t="n">
        <v>38901.6</v>
      </c>
      <c r="C837" s="30" t="inlineStr">
        <is>
          <t>AMR2</t>
        </is>
      </c>
      <c r="D837" s="30" t="inlineStr">
        <is>
          <t>AMR3</t>
        </is>
      </c>
      <c r="E837" s="30" t="inlineStr">
        <is>
          <t>정면충돌</t>
        </is>
      </c>
      <c r="F837" s="30" t="inlineStr">
        <is>
          <t>(18, 16)&lt;-&gt;(18, 17)</t>
        </is>
      </c>
      <c r="G837" s="31" t="n">
        <v>22.7</v>
      </c>
      <c r="H837" s="30" t="inlineStr">
        <is>
          <t>O0798</t>
        </is>
      </c>
    </row>
    <row r="838">
      <c r="A838" s="32" t="n">
        <v>837</v>
      </c>
      <c r="B838" s="31" t="n">
        <v>38942.4</v>
      </c>
      <c r="C838" s="30" t="inlineStr">
        <is>
          <t>AMR1</t>
        </is>
      </c>
      <c r="D838" s="30" t="inlineStr">
        <is>
          <t>AMR2</t>
        </is>
      </c>
      <c r="E838" s="30" t="inlineStr">
        <is>
          <t>경로충돌</t>
        </is>
      </c>
      <c r="F838" s="30" t="inlineStr">
        <is>
          <t>(18, 18)</t>
        </is>
      </c>
      <c r="G838" s="31" t="n">
        <v>41.2</v>
      </c>
      <c r="H838" s="30" t="inlineStr">
        <is>
          <t>O0798</t>
        </is>
      </c>
    </row>
    <row r="839">
      <c r="A839" s="32" t="n">
        <v>838</v>
      </c>
      <c r="B839" s="31" t="n">
        <v>38943.9</v>
      </c>
      <c r="C839" s="30" t="inlineStr">
        <is>
          <t>AMR1</t>
        </is>
      </c>
      <c r="D839" s="30" t="inlineStr">
        <is>
          <t>AMR2</t>
        </is>
      </c>
      <c r="E839" s="30" t="inlineStr">
        <is>
          <t>정면충돌</t>
        </is>
      </c>
      <c r="F839" s="30" t="inlineStr">
        <is>
          <t>(18, 17)&lt;-&gt;(18, 18)</t>
        </is>
      </c>
      <c r="G839" s="31" t="n">
        <v>24</v>
      </c>
      <c r="H839" s="30" t="inlineStr">
        <is>
          <t>O0798</t>
        </is>
      </c>
    </row>
    <row r="840">
      <c r="A840" s="32" t="n">
        <v>839</v>
      </c>
      <c r="B840" s="31" t="n">
        <v>38955.2</v>
      </c>
      <c r="C840" s="30" t="inlineStr">
        <is>
          <t>AMR1</t>
        </is>
      </c>
      <c r="D840" s="30" t="inlineStr">
        <is>
          <t>AMR3</t>
        </is>
      </c>
      <c r="E840" s="30" t="inlineStr">
        <is>
          <t>경로충돌</t>
        </is>
      </c>
      <c r="F840" s="30" t="inlineStr">
        <is>
          <t>(12, 18)</t>
        </is>
      </c>
      <c r="G840" s="31" t="n">
        <v>37.7</v>
      </c>
      <c r="H840" s="30" t="inlineStr">
        <is>
          <t>O0799</t>
        </is>
      </c>
    </row>
    <row r="841">
      <c r="A841" s="32" t="n">
        <v>840</v>
      </c>
      <c r="B841" s="31" t="n">
        <v>38955.8</v>
      </c>
      <c r="C841" s="30" t="inlineStr">
        <is>
          <t>AMR1</t>
        </is>
      </c>
      <c r="D841" s="30" t="inlineStr">
        <is>
          <t>AMR3</t>
        </is>
      </c>
      <c r="E841" s="30" t="inlineStr">
        <is>
          <t>정면충돌</t>
        </is>
      </c>
      <c r="F841" s="30" t="inlineStr">
        <is>
          <t>(12, 17)&lt;-&gt;(12, 18)</t>
        </is>
      </c>
      <c r="G841" s="31" t="n">
        <v>42</v>
      </c>
      <c r="H841" s="30" t="inlineStr">
        <is>
          <t>O0799</t>
        </is>
      </c>
    </row>
    <row r="842">
      <c r="A842" s="32" t="n">
        <v>841</v>
      </c>
      <c r="B842" s="31" t="n">
        <v>39017.1</v>
      </c>
      <c r="C842" s="30" t="inlineStr">
        <is>
          <t>AMR2</t>
        </is>
      </c>
      <c r="D842" s="30" t="inlineStr">
        <is>
          <t>AMR3</t>
        </is>
      </c>
      <c r="E842" s="30" t="inlineStr">
        <is>
          <t>경로충돌</t>
        </is>
      </c>
      <c r="F842" s="30" t="inlineStr">
        <is>
          <t>(17, 19)</t>
        </is>
      </c>
      <c r="G842" s="31" t="n">
        <v>47.3</v>
      </c>
      <c r="H842" s="30" t="inlineStr">
        <is>
          <t>O0800</t>
        </is>
      </c>
    </row>
    <row r="843">
      <c r="A843" s="32" t="n">
        <v>842</v>
      </c>
      <c r="B843" s="31" t="n">
        <v>39017.3</v>
      </c>
      <c r="C843" s="30" t="inlineStr">
        <is>
          <t>AMR2</t>
        </is>
      </c>
      <c r="D843" s="30" t="inlineStr">
        <is>
          <t>AMR3</t>
        </is>
      </c>
      <c r="E843" s="30" t="inlineStr">
        <is>
          <t>정면충돌</t>
        </is>
      </c>
      <c r="F843" s="30" t="inlineStr">
        <is>
          <t>(16, 19)&lt;-&gt;(17, 19)</t>
        </is>
      </c>
      <c r="G843" s="31" t="n">
        <v>49.1</v>
      </c>
      <c r="H843" s="30" t="inlineStr">
        <is>
          <t>O0800</t>
        </is>
      </c>
    </row>
    <row r="844">
      <c r="A844" s="32" t="n">
        <v>843</v>
      </c>
      <c r="B844" s="31" t="n">
        <v>39027.9</v>
      </c>
      <c r="C844" s="30" t="inlineStr">
        <is>
          <t>AMR1</t>
        </is>
      </c>
      <c r="D844" s="30" t="inlineStr">
        <is>
          <t>AMR3</t>
        </is>
      </c>
      <c r="E844" s="30" t="inlineStr">
        <is>
          <t>경로충돌</t>
        </is>
      </c>
      <c r="F844" s="30" t="inlineStr">
        <is>
          <t>(18, 14)</t>
        </is>
      </c>
      <c r="G844" s="31" t="n">
        <v>58.6</v>
      </c>
      <c r="H844" s="30" t="inlineStr">
        <is>
          <t>O0800</t>
        </is>
      </c>
    </row>
    <row r="845">
      <c r="A845" s="32" t="n">
        <v>844</v>
      </c>
      <c r="B845" s="31" t="n">
        <v>39028.1</v>
      </c>
      <c r="C845" s="30" t="inlineStr">
        <is>
          <t>AMR1</t>
        </is>
      </c>
      <c r="D845" s="30" t="inlineStr">
        <is>
          <t>AMR3</t>
        </is>
      </c>
      <c r="E845" s="30" t="inlineStr">
        <is>
          <t>정면충돌</t>
        </is>
      </c>
      <c r="F845" s="30" t="inlineStr">
        <is>
          <t>(18, 14)&lt;-&gt;(18, 15)</t>
        </is>
      </c>
      <c r="G845" s="31" t="n">
        <v>55.1</v>
      </c>
      <c r="H845" s="30" t="inlineStr">
        <is>
          <t>O0800</t>
        </is>
      </c>
    </row>
    <row r="846">
      <c r="A846" s="32" t="n">
        <v>845</v>
      </c>
      <c r="B846" s="31" t="n">
        <v>39085.2</v>
      </c>
      <c r="C846" s="30" t="inlineStr">
        <is>
          <t>AMR1</t>
        </is>
      </c>
      <c r="D846" s="30" t="inlineStr">
        <is>
          <t>AMR2</t>
        </is>
      </c>
      <c r="E846" s="30" t="inlineStr">
        <is>
          <t>경로충돌</t>
        </is>
      </c>
      <c r="F846" s="30" t="inlineStr">
        <is>
          <t>(17, 11)</t>
        </is>
      </c>
      <c r="G846" s="31" t="n">
        <v>31.1</v>
      </c>
      <c r="H846" s="30" t="inlineStr"/>
    </row>
    <row r="847">
      <c r="A847" s="32" t="n">
        <v>846</v>
      </c>
      <c r="B847" s="31" t="n">
        <v>39096.4</v>
      </c>
      <c r="C847" s="30" t="inlineStr">
        <is>
          <t>AMR1</t>
        </is>
      </c>
      <c r="D847" s="30" t="inlineStr">
        <is>
          <t>AMR2</t>
        </is>
      </c>
      <c r="E847" s="30" t="inlineStr">
        <is>
          <t>경로충돌</t>
        </is>
      </c>
      <c r="F847" s="30" t="inlineStr">
        <is>
          <t>(16, 19)</t>
        </is>
      </c>
      <c r="G847" s="31" t="n">
        <v>22.2</v>
      </c>
      <c r="H847" s="30" t="inlineStr">
        <is>
          <t>O0801</t>
        </is>
      </c>
    </row>
    <row r="848">
      <c r="A848" s="32" t="n">
        <v>847</v>
      </c>
      <c r="B848" s="31" t="n">
        <v>39097.6</v>
      </c>
      <c r="C848" s="30" t="inlineStr">
        <is>
          <t>AMR1</t>
        </is>
      </c>
      <c r="D848" s="30" t="inlineStr">
        <is>
          <t>AMR2</t>
        </is>
      </c>
      <c r="E848" s="30" t="inlineStr">
        <is>
          <t>정면충돌</t>
        </is>
      </c>
      <c r="F848" s="30" t="inlineStr">
        <is>
          <t>(16, 19)&lt;-&gt;(17, 19)</t>
        </is>
      </c>
      <c r="G848" s="31" t="n">
        <v>41.5</v>
      </c>
      <c r="H848" s="30" t="inlineStr">
        <is>
          <t>O0801</t>
        </is>
      </c>
    </row>
    <row r="849">
      <c r="A849" s="32" t="n">
        <v>848</v>
      </c>
      <c r="B849" s="31" t="n">
        <v>39106.6</v>
      </c>
      <c r="C849" s="30" t="inlineStr">
        <is>
          <t>AMR1</t>
        </is>
      </c>
      <c r="D849" s="30" t="inlineStr">
        <is>
          <t>AMR3</t>
        </is>
      </c>
      <c r="E849" s="30" t="inlineStr">
        <is>
          <t>경로충돌</t>
        </is>
      </c>
      <c r="F849" s="30" t="inlineStr">
        <is>
          <t>(16, 19)</t>
        </is>
      </c>
      <c r="G849" s="31" t="n">
        <v>31.1</v>
      </c>
      <c r="H849" s="30" t="inlineStr">
        <is>
          <t>O0802</t>
        </is>
      </c>
    </row>
    <row r="850">
      <c r="A850" s="32" t="n">
        <v>849</v>
      </c>
      <c r="B850" s="31" t="n">
        <v>39107</v>
      </c>
      <c r="C850" s="30" t="inlineStr">
        <is>
          <t>AMR1</t>
        </is>
      </c>
      <c r="D850" s="30" t="inlineStr">
        <is>
          <t>AMR3</t>
        </is>
      </c>
      <c r="E850" s="30" t="inlineStr">
        <is>
          <t>정면충돌</t>
        </is>
      </c>
      <c r="F850" s="30" t="inlineStr">
        <is>
          <t>(16, 19)&lt;-&gt;(17, 19)</t>
        </is>
      </c>
      <c r="G850" s="31" t="n">
        <v>25</v>
      </c>
      <c r="H850" s="30" t="inlineStr">
        <is>
          <t>O0802</t>
        </is>
      </c>
    </row>
    <row r="851">
      <c r="A851" s="32" t="n">
        <v>850</v>
      </c>
      <c r="B851" s="31" t="n">
        <v>39210.3</v>
      </c>
      <c r="C851" s="30" t="inlineStr">
        <is>
          <t>AMR1</t>
        </is>
      </c>
      <c r="D851" s="30" t="inlineStr">
        <is>
          <t>AMR3</t>
        </is>
      </c>
      <c r="E851" s="30" t="inlineStr">
        <is>
          <t>경로충돌</t>
        </is>
      </c>
      <c r="F851" s="30" t="inlineStr">
        <is>
          <t>(11, 11)</t>
        </is>
      </c>
      <c r="G851" s="31" t="n">
        <v>30.7</v>
      </c>
      <c r="H851" s="30" t="inlineStr">
        <is>
          <t>O0803 O0804</t>
        </is>
      </c>
    </row>
    <row r="852">
      <c r="A852" s="32" t="n">
        <v>851</v>
      </c>
      <c r="B852" s="31" t="n">
        <v>39262</v>
      </c>
      <c r="C852" s="30" t="inlineStr">
        <is>
          <t>AMR2</t>
        </is>
      </c>
      <c r="D852" s="30" t="inlineStr">
        <is>
          <t>AMR3</t>
        </is>
      </c>
      <c r="E852" s="30" t="inlineStr">
        <is>
          <t>경로충돌</t>
        </is>
      </c>
      <c r="F852" s="30" t="inlineStr">
        <is>
          <t>(18, 16)</t>
        </is>
      </c>
      <c r="G852" s="31" t="n">
        <v>29.3</v>
      </c>
      <c r="H852" s="30" t="inlineStr">
        <is>
          <t>O0805</t>
        </is>
      </c>
    </row>
    <row r="853">
      <c r="A853" s="32" t="n">
        <v>852</v>
      </c>
      <c r="B853" s="31" t="n">
        <v>39262.7</v>
      </c>
      <c r="C853" s="30" t="inlineStr">
        <is>
          <t>AMR2</t>
        </is>
      </c>
      <c r="D853" s="30" t="inlineStr">
        <is>
          <t>AMR3</t>
        </is>
      </c>
      <c r="E853" s="30" t="inlineStr">
        <is>
          <t>정면충돌</t>
        </is>
      </c>
      <c r="F853" s="30" t="inlineStr">
        <is>
          <t>(18, 15)&lt;-&gt;(18, 16)</t>
        </is>
      </c>
      <c r="G853" s="31" t="n">
        <v>52</v>
      </c>
      <c r="H853" s="30" t="inlineStr">
        <is>
          <t>O0805</t>
        </is>
      </c>
    </row>
    <row r="854">
      <c r="A854" s="32" t="n">
        <v>853</v>
      </c>
      <c r="B854" s="31" t="n">
        <v>39331.3</v>
      </c>
      <c r="C854" s="30" t="inlineStr">
        <is>
          <t>AMR1</t>
        </is>
      </c>
      <c r="D854" s="30" t="inlineStr">
        <is>
          <t>AMR3</t>
        </is>
      </c>
      <c r="E854" s="30" t="inlineStr">
        <is>
          <t>경로충돌</t>
        </is>
      </c>
      <c r="F854" s="30" t="inlineStr">
        <is>
          <t>(13, 19)</t>
        </is>
      </c>
      <c r="G854" s="31" t="n">
        <v>41</v>
      </c>
      <c r="H854" s="30" t="inlineStr">
        <is>
          <t>O0806</t>
        </is>
      </c>
    </row>
    <row r="855">
      <c r="A855" s="32" t="n">
        <v>854</v>
      </c>
      <c r="B855" s="31" t="n">
        <v>39332</v>
      </c>
      <c r="C855" s="30" t="inlineStr">
        <is>
          <t>AMR1</t>
        </is>
      </c>
      <c r="D855" s="30" t="inlineStr">
        <is>
          <t>AMR3</t>
        </is>
      </c>
      <c r="E855" s="30" t="inlineStr">
        <is>
          <t>정면충돌</t>
        </is>
      </c>
      <c r="F855" s="30" t="inlineStr">
        <is>
          <t>(12, 19)&lt;-&gt;(13, 19)</t>
        </is>
      </c>
      <c r="G855" s="31" t="n">
        <v>52</v>
      </c>
      <c r="H855" s="30" t="inlineStr">
        <is>
          <t>O0806</t>
        </is>
      </c>
    </row>
    <row r="856">
      <c r="A856" s="32" t="n">
        <v>855</v>
      </c>
      <c r="B856" s="31" t="n">
        <v>39375.4</v>
      </c>
      <c r="C856" s="30" t="inlineStr">
        <is>
          <t>AMR2</t>
        </is>
      </c>
      <c r="D856" s="30" t="inlineStr">
        <is>
          <t>AMR3</t>
        </is>
      </c>
      <c r="E856" s="30" t="inlineStr">
        <is>
          <t>경로충돌</t>
        </is>
      </c>
      <c r="F856" s="30" t="inlineStr">
        <is>
          <t>(11, 11)</t>
        </is>
      </c>
      <c r="G856" s="31" t="n">
        <v>39.2</v>
      </c>
      <c r="H856" s="30" t="inlineStr">
        <is>
          <t>O0808</t>
        </is>
      </c>
    </row>
    <row r="857">
      <c r="A857" s="32" t="n">
        <v>856</v>
      </c>
      <c r="B857" s="31" t="n">
        <v>39398.2</v>
      </c>
      <c r="C857" s="30" t="inlineStr">
        <is>
          <t>AMR2</t>
        </is>
      </c>
      <c r="D857" s="30" t="inlineStr">
        <is>
          <t>AMR3</t>
        </is>
      </c>
      <c r="E857" s="30" t="inlineStr">
        <is>
          <t>경로충돌</t>
        </is>
      </c>
      <c r="F857" s="30" t="inlineStr">
        <is>
          <t>(11, 11)</t>
        </is>
      </c>
      <c r="G857" s="31" t="n">
        <v>53</v>
      </c>
      <c r="H857" s="30" t="inlineStr">
        <is>
          <t>O0807</t>
        </is>
      </c>
    </row>
    <row r="858">
      <c r="A858" s="32" t="n">
        <v>857</v>
      </c>
      <c r="B858" s="31" t="n">
        <v>39513.2</v>
      </c>
      <c r="C858" s="30" t="inlineStr">
        <is>
          <t>AMR2</t>
        </is>
      </c>
      <c r="D858" s="30" t="inlineStr">
        <is>
          <t>AMR3</t>
        </is>
      </c>
      <c r="E858" s="30" t="inlineStr">
        <is>
          <t>정면충돌</t>
        </is>
      </c>
      <c r="F858" s="30" t="inlineStr">
        <is>
          <t>(26, 9)&lt;-&gt;(27, 9)</t>
        </is>
      </c>
      <c r="G858" s="31" t="n">
        <v>35</v>
      </c>
      <c r="H858" s="30" t="inlineStr">
        <is>
          <t>O0809</t>
        </is>
      </c>
    </row>
    <row r="859">
      <c r="A859" s="32" t="n">
        <v>858</v>
      </c>
      <c r="B859" s="31" t="n">
        <v>39530.2</v>
      </c>
      <c r="C859" s="30" t="inlineStr">
        <is>
          <t>AMR1</t>
        </is>
      </c>
      <c r="D859" s="30" t="inlineStr">
        <is>
          <t>AMR2</t>
        </is>
      </c>
      <c r="E859" s="30" t="inlineStr">
        <is>
          <t>경로충돌</t>
        </is>
      </c>
      <c r="F859" s="30" t="inlineStr">
        <is>
          <t>(26, 9)</t>
        </is>
      </c>
      <c r="G859" s="31" t="n">
        <v>52.8</v>
      </c>
      <c r="H859" s="30" t="inlineStr">
        <is>
          <t>O0809 O0811</t>
        </is>
      </c>
    </row>
    <row r="860">
      <c r="A860" s="32" t="n">
        <v>859</v>
      </c>
      <c r="B860" s="31" t="n">
        <v>39530.8</v>
      </c>
      <c r="C860" s="30" t="inlineStr">
        <is>
          <t>AMR1</t>
        </is>
      </c>
      <c r="D860" s="30" t="inlineStr">
        <is>
          <t>AMR2</t>
        </is>
      </c>
      <c r="E860" s="30" t="inlineStr">
        <is>
          <t>정면충돌</t>
        </is>
      </c>
      <c r="F860" s="30" t="inlineStr">
        <is>
          <t>(25, 9)&lt;-&gt;(26, 9)</t>
        </is>
      </c>
      <c r="G860" s="31" t="n">
        <v>26.9</v>
      </c>
      <c r="H860" s="30" t="inlineStr">
        <is>
          <t>O0809 O0811</t>
        </is>
      </c>
    </row>
    <row r="861">
      <c r="A861" s="32" t="n">
        <v>860</v>
      </c>
      <c r="B861" s="31" t="n">
        <v>39631.8</v>
      </c>
      <c r="C861" s="30" t="inlineStr">
        <is>
          <t>AMR2</t>
        </is>
      </c>
      <c r="D861" s="30" t="inlineStr">
        <is>
          <t>AMR3</t>
        </is>
      </c>
      <c r="E861" s="30" t="inlineStr">
        <is>
          <t>경로충돌</t>
        </is>
      </c>
      <c r="F861" s="30" t="inlineStr">
        <is>
          <t>(17, 19)</t>
        </is>
      </c>
      <c r="G861" s="31" t="n">
        <v>37.4</v>
      </c>
      <c r="H861" s="30" t="inlineStr">
        <is>
          <t>O0812</t>
        </is>
      </c>
    </row>
    <row r="862">
      <c r="A862" s="32" t="n">
        <v>861</v>
      </c>
      <c r="B862" s="31" t="n">
        <v>39654.1</v>
      </c>
      <c r="C862" s="30" t="inlineStr">
        <is>
          <t>AMR1</t>
        </is>
      </c>
      <c r="D862" s="30" t="inlineStr">
        <is>
          <t>AMR2</t>
        </is>
      </c>
      <c r="E862" s="30" t="inlineStr">
        <is>
          <t>경로충돌</t>
        </is>
      </c>
      <c r="F862" s="30" t="inlineStr">
        <is>
          <t>(18, 15)</t>
        </is>
      </c>
      <c r="G862" s="31" t="n">
        <v>38.7</v>
      </c>
      <c r="H862" s="30" t="inlineStr">
        <is>
          <t>O0813</t>
        </is>
      </c>
    </row>
    <row r="863">
      <c r="A863" s="32" t="n">
        <v>862</v>
      </c>
      <c r="B863" s="31" t="n">
        <v>39654.6</v>
      </c>
      <c r="C863" s="30" t="inlineStr">
        <is>
          <t>AMR1</t>
        </is>
      </c>
      <c r="D863" s="30" t="inlineStr">
        <is>
          <t>AMR2</t>
        </is>
      </c>
      <c r="E863" s="30" t="inlineStr">
        <is>
          <t>정면충돌</t>
        </is>
      </c>
      <c r="F863" s="30" t="inlineStr">
        <is>
          <t>(18, 14)&lt;-&gt;(18, 15)</t>
        </is>
      </c>
      <c r="G863" s="31" t="n">
        <v>45.1</v>
      </c>
      <c r="H863" s="30" t="inlineStr">
        <is>
          <t>O0813</t>
        </is>
      </c>
    </row>
    <row r="864">
      <c r="A864" s="32" t="n">
        <v>863</v>
      </c>
      <c r="B864" s="31" t="n">
        <v>39704</v>
      </c>
      <c r="C864" s="30" t="inlineStr">
        <is>
          <t>AMR2</t>
        </is>
      </c>
      <c r="D864" s="30" t="inlineStr">
        <is>
          <t>AMR3</t>
        </is>
      </c>
      <c r="E864" s="30" t="inlineStr">
        <is>
          <t>경로충돌</t>
        </is>
      </c>
      <c r="F864" s="30" t="inlineStr">
        <is>
          <t>(18, 17)</t>
        </is>
      </c>
      <c r="G864" s="31" t="n">
        <v>46.3</v>
      </c>
      <c r="H864" s="30" t="inlineStr">
        <is>
          <t>O0813</t>
        </is>
      </c>
    </row>
    <row r="865">
      <c r="A865" s="32" t="n">
        <v>864</v>
      </c>
      <c r="B865" s="31" t="n">
        <v>39704.4</v>
      </c>
      <c r="C865" s="30" t="inlineStr">
        <is>
          <t>AMR2</t>
        </is>
      </c>
      <c r="D865" s="30" t="inlineStr">
        <is>
          <t>AMR3</t>
        </is>
      </c>
      <c r="E865" s="30" t="inlineStr">
        <is>
          <t>정면충돌</t>
        </is>
      </c>
      <c r="F865" s="30" t="inlineStr">
        <is>
          <t>(18, 17)&lt;-&gt;(18, 18)</t>
        </is>
      </c>
      <c r="G865" s="31" t="n">
        <v>45</v>
      </c>
      <c r="H865" s="30" t="inlineStr">
        <is>
          <t>O0813</t>
        </is>
      </c>
    </row>
    <row r="866">
      <c r="A866" s="32" t="n">
        <v>865</v>
      </c>
      <c r="B866" s="31" t="n">
        <v>39711.7</v>
      </c>
      <c r="C866" s="30" t="inlineStr">
        <is>
          <t>AMR1</t>
        </is>
      </c>
      <c r="D866" s="30" t="inlineStr">
        <is>
          <t>AMR2</t>
        </is>
      </c>
      <c r="E866" s="30" t="inlineStr">
        <is>
          <t>경로충돌</t>
        </is>
      </c>
      <c r="F866" s="30" t="inlineStr">
        <is>
          <t>(17, 15)</t>
        </is>
      </c>
      <c r="G866" s="31" t="n">
        <v>30.3</v>
      </c>
      <c r="H866" s="30" t="inlineStr">
        <is>
          <t>O0813</t>
        </is>
      </c>
    </row>
    <row r="867">
      <c r="A867" s="32" t="n">
        <v>866</v>
      </c>
      <c r="B867" s="31" t="n">
        <v>39712.3</v>
      </c>
      <c r="C867" s="30" t="inlineStr">
        <is>
          <t>AMR1</t>
        </is>
      </c>
      <c r="D867" s="30" t="inlineStr">
        <is>
          <t>AMR2</t>
        </is>
      </c>
      <c r="E867" s="30" t="inlineStr">
        <is>
          <t>정면충돌</t>
        </is>
      </c>
      <c r="F867" s="30" t="inlineStr">
        <is>
          <t>(17, 15)&lt;-&gt;(17, 16)</t>
        </is>
      </c>
      <c r="G867" s="31" t="n">
        <v>22.3</v>
      </c>
      <c r="H867" s="30" t="inlineStr">
        <is>
          <t>O0813</t>
        </is>
      </c>
    </row>
    <row r="868">
      <c r="A868" s="32" t="n">
        <v>867</v>
      </c>
      <c r="B868" s="31" t="n">
        <v>39718.7</v>
      </c>
      <c r="C868" s="30" t="inlineStr">
        <is>
          <t>AMR1</t>
        </is>
      </c>
      <c r="D868" s="30" t="inlineStr">
        <is>
          <t>AMR3</t>
        </is>
      </c>
      <c r="E868" s="30" t="inlineStr">
        <is>
          <t>경로충돌</t>
        </is>
      </c>
      <c r="F868" s="30" t="inlineStr">
        <is>
          <t>(17, 17)</t>
        </is>
      </c>
      <c r="G868" s="31" t="n">
        <v>45</v>
      </c>
      <c r="H868" s="30" t="inlineStr">
        <is>
          <t>O0814</t>
        </is>
      </c>
    </row>
    <row r="869">
      <c r="A869" s="32" t="n">
        <v>868</v>
      </c>
      <c r="B869" s="31" t="n">
        <v>39719</v>
      </c>
      <c r="C869" s="30" t="inlineStr">
        <is>
          <t>AMR1</t>
        </is>
      </c>
      <c r="D869" s="30" t="inlineStr">
        <is>
          <t>AMR3</t>
        </is>
      </c>
      <c r="E869" s="30" t="inlineStr">
        <is>
          <t>정면충돌</t>
        </is>
      </c>
      <c r="F869" s="30" t="inlineStr">
        <is>
          <t>(17, 16)&lt;-&gt;(17, 17)</t>
        </is>
      </c>
      <c r="G869" s="31" t="n">
        <v>55.9</v>
      </c>
      <c r="H869" s="30" t="inlineStr">
        <is>
          <t>O0814</t>
        </is>
      </c>
    </row>
    <row r="870">
      <c r="A870" s="32" t="n">
        <v>869</v>
      </c>
      <c r="B870" s="31" t="n">
        <v>39785.5</v>
      </c>
      <c r="C870" s="30" t="inlineStr">
        <is>
          <t>AMR1</t>
        </is>
      </c>
      <c r="D870" s="30" t="inlineStr">
        <is>
          <t>AMR2</t>
        </is>
      </c>
      <c r="E870" s="30" t="inlineStr">
        <is>
          <t>경로충돌</t>
        </is>
      </c>
      <c r="F870" s="30" t="inlineStr">
        <is>
          <t>(17, 19)</t>
        </is>
      </c>
      <c r="G870" s="31" t="n">
        <v>46.5</v>
      </c>
      <c r="H870" s="30" t="inlineStr">
        <is>
          <t>O0815</t>
        </is>
      </c>
    </row>
    <row r="871">
      <c r="A871" s="32" t="n">
        <v>870</v>
      </c>
      <c r="B871" s="31" t="n">
        <v>39785.8</v>
      </c>
      <c r="C871" s="30" t="inlineStr">
        <is>
          <t>AMR1</t>
        </is>
      </c>
      <c r="D871" s="30" t="inlineStr">
        <is>
          <t>AMR2</t>
        </is>
      </c>
      <c r="E871" s="30" t="inlineStr">
        <is>
          <t>정면충돌</t>
        </is>
      </c>
      <c r="F871" s="30" t="inlineStr">
        <is>
          <t>(17, 19)&lt;-&gt;(18, 19)</t>
        </is>
      </c>
      <c r="G871" s="31" t="n">
        <v>33.1</v>
      </c>
      <c r="H871" s="30" t="inlineStr">
        <is>
          <t>O0815</t>
        </is>
      </c>
    </row>
    <row r="872">
      <c r="A872" s="32" t="n">
        <v>871</v>
      </c>
      <c r="B872" s="31" t="n">
        <v>39847.4</v>
      </c>
      <c r="C872" s="30" t="inlineStr">
        <is>
          <t>AMR2</t>
        </is>
      </c>
      <c r="D872" s="30" t="inlineStr">
        <is>
          <t>AMR3</t>
        </is>
      </c>
      <c r="E872" s="30" t="inlineStr">
        <is>
          <t>경로충돌</t>
        </is>
      </c>
      <c r="F872" s="30" t="inlineStr">
        <is>
          <t>(16, 19)</t>
        </is>
      </c>
      <c r="G872" s="31" t="n">
        <v>51.6</v>
      </c>
      <c r="H872" s="30" t="inlineStr">
        <is>
          <t>O0816</t>
        </is>
      </c>
    </row>
    <row r="873">
      <c r="A873" s="32" t="n">
        <v>872</v>
      </c>
      <c r="B873" s="31" t="n">
        <v>39848.8</v>
      </c>
      <c r="C873" s="30" t="inlineStr">
        <is>
          <t>AMR2</t>
        </is>
      </c>
      <c r="D873" s="30" t="inlineStr">
        <is>
          <t>AMR3</t>
        </is>
      </c>
      <c r="E873" s="30" t="inlineStr">
        <is>
          <t>정면충돌</t>
        </is>
      </c>
      <c r="F873" s="30" t="inlineStr">
        <is>
          <t>(16, 19)&lt;-&gt;(17, 19)</t>
        </is>
      </c>
      <c r="G873" s="31" t="n">
        <v>33.1</v>
      </c>
      <c r="H873" s="30" t="inlineStr">
        <is>
          <t>O0816</t>
        </is>
      </c>
    </row>
    <row r="874">
      <c r="A874" s="32" t="n">
        <v>873</v>
      </c>
      <c r="B874" s="31" t="n">
        <v>39931.7</v>
      </c>
      <c r="C874" s="30" t="inlineStr">
        <is>
          <t>AMR1</t>
        </is>
      </c>
      <c r="D874" s="30" t="inlineStr">
        <is>
          <t>AMR2</t>
        </is>
      </c>
      <c r="E874" s="30" t="inlineStr">
        <is>
          <t>경로충돌</t>
        </is>
      </c>
      <c r="F874" s="30" t="inlineStr">
        <is>
          <t>(16, 19)</t>
        </is>
      </c>
      <c r="G874" s="31" t="n">
        <v>49.6</v>
      </c>
      <c r="H874" s="30" t="inlineStr">
        <is>
          <t>O0818</t>
        </is>
      </c>
    </row>
    <row r="875">
      <c r="A875" s="32" t="n">
        <v>874</v>
      </c>
      <c r="B875" s="31" t="n">
        <v>39932.3</v>
      </c>
      <c r="C875" s="30" t="inlineStr">
        <is>
          <t>AMR1</t>
        </is>
      </c>
      <c r="D875" s="30" t="inlineStr">
        <is>
          <t>AMR2</t>
        </is>
      </c>
      <c r="E875" s="30" t="inlineStr">
        <is>
          <t>정면충돌</t>
        </is>
      </c>
      <c r="F875" s="30" t="inlineStr">
        <is>
          <t>(16, 19)&lt;-&gt;(17, 19)</t>
        </is>
      </c>
      <c r="G875" s="31" t="n">
        <v>55.9</v>
      </c>
      <c r="H875" s="30" t="inlineStr">
        <is>
          <t>O0818</t>
        </is>
      </c>
    </row>
    <row r="876">
      <c r="A876" s="32" t="n">
        <v>875</v>
      </c>
      <c r="B876" s="31" t="n">
        <v>40009.3</v>
      </c>
      <c r="C876" s="30" t="inlineStr">
        <is>
          <t>AMR1</t>
        </is>
      </c>
      <c r="D876" s="30" t="inlineStr">
        <is>
          <t>AMR3</t>
        </is>
      </c>
      <c r="E876" s="30" t="inlineStr">
        <is>
          <t>경로충돌</t>
        </is>
      </c>
      <c r="F876" s="30" t="inlineStr">
        <is>
          <t>(12, 11)</t>
        </is>
      </c>
      <c r="G876" s="31" t="n">
        <v>28</v>
      </c>
      <c r="H876" s="30" t="inlineStr">
        <is>
          <t>O0819</t>
        </is>
      </c>
    </row>
    <row r="877">
      <c r="A877" s="32" t="n">
        <v>876</v>
      </c>
      <c r="B877" s="31" t="n">
        <v>40010.4</v>
      </c>
      <c r="C877" s="30" t="inlineStr">
        <is>
          <t>AMR1</t>
        </is>
      </c>
      <c r="D877" s="30" t="inlineStr">
        <is>
          <t>AMR3</t>
        </is>
      </c>
      <c r="E877" s="30" t="inlineStr">
        <is>
          <t>정면충돌</t>
        </is>
      </c>
      <c r="F877" s="30" t="inlineStr">
        <is>
          <t>(12, 10)&lt;-&gt;(12, 11)</t>
        </is>
      </c>
      <c r="G877" s="31" t="n">
        <v>24.3</v>
      </c>
      <c r="H877" s="30" t="inlineStr">
        <is>
          <t>O0819</t>
        </is>
      </c>
    </row>
    <row r="878">
      <c r="A878" s="32" t="n">
        <v>877</v>
      </c>
      <c r="B878" s="31" t="n">
        <v>40021.9</v>
      </c>
      <c r="C878" s="30" t="inlineStr">
        <is>
          <t>AMR2</t>
        </is>
      </c>
      <c r="D878" s="30" t="inlineStr">
        <is>
          <t>AMR3</t>
        </is>
      </c>
      <c r="E878" s="30" t="inlineStr">
        <is>
          <t>경로충돌</t>
        </is>
      </c>
      <c r="F878" s="30" t="inlineStr">
        <is>
          <t>(12, 19)</t>
        </is>
      </c>
      <c r="G878" s="31" t="n">
        <v>43.1</v>
      </c>
      <c r="H878" s="30" t="inlineStr">
        <is>
          <t>O0820</t>
        </is>
      </c>
    </row>
    <row r="879">
      <c r="A879" s="32" t="n">
        <v>878</v>
      </c>
      <c r="B879" s="31" t="n">
        <v>40022.1</v>
      </c>
      <c r="C879" s="30" t="inlineStr">
        <is>
          <t>AMR2</t>
        </is>
      </c>
      <c r="D879" s="30" t="inlineStr">
        <is>
          <t>AMR3</t>
        </is>
      </c>
      <c r="E879" s="30" t="inlineStr">
        <is>
          <t>정면충돌</t>
        </is>
      </c>
      <c r="F879" s="30" t="inlineStr">
        <is>
          <t>(11, 19)&lt;-&gt;(12, 19)</t>
        </is>
      </c>
      <c r="G879" s="31" t="n">
        <v>53.9</v>
      </c>
      <c r="H879" s="30" t="inlineStr">
        <is>
          <t>O0820</t>
        </is>
      </c>
    </row>
    <row r="880">
      <c r="A880" s="32" t="n">
        <v>879</v>
      </c>
      <c r="B880" s="31" t="n">
        <v>40073.9</v>
      </c>
      <c r="C880" s="30" t="inlineStr">
        <is>
          <t>AMR2</t>
        </is>
      </c>
      <c r="D880" s="30" t="inlineStr">
        <is>
          <t>AMR3</t>
        </is>
      </c>
      <c r="E880" s="30" t="inlineStr">
        <is>
          <t>경로충돌</t>
        </is>
      </c>
      <c r="F880" s="30" t="inlineStr">
        <is>
          <t>(12, 10)</t>
        </is>
      </c>
      <c r="G880" s="31" t="n">
        <v>37.5</v>
      </c>
      <c r="H880" s="30" t="inlineStr">
        <is>
          <t>O0820</t>
        </is>
      </c>
    </row>
    <row r="881">
      <c r="A881" s="32" t="n">
        <v>880</v>
      </c>
      <c r="B881" s="31" t="n">
        <v>40121.9</v>
      </c>
      <c r="C881" s="30" t="inlineStr">
        <is>
          <t>AMR1</t>
        </is>
      </c>
      <c r="D881" s="30" t="inlineStr">
        <is>
          <t>AMR2</t>
        </is>
      </c>
      <c r="E881" s="30" t="inlineStr">
        <is>
          <t>경로충돌</t>
        </is>
      </c>
      <c r="F881" s="30" t="inlineStr">
        <is>
          <t>(17, 19)</t>
        </is>
      </c>
      <c r="G881" s="31" t="n">
        <v>46.6</v>
      </c>
      <c r="H881" s="30" t="inlineStr">
        <is>
          <t>O0822</t>
        </is>
      </c>
    </row>
    <row r="882">
      <c r="A882" s="32" t="n">
        <v>881</v>
      </c>
      <c r="B882" s="31" t="n">
        <v>40123.5</v>
      </c>
      <c r="C882" s="30" t="inlineStr">
        <is>
          <t>AMR1</t>
        </is>
      </c>
      <c r="D882" s="30" t="inlineStr">
        <is>
          <t>AMR2</t>
        </is>
      </c>
      <c r="E882" s="30" t="inlineStr">
        <is>
          <t>정면충돌</t>
        </is>
      </c>
      <c r="F882" s="30" t="inlineStr">
        <is>
          <t>(16, 19)&lt;-&gt;(17, 19)</t>
        </is>
      </c>
      <c r="G882" s="31" t="n">
        <v>38.3</v>
      </c>
      <c r="H882" s="30" t="inlineStr">
        <is>
          <t>O0822</t>
        </is>
      </c>
    </row>
    <row r="883">
      <c r="A883" s="32" t="n">
        <v>882</v>
      </c>
      <c r="B883" s="31" t="n">
        <v>40174.2</v>
      </c>
      <c r="C883" s="30" t="inlineStr">
        <is>
          <t>AMR2</t>
        </is>
      </c>
      <c r="D883" s="30" t="inlineStr">
        <is>
          <t>AMR3</t>
        </is>
      </c>
      <c r="E883" s="30" t="inlineStr">
        <is>
          <t>경로충돌</t>
        </is>
      </c>
      <c r="F883" s="30" t="inlineStr">
        <is>
          <t>(12, 18)</t>
        </is>
      </c>
      <c r="G883" s="31" t="n">
        <v>43.6</v>
      </c>
      <c r="H883" s="30" t="inlineStr">
        <is>
          <t>O0823</t>
        </is>
      </c>
    </row>
    <row r="884">
      <c r="A884" s="32" t="n">
        <v>883</v>
      </c>
      <c r="B884" s="31" t="n">
        <v>40174.5</v>
      </c>
      <c r="C884" s="30" t="inlineStr">
        <is>
          <t>AMR2</t>
        </is>
      </c>
      <c r="D884" s="30" t="inlineStr">
        <is>
          <t>AMR3</t>
        </is>
      </c>
      <c r="E884" s="30" t="inlineStr">
        <is>
          <t>정면충돌</t>
        </is>
      </c>
      <c r="F884" s="30" t="inlineStr">
        <is>
          <t>(12, 18)&lt;-&gt;(12, 19)</t>
        </is>
      </c>
      <c r="G884" s="31" t="n">
        <v>38.3</v>
      </c>
      <c r="H884" s="30" t="inlineStr">
        <is>
          <t>O0823</t>
        </is>
      </c>
    </row>
    <row r="885">
      <c r="A885" s="32" t="n">
        <v>884</v>
      </c>
      <c r="B885" s="31" t="n">
        <v>40247.2</v>
      </c>
      <c r="C885" s="30" t="inlineStr">
        <is>
          <t>AMR2</t>
        </is>
      </c>
      <c r="D885" s="30" t="inlineStr">
        <is>
          <t>AMR3</t>
        </is>
      </c>
      <c r="E885" s="30" t="inlineStr">
        <is>
          <t>경로충돌</t>
        </is>
      </c>
      <c r="F885" s="30" t="inlineStr">
        <is>
          <t>(18, 17)</t>
        </is>
      </c>
      <c r="G885" s="31" t="n">
        <v>37.1</v>
      </c>
      <c r="H885" s="30" t="inlineStr">
        <is>
          <t>O0825</t>
        </is>
      </c>
    </row>
    <row r="886">
      <c r="A886" s="32" t="n">
        <v>885</v>
      </c>
      <c r="B886" s="31" t="n">
        <v>40554.9</v>
      </c>
      <c r="C886" s="30" t="inlineStr">
        <is>
          <t>AMR1</t>
        </is>
      </c>
      <c r="D886" s="30" t="inlineStr">
        <is>
          <t>AMR3</t>
        </is>
      </c>
      <c r="E886" s="30" t="inlineStr">
        <is>
          <t>경로충돌</t>
        </is>
      </c>
      <c r="F886" s="30" t="inlineStr">
        <is>
          <t>(18, 11)</t>
        </is>
      </c>
      <c r="G886" s="31" t="n">
        <v>34.7</v>
      </c>
      <c r="H886" s="30" t="inlineStr">
        <is>
          <t>O0831</t>
        </is>
      </c>
    </row>
    <row r="887">
      <c r="A887" s="32" t="n">
        <v>886</v>
      </c>
      <c r="B887" s="31" t="n">
        <v>40591.3</v>
      </c>
      <c r="C887" s="30" t="inlineStr">
        <is>
          <t>AMR2</t>
        </is>
      </c>
      <c r="D887" s="30" t="inlineStr">
        <is>
          <t>AMR3</t>
        </is>
      </c>
      <c r="E887" s="30" t="inlineStr">
        <is>
          <t>경로충돌</t>
        </is>
      </c>
      <c r="F887" s="30" t="inlineStr">
        <is>
          <t>(18, 16)</t>
        </is>
      </c>
      <c r="G887" s="31" t="n">
        <v>26.2</v>
      </c>
      <c r="H887" s="30" t="inlineStr">
        <is>
          <t>O0831</t>
        </is>
      </c>
    </row>
    <row r="888">
      <c r="A888" s="32" t="n">
        <v>887</v>
      </c>
      <c r="B888" s="31" t="n">
        <v>40592.3</v>
      </c>
      <c r="C888" s="30" t="inlineStr">
        <is>
          <t>AMR2</t>
        </is>
      </c>
      <c r="D888" s="30" t="inlineStr">
        <is>
          <t>AMR3</t>
        </is>
      </c>
      <c r="E888" s="30" t="inlineStr">
        <is>
          <t>정면충돌</t>
        </is>
      </c>
      <c r="F888" s="30" t="inlineStr">
        <is>
          <t>(18, 16)&lt;-&gt;(18, 17)</t>
        </is>
      </c>
      <c r="G888" s="31" t="n">
        <v>26.1</v>
      </c>
      <c r="H888" s="30" t="inlineStr">
        <is>
          <t>O0831</t>
        </is>
      </c>
    </row>
    <row r="889">
      <c r="A889" s="32" t="n">
        <v>888</v>
      </c>
      <c r="B889" s="31" t="n">
        <v>40680.4</v>
      </c>
      <c r="C889" s="30" t="inlineStr">
        <is>
          <t>AMR1</t>
        </is>
      </c>
      <c r="D889" s="30" t="inlineStr">
        <is>
          <t>AMR2</t>
        </is>
      </c>
      <c r="E889" s="30" t="inlineStr">
        <is>
          <t>경로충돌</t>
        </is>
      </c>
      <c r="F889" s="30" t="inlineStr">
        <is>
          <t>(17, 11)</t>
        </is>
      </c>
      <c r="G889" s="31" t="n">
        <v>29.1</v>
      </c>
      <c r="H889" s="30" t="inlineStr">
        <is>
          <t>O0832 O0833</t>
        </is>
      </c>
    </row>
    <row r="890">
      <c r="A890" s="32" t="n">
        <v>889</v>
      </c>
      <c r="B890" s="31" t="n">
        <v>40946.3</v>
      </c>
      <c r="C890" s="30" t="inlineStr">
        <is>
          <t>AMR1</t>
        </is>
      </c>
      <c r="D890" s="30" t="inlineStr">
        <is>
          <t>AMR2</t>
        </is>
      </c>
      <c r="E890" s="30" t="inlineStr">
        <is>
          <t>경로충돌</t>
        </is>
      </c>
      <c r="F890" s="30" t="inlineStr">
        <is>
          <t>(13, 19)</t>
        </is>
      </c>
      <c r="G890" s="31" t="n">
        <v>36.5</v>
      </c>
      <c r="H890" s="30" t="inlineStr">
        <is>
          <t>O0838</t>
        </is>
      </c>
    </row>
    <row r="891">
      <c r="A891" s="32" t="n">
        <v>890</v>
      </c>
      <c r="B891" s="31" t="n">
        <v>40946.6</v>
      </c>
      <c r="C891" s="30" t="inlineStr">
        <is>
          <t>AMR1</t>
        </is>
      </c>
      <c r="D891" s="30" t="inlineStr">
        <is>
          <t>AMR2</t>
        </is>
      </c>
      <c r="E891" s="30" t="inlineStr">
        <is>
          <t>정면충돌</t>
        </is>
      </c>
      <c r="F891" s="30" t="inlineStr">
        <is>
          <t>(13, 19)&lt;-&gt;(14, 19)</t>
        </is>
      </c>
      <c r="G891" s="31" t="n">
        <v>34.4</v>
      </c>
      <c r="H891" s="30" t="inlineStr">
        <is>
          <t>O0838</t>
        </is>
      </c>
    </row>
    <row r="892">
      <c r="A892" s="32" t="n">
        <v>891</v>
      </c>
      <c r="B892" s="31" t="n">
        <v>41094</v>
      </c>
      <c r="C892" s="30" t="inlineStr">
        <is>
          <t>AMR2</t>
        </is>
      </c>
      <c r="D892" s="30" t="inlineStr">
        <is>
          <t>AMR3</t>
        </is>
      </c>
      <c r="E892" s="30" t="inlineStr">
        <is>
          <t>경로충돌</t>
        </is>
      </c>
      <c r="F892" s="30" t="inlineStr">
        <is>
          <t>(16, 19)</t>
        </is>
      </c>
      <c r="G892" s="31" t="n">
        <v>20.2</v>
      </c>
      <c r="H892" s="30" t="inlineStr">
        <is>
          <t>O0841</t>
        </is>
      </c>
    </row>
    <row r="893">
      <c r="A893" s="32" t="n">
        <v>892</v>
      </c>
      <c r="B893" s="31" t="n">
        <v>41094.3</v>
      </c>
      <c r="C893" s="30" t="inlineStr">
        <is>
          <t>AMR2</t>
        </is>
      </c>
      <c r="D893" s="30" t="inlineStr">
        <is>
          <t>AMR3</t>
        </is>
      </c>
      <c r="E893" s="30" t="inlineStr">
        <is>
          <t>정면충돌</t>
        </is>
      </c>
      <c r="F893" s="30" t="inlineStr">
        <is>
          <t>(16, 19)&lt;-&gt;(17, 19)</t>
        </is>
      </c>
      <c r="G893" s="31" t="n">
        <v>40.8</v>
      </c>
      <c r="H893" s="30" t="inlineStr">
        <is>
          <t>O0841</t>
        </is>
      </c>
    </row>
    <row r="894">
      <c r="A894" s="32" t="n">
        <v>893</v>
      </c>
      <c r="B894" s="31" t="n">
        <v>41098.7</v>
      </c>
      <c r="C894" s="30" t="inlineStr">
        <is>
          <t>AMR1</t>
        </is>
      </c>
      <c r="D894" s="30" t="inlineStr">
        <is>
          <t>AMR2</t>
        </is>
      </c>
      <c r="E894" s="30" t="inlineStr">
        <is>
          <t>경로충돌</t>
        </is>
      </c>
      <c r="F894" s="30" t="inlineStr">
        <is>
          <t>(17, 19)</t>
        </is>
      </c>
      <c r="G894" s="31" t="n">
        <v>21.5</v>
      </c>
      <c r="H894" s="30" t="inlineStr">
        <is>
          <t>O0841</t>
        </is>
      </c>
    </row>
    <row r="895">
      <c r="A895" s="32" t="n">
        <v>894</v>
      </c>
      <c r="B895" s="31" t="n">
        <v>41104</v>
      </c>
      <c r="C895" s="30" t="inlineStr">
        <is>
          <t>AMR1</t>
        </is>
      </c>
      <c r="D895" s="30" t="inlineStr">
        <is>
          <t>AMR3</t>
        </is>
      </c>
      <c r="E895" s="30" t="inlineStr">
        <is>
          <t>경로충돌</t>
        </is>
      </c>
      <c r="F895" s="30" t="inlineStr">
        <is>
          <t>(16, 19)</t>
        </is>
      </c>
      <c r="G895" s="31" t="n">
        <v>57.8</v>
      </c>
      <c r="H895" s="30" t="inlineStr">
        <is>
          <t>O0842</t>
        </is>
      </c>
    </row>
    <row r="896">
      <c r="A896" s="32" t="n">
        <v>895</v>
      </c>
      <c r="B896" s="31" t="n">
        <v>41387.3</v>
      </c>
      <c r="C896" s="30" t="inlineStr">
        <is>
          <t>AMR1</t>
        </is>
      </c>
      <c r="D896" s="30" t="inlineStr">
        <is>
          <t>AMR3</t>
        </is>
      </c>
      <c r="E896" s="30" t="inlineStr">
        <is>
          <t>경로충돌</t>
        </is>
      </c>
      <c r="F896" s="30" t="inlineStr">
        <is>
          <t>(18, 19)</t>
        </is>
      </c>
      <c r="G896" s="31" t="n">
        <v>28.3</v>
      </c>
      <c r="H896" s="30" t="inlineStr">
        <is>
          <t>O0847</t>
        </is>
      </c>
    </row>
    <row r="897">
      <c r="A897" s="32" t="n">
        <v>896</v>
      </c>
      <c r="B897" s="31" t="n">
        <v>41387.9</v>
      </c>
      <c r="C897" s="30" t="inlineStr">
        <is>
          <t>AMR1</t>
        </is>
      </c>
      <c r="D897" s="30" t="inlineStr">
        <is>
          <t>AMR3</t>
        </is>
      </c>
      <c r="E897" s="30" t="inlineStr">
        <is>
          <t>정면충돌</t>
        </is>
      </c>
      <c r="F897" s="30" t="inlineStr">
        <is>
          <t>(17, 19)&lt;-&gt;(18, 19)</t>
        </is>
      </c>
      <c r="G897" s="31" t="n">
        <v>30.6</v>
      </c>
      <c r="H897" s="30" t="inlineStr">
        <is>
          <t>O0847</t>
        </is>
      </c>
    </row>
    <row r="898">
      <c r="A898" s="32" t="n">
        <v>897</v>
      </c>
      <c r="B898" s="31" t="n">
        <v>41638.6</v>
      </c>
      <c r="C898" s="30" t="inlineStr">
        <is>
          <t>AMR2</t>
        </is>
      </c>
      <c r="D898" s="30" t="inlineStr">
        <is>
          <t>AMR3</t>
        </is>
      </c>
      <c r="E898" s="30" t="inlineStr">
        <is>
          <t>경로충돌</t>
        </is>
      </c>
      <c r="F898" s="30" t="inlineStr">
        <is>
          <t>(16, 11)</t>
        </is>
      </c>
      <c r="G898" s="31" t="n">
        <v>52.7</v>
      </c>
      <c r="H898" s="30" t="inlineStr">
        <is>
          <t>O0854</t>
        </is>
      </c>
    </row>
    <row r="899">
      <c r="A899" s="32" t="n">
        <v>898</v>
      </c>
      <c r="B899" s="31" t="n">
        <v>41640.1</v>
      </c>
      <c r="C899" s="30" t="inlineStr">
        <is>
          <t>AMR2</t>
        </is>
      </c>
      <c r="D899" s="30" t="inlineStr">
        <is>
          <t>AMR3</t>
        </is>
      </c>
      <c r="E899" s="30" t="inlineStr">
        <is>
          <t>정면충돌</t>
        </is>
      </c>
      <c r="F899" s="30" t="inlineStr">
        <is>
          <t>(16, 11)&lt;-&gt;(17, 11)</t>
        </is>
      </c>
      <c r="G899" s="31" t="n">
        <v>32.9</v>
      </c>
      <c r="H899" s="30" t="inlineStr">
        <is>
          <t>O0854</t>
        </is>
      </c>
    </row>
    <row r="900">
      <c r="A900" s="32" t="n">
        <v>899</v>
      </c>
      <c r="B900" s="31" t="n">
        <v>41863.3</v>
      </c>
      <c r="C900" s="30" t="inlineStr">
        <is>
          <t>AMR2</t>
        </is>
      </c>
      <c r="D900" s="30" t="inlineStr">
        <is>
          <t>AMR3</t>
        </is>
      </c>
      <c r="E900" s="30" t="inlineStr">
        <is>
          <t>경로충돌</t>
        </is>
      </c>
      <c r="F900" s="30" t="inlineStr">
        <is>
          <t>(18, 11)</t>
        </is>
      </c>
      <c r="G900" s="31" t="n">
        <v>31.6</v>
      </c>
      <c r="H900" s="30" t="inlineStr"/>
    </row>
    <row r="901">
      <c r="A901" s="32" t="n">
        <v>900</v>
      </c>
      <c r="B901" s="31" t="n">
        <v>41875.5</v>
      </c>
      <c r="C901" s="30" t="inlineStr">
        <is>
          <t>AMR2</t>
        </is>
      </c>
      <c r="D901" s="30" t="inlineStr">
        <is>
          <t>AMR3</t>
        </is>
      </c>
      <c r="E901" s="30" t="inlineStr">
        <is>
          <t>경로충돌</t>
        </is>
      </c>
      <c r="F901" s="30" t="inlineStr">
        <is>
          <t>(17, 19)</t>
        </is>
      </c>
      <c r="G901" s="31" t="n">
        <v>39.1</v>
      </c>
      <c r="H901" s="30" t="inlineStr">
        <is>
          <t>O0858</t>
        </is>
      </c>
    </row>
    <row r="902">
      <c r="A902" s="32" t="n">
        <v>901</v>
      </c>
      <c r="B902" s="31" t="n">
        <v>41875.9</v>
      </c>
      <c r="C902" s="30" t="inlineStr">
        <is>
          <t>AMR2</t>
        </is>
      </c>
      <c r="D902" s="30" t="inlineStr">
        <is>
          <t>AMR3</t>
        </is>
      </c>
      <c r="E902" s="30" t="inlineStr">
        <is>
          <t>정면충돌</t>
        </is>
      </c>
      <c r="F902" s="30" t="inlineStr">
        <is>
          <t>(16, 19)&lt;-&gt;(17, 19)</t>
        </is>
      </c>
      <c r="G902" s="31" t="n">
        <v>39.6</v>
      </c>
      <c r="H902" s="30" t="inlineStr">
        <is>
          <t>O0858</t>
        </is>
      </c>
    </row>
    <row r="903">
      <c r="A903" s="32" t="n">
        <v>902</v>
      </c>
      <c r="B903" s="31" t="n">
        <v>41887.7</v>
      </c>
      <c r="C903" s="30" t="inlineStr">
        <is>
          <t>AMR1</t>
        </is>
      </c>
      <c r="D903" s="30" t="inlineStr">
        <is>
          <t>AMR3</t>
        </is>
      </c>
      <c r="E903" s="30" t="inlineStr">
        <is>
          <t>정면충돌</t>
        </is>
      </c>
      <c r="F903" s="30" t="inlineStr">
        <is>
          <t>(18, 12)&lt;-&gt;(18, 13)</t>
        </is>
      </c>
      <c r="G903" s="31" t="n">
        <v>56.3</v>
      </c>
      <c r="H903" s="30" t="inlineStr">
        <is>
          <t>O0858</t>
        </is>
      </c>
    </row>
    <row r="904">
      <c r="A904" s="32" t="n">
        <v>903</v>
      </c>
      <c r="B904" s="31" t="n">
        <v>41961.4</v>
      </c>
      <c r="C904" s="30" t="inlineStr">
        <is>
          <t>AMR1</t>
        </is>
      </c>
      <c r="D904" s="30" t="inlineStr">
        <is>
          <t>AMR3</t>
        </is>
      </c>
      <c r="E904" s="30" t="inlineStr">
        <is>
          <t>경로충돌</t>
        </is>
      </c>
      <c r="F904" s="30" t="inlineStr">
        <is>
          <t>(14, 19)</t>
        </is>
      </c>
      <c r="G904" s="31" t="n">
        <v>27.6</v>
      </c>
      <c r="H904" s="30" t="inlineStr">
        <is>
          <t>O0860</t>
        </is>
      </c>
    </row>
    <row r="905">
      <c r="A905" s="32" t="n">
        <v>904</v>
      </c>
      <c r="B905" s="31" t="n">
        <v>41961.9</v>
      </c>
      <c r="C905" s="30" t="inlineStr">
        <is>
          <t>AMR1</t>
        </is>
      </c>
      <c r="D905" s="30" t="inlineStr">
        <is>
          <t>AMR3</t>
        </is>
      </c>
      <c r="E905" s="30" t="inlineStr">
        <is>
          <t>정면충돌</t>
        </is>
      </c>
      <c r="F905" s="30" t="inlineStr">
        <is>
          <t>(13, 19)&lt;-&gt;(14, 19)</t>
        </is>
      </c>
      <c r="G905" s="31" t="n">
        <v>45.6</v>
      </c>
      <c r="H905" s="30" t="inlineStr">
        <is>
          <t>O0860</t>
        </is>
      </c>
    </row>
    <row r="906">
      <c r="A906" s="32" t="n">
        <v>905</v>
      </c>
      <c r="B906" s="31" t="n">
        <v>42121.7</v>
      </c>
      <c r="C906" s="30" t="inlineStr">
        <is>
          <t>AMR2</t>
        </is>
      </c>
      <c r="D906" s="30" t="inlineStr">
        <is>
          <t>AMR3</t>
        </is>
      </c>
      <c r="E906" s="30" t="inlineStr">
        <is>
          <t>경로충돌</t>
        </is>
      </c>
      <c r="F906" s="30" t="inlineStr">
        <is>
          <t>(17, 19)</t>
        </is>
      </c>
      <c r="G906" s="31" t="n">
        <v>22</v>
      </c>
      <c r="H906" s="30" t="inlineStr">
        <is>
          <t>O0863</t>
        </is>
      </c>
    </row>
    <row r="907">
      <c r="A907" s="32" t="n">
        <v>906</v>
      </c>
      <c r="B907" s="31" t="n">
        <v>42122.2</v>
      </c>
      <c r="C907" s="30" t="inlineStr">
        <is>
          <t>AMR2</t>
        </is>
      </c>
      <c r="D907" s="30" t="inlineStr">
        <is>
          <t>AMR3</t>
        </is>
      </c>
      <c r="E907" s="30" t="inlineStr">
        <is>
          <t>정면충돌</t>
        </is>
      </c>
      <c r="F907" s="30" t="inlineStr">
        <is>
          <t>(16, 19)&lt;-&gt;(17, 19)</t>
        </is>
      </c>
      <c r="G907" s="31" t="n">
        <v>39.4</v>
      </c>
      <c r="H907" s="30" t="inlineStr">
        <is>
          <t>O0863</t>
        </is>
      </c>
    </row>
    <row r="908">
      <c r="A908" s="32" t="n">
        <v>907</v>
      </c>
      <c r="B908" s="31" t="n">
        <v>42211</v>
      </c>
      <c r="C908" s="30" t="inlineStr">
        <is>
          <t>AMR1</t>
        </is>
      </c>
      <c r="D908" s="30" t="inlineStr">
        <is>
          <t>AMR3</t>
        </is>
      </c>
      <c r="E908" s="30" t="inlineStr">
        <is>
          <t>경로충돌</t>
        </is>
      </c>
      <c r="F908" s="30" t="inlineStr">
        <is>
          <t>(16, 19)</t>
        </is>
      </c>
      <c r="G908" s="31" t="n">
        <v>50.2</v>
      </c>
      <c r="H908" s="30" t="inlineStr">
        <is>
          <t>O0865</t>
        </is>
      </c>
    </row>
    <row r="909">
      <c r="A909" s="32" t="n">
        <v>908</v>
      </c>
      <c r="B909" s="31" t="n">
        <v>42211.7</v>
      </c>
      <c r="C909" s="30" t="inlineStr">
        <is>
          <t>AMR1</t>
        </is>
      </c>
      <c r="D909" s="30" t="inlineStr">
        <is>
          <t>AMR3</t>
        </is>
      </c>
      <c r="E909" s="30" t="inlineStr">
        <is>
          <t>정면충돌</t>
        </is>
      </c>
      <c r="F909" s="30" t="inlineStr">
        <is>
          <t>(16, 19)&lt;-&gt;(17, 19)</t>
        </is>
      </c>
      <c r="G909" s="31" t="n">
        <v>43.6</v>
      </c>
      <c r="H909" s="30" t="inlineStr">
        <is>
          <t>O0865</t>
        </is>
      </c>
    </row>
    <row r="910">
      <c r="A910" s="32" t="n">
        <v>909</v>
      </c>
      <c r="B910" s="31" t="n">
        <v>42297.6</v>
      </c>
      <c r="C910" s="30" t="inlineStr">
        <is>
          <t>AMR1</t>
        </is>
      </c>
      <c r="D910" s="30" t="inlineStr">
        <is>
          <t>AMR2</t>
        </is>
      </c>
      <c r="E910" s="30" t="inlineStr">
        <is>
          <t>경로충돌</t>
        </is>
      </c>
      <c r="F910" s="30" t="inlineStr">
        <is>
          <t>(18, 15)</t>
        </is>
      </c>
      <c r="G910" s="31" t="n">
        <v>21</v>
      </c>
      <c r="H910" s="30" t="inlineStr">
        <is>
          <t>O0867</t>
        </is>
      </c>
    </row>
    <row r="911">
      <c r="A911" s="32" t="n">
        <v>910</v>
      </c>
      <c r="B911" s="31" t="n">
        <v>42297.8</v>
      </c>
      <c r="C911" s="30" t="inlineStr">
        <is>
          <t>AMR1</t>
        </is>
      </c>
      <c r="D911" s="30" t="inlineStr">
        <is>
          <t>AMR2</t>
        </is>
      </c>
      <c r="E911" s="30" t="inlineStr">
        <is>
          <t>정면충돌</t>
        </is>
      </c>
      <c r="F911" s="30" t="inlineStr">
        <is>
          <t>(18, 15)&lt;-&gt;(18, 16)</t>
        </is>
      </c>
      <c r="G911" s="31" t="n">
        <v>29.9</v>
      </c>
      <c r="H911" s="30" t="inlineStr">
        <is>
          <t>O0867</t>
        </is>
      </c>
    </row>
    <row r="912">
      <c r="A912" s="32" t="n">
        <v>911</v>
      </c>
      <c r="B912" s="31" t="n">
        <v>42345.9</v>
      </c>
      <c r="C912" s="30" t="inlineStr">
        <is>
          <t>AMR1</t>
        </is>
      </c>
      <c r="D912" s="30" t="inlineStr">
        <is>
          <t>AMR2</t>
        </is>
      </c>
      <c r="E912" s="30" t="inlineStr">
        <is>
          <t>경로충돌</t>
        </is>
      </c>
      <c r="F912" s="30" t="inlineStr">
        <is>
          <t>(20, 11)</t>
        </is>
      </c>
      <c r="G912" s="31" t="n">
        <v>34.2</v>
      </c>
      <c r="H912" s="30" t="inlineStr">
        <is>
          <t>O0867</t>
        </is>
      </c>
    </row>
    <row r="913">
      <c r="A913" s="32" t="n">
        <v>912</v>
      </c>
      <c r="B913" s="31" t="n">
        <v>42347.4</v>
      </c>
      <c r="C913" s="30" t="inlineStr">
        <is>
          <t>AMR1</t>
        </is>
      </c>
      <c r="D913" s="30" t="inlineStr">
        <is>
          <t>AMR2</t>
        </is>
      </c>
      <c r="E913" s="30" t="inlineStr">
        <is>
          <t>정면충돌</t>
        </is>
      </c>
      <c r="F913" s="30" t="inlineStr">
        <is>
          <t>(19, 11)&lt;-&gt;(20, 11)</t>
        </is>
      </c>
      <c r="G913" s="31" t="n">
        <v>59.4</v>
      </c>
      <c r="H913" s="30" t="inlineStr">
        <is>
          <t>O0867</t>
        </is>
      </c>
    </row>
    <row r="914">
      <c r="A914" s="32" t="n">
        <v>913</v>
      </c>
      <c r="B914" s="31" t="n">
        <v>42370.1</v>
      </c>
      <c r="C914" s="30" t="inlineStr">
        <is>
          <t>AMR2</t>
        </is>
      </c>
      <c r="D914" s="30" t="inlineStr">
        <is>
          <t>AMR3</t>
        </is>
      </c>
      <c r="E914" s="30" t="inlineStr">
        <is>
          <t>정면충돌</t>
        </is>
      </c>
      <c r="F914" s="30" t="inlineStr">
        <is>
          <t>(19, 11)&lt;-&gt;(20, 11)</t>
        </is>
      </c>
      <c r="G914" s="31" t="n">
        <v>52.8</v>
      </c>
      <c r="H914" s="30" t="inlineStr">
        <is>
          <t>O0867 O0868</t>
        </is>
      </c>
    </row>
    <row r="915">
      <c r="A915" s="32" t="n">
        <v>914</v>
      </c>
      <c r="B915" s="31" t="n">
        <v>42628.1</v>
      </c>
      <c r="C915" s="30" t="inlineStr">
        <is>
          <t>AMR2</t>
        </is>
      </c>
      <c r="D915" s="30" t="inlineStr">
        <is>
          <t>AMR3</t>
        </is>
      </c>
      <c r="E915" s="30" t="inlineStr">
        <is>
          <t>경로충돌</t>
        </is>
      </c>
      <c r="F915" s="30" t="inlineStr">
        <is>
          <t>(12, 11)</t>
        </is>
      </c>
      <c r="G915" s="31" t="n">
        <v>54.3</v>
      </c>
      <c r="H915" s="30" t="inlineStr">
        <is>
          <t>O0873</t>
        </is>
      </c>
    </row>
    <row r="916">
      <c r="A916" s="32" t="n">
        <v>915</v>
      </c>
      <c r="B916" s="31" t="n">
        <v>42642.9</v>
      </c>
      <c r="C916" s="30" t="inlineStr">
        <is>
          <t>AMR1</t>
        </is>
      </c>
      <c r="D916" s="30" t="inlineStr">
        <is>
          <t>AMR2</t>
        </is>
      </c>
      <c r="E916" s="30" t="inlineStr">
        <is>
          <t>정면충돌</t>
        </is>
      </c>
      <c r="F916" s="30" t="inlineStr">
        <is>
          <t>(14, 19)&lt;-&gt;(15, 19)</t>
        </is>
      </c>
      <c r="G916" s="31" t="n">
        <v>30.8</v>
      </c>
      <c r="H916" s="30" t="inlineStr">
        <is>
          <t>O0874</t>
        </is>
      </c>
    </row>
    <row r="917">
      <c r="A917" s="32" t="n">
        <v>916</v>
      </c>
      <c r="B917" s="31" t="n">
        <v>42787.3</v>
      </c>
      <c r="C917" s="30" t="inlineStr">
        <is>
          <t>AMR1</t>
        </is>
      </c>
      <c r="D917" s="30" t="inlineStr">
        <is>
          <t>AMR3</t>
        </is>
      </c>
      <c r="E917" s="30" t="inlineStr">
        <is>
          <t>정면충돌</t>
        </is>
      </c>
      <c r="F917" s="30" t="inlineStr">
        <is>
          <t>(16, 19)&lt;-&gt;(17, 19)</t>
        </is>
      </c>
      <c r="G917" s="31" t="n">
        <v>40</v>
      </c>
      <c r="H917" s="30" t="inlineStr">
        <is>
          <t>O0877</t>
        </is>
      </c>
    </row>
    <row r="918">
      <c r="A918" s="32" t="n">
        <v>917</v>
      </c>
      <c r="B918" s="31" t="n">
        <v>42819.5</v>
      </c>
      <c r="C918" s="30" t="inlineStr">
        <is>
          <t>AMR2</t>
        </is>
      </c>
      <c r="D918" s="30" t="inlineStr">
        <is>
          <t>AMR3</t>
        </is>
      </c>
      <c r="E918" s="30" t="inlineStr">
        <is>
          <t>경로충돌</t>
        </is>
      </c>
      <c r="F918" s="30" t="inlineStr">
        <is>
          <t>(11, 11)</t>
        </is>
      </c>
      <c r="G918" s="31" t="n">
        <v>31.9</v>
      </c>
      <c r="H918" s="30" t="inlineStr">
        <is>
          <t>O0876 O0878</t>
        </is>
      </c>
    </row>
    <row r="919">
      <c r="A919" s="32" t="n">
        <v>918</v>
      </c>
      <c r="B919" s="31" t="n">
        <v>42927</v>
      </c>
      <c r="C919" s="30" t="inlineStr">
        <is>
          <t>AMR1</t>
        </is>
      </c>
      <c r="D919" s="30" t="inlineStr">
        <is>
          <t>AMR3</t>
        </is>
      </c>
      <c r="E919" s="30" t="inlineStr">
        <is>
          <t>경로충돌</t>
        </is>
      </c>
      <c r="F919" s="30" t="inlineStr">
        <is>
          <t>(18, 13)</t>
        </is>
      </c>
      <c r="G919" s="31" t="n">
        <v>40.8</v>
      </c>
      <c r="H919" s="30" t="inlineStr">
        <is>
          <t>O0879</t>
        </is>
      </c>
    </row>
    <row r="920">
      <c r="A920" s="32" t="n">
        <v>919</v>
      </c>
      <c r="B920" s="31" t="n">
        <v>42927.4</v>
      </c>
      <c r="C920" s="30" t="inlineStr">
        <is>
          <t>AMR1</t>
        </is>
      </c>
      <c r="D920" s="30" t="inlineStr">
        <is>
          <t>AMR3</t>
        </is>
      </c>
      <c r="E920" s="30" t="inlineStr">
        <is>
          <t>정면충돌</t>
        </is>
      </c>
      <c r="F920" s="30" t="inlineStr">
        <is>
          <t>(18, 12)&lt;-&gt;(18, 13)</t>
        </is>
      </c>
      <c r="G920" s="31" t="n">
        <v>47.6</v>
      </c>
      <c r="H920" s="30" t="inlineStr">
        <is>
          <t>O0879</t>
        </is>
      </c>
    </row>
    <row r="921">
      <c r="A921" s="32" t="n">
        <v>920</v>
      </c>
      <c r="B921" s="31" t="n">
        <v>42998.5</v>
      </c>
      <c r="C921" s="30" t="inlineStr">
        <is>
          <t>AMR1</t>
        </is>
      </c>
      <c r="D921" s="30" t="inlineStr">
        <is>
          <t>AMR3</t>
        </is>
      </c>
      <c r="E921" s="30" t="inlineStr">
        <is>
          <t>경로충돌</t>
        </is>
      </c>
      <c r="F921" s="30" t="inlineStr">
        <is>
          <t>(18, 17)</t>
        </is>
      </c>
      <c r="G921" s="31" t="n">
        <v>23.2</v>
      </c>
      <c r="H921" s="30" t="inlineStr">
        <is>
          <t>O0881</t>
        </is>
      </c>
    </row>
    <row r="922">
      <c r="A922" s="32" t="n">
        <v>921</v>
      </c>
      <c r="B922" s="31" t="n">
        <v>42999.2</v>
      </c>
      <c r="C922" s="30" t="inlineStr">
        <is>
          <t>AMR1</t>
        </is>
      </c>
      <c r="D922" s="30" t="inlineStr">
        <is>
          <t>AMR3</t>
        </is>
      </c>
      <c r="E922" s="30" t="inlineStr">
        <is>
          <t>정면충돌</t>
        </is>
      </c>
      <c r="F922" s="30" t="inlineStr">
        <is>
          <t>(18, 17)&lt;-&gt;(18, 18)</t>
        </is>
      </c>
      <c r="G922" s="31" t="n">
        <v>59.4</v>
      </c>
      <c r="H922" s="30" t="inlineStr">
        <is>
          <t>O0881</t>
        </is>
      </c>
    </row>
    <row r="923">
      <c r="A923" s="32" t="n">
        <v>922</v>
      </c>
      <c r="B923" s="31" t="n">
        <v>43075</v>
      </c>
      <c r="C923" s="30" t="inlineStr">
        <is>
          <t>AMR2</t>
        </is>
      </c>
      <c r="D923" s="30" t="inlineStr">
        <is>
          <t>AMR3</t>
        </is>
      </c>
      <c r="E923" s="30" t="inlineStr">
        <is>
          <t>경로충돌</t>
        </is>
      </c>
      <c r="F923" s="30" t="inlineStr">
        <is>
          <t>(14, 19)</t>
        </is>
      </c>
      <c r="G923" s="31" t="n">
        <v>39.3</v>
      </c>
      <c r="H923" s="30" t="inlineStr">
        <is>
          <t>O0883</t>
        </is>
      </c>
    </row>
    <row r="924">
      <c r="A924" s="32" t="n">
        <v>923</v>
      </c>
      <c r="B924" s="31" t="n">
        <v>43075.4</v>
      </c>
      <c r="C924" s="30" t="inlineStr">
        <is>
          <t>AMR2</t>
        </is>
      </c>
      <c r="D924" s="30" t="inlineStr">
        <is>
          <t>AMR3</t>
        </is>
      </c>
      <c r="E924" s="30" t="inlineStr">
        <is>
          <t>정면충돌</t>
        </is>
      </c>
      <c r="F924" s="30" t="inlineStr">
        <is>
          <t>(13, 19)&lt;-&gt;(14, 19)</t>
        </is>
      </c>
      <c r="G924" s="31" t="n">
        <v>54.5</v>
      </c>
      <c r="H924" s="30" t="inlineStr">
        <is>
          <t>O0883</t>
        </is>
      </c>
    </row>
    <row r="925">
      <c r="A925" s="32" t="n">
        <v>924</v>
      </c>
      <c r="B925" s="31" t="n">
        <v>43140.9</v>
      </c>
      <c r="C925" s="30" t="inlineStr">
        <is>
          <t>AMR1</t>
        </is>
      </c>
      <c r="D925" s="30" t="inlineStr">
        <is>
          <t>AMR2</t>
        </is>
      </c>
      <c r="E925" s="30" t="inlineStr">
        <is>
          <t>경로충돌</t>
        </is>
      </c>
      <c r="F925" s="30" t="inlineStr">
        <is>
          <t>(18, 18)</t>
        </is>
      </c>
      <c r="G925" s="31" t="n">
        <v>46.4</v>
      </c>
      <c r="H925" s="30" t="inlineStr">
        <is>
          <t>O0884</t>
        </is>
      </c>
    </row>
    <row r="926">
      <c r="A926" s="32" t="n">
        <v>925</v>
      </c>
      <c r="B926" s="31" t="n">
        <v>43141.5</v>
      </c>
      <c r="C926" s="30" t="inlineStr">
        <is>
          <t>AMR1</t>
        </is>
      </c>
      <c r="D926" s="30" t="inlineStr">
        <is>
          <t>AMR2</t>
        </is>
      </c>
      <c r="E926" s="30" t="inlineStr">
        <is>
          <t>정면충돌</t>
        </is>
      </c>
      <c r="F926" s="30" t="inlineStr">
        <is>
          <t>(18, 17)&lt;-&gt;(18, 18)</t>
        </is>
      </c>
      <c r="G926" s="31" t="n">
        <v>32.2</v>
      </c>
      <c r="H926" s="30" t="inlineStr">
        <is>
          <t>O0884</t>
        </is>
      </c>
    </row>
    <row r="927">
      <c r="A927" s="32" t="n">
        <v>926</v>
      </c>
      <c r="B927" s="31" t="n">
        <v>43151.3</v>
      </c>
      <c r="C927" s="30" t="inlineStr">
        <is>
          <t>AMR2</t>
        </is>
      </c>
      <c r="D927" s="30" t="inlineStr">
        <is>
          <t>AMR3</t>
        </is>
      </c>
      <c r="E927" s="30" t="inlineStr">
        <is>
          <t>경로충돌</t>
        </is>
      </c>
      <c r="F927" s="30" t="inlineStr">
        <is>
          <t>(18, 11)</t>
        </is>
      </c>
      <c r="G927" s="31" t="n">
        <v>39</v>
      </c>
      <c r="H927" s="30" t="inlineStr">
        <is>
          <t>O0884</t>
        </is>
      </c>
    </row>
    <row r="928">
      <c r="A928" s="32" t="n">
        <v>927</v>
      </c>
      <c r="B928" s="31" t="n">
        <v>43151.6</v>
      </c>
      <c r="C928" s="30" t="inlineStr">
        <is>
          <t>AMR2</t>
        </is>
      </c>
      <c r="D928" s="30" t="inlineStr">
        <is>
          <t>AMR3</t>
        </is>
      </c>
      <c r="E928" s="30" t="inlineStr">
        <is>
          <t>정면충돌</t>
        </is>
      </c>
      <c r="F928" s="30" t="inlineStr">
        <is>
          <t>(18, 11)&lt;-&gt;(18, 12)</t>
        </is>
      </c>
      <c r="G928" s="31" t="n">
        <v>37.3</v>
      </c>
      <c r="H928" s="30" t="inlineStr">
        <is>
          <t>O0884</t>
        </is>
      </c>
    </row>
    <row r="929">
      <c r="A929" s="32" t="n">
        <v>928</v>
      </c>
      <c r="B929" s="31" t="n">
        <v>43232.3</v>
      </c>
      <c r="C929" s="30" t="inlineStr">
        <is>
          <t>AMR2</t>
        </is>
      </c>
      <c r="D929" s="30" t="inlineStr">
        <is>
          <t>AMR3</t>
        </is>
      </c>
      <c r="E929" s="30" t="inlineStr">
        <is>
          <t>경로충돌</t>
        </is>
      </c>
      <c r="F929" s="30" t="inlineStr">
        <is>
          <t>(17, 19)</t>
        </is>
      </c>
      <c r="G929" s="31" t="n">
        <v>21.5</v>
      </c>
      <c r="H929" s="30" t="inlineStr">
        <is>
          <t>O0886</t>
        </is>
      </c>
    </row>
    <row r="930">
      <c r="A930" s="32" t="n">
        <v>929</v>
      </c>
      <c r="B930" s="31" t="n">
        <v>43232.5</v>
      </c>
      <c r="C930" s="30" t="inlineStr">
        <is>
          <t>AMR2</t>
        </is>
      </c>
      <c r="D930" s="30" t="inlineStr">
        <is>
          <t>AMR3</t>
        </is>
      </c>
      <c r="E930" s="30" t="inlineStr">
        <is>
          <t>정면충돌</t>
        </is>
      </c>
      <c r="F930" s="30" t="inlineStr">
        <is>
          <t>(17, 19)&lt;-&gt;(18, 19)</t>
        </is>
      </c>
      <c r="G930" s="31" t="n">
        <v>26.4</v>
      </c>
      <c r="H930" s="30" t="inlineStr">
        <is>
          <t>O0886</t>
        </is>
      </c>
    </row>
    <row r="931">
      <c r="A931" s="32" t="n">
        <v>930</v>
      </c>
      <c r="B931" s="31" t="n">
        <v>43414.6</v>
      </c>
      <c r="C931" s="30" t="inlineStr">
        <is>
          <t>AMR1</t>
        </is>
      </c>
      <c r="D931" s="30" t="inlineStr">
        <is>
          <t>AMR3</t>
        </is>
      </c>
      <c r="E931" s="30" t="inlineStr">
        <is>
          <t>경로충돌</t>
        </is>
      </c>
      <c r="F931" s="30" t="inlineStr">
        <is>
          <t>(17, 17)</t>
        </is>
      </c>
      <c r="G931" s="31" t="n">
        <v>32.1</v>
      </c>
      <c r="H931" s="30" t="inlineStr">
        <is>
          <t>O0891</t>
        </is>
      </c>
    </row>
    <row r="932">
      <c r="A932" s="32" t="n">
        <v>931</v>
      </c>
      <c r="B932" s="31" t="n">
        <v>43460.4</v>
      </c>
      <c r="C932" s="30" t="inlineStr">
        <is>
          <t>AMR2</t>
        </is>
      </c>
      <c r="D932" s="30" t="inlineStr">
        <is>
          <t>AMR3</t>
        </is>
      </c>
      <c r="E932" s="30" t="inlineStr">
        <is>
          <t>경로충돌</t>
        </is>
      </c>
      <c r="F932" s="30" t="inlineStr">
        <is>
          <t>(17, 19)</t>
        </is>
      </c>
      <c r="G932" s="31" t="n">
        <v>45.6</v>
      </c>
      <c r="H932" s="30" t="inlineStr">
        <is>
          <t>O0891</t>
        </is>
      </c>
    </row>
    <row r="933">
      <c r="A933" s="32" t="n">
        <v>932</v>
      </c>
      <c r="B933" s="31" t="n">
        <v>43461.1</v>
      </c>
      <c r="C933" s="30" t="inlineStr">
        <is>
          <t>AMR2</t>
        </is>
      </c>
      <c r="D933" s="30" t="inlineStr">
        <is>
          <t>AMR3</t>
        </is>
      </c>
      <c r="E933" s="30" t="inlineStr">
        <is>
          <t>정면충돌</t>
        </is>
      </c>
      <c r="F933" s="30" t="inlineStr">
        <is>
          <t>(16, 19)&lt;-&gt;(17, 19)</t>
        </is>
      </c>
      <c r="G933" s="31" t="n">
        <v>40.1</v>
      </c>
      <c r="H933" s="30" t="inlineStr">
        <is>
          <t>O0891</t>
        </is>
      </c>
    </row>
    <row r="934">
      <c r="A934" s="32" t="n">
        <v>933</v>
      </c>
      <c r="B934" s="31" t="n">
        <v>43610.8</v>
      </c>
      <c r="C934" s="30" t="inlineStr">
        <is>
          <t>AMR1</t>
        </is>
      </c>
      <c r="D934" s="30" t="inlineStr">
        <is>
          <t>AMR3</t>
        </is>
      </c>
      <c r="E934" s="30" t="inlineStr">
        <is>
          <t>경로충돌</t>
        </is>
      </c>
      <c r="F934" s="30" t="inlineStr">
        <is>
          <t>(17, 19)</t>
        </is>
      </c>
      <c r="G934" s="31" t="n">
        <v>27.2</v>
      </c>
      <c r="H934" s="30" t="inlineStr">
        <is>
          <t>O0894</t>
        </is>
      </c>
    </row>
    <row r="935">
      <c r="A935" s="32" t="n">
        <v>934</v>
      </c>
      <c r="B935" s="31" t="n">
        <v>43611.1</v>
      </c>
      <c r="C935" s="30" t="inlineStr">
        <is>
          <t>AMR1</t>
        </is>
      </c>
      <c r="D935" s="30" t="inlineStr">
        <is>
          <t>AMR3</t>
        </is>
      </c>
      <c r="E935" s="30" t="inlineStr">
        <is>
          <t>정면충돌</t>
        </is>
      </c>
      <c r="F935" s="30" t="inlineStr">
        <is>
          <t>(16, 19)&lt;-&gt;(17, 19)</t>
        </is>
      </c>
      <c r="G935" s="31" t="n">
        <v>41.3</v>
      </c>
      <c r="H935" s="30" t="inlineStr">
        <is>
          <t>O0894</t>
        </is>
      </c>
    </row>
    <row r="936">
      <c r="A936" s="32" t="n">
        <v>935</v>
      </c>
      <c r="B936" s="31" t="n">
        <v>43725.2</v>
      </c>
      <c r="C936" s="30" t="inlineStr">
        <is>
          <t>AMR1</t>
        </is>
      </c>
      <c r="D936" s="30" t="inlineStr">
        <is>
          <t>AMR2</t>
        </is>
      </c>
      <c r="E936" s="30" t="inlineStr">
        <is>
          <t>경로충돌</t>
        </is>
      </c>
      <c r="F936" s="30" t="inlineStr">
        <is>
          <t>(17, 15)</t>
        </is>
      </c>
      <c r="G936" s="31" t="n">
        <v>53.4</v>
      </c>
      <c r="H936" s="30" t="inlineStr">
        <is>
          <t>O0897</t>
        </is>
      </c>
    </row>
    <row r="937">
      <c r="A937" s="32" t="n">
        <v>936</v>
      </c>
      <c r="B937" s="31" t="n">
        <v>43725.8</v>
      </c>
      <c r="C937" s="30" t="inlineStr">
        <is>
          <t>AMR1</t>
        </is>
      </c>
      <c r="D937" s="30" t="inlineStr">
        <is>
          <t>AMR2</t>
        </is>
      </c>
      <c r="E937" s="30" t="inlineStr">
        <is>
          <t>정면충돌</t>
        </is>
      </c>
      <c r="F937" s="30" t="inlineStr">
        <is>
          <t>(17, 14)&lt;-&gt;(17, 15)</t>
        </is>
      </c>
      <c r="G937" s="31" t="n">
        <v>33.3</v>
      </c>
      <c r="H937" s="30" t="inlineStr">
        <is>
          <t>O0897</t>
        </is>
      </c>
    </row>
    <row r="938">
      <c r="A938" s="32" t="n">
        <v>937</v>
      </c>
      <c r="B938" s="31" t="n">
        <v>43811</v>
      </c>
      <c r="C938" s="30" t="inlineStr">
        <is>
          <t>AMR2</t>
        </is>
      </c>
      <c r="D938" s="30" t="inlineStr">
        <is>
          <t>AMR3</t>
        </is>
      </c>
      <c r="E938" s="30" t="inlineStr">
        <is>
          <t>경로충돌</t>
        </is>
      </c>
      <c r="F938" s="30" t="inlineStr">
        <is>
          <t>(16, 19)</t>
        </is>
      </c>
      <c r="G938" s="31" t="n">
        <v>41.6</v>
      </c>
      <c r="H938" s="30" t="inlineStr">
        <is>
          <t>O0898</t>
        </is>
      </c>
    </row>
    <row r="939">
      <c r="A939" s="32" t="n">
        <v>938</v>
      </c>
      <c r="B939" s="31" t="n">
        <v>43811.5</v>
      </c>
      <c r="C939" s="30" t="inlineStr">
        <is>
          <t>AMR2</t>
        </is>
      </c>
      <c r="D939" s="30" t="inlineStr">
        <is>
          <t>AMR3</t>
        </is>
      </c>
      <c r="E939" s="30" t="inlineStr">
        <is>
          <t>정면충돌</t>
        </is>
      </c>
      <c r="F939" s="30" t="inlineStr">
        <is>
          <t>(16, 19)&lt;-&gt;(17, 19)</t>
        </is>
      </c>
      <c r="G939" s="31" t="n">
        <v>48</v>
      </c>
      <c r="H939" s="30" t="inlineStr">
        <is>
          <t>O0898</t>
        </is>
      </c>
    </row>
    <row r="940">
      <c r="A940" s="32" t="n">
        <v>939</v>
      </c>
      <c r="B940" s="31" t="n">
        <v>44078.2</v>
      </c>
      <c r="C940" s="30" t="inlineStr">
        <is>
          <t>AMR2</t>
        </is>
      </c>
      <c r="D940" s="30" t="inlineStr">
        <is>
          <t>AMR3</t>
        </is>
      </c>
      <c r="E940" s="30" t="inlineStr">
        <is>
          <t>정면충돌</t>
        </is>
      </c>
      <c r="F940" s="30" t="inlineStr">
        <is>
          <t>(16, 19)&lt;-&gt;(17, 19)</t>
        </is>
      </c>
      <c r="G940" s="31" t="n">
        <v>55</v>
      </c>
      <c r="H940" s="30" t="inlineStr">
        <is>
          <t>O0904</t>
        </is>
      </c>
    </row>
    <row r="941">
      <c r="A941" s="32" t="n">
        <v>940</v>
      </c>
      <c r="B941" s="31" t="n">
        <v>44234.4</v>
      </c>
      <c r="C941" s="30" t="inlineStr">
        <is>
          <t>AMR1</t>
        </is>
      </c>
      <c r="D941" s="30" t="inlineStr">
        <is>
          <t>AMR2</t>
        </is>
      </c>
      <c r="E941" s="30" t="inlineStr">
        <is>
          <t>경로충돌</t>
        </is>
      </c>
      <c r="F941" s="30" t="inlineStr">
        <is>
          <t>(13, 19)</t>
        </is>
      </c>
      <c r="G941" s="31" t="n">
        <v>28.1</v>
      </c>
      <c r="H941" s="30" t="inlineStr">
        <is>
          <t>O0907</t>
        </is>
      </c>
    </row>
    <row r="942">
      <c r="A942" s="32" t="n">
        <v>941</v>
      </c>
      <c r="B942" s="31" t="n">
        <v>44234.6</v>
      </c>
      <c r="C942" s="30" t="inlineStr">
        <is>
          <t>AMR1</t>
        </is>
      </c>
      <c r="D942" s="30" t="inlineStr">
        <is>
          <t>AMR2</t>
        </is>
      </c>
      <c r="E942" s="30" t="inlineStr">
        <is>
          <t>정면충돌</t>
        </is>
      </c>
      <c r="F942" s="30" t="inlineStr">
        <is>
          <t>(13, 19)&lt;-&gt;(14, 19)</t>
        </is>
      </c>
      <c r="G942" s="31" t="n">
        <v>37.1</v>
      </c>
      <c r="H942" s="30" t="inlineStr">
        <is>
          <t>O0907</t>
        </is>
      </c>
    </row>
    <row r="943">
      <c r="A943" s="32" t="n">
        <v>942</v>
      </c>
      <c r="B943" s="31" t="n">
        <v>44264.4</v>
      </c>
      <c r="C943" s="30" t="inlineStr">
        <is>
          <t>AMR2</t>
        </is>
      </c>
      <c r="D943" s="30" t="inlineStr">
        <is>
          <t>AMR3</t>
        </is>
      </c>
      <c r="E943" s="30" t="inlineStr">
        <is>
          <t>경로충돌</t>
        </is>
      </c>
      <c r="F943" s="30" t="inlineStr">
        <is>
          <t>(18, 9)</t>
        </is>
      </c>
      <c r="G943" s="31" t="n">
        <v>54.8</v>
      </c>
      <c r="H943" s="30" t="inlineStr">
        <is>
          <t>O0906 O0908</t>
        </is>
      </c>
    </row>
    <row r="944">
      <c r="A944" s="32" t="n">
        <v>943</v>
      </c>
      <c r="B944" s="31" t="n">
        <v>44265.1</v>
      </c>
      <c r="C944" s="30" t="inlineStr">
        <is>
          <t>AMR2</t>
        </is>
      </c>
      <c r="D944" s="30" t="inlineStr">
        <is>
          <t>AMR3</t>
        </is>
      </c>
      <c r="E944" s="30" t="inlineStr">
        <is>
          <t>정면충돌</t>
        </is>
      </c>
      <c r="F944" s="30" t="inlineStr">
        <is>
          <t>(18, 9)&lt;-&gt;(19, 9)</t>
        </is>
      </c>
      <c r="G944" s="31" t="n">
        <v>26.2</v>
      </c>
      <c r="H944" s="30" t="inlineStr">
        <is>
          <t>O0906 O0908</t>
        </is>
      </c>
    </row>
    <row r="945">
      <c r="A945" s="32" t="n">
        <v>944</v>
      </c>
      <c r="B945" s="31" t="n">
        <v>44310.3</v>
      </c>
      <c r="C945" s="30" t="inlineStr">
        <is>
          <t>AMR2</t>
        </is>
      </c>
      <c r="D945" s="30" t="inlineStr">
        <is>
          <t>AMR3</t>
        </is>
      </c>
      <c r="E945" s="30" t="inlineStr">
        <is>
          <t>경로충돌</t>
        </is>
      </c>
      <c r="F945" s="30" t="inlineStr">
        <is>
          <t>(18, 11)</t>
        </is>
      </c>
      <c r="G945" s="31" t="n">
        <v>51</v>
      </c>
      <c r="H945" s="30" t="inlineStr">
        <is>
          <t>O0908</t>
        </is>
      </c>
    </row>
    <row r="946">
      <c r="A946" s="32" t="n">
        <v>945</v>
      </c>
      <c r="B946" s="31" t="n">
        <v>44311.3</v>
      </c>
      <c r="C946" s="30" t="inlineStr">
        <is>
          <t>AMR2</t>
        </is>
      </c>
      <c r="D946" s="30" t="inlineStr">
        <is>
          <t>AMR3</t>
        </is>
      </c>
      <c r="E946" s="30" t="inlineStr">
        <is>
          <t>정면충돌</t>
        </is>
      </c>
      <c r="F946" s="30" t="inlineStr">
        <is>
          <t>(18, 11)&lt;-&gt;(18, 12)</t>
        </is>
      </c>
      <c r="G946" s="31" t="n">
        <v>29.4</v>
      </c>
      <c r="H946" s="30" t="inlineStr">
        <is>
          <t>O0908</t>
        </is>
      </c>
    </row>
    <row r="947">
      <c r="A947" s="32" t="n">
        <v>946</v>
      </c>
      <c r="B947" s="31" t="n">
        <v>44320.5</v>
      </c>
      <c r="C947" s="30" t="inlineStr">
        <is>
          <t>AMR1</t>
        </is>
      </c>
      <c r="D947" s="30" t="inlineStr">
        <is>
          <t>AMR2</t>
        </is>
      </c>
      <c r="E947" s="30" t="inlineStr">
        <is>
          <t>경로충돌</t>
        </is>
      </c>
      <c r="F947" s="30" t="inlineStr">
        <is>
          <t>(18, 9)</t>
        </is>
      </c>
      <c r="G947" s="31" t="n">
        <v>25.8</v>
      </c>
      <c r="H947" s="30" t="inlineStr">
        <is>
          <t>O0908</t>
        </is>
      </c>
    </row>
    <row r="948">
      <c r="A948" s="32" t="n">
        <v>947</v>
      </c>
      <c r="B948" s="31" t="n">
        <v>44513</v>
      </c>
      <c r="C948" s="30" t="inlineStr">
        <is>
          <t>AMR1</t>
        </is>
      </c>
      <c r="D948" s="30" t="inlineStr">
        <is>
          <t>AMR3</t>
        </is>
      </c>
      <c r="E948" s="30" t="inlineStr">
        <is>
          <t>경로충돌</t>
        </is>
      </c>
      <c r="F948" s="30" t="inlineStr">
        <is>
          <t>(18, 11)</t>
        </is>
      </c>
      <c r="G948" s="31" t="n">
        <v>43.7</v>
      </c>
      <c r="H948" s="30" t="inlineStr"/>
    </row>
    <row r="949">
      <c r="A949" s="32" t="n">
        <v>948</v>
      </c>
      <c r="B949" s="31" t="n">
        <v>44526.6</v>
      </c>
      <c r="C949" s="30" t="inlineStr">
        <is>
          <t>AMR1</t>
        </is>
      </c>
      <c r="D949" s="30" t="inlineStr">
        <is>
          <t>AMR3</t>
        </is>
      </c>
      <c r="E949" s="30" t="inlineStr">
        <is>
          <t>경로충돌</t>
        </is>
      </c>
      <c r="F949" s="30" t="inlineStr">
        <is>
          <t>(17, 19)</t>
        </is>
      </c>
      <c r="G949" s="31" t="n">
        <v>28.7</v>
      </c>
      <c r="H949" s="30" t="inlineStr">
        <is>
          <t>O0912</t>
        </is>
      </c>
    </row>
    <row r="950">
      <c r="A950" s="32" t="n">
        <v>949</v>
      </c>
      <c r="B950" s="31" t="n">
        <v>44526.8</v>
      </c>
      <c r="C950" s="30" t="inlineStr">
        <is>
          <t>AMR1</t>
        </is>
      </c>
      <c r="D950" s="30" t="inlineStr">
        <is>
          <t>AMR3</t>
        </is>
      </c>
      <c r="E950" s="30" t="inlineStr">
        <is>
          <t>정면충돌</t>
        </is>
      </c>
      <c r="F950" s="30" t="inlineStr">
        <is>
          <t>(16, 19)&lt;-&gt;(17, 19)</t>
        </is>
      </c>
      <c r="G950" s="31" t="n">
        <v>59.4</v>
      </c>
      <c r="H950" s="30" t="inlineStr">
        <is>
          <t>O0912</t>
        </is>
      </c>
    </row>
    <row r="951">
      <c r="A951" s="32" t="n">
        <v>950</v>
      </c>
      <c r="B951" s="31" t="n">
        <v>44689.8</v>
      </c>
      <c r="C951" s="30" t="inlineStr">
        <is>
          <t>AMR2</t>
        </is>
      </c>
      <c r="D951" s="30" t="inlineStr">
        <is>
          <t>AMR3</t>
        </is>
      </c>
      <c r="E951" s="30" t="inlineStr">
        <is>
          <t>경로충돌</t>
        </is>
      </c>
      <c r="F951" s="30" t="inlineStr">
        <is>
          <t>(18, 11)</t>
        </is>
      </c>
      <c r="G951" s="31" t="n">
        <v>56.8</v>
      </c>
      <c r="H951" s="30" t="inlineStr">
        <is>
          <t>O0915</t>
        </is>
      </c>
    </row>
    <row r="952">
      <c r="A952" s="32" t="n">
        <v>951</v>
      </c>
      <c r="B952" s="31" t="n">
        <v>44691.7</v>
      </c>
      <c r="C952" s="30" t="inlineStr">
        <is>
          <t>AMR1</t>
        </is>
      </c>
      <c r="D952" s="30" t="inlineStr">
        <is>
          <t>AMR2</t>
        </is>
      </c>
      <c r="E952" s="30" t="inlineStr">
        <is>
          <t>경로충돌</t>
        </is>
      </c>
      <c r="F952" s="30" t="inlineStr">
        <is>
          <t>(18, 11)</t>
        </is>
      </c>
      <c r="G952" s="31" t="n">
        <v>59</v>
      </c>
      <c r="H952" s="30" t="inlineStr">
        <is>
          <t>O0916</t>
        </is>
      </c>
    </row>
    <row r="953">
      <c r="A953" s="32" t="n">
        <v>952</v>
      </c>
      <c r="B953" s="31" t="n">
        <v>44976</v>
      </c>
      <c r="C953" s="30" t="inlineStr">
        <is>
          <t>AMR1</t>
        </is>
      </c>
      <c r="D953" s="30" t="inlineStr">
        <is>
          <t>AMR2</t>
        </is>
      </c>
      <c r="E953" s="30" t="inlineStr">
        <is>
          <t>경로충돌</t>
        </is>
      </c>
      <c r="F953" s="30" t="inlineStr">
        <is>
          <t>(18, 16)</t>
        </is>
      </c>
      <c r="G953" s="31" t="n">
        <v>32.8</v>
      </c>
      <c r="H953" s="30" t="inlineStr">
        <is>
          <t>O0922</t>
        </is>
      </c>
    </row>
    <row r="954">
      <c r="A954" s="32" t="n">
        <v>953</v>
      </c>
      <c r="B954" s="31" t="n">
        <v>44976.7</v>
      </c>
      <c r="C954" s="30" t="inlineStr">
        <is>
          <t>AMR1</t>
        </is>
      </c>
      <c r="D954" s="30" t="inlineStr">
        <is>
          <t>AMR2</t>
        </is>
      </c>
      <c r="E954" s="30" t="inlineStr">
        <is>
          <t>정면충돌</t>
        </is>
      </c>
      <c r="F954" s="30" t="inlineStr">
        <is>
          <t>(18, 15)&lt;-&gt;(18, 16)</t>
        </is>
      </c>
      <c r="G954" s="31" t="n">
        <v>41.4</v>
      </c>
      <c r="H954" s="30" t="inlineStr">
        <is>
          <t>O0922</t>
        </is>
      </c>
    </row>
    <row r="955">
      <c r="A955" s="32" t="n">
        <v>954</v>
      </c>
      <c r="B955" s="31" t="n">
        <v>45126.5</v>
      </c>
      <c r="C955" s="30" t="inlineStr">
        <is>
          <t>AMR2</t>
        </is>
      </c>
      <c r="D955" s="30" t="inlineStr">
        <is>
          <t>AMR3</t>
        </is>
      </c>
      <c r="E955" s="30" t="inlineStr">
        <is>
          <t>경로충돌</t>
        </is>
      </c>
      <c r="F955" s="30" t="inlineStr">
        <is>
          <t>(18, 11)</t>
        </is>
      </c>
      <c r="G955" s="31" t="n">
        <v>49.9</v>
      </c>
      <c r="H955" s="30" t="inlineStr">
        <is>
          <t>O0925</t>
        </is>
      </c>
    </row>
    <row r="956">
      <c r="A956" s="32" t="n">
        <v>955</v>
      </c>
      <c r="B956" s="31" t="n">
        <v>45127.6</v>
      </c>
      <c r="C956" s="30" t="inlineStr">
        <is>
          <t>AMR2</t>
        </is>
      </c>
      <c r="D956" s="30" t="inlineStr">
        <is>
          <t>AMR3</t>
        </is>
      </c>
      <c r="E956" s="30" t="inlineStr">
        <is>
          <t>정면충돌</t>
        </is>
      </c>
      <c r="F956" s="30" t="inlineStr">
        <is>
          <t>(18, 11)&lt;-&gt;(18, 12)</t>
        </is>
      </c>
      <c r="G956" s="31" t="n">
        <v>55.1</v>
      </c>
      <c r="H956" s="30" t="inlineStr">
        <is>
          <t>O0925</t>
        </is>
      </c>
    </row>
    <row r="957">
      <c r="A957" s="32" t="n">
        <v>956</v>
      </c>
      <c r="B957" s="31" t="n">
        <v>45338.8</v>
      </c>
      <c r="C957" s="30" t="inlineStr">
        <is>
          <t>AMR2</t>
        </is>
      </c>
      <c r="D957" s="30" t="inlineStr">
        <is>
          <t>AMR3</t>
        </is>
      </c>
      <c r="E957" s="30" t="inlineStr">
        <is>
          <t>정면충돌</t>
        </is>
      </c>
      <c r="F957" s="30" t="inlineStr">
        <is>
          <t>(14, 19)&lt;-&gt;(15, 19)</t>
        </is>
      </c>
      <c r="G957" s="31" t="n">
        <v>56.1</v>
      </c>
      <c r="H957" s="30" t="inlineStr">
        <is>
          <t>O0929</t>
        </is>
      </c>
    </row>
    <row r="958">
      <c r="A958" s="32" t="n">
        <v>957</v>
      </c>
      <c r="B958" s="31" t="n">
        <v>45823.1</v>
      </c>
      <c r="C958" s="30" t="inlineStr">
        <is>
          <t>AMR1</t>
        </is>
      </c>
      <c r="D958" s="30" t="inlineStr">
        <is>
          <t>AMR2</t>
        </is>
      </c>
      <c r="E958" s="30" t="inlineStr">
        <is>
          <t>경로충돌</t>
        </is>
      </c>
      <c r="F958" s="30" t="inlineStr">
        <is>
          <t>(12, 19)</t>
        </is>
      </c>
      <c r="G958" s="31" t="n">
        <v>49.4</v>
      </c>
      <c r="H958" s="30" t="inlineStr">
        <is>
          <t>O0939</t>
        </is>
      </c>
    </row>
    <row r="959">
      <c r="A959" s="32" t="n">
        <v>958</v>
      </c>
      <c r="B959" s="31" t="n">
        <v>45823.5</v>
      </c>
      <c r="C959" s="30" t="inlineStr">
        <is>
          <t>AMR1</t>
        </is>
      </c>
      <c r="D959" s="30" t="inlineStr">
        <is>
          <t>AMR2</t>
        </is>
      </c>
      <c r="E959" s="30" t="inlineStr">
        <is>
          <t>정면충돌</t>
        </is>
      </c>
      <c r="F959" s="30" t="inlineStr">
        <is>
          <t>(12, 18)&lt;-&gt;(12, 19)</t>
        </is>
      </c>
      <c r="G959" s="31" t="n">
        <v>39</v>
      </c>
      <c r="H959" s="30" t="inlineStr">
        <is>
          <t>O0939</t>
        </is>
      </c>
    </row>
    <row r="960">
      <c r="A960" s="32" t="n">
        <v>959</v>
      </c>
      <c r="B960" s="31" t="n">
        <v>45899.9</v>
      </c>
      <c r="C960" s="30" t="inlineStr">
        <is>
          <t>AMR1</t>
        </is>
      </c>
      <c r="D960" s="30" t="inlineStr">
        <is>
          <t>AMR3</t>
        </is>
      </c>
      <c r="E960" s="30" t="inlineStr">
        <is>
          <t>경로충돌</t>
        </is>
      </c>
      <c r="F960" s="30" t="inlineStr">
        <is>
          <t>(17, 19)</t>
        </is>
      </c>
      <c r="G960" s="31" t="n">
        <v>59.2</v>
      </c>
      <c r="H960" s="30" t="inlineStr">
        <is>
          <t>O0941</t>
        </is>
      </c>
    </row>
    <row r="961">
      <c r="A961" s="32" t="n">
        <v>960</v>
      </c>
      <c r="B961" s="31" t="n">
        <v>45900.5</v>
      </c>
      <c r="C961" s="30" t="inlineStr">
        <is>
          <t>AMR1</t>
        </is>
      </c>
      <c r="D961" s="30" t="inlineStr">
        <is>
          <t>AMR3</t>
        </is>
      </c>
      <c r="E961" s="30" t="inlineStr">
        <is>
          <t>정면충돌</t>
        </is>
      </c>
      <c r="F961" s="30" t="inlineStr">
        <is>
          <t>(17, 19)&lt;-&gt;(18, 19)</t>
        </is>
      </c>
      <c r="G961" s="31" t="n">
        <v>50.6</v>
      </c>
      <c r="H961" s="30" t="inlineStr">
        <is>
          <t>O0941</t>
        </is>
      </c>
    </row>
    <row r="962">
      <c r="A962" s="32" t="n">
        <v>961</v>
      </c>
      <c r="B962" s="31" t="n">
        <v>45990.2</v>
      </c>
      <c r="C962" s="30" t="inlineStr">
        <is>
          <t>AMR2</t>
        </is>
      </c>
      <c r="D962" s="30" t="inlineStr">
        <is>
          <t>AMR3</t>
        </is>
      </c>
      <c r="E962" s="30" t="inlineStr">
        <is>
          <t>경로충돌</t>
        </is>
      </c>
      <c r="F962" s="30" t="inlineStr">
        <is>
          <t>(13, 19)</t>
        </is>
      </c>
      <c r="G962" s="31" t="n">
        <v>23.7</v>
      </c>
      <c r="H962" s="30" t="inlineStr">
        <is>
          <t>O0943</t>
        </is>
      </c>
    </row>
    <row r="963">
      <c r="A963" s="32" t="n">
        <v>962</v>
      </c>
      <c r="B963" s="31" t="n">
        <v>45990.6</v>
      </c>
      <c r="C963" s="30" t="inlineStr">
        <is>
          <t>AMR2</t>
        </is>
      </c>
      <c r="D963" s="30" t="inlineStr">
        <is>
          <t>AMR3</t>
        </is>
      </c>
      <c r="E963" s="30" t="inlineStr">
        <is>
          <t>정면충돌</t>
        </is>
      </c>
      <c r="F963" s="30" t="inlineStr">
        <is>
          <t>(12, 19)&lt;-&gt;(13, 19)</t>
        </is>
      </c>
      <c r="G963" s="31" t="n">
        <v>24.9</v>
      </c>
      <c r="H963" s="30" t="inlineStr">
        <is>
          <t>O0943</t>
        </is>
      </c>
    </row>
    <row r="964">
      <c r="A964" s="32" t="n">
        <v>963</v>
      </c>
      <c r="B964" s="31" t="n">
        <v>46007.9</v>
      </c>
      <c r="C964" s="30" t="inlineStr">
        <is>
          <t>AMR1</t>
        </is>
      </c>
      <c r="D964" s="30" t="inlineStr">
        <is>
          <t>AMR3</t>
        </is>
      </c>
      <c r="E964" s="30" t="inlineStr">
        <is>
          <t>경로충돌</t>
        </is>
      </c>
      <c r="F964" s="30" t="inlineStr">
        <is>
          <t>(5, 11)</t>
        </is>
      </c>
      <c r="G964" s="31" t="n">
        <v>40.5</v>
      </c>
      <c r="H964" s="30" t="inlineStr">
        <is>
          <t>O0942 O0943</t>
        </is>
      </c>
    </row>
    <row r="965">
      <c r="A965" s="32" t="n">
        <v>964</v>
      </c>
      <c r="B965" s="31" t="n">
        <v>46058.8</v>
      </c>
      <c r="C965" s="30" t="inlineStr">
        <is>
          <t>AMR1</t>
        </is>
      </c>
      <c r="D965" s="30" t="inlineStr">
        <is>
          <t>AMR2</t>
        </is>
      </c>
      <c r="E965" s="30" t="inlineStr">
        <is>
          <t>경로충돌</t>
        </is>
      </c>
      <c r="F965" s="30" t="inlineStr">
        <is>
          <t>(18, 16)</t>
        </is>
      </c>
      <c r="G965" s="31" t="n">
        <v>45.6</v>
      </c>
      <c r="H965" s="30" t="inlineStr">
        <is>
          <t>O0944</t>
        </is>
      </c>
    </row>
    <row r="966">
      <c r="A966" s="32" t="n">
        <v>965</v>
      </c>
      <c r="B966" s="31" t="n">
        <v>46059.1</v>
      </c>
      <c r="C966" s="30" t="inlineStr">
        <is>
          <t>AMR1</t>
        </is>
      </c>
      <c r="D966" s="30" t="inlineStr">
        <is>
          <t>AMR2</t>
        </is>
      </c>
      <c r="E966" s="30" t="inlineStr">
        <is>
          <t>정면충돌</t>
        </is>
      </c>
      <c r="F966" s="30" t="inlineStr">
        <is>
          <t>(18, 15)&lt;-&gt;(18, 16)</t>
        </is>
      </c>
      <c r="G966" s="31" t="n">
        <v>20.1</v>
      </c>
      <c r="H966" s="30" t="inlineStr">
        <is>
          <t>O0944</t>
        </is>
      </c>
    </row>
    <row r="967">
      <c r="A967" s="32" t="n">
        <v>966</v>
      </c>
      <c r="B967" s="31" t="n">
        <v>46135.1</v>
      </c>
      <c r="C967" s="30" t="inlineStr">
        <is>
          <t>AMR1</t>
        </is>
      </c>
      <c r="D967" s="30" t="inlineStr">
        <is>
          <t>AMR3</t>
        </is>
      </c>
      <c r="E967" s="30" t="inlineStr">
        <is>
          <t>경로충돌</t>
        </is>
      </c>
      <c r="F967" s="30" t="inlineStr">
        <is>
          <t>(14, 19)</t>
        </is>
      </c>
      <c r="G967" s="31" t="n">
        <v>47.5</v>
      </c>
      <c r="H967" s="30" t="inlineStr">
        <is>
          <t>O0945</t>
        </is>
      </c>
    </row>
    <row r="968">
      <c r="A968" s="32" t="n">
        <v>967</v>
      </c>
      <c r="B968" s="31" t="n">
        <v>46135.3</v>
      </c>
      <c r="C968" s="30" t="inlineStr">
        <is>
          <t>AMR1</t>
        </is>
      </c>
      <c r="D968" s="30" t="inlineStr">
        <is>
          <t>AMR3</t>
        </is>
      </c>
      <c r="E968" s="30" t="inlineStr">
        <is>
          <t>정면충돌</t>
        </is>
      </c>
      <c r="F968" s="30" t="inlineStr">
        <is>
          <t>(13, 19)&lt;-&gt;(14, 19)</t>
        </is>
      </c>
      <c r="G968" s="31" t="n">
        <v>25</v>
      </c>
      <c r="H968" s="30" t="inlineStr">
        <is>
          <t>O0945</t>
        </is>
      </c>
    </row>
    <row r="969">
      <c r="A969" s="32" t="n">
        <v>968</v>
      </c>
      <c r="B969" s="31" t="n">
        <v>46270.4</v>
      </c>
      <c r="C969" s="30" t="inlineStr">
        <is>
          <t>AMR1</t>
        </is>
      </c>
      <c r="D969" s="30" t="inlineStr">
        <is>
          <t>AMR2</t>
        </is>
      </c>
      <c r="E969" s="30" t="inlineStr">
        <is>
          <t>경로충돌</t>
        </is>
      </c>
      <c r="F969" s="30" t="inlineStr">
        <is>
          <t>(18, 13)</t>
        </is>
      </c>
      <c r="G969" s="31" t="n">
        <v>58.5</v>
      </c>
      <c r="H969" s="30" t="inlineStr">
        <is>
          <t>O0948</t>
        </is>
      </c>
    </row>
    <row r="970">
      <c r="A970" s="32" t="n">
        <v>969</v>
      </c>
      <c r="B970" s="31" t="n">
        <v>46270.9</v>
      </c>
      <c r="C970" s="30" t="inlineStr">
        <is>
          <t>AMR1</t>
        </is>
      </c>
      <c r="D970" s="30" t="inlineStr">
        <is>
          <t>AMR2</t>
        </is>
      </c>
      <c r="E970" s="30" t="inlineStr">
        <is>
          <t>정면충돌</t>
        </is>
      </c>
      <c r="F970" s="30" t="inlineStr">
        <is>
          <t>(18, 13)&lt;-&gt;(18, 14)</t>
        </is>
      </c>
      <c r="G970" s="31" t="n">
        <v>37.2</v>
      </c>
      <c r="H970" s="30" t="inlineStr">
        <is>
          <t>O0948</t>
        </is>
      </c>
    </row>
    <row r="971">
      <c r="A971" s="32" t="n">
        <v>970</v>
      </c>
      <c r="B971" s="31" t="n">
        <v>46337.7</v>
      </c>
      <c r="C971" s="30" t="inlineStr">
        <is>
          <t>AMR1</t>
        </is>
      </c>
      <c r="D971" s="30" t="inlineStr">
        <is>
          <t>AMR2</t>
        </is>
      </c>
      <c r="E971" s="30" t="inlineStr">
        <is>
          <t>경로충돌</t>
        </is>
      </c>
      <c r="F971" s="30" t="inlineStr">
        <is>
          <t>(18, 16)</t>
        </is>
      </c>
      <c r="G971" s="31" t="n">
        <v>47.1</v>
      </c>
      <c r="H971" s="30" t="inlineStr">
        <is>
          <t>O0950</t>
        </is>
      </c>
    </row>
    <row r="972">
      <c r="A972" s="32" t="n">
        <v>971</v>
      </c>
      <c r="B972" s="31" t="n">
        <v>46338.5</v>
      </c>
      <c r="C972" s="30" t="inlineStr">
        <is>
          <t>AMR1</t>
        </is>
      </c>
      <c r="D972" s="30" t="inlineStr">
        <is>
          <t>AMR2</t>
        </is>
      </c>
      <c r="E972" s="30" t="inlineStr">
        <is>
          <t>정면충돌</t>
        </is>
      </c>
      <c r="F972" s="30" t="inlineStr">
        <is>
          <t>(18, 16)&lt;-&gt;(18, 17)</t>
        </is>
      </c>
      <c r="G972" s="31" t="n">
        <v>53.5</v>
      </c>
      <c r="H972" s="30" t="inlineStr">
        <is>
          <t>O0950</t>
        </is>
      </c>
    </row>
    <row r="973">
      <c r="A973" s="32" t="n">
        <v>972</v>
      </c>
      <c r="B973" s="31" t="n">
        <v>46348.2</v>
      </c>
      <c r="C973" s="30" t="inlineStr">
        <is>
          <t>AMR1</t>
        </is>
      </c>
      <c r="D973" s="30" t="inlineStr">
        <is>
          <t>AMR3</t>
        </is>
      </c>
      <c r="E973" s="30" t="inlineStr">
        <is>
          <t>경로충돌</t>
        </is>
      </c>
      <c r="F973" s="30" t="inlineStr">
        <is>
          <t>(18, 11)</t>
        </is>
      </c>
      <c r="G973" s="31" t="n">
        <v>54.1</v>
      </c>
      <c r="H973" s="30" t="inlineStr">
        <is>
          <t>O0950</t>
        </is>
      </c>
    </row>
    <row r="974">
      <c r="A974" s="32" t="n">
        <v>973</v>
      </c>
      <c r="B974" s="31" t="n">
        <v>46408.9</v>
      </c>
      <c r="C974" s="30" t="inlineStr">
        <is>
          <t>AMR2</t>
        </is>
      </c>
      <c r="D974" s="30" t="inlineStr">
        <is>
          <t>AMR3</t>
        </is>
      </c>
      <c r="E974" s="30" t="inlineStr">
        <is>
          <t>경로충돌</t>
        </is>
      </c>
      <c r="F974" s="30" t="inlineStr">
        <is>
          <t>(12, 19)</t>
        </is>
      </c>
      <c r="G974" s="31" t="n">
        <v>51</v>
      </c>
      <c r="H974" s="30" t="inlineStr">
        <is>
          <t>O0951</t>
        </is>
      </c>
    </row>
    <row r="975">
      <c r="A975" s="32" t="n">
        <v>974</v>
      </c>
      <c r="B975" s="31" t="n">
        <v>46413.9</v>
      </c>
      <c r="C975" s="30" t="inlineStr">
        <is>
          <t>AMR1</t>
        </is>
      </c>
      <c r="D975" s="30" t="inlineStr">
        <is>
          <t>AMR3</t>
        </is>
      </c>
      <c r="E975" s="30" t="inlineStr">
        <is>
          <t>정면충돌</t>
        </is>
      </c>
      <c r="F975" s="30" t="inlineStr">
        <is>
          <t>(14, 19)&lt;-&gt;(15, 19)</t>
        </is>
      </c>
      <c r="G975" s="31" t="n">
        <v>58.9</v>
      </c>
      <c r="H975" s="30" t="inlineStr">
        <is>
          <t>O0952</t>
        </is>
      </c>
    </row>
    <row r="976">
      <c r="A976" s="32" t="n">
        <v>975</v>
      </c>
      <c r="B976" s="31" t="n">
        <v>46444.7</v>
      </c>
      <c r="C976" s="30" t="inlineStr">
        <is>
          <t>AMR1</t>
        </is>
      </c>
      <c r="D976" s="30" t="inlineStr">
        <is>
          <t>AMR3</t>
        </is>
      </c>
      <c r="E976" s="30" t="inlineStr">
        <is>
          <t>경로충돌</t>
        </is>
      </c>
      <c r="F976" s="30" t="inlineStr">
        <is>
          <t>(11, 11)</t>
        </is>
      </c>
      <c r="G976" s="31" t="n">
        <v>27.6</v>
      </c>
      <c r="H976" s="30" t="inlineStr">
        <is>
          <t>O0952 O0953</t>
        </is>
      </c>
    </row>
    <row r="977">
      <c r="A977" s="32" t="n">
        <v>976</v>
      </c>
      <c r="B977" s="31" t="n">
        <v>46445.2</v>
      </c>
      <c r="C977" s="30" t="inlineStr">
        <is>
          <t>AMR1</t>
        </is>
      </c>
      <c r="D977" s="30" t="inlineStr">
        <is>
          <t>AMR3</t>
        </is>
      </c>
      <c r="E977" s="30" t="inlineStr">
        <is>
          <t>정면충돌</t>
        </is>
      </c>
      <c r="F977" s="30" t="inlineStr">
        <is>
          <t>(10, 11)&lt;-&gt;(11, 11)</t>
        </is>
      </c>
      <c r="G977" s="31" t="n">
        <v>44.1</v>
      </c>
      <c r="H977" s="30" t="inlineStr">
        <is>
          <t>O0952 O0953</t>
        </is>
      </c>
    </row>
    <row r="978">
      <c r="A978" s="32" t="n">
        <v>977</v>
      </c>
      <c r="B978" s="31" t="n">
        <v>46703</v>
      </c>
      <c r="C978" s="30" t="inlineStr">
        <is>
          <t>AMR1</t>
        </is>
      </c>
      <c r="D978" s="30" t="inlineStr">
        <is>
          <t>AMR2</t>
        </is>
      </c>
      <c r="E978" s="30" t="inlineStr">
        <is>
          <t>정면충돌</t>
        </is>
      </c>
      <c r="F978" s="30" t="inlineStr">
        <is>
          <t>(16, 19)&lt;-&gt;(17, 19)</t>
        </is>
      </c>
      <c r="G978" s="31" t="n">
        <v>28.6</v>
      </c>
      <c r="H978" s="30" t="inlineStr">
        <is>
          <t>O0958</t>
        </is>
      </c>
    </row>
    <row r="979">
      <c r="A979" s="32" t="n">
        <v>978</v>
      </c>
      <c r="B979" s="31" t="n">
        <v>46789.8</v>
      </c>
      <c r="C979" s="30" t="inlineStr">
        <is>
          <t>AMR1</t>
        </is>
      </c>
      <c r="D979" s="30" t="inlineStr">
        <is>
          <t>AMR3</t>
        </is>
      </c>
      <c r="E979" s="30" t="inlineStr">
        <is>
          <t>정면충돌</t>
        </is>
      </c>
      <c r="F979" s="30" t="inlineStr">
        <is>
          <t>(9, 9)&lt;-&gt;(10, 9)</t>
        </is>
      </c>
      <c r="G979" s="31" t="n">
        <v>40.7</v>
      </c>
      <c r="H979" s="30" t="inlineStr">
        <is>
          <t>O0959</t>
        </is>
      </c>
    </row>
    <row r="980">
      <c r="A980" s="32" t="n">
        <v>979</v>
      </c>
      <c r="B980" s="31" t="n">
        <v>46808.5</v>
      </c>
      <c r="C980" s="30" t="inlineStr">
        <is>
          <t>AMR1</t>
        </is>
      </c>
      <c r="D980" s="30" t="inlineStr">
        <is>
          <t>AMR2</t>
        </is>
      </c>
      <c r="E980" s="30" t="inlineStr">
        <is>
          <t>경로충돌</t>
        </is>
      </c>
      <c r="F980" s="30" t="inlineStr">
        <is>
          <t>(10, 9)</t>
        </is>
      </c>
      <c r="G980" s="31" t="n">
        <v>21.3</v>
      </c>
      <c r="H980" s="30" t="inlineStr">
        <is>
          <t>O0959 O0960</t>
        </is>
      </c>
    </row>
    <row r="981">
      <c r="A981" s="32" t="n">
        <v>980</v>
      </c>
      <c r="B981" s="31" t="n">
        <v>46863.3</v>
      </c>
      <c r="C981" s="30" t="inlineStr">
        <is>
          <t>AMR1</t>
        </is>
      </c>
      <c r="D981" s="30" t="inlineStr">
        <is>
          <t>AMR3</t>
        </is>
      </c>
      <c r="E981" s="30" t="inlineStr">
        <is>
          <t>경로충돌</t>
        </is>
      </c>
      <c r="F981" s="30" t="inlineStr">
        <is>
          <t>(17, 19)</t>
        </is>
      </c>
      <c r="G981" s="31" t="n">
        <v>55.2</v>
      </c>
      <c r="H981" s="30" t="inlineStr">
        <is>
          <t>O0961</t>
        </is>
      </c>
    </row>
    <row r="982">
      <c r="A982" s="32" t="n">
        <v>981</v>
      </c>
      <c r="B982" s="31" t="n">
        <v>46864.6</v>
      </c>
      <c r="C982" s="30" t="inlineStr">
        <is>
          <t>AMR1</t>
        </is>
      </c>
      <c r="D982" s="30" t="inlineStr">
        <is>
          <t>AMR3</t>
        </is>
      </c>
      <c r="E982" s="30" t="inlineStr">
        <is>
          <t>정면충돌</t>
        </is>
      </c>
      <c r="F982" s="30" t="inlineStr">
        <is>
          <t>(16, 19)&lt;-&gt;(17, 19)</t>
        </is>
      </c>
      <c r="G982" s="31" t="n">
        <v>37.5</v>
      </c>
      <c r="H982" s="30" t="inlineStr">
        <is>
          <t>O0961</t>
        </is>
      </c>
    </row>
    <row r="983">
      <c r="A983" s="32" t="n">
        <v>982</v>
      </c>
      <c r="B983" s="31" t="n">
        <v>46889.9</v>
      </c>
      <c r="C983" s="30" t="inlineStr">
        <is>
          <t>AMR1</t>
        </is>
      </c>
      <c r="D983" s="30" t="inlineStr">
        <is>
          <t>AMR3</t>
        </is>
      </c>
      <c r="E983" s="30" t="inlineStr">
        <is>
          <t>경로충돌</t>
        </is>
      </c>
      <c r="F983" s="30" t="inlineStr">
        <is>
          <t>(17, 11)</t>
        </is>
      </c>
      <c r="G983" s="31" t="n">
        <v>52.1</v>
      </c>
      <c r="H983" s="30" t="inlineStr">
        <is>
          <t>O0961 O0962</t>
        </is>
      </c>
    </row>
    <row r="984">
      <c r="A984" s="32" t="n">
        <v>983</v>
      </c>
      <c r="B984" s="31" t="n">
        <v>46890.2</v>
      </c>
      <c r="C984" s="30" t="inlineStr">
        <is>
          <t>AMR1</t>
        </is>
      </c>
      <c r="D984" s="30" t="inlineStr">
        <is>
          <t>AMR3</t>
        </is>
      </c>
      <c r="E984" s="30" t="inlineStr">
        <is>
          <t>정면충돌</t>
        </is>
      </c>
      <c r="F984" s="30" t="inlineStr">
        <is>
          <t>(16, 11)&lt;-&gt;(17, 11)</t>
        </is>
      </c>
      <c r="G984" s="31" t="n">
        <v>29.5</v>
      </c>
      <c r="H984" s="30" t="inlineStr">
        <is>
          <t>O0961 O0962</t>
        </is>
      </c>
    </row>
    <row r="985">
      <c r="A985" s="32" t="n">
        <v>984</v>
      </c>
      <c r="B985" s="31" t="n">
        <v>46933.3</v>
      </c>
      <c r="C985" s="30" t="inlineStr">
        <is>
          <t>AMR2</t>
        </is>
      </c>
      <c r="D985" s="30" t="inlineStr">
        <is>
          <t>AMR3</t>
        </is>
      </c>
      <c r="E985" s="30" t="inlineStr">
        <is>
          <t>경로충돌</t>
        </is>
      </c>
      <c r="F985" s="30" t="inlineStr">
        <is>
          <t>(18, 9)</t>
        </is>
      </c>
      <c r="G985" s="31" t="n">
        <v>55.7</v>
      </c>
      <c r="H985" s="30" t="inlineStr"/>
    </row>
    <row r="986">
      <c r="A986" s="32" t="n">
        <v>985</v>
      </c>
      <c r="B986" s="31" t="n">
        <v>46947.9</v>
      </c>
      <c r="C986" s="30" t="inlineStr">
        <is>
          <t>AMR2</t>
        </is>
      </c>
      <c r="D986" s="30" t="inlineStr">
        <is>
          <t>AMR3</t>
        </is>
      </c>
      <c r="E986" s="30" t="inlineStr">
        <is>
          <t>경로충돌</t>
        </is>
      </c>
      <c r="F986" s="30" t="inlineStr">
        <is>
          <t>(16, 19)</t>
        </is>
      </c>
      <c r="G986" s="31" t="n">
        <v>34.8</v>
      </c>
      <c r="H986" s="30" t="inlineStr">
        <is>
          <t>O0963</t>
        </is>
      </c>
    </row>
    <row r="987">
      <c r="A987" s="32" t="n">
        <v>986</v>
      </c>
      <c r="B987" s="31" t="n">
        <v>46948.6</v>
      </c>
      <c r="C987" s="30" t="inlineStr">
        <is>
          <t>AMR2</t>
        </is>
      </c>
      <c r="D987" s="30" t="inlineStr">
        <is>
          <t>AMR3</t>
        </is>
      </c>
      <c r="E987" s="30" t="inlineStr">
        <is>
          <t>정면충돌</t>
        </is>
      </c>
      <c r="F987" s="30" t="inlineStr">
        <is>
          <t>(16, 19)&lt;-&gt;(17, 19)</t>
        </is>
      </c>
      <c r="G987" s="31" t="n">
        <v>44.5</v>
      </c>
      <c r="H987" s="30" t="inlineStr">
        <is>
          <t>O0963</t>
        </is>
      </c>
    </row>
    <row r="988">
      <c r="A988" s="32" t="n">
        <v>987</v>
      </c>
      <c r="B988" s="31" t="n">
        <v>47063.5</v>
      </c>
      <c r="C988" s="30" t="inlineStr">
        <is>
          <t>AMR1</t>
        </is>
      </c>
      <c r="D988" s="30" t="inlineStr">
        <is>
          <t>AMR3</t>
        </is>
      </c>
      <c r="E988" s="30" t="inlineStr">
        <is>
          <t>경로충돌</t>
        </is>
      </c>
      <c r="F988" s="30" t="inlineStr">
        <is>
          <t>(17, 19)</t>
        </is>
      </c>
      <c r="G988" s="31" t="n">
        <v>51.2</v>
      </c>
      <c r="H988" s="30" t="inlineStr">
        <is>
          <t>O0965</t>
        </is>
      </c>
    </row>
    <row r="989">
      <c r="A989" s="32" t="n">
        <v>988</v>
      </c>
      <c r="B989" s="31" t="n">
        <v>47132</v>
      </c>
      <c r="C989" s="30" t="inlineStr">
        <is>
          <t>AMR1</t>
        </is>
      </c>
      <c r="D989" s="30" t="inlineStr">
        <is>
          <t>AMR3</t>
        </is>
      </c>
      <c r="E989" s="30" t="inlineStr">
        <is>
          <t>경로충돌</t>
        </is>
      </c>
      <c r="F989" s="30" t="inlineStr">
        <is>
          <t>(18, 19)</t>
        </is>
      </c>
      <c r="G989" s="31" t="n">
        <v>31</v>
      </c>
      <c r="H989" s="30" t="inlineStr">
        <is>
          <t>O0967</t>
        </is>
      </c>
    </row>
    <row r="990">
      <c r="A990" s="32" t="n">
        <v>989</v>
      </c>
      <c r="B990" s="31" t="n">
        <v>47132.5</v>
      </c>
      <c r="C990" s="30" t="inlineStr">
        <is>
          <t>AMR1</t>
        </is>
      </c>
      <c r="D990" s="30" t="inlineStr">
        <is>
          <t>AMR3</t>
        </is>
      </c>
      <c r="E990" s="30" t="inlineStr">
        <is>
          <t>정면충돌</t>
        </is>
      </c>
      <c r="F990" s="30" t="inlineStr">
        <is>
          <t>(17, 19)&lt;-&gt;(18, 19)</t>
        </is>
      </c>
      <c r="G990" s="31" t="n">
        <v>24.2</v>
      </c>
      <c r="H990" s="30" t="inlineStr">
        <is>
          <t>O0967</t>
        </is>
      </c>
    </row>
    <row r="991">
      <c r="A991" s="32" t="n">
        <v>990</v>
      </c>
      <c r="B991" s="31" t="n">
        <v>47166.3</v>
      </c>
      <c r="C991" s="30" t="inlineStr">
        <is>
          <t>AMR2</t>
        </is>
      </c>
      <c r="D991" s="30" t="inlineStr">
        <is>
          <t>AMR3</t>
        </is>
      </c>
      <c r="E991" s="30" t="inlineStr">
        <is>
          <t>경로충돌</t>
        </is>
      </c>
      <c r="F991" s="30" t="inlineStr">
        <is>
          <t>(18, 9)</t>
        </is>
      </c>
      <c r="G991" s="31" t="n">
        <v>53.5</v>
      </c>
      <c r="H991" s="30" t="inlineStr">
        <is>
          <t>O0968</t>
        </is>
      </c>
    </row>
    <row r="992">
      <c r="A992" s="32" t="n">
        <v>991</v>
      </c>
      <c r="B992" s="31" t="n">
        <v>47166.4</v>
      </c>
      <c r="C992" s="30" t="inlineStr">
        <is>
          <t>AMR1</t>
        </is>
      </c>
      <c r="D992" s="30" t="inlineStr">
        <is>
          <t>AMR2</t>
        </is>
      </c>
      <c r="E992" s="30" t="inlineStr">
        <is>
          <t>경로충돌</t>
        </is>
      </c>
      <c r="F992" s="30" t="inlineStr">
        <is>
          <t>(18, 9)</t>
        </is>
      </c>
      <c r="G992" s="31" t="n">
        <v>20.6</v>
      </c>
      <c r="H992" s="30" t="inlineStr">
        <is>
          <t>O0967</t>
        </is>
      </c>
    </row>
    <row r="993">
      <c r="A993" s="32" t="n">
        <v>992</v>
      </c>
      <c r="B993" s="31" t="n">
        <v>47167.4</v>
      </c>
      <c r="C993" s="30" t="inlineStr">
        <is>
          <t>AMR2</t>
        </is>
      </c>
      <c r="D993" s="30" t="inlineStr">
        <is>
          <t>AMR3</t>
        </is>
      </c>
      <c r="E993" s="30" t="inlineStr">
        <is>
          <t>정면충돌</t>
        </is>
      </c>
      <c r="F993" s="30" t="inlineStr">
        <is>
          <t>(18, 9)&lt;-&gt;(18, 10)</t>
        </is>
      </c>
      <c r="G993" s="31" t="n">
        <v>28.2</v>
      </c>
      <c r="H993" s="30" t="inlineStr">
        <is>
          <t>O0968</t>
        </is>
      </c>
    </row>
    <row r="994">
      <c r="A994" s="32" t="n">
        <v>993</v>
      </c>
      <c r="B994" s="31" t="n">
        <v>47171.1</v>
      </c>
      <c r="C994" s="30" t="inlineStr">
        <is>
          <t>AMR1</t>
        </is>
      </c>
      <c r="D994" s="30" t="inlineStr">
        <is>
          <t>AMR3</t>
        </is>
      </c>
      <c r="E994" s="30" t="inlineStr">
        <is>
          <t>경로충돌</t>
        </is>
      </c>
      <c r="F994" s="30" t="inlineStr">
        <is>
          <t>(20, 10)</t>
        </is>
      </c>
      <c r="G994" s="31" t="n">
        <v>25.9</v>
      </c>
      <c r="H994" s="30" t="inlineStr">
        <is>
          <t>O0967 O0968</t>
        </is>
      </c>
    </row>
    <row r="995">
      <c r="A995" s="32" t="n">
        <v>994</v>
      </c>
      <c r="B995" s="31" t="n">
        <v>47261.9</v>
      </c>
      <c r="C995" s="30" t="inlineStr">
        <is>
          <t>AMR2</t>
        </is>
      </c>
      <c r="D995" s="30" t="inlineStr">
        <is>
          <t>AMR3</t>
        </is>
      </c>
      <c r="E995" s="30" t="inlineStr">
        <is>
          <t>경로충돌</t>
        </is>
      </c>
      <c r="F995" s="30" t="inlineStr">
        <is>
          <t>(13, 19)</t>
        </is>
      </c>
      <c r="G995" s="31" t="n">
        <v>28.3</v>
      </c>
      <c r="H995" s="30" t="inlineStr">
        <is>
          <t>O0969</t>
        </is>
      </c>
    </row>
    <row r="996">
      <c r="A996" s="32" t="n">
        <v>995</v>
      </c>
      <c r="B996" s="31" t="n">
        <v>47262.1</v>
      </c>
      <c r="C996" s="30" t="inlineStr">
        <is>
          <t>AMR2</t>
        </is>
      </c>
      <c r="D996" s="30" t="inlineStr">
        <is>
          <t>AMR3</t>
        </is>
      </c>
      <c r="E996" s="30" t="inlineStr">
        <is>
          <t>정면충돌</t>
        </is>
      </c>
      <c r="F996" s="30" t="inlineStr">
        <is>
          <t>(13, 19)&lt;-&gt;(14, 19)</t>
        </is>
      </c>
      <c r="G996" s="31" t="n">
        <v>45.6</v>
      </c>
      <c r="H996" s="30" t="inlineStr">
        <is>
          <t>O0969</t>
        </is>
      </c>
    </row>
    <row r="997">
      <c r="A997" s="32" t="n">
        <v>996</v>
      </c>
      <c r="B997" s="31" t="n">
        <v>47346.2</v>
      </c>
      <c r="C997" s="30" t="inlineStr">
        <is>
          <t>AMR2</t>
        </is>
      </c>
      <c r="D997" s="30" t="inlineStr">
        <is>
          <t>AMR3</t>
        </is>
      </c>
      <c r="E997" s="30" t="inlineStr">
        <is>
          <t>경로충돌</t>
        </is>
      </c>
      <c r="F997" s="30" t="inlineStr">
        <is>
          <t>(18, 9)</t>
        </is>
      </c>
      <c r="G997" s="31" t="n">
        <v>56.4</v>
      </c>
      <c r="H997" s="30" t="inlineStr">
        <is>
          <t>O0971</t>
        </is>
      </c>
    </row>
    <row r="998">
      <c r="A998" s="32" t="n">
        <v>997</v>
      </c>
      <c r="B998" s="31" t="n">
        <v>47602.8</v>
      </c>
      <c r="C998" s="30" t="inlineStr">
        <is>
          <t>AMR1</t>
        </is>
      </c>
      <c r="D998" s="30" t="inlineStr">
        <is>
          <t>AMR2</t>
        </is>
      </c>
      <c r="E998" s="30" t="inlineStr">
        <is>
          <t>경로충돌</t>
        </is>
      </c>
      <c r="F998" s="30" t="inlineStr">
        <is>
          <t>(18, 9)</t>
        </is>
      </c>
      <c r="G998" s="31" t="n">
        <v>22.8</v>
      </c>
      <c r="H998" s="30" t="inlineStr">
        <is>
          <t>O0976</t>
        </is>
      </c>
    </row>
    <row r="999">
      <c r="A999" s="32" t="n">
        <v>998</v>
      </c>
      <c r="B999" s="31" t="n">
        <v>47883.6</v>
      </c>
      <c r="C999" s="30" t="inlineStr">
        <is>
          <t>AMR2</t>
        </is>
      </c>
      <c r="D999" s="30" t="inlineStr">
        <is>
          <t>AMR3</t>
        </is>
      </c>
      <c r="E999" s="30" t="inlineStr">
        <is>
          <t>경로충돌</t>
        </is>
      </c>
      <c r="F999" s="30" t="inlineStr">
        <is>
          <t>(15, 19)</t>
        </is>
      </c>
      <c r="G999" s="31" t="n">
        <v>40</v>
      </c>
      <c r="H999" s="30" t="inlineStr"/>
    </row>
    <row r="1000">
      <c r="A1000" s="32" t="n">
        <v>999</v>
      </c>
      <c r="B1000" s="31" t="n">
        <v>47884.3</v>
      </c>
      <c r="C1000" s="30" t="inlineStr">
        <is>
          <t>AMR2</t>
        </is>
      </c>
      <c r="D1000" s="30" t="inlineStr">
        <is>
          <t>AMR3</t>
        </is>
      </c>
      <c r="E1000" s="30" t="inlineStr">
        <is>
          <t>정면충돌</t>
        </is>
      </c>
      <c r="F1000" s="30" t="inlineStr">
        <is>
          <t>(14, 19)&lt;-&gt;(15, 19)</t>
        </is>
      </c>
      <c r="G1000" s="31" t="n">
        <v>21.9</v>
      </c>
      <c r="H1000" s="30" t="inlineStr">
        <is>
          <t>O0982</t>
        </is>
      </c>
    </row>
    <row r="1001">
      <c r="A1001" s="32" t="n">
        <v>1000</v>
      </c>
      <c r="B1001" s="31" t="n">
        <v>47941.1</v>
      </c>
      <c r="C1001" s="30" t="inlineStr">
        <is>
          <t>AMR2</t>
        </is>
      </c>
      <c r="D1001" s="30" t="inlineStr">
        <is>
          <t>AMR3</t>
        </is>
      </c>
      <c r="E1001" s="30" t="inlineStr">
        <is>
          <t>경로충돌</t>
        </is>
      </c>
      <c r="F1001" s="30" t="inlineStr">
        <is>
          <t>(15, 3)</t>
        </is>
      </c>
      <c r="G1001" s="31" t="n">
        <v>33.4</v>
      </c>
      <c r="H1001" s="30" t="inlineStr">
        <is>
          <t>O0982 O0983</t>
        </is>
      </c>
    </row>
    <row r="1002">
      <c r="A1002" s="32" t="n">
        <v>1001</v>
      </c>
      <c r="B1002" s="31" t="n">
        <v>48047.8</v>
      </c>
      <c r="C1002" s="30" t="inlineStr">
        <is>
          <t>AMR2</t>
        </is>
      </c>
      <c r="D1002" s="30" t="inlineStr">
        <is>
          <t>AMR3</t>
        </is>
      </c>
      <c r="E1002" s="30" t="inlineStr">
        <is>
          <t>경로충돌</t>
        </is>
      </c>
      <c r="F1002" s="30" t="inlineStr">
        <is>
          <t>(16, 19)</t>
        </is>
      </c>
      <c r="G1002" s="31" t="n">
        <v>24.3</v>
      </c>
      <c r="H1002" s="30" t="inlineStr">
        <is>
          <t>O0985</t>
        </is>
      </c>
    </row>
    <row r="1003">
      <c r="A1003" s="32" t="n">
        <v>1002</v>
      </c>
      <c r="B1003" s="31" t="n">
        <v>48048.1</v>
      </c>
      <c r="C1003" s="30" t="inlineStr">
        <is>
          <t>AMR2</t>
        </is>
      </c>
      <c r="D1003" s="30" t="inlineStr">
        <is>
          <t>AMR3</t>
        </is>
      </c>
      <c r="E1003" s="30" t="inlineStr">
        <is>
          <t>정면충돌</t>
        </is>
      </c>
      <c r="F1003" s="30" t="inlineStr">
        <is>
          <t>(16, 19)&lt;-&gt;(17, 19)</t>
        </is>
      </c>
      <c r="G1003" s="31" t="n">
        <v>54.2</v>
      </c>
      <c r="H1003" s="30" t="inlineStr">
        <is>
          <t>O0985</t>
        </is>
      </c>
    </row>
    <row r="1004">
      <c r="A1004" s="32" t="n">
        <v>1003</v>
      </c>
      <c r="B1004" s="31" t="n">
        <v>48052.5</v>
      </c>
      <c r="C1004" s="30" t="inlineStr">
        <is>
          <t>AMR1</t>
        </is>
      </c>
      <c r="D1004" s="30" t="inlineStr">
        <is>
          <t>AMR2</t>
        </is>
      </c>
      <c r="E1004" s="30" t="inlineStr">
        <is>
          <t>경로충돌</t>
        </is>
      </c>
      <c r="F1004" s="30" t="inlineStr">
        <is>
          <t>(17, 19)</t>
        </is>
      </c>
      <c r="G1004" s="31" t="n">
        <v>33.3</v>
      </c>
      <c r="H1004" s="30" t="inlineStr">
        <is>
          <t>O0985</t>
        </is>
      </c>
    </row>
    <row r="1005">
      <c r="A1005" s="32" t="n">
        <v>1004</v>
      </c>
      <c r="B1005" s="31" t="n">
        <v>48176.7</v>
      </c>
      <c r="C1005" s="30" t="inlineStr">
        <is>
          <t>AMR1</t>
        </is>
      </c>
      <c r="D1005" s="30" t="inlineStr">
        <is>
          <t>AMR2</t>
        </is>
      </c>
      <c r="E1005" s="30" t="inlineStr">
        <is>
          <t>경로충돌</t>
        </is>
      </c>
      <c r="F1005" s="30" t="inlineStr">
        <is>
          <t>(18, 9)</t>
        </is>
      </c>
      <c r="G1005" s="31" t="n">
        <v>31.8</v>
      </c>
      <c r="H1005" s="30" t="inlineStr">
        <is>
          <t>O0989</t>
        </is>
      </c>
    </row>
    <row r="1006">
      <c r="A1006" s="32" t="n">
        <v>1005</v>
      </c>
      <c r="B1006" s="31" t="n">
        <v>48191.6</v>
      </c>
      <c r="C1006" s="30" t="inlineStr">
        <is>
          <t>AMR1</t>
        </is>
      </c>
      <c r="D1006" s="30" t="inlineStr">
        <is>
          <t>AMR3</t>
        </is>
      </c>
      <c r="E1006" s="30" t="inlineStr">
        <is>
          <t>경로충돌</t>
        </is>
      </c>
      <c r="F1006" s="30" t="inlineStr">
        <is>
          <t>(17, 19)</t>
        </is>
      </c>
      <c r="G1006" s="31" t="n">
        <v>55.4</v>
      </c>
      <c r="H1006" s="30" t="inlineStr">
        <is>
          <t>O0988</t>
        </is>
      </c>
    </row>
    <row r="1007">
      <c r="A1007" s="32" t="n">
        <v>1006</v>
      </c>
      <c r="B1007" s="31" t="n">
        <v>48192.1</v>
      </c>
      <c r="C1007" s="30" t="inlineStr">
        <is>
          <t>AMR1</t>
        </is>
      </c>
      <c r="D1007" s="30" t="inlineStr">
        <is>
          <t>AMR3</t>
        </is>
      </c>
      <c r="E1007" s="30" t="inlineStr">
        <is>
          <t>정면충돌</t>
        </is>
      </c>
      <c r="F1007" s="30" t="inlineStr">
        <is>
          <t>(16, 19)&lt;-&gt;(17, 19)</t>
        </is>
      </c>
      <c r="G1007" s="31" t="n">
        <v>49.9</v>
      </c>
      <c r="H1007" s="30" t="inlineStr">
        <is>
          <t>O0988</t>
        </is>
      </c>
    </row>
    <row r="1008">
      <c r="A1008" s="32" t="n">
        <v>1007</v>
      </c>
      <c r="B1008" s="31" t="n">
        <v>48197.7</v>
      </c>
      <c r="C1008" s="30" t="inlineStr">
        <is>
          <t>AMR2</t>
        </is>
      </c>
      <c r="D1008" s="30" t="inlineStr">
        <is>
          <t>AMR3</t>
        </is>
      </c>
      <c r="E1008" s="30" t="inlineStr">
        <is>
          <t>경로충돌</t>
        </is>
      </c>
      <c r="F1008" s="30" t="inlineStr">
        <is>
          <t>(17, 16)</t>
        </is>
      </c>
      <c r="G1008" s="31" t="n">
        <v>40.3</v>
      </c>
      <c r="H1008" s="30" t="inlineStr">
        <is>
          <t>O0988</t>
        </is>
      </c>
    </row>
    <row r="1009">
      <c r="A1009" s="32" t="n">
        <v>1008</v>
      </c>
      <c r="B1009" s="31" t="n">
        <v>48200.5</v>
      </c>
      <c r="C1009" s="30" t="inlineStr">
        <is>
          <t>AMR1</t>
        </is>
      </c>
      <c r="D1009" s="30" t="inlineStr">
        <is>
          <t>AMR2</t>
        </is>
      </c>
      <c r="E1009" s="30" t="inlineStr">
        <is>
          <t>정면충돌</t>
        </is>
      </c>
      <c r="F1009" s="30" t="inlineStr">
        <is>
          <t>(16, 19)&lt;-&gt;(17, 19)</t>
        </is>
      </c>
      <c r="G1009" s="31" t="n">
        <v>50.8</v>
      </c>
      <c r="H1009" s="30" t="inlineStr">
        <is>
          <t>O0989</t>
        </is>
      </c>
    </row>
    <row r="1010">
      <c r="A1010" s="32" t="n">
        <v>1009</v>
      </c>
      <c r="B1010" s="31" t="n">
        <v>48272.2</v>
      </c>
      <c r="C1010" s="30" t="inlineStr">
        <is>
          <t>AMR2</t>
        </is>
      </c>
      <c r="D1010" s="30" t="inlineStr">
        <is>
          <t>AMR3</t>
        </is>
      </c>
      <c r="E1010" s="30" t="inlineStr">
        <is>
          <t>정면충돌</t>
        </is>
      </c>
      <c r="F1010" s="30" t="inlineStr">
        <is>
          <t>(17, 19)&lt;-&gt;(18, 19)</t>
        </is>
      </c>
      <c r="G1010" s="31" t="n">
        <v>29.6</v>
      </c>
      <c r="H1010" s="30" t="inlineStr">
        <is>
          <t>O0990</t>
        </is>
      </c>
    </row>
    <row r="1011">
      <c r="A1011" s="32" t="n">
        <v>1010</v>
      </c>
      <c r="B1011" s="31" t="n">
        <v>48347.1</v>
      </c>
      <c r="C1011" s="30" t="inlineStr">
        <is>
          <t>AMR1</t>
        </is>
      </c>
      <c r="D1011" s="30" t="inlineStr">
        <is>
          <t>AMR3</t>
        </is>
      </c>
      <c r="E1011" s="30" t="inlineStr">
        <is>
          <t>경로충돌</t>
        </is>
      </c>
      <c r="F1011" s="30" t="inlineStr">
        <is>
          <t>(12, 11)</t>
        </is>
      </c>
      <c r="G1011" s="31" t="n">
        <v>28.2</v>
      </c>
      <c r="H1011" s="30" t="inlineStr"/>
    </row>
    <row r="1012">
      <c r="A1012" s="32" t="n">
        <v>1011</v>
      </c>
      <c r="B1012" s="31" t="n">
        <v>48359.2</v>
      </c>
      <c r="C1012" s="30" t="inlineStr">
        <is>
          <t>AMR1</t>
        </is>
      </c>
      <c r="D1012" s="30" t="inlineStr">
        <is>
          <t>AMR3</t>
        </is>
      </c>
      <c r="E1012" s="30" t="inlineStr">
        <is>
          <t>경로충돌</t>
        </is>
      </c>
      <c r="F1012" s="30" t="inlineStr">
        <is>
          <t>(14, 19)</t>
        </is>
      </c>
      <c r="G1012" s="31" t="n">
        <v>40.7</v>
      </c>
      <c r="H1012" s="30" t="inlineStr">
        <is>
          <t>O0991</t>
        </is>
      </c>
    </row>
    <row r="1013">
      <c r="A1013" s="32" t="n">
        <v>1012</v>
      </c>
      <c r="B1013" s="31" t="n">
        <v>48359.4</v>
      </c>
      <c r="C1013" s="30" t="inlineStr">
        <is>
          <t>AMR1</t>
        </is>
      </c>
      <c r="D1013" s="30" t="inlineStr">
        <is>
          <t>AMR3</t>
        </is>
      </c>
      <c r="E1013" s="30" t="inlineStr">
        <is>
          <t>정면충돌</t>
        </is>
      </c>
      <c r="F1013" s="30" t="inlineStr">
        <is>
          <t>(13, 19)&lt;-&gt;(14, 19)</t>
        </is>
      </c>
      <c r="G1013" s="31" t="n">
        <v>24.3</v>
      </c>
      <c r="H1013" s="30" t="inlineStr">
        <is>
          <t>O0991</t>
        </is>
      </c>
    </row>
    <row r="1014">
      <c r="A1014" s="32" t="n">
        <v>1013</v>
      </c>
      <c r="B1014" s="31" t="n">
        <v>48493.8</v>
      </c>
      <c r="C1014" s="30" t="inlineStr">
        <is>
          <t>AMR1</t>
        </is>
      </c>
      <c r="D1014" s="30" t="inlineStr">
        <is>
          <t>AMR3</t>
        </is>
      </c>
      <c r="E1014" s="30" t="inlineStr">
        <is>
          <t>경로충돌</t>
        </is>
      </c>
      <c r="F1014" s="30" t="inlineStr">
        <is>
          <t>(11, 11)</t>
        </is>
      </c>
      <c r="G1014" s="31" t="n">
        <v>31.4</v>
      </c>
      <c r="H1014" s="30" t="inlineStr">
        <is>
          <t>O0995</t>
        </is>
      </c>
    </row>
    <row r="1015">
      <c r="A1015" s="32" t="n">
        <v>1014</v>
      </c>
      <c r="B1015" s="31" t="n">
        <v>48586</v>
      </c>
      <c r="C1015" s="30" t="inlineStr">
        <is>
          <t>AMR2</t>
        </is>
      </c>
      <c r="D1015" s="30" t="inlineStr">
        <is>
          <t>AMR3</t>
        </is>
      </c>
      <c r="E1015" s="30" t="inlineStr">
        <is>
          <t>경로충돌</t>
        </is>
      </c>
      <c r="F1015" s="30" t="inlineStr">
        <is>
          <t>(13, 19)</t>
        </is>
      </c>
      <c r="G1015" s="31" t="n">
        <v>26.5</v>
      </c>
      <c r="H1015" s="30" t="inlineStr">
        <is>
          <t>O0996</t>
        </is>
      </c>
    </row>
    <row r="1016">
      <c r="A1016" s="32" t="n">
        <v>1015</v>
      </c>
      <c r="B1016" s="31" t="n">
        <v>48587.5</v>
      </c>
      <c r="C1016" s="30" t="inlineStr">
        <is>
          <t>AMR2</t>
        </is>
      </c>
      <c r="D1016" s="30" t="inlineStr">
        <is>
          <t>AMR3</t>
        </is>
      </c>
      <c r="E1016" s="30" t="inlineStr">
        <is>
          <t>정면충돌</t>
        </is>
      </c>
      <c r="F1016" s="30" t="inlineStr">
        <is>
          <t>(13, 19)&lt;-&gt;(14, 19)</t>
        </is>
      </c>
      <c r="G1016" s="31" t="n">
        <v>54.7</v>
      </c>
      <c r="H1016" s="30" t="inlineStr">
        <is>
          <t>O0996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10" customWidth="1" min="2" max="2"/>
    <col width="10" customWidth="1" min="3" max="3"/>
    <col width="10" customWidth="1" min="4" max="4"/>
    <col width="22.4" customWidth="1" min="5" max="5"/>
    <col width="12.8" customWidth="1" min="6" max="6"/>
    <col width="26" customWidth="1" min="7" max="7"/>
    <col width="10" customWidth="1" min="8" max="8"/>
  </cols>
  <sheetData>
    <row r="1" ht="32" customHeight="1">
      <c r="A1" s="29" t="inlineStr">
        <is>
          <t>collision_id</t>
        </is>
      </c>
      <c r="B1" s="29" t="inlineStr">
        <is>
          <t>time</t>
        </is>
      </c>
      <c r="C1" s="29" t="inlineStr">
        <is>
          <t>amr_1</t>
        </is>
      </c>
      <c r="D1" s="29" t="inlineStr">
        <is>
          <t>amr_2</t>
        </is>
      </c>
      <c r="E1" s="29" t="inlineStr">
        <is>
          <t>collision_type</t>
        </is>
      </c>
      <c r="F1" s="29" t="inlineStr">
        <is>
          <t>location</t>
        </is>
      </c>
      <c r="G1" s="29" t="inlineStr">
        <is>
          <t>human_intervention_time</t>
        </is>
      </c>
      <c r="H1" s="29" t="inlineStr">
        <is>
          <t>orders</t>
        </is>
      </c>
    </row>
    <row r="2">
      <c r="A2" s="32" t="n">
        <v>1</v>
      </c>
      <c r="B2" s="31" t="n">
        <v>12597.9</v>
      </c>
      <c r="C2" s="30" t="inlineStr">
        <is>
          <t>AMR1</t>
        </is>
      </c>
      <c r="D2" s="30" t="inlineStr">
        <is>
          <t>AMR3</t>
        </is>
      </c>
      <c r="E2" s="30" t="inlineStr">
        <is>
          <t>경로충돌</t>
        </is>
      </c>
      <c r="F2" s="30" t="inlineStr">
        <is>
          <t>(15, 19)</t>
        </is>
      </c>
      <c r="G2" s="31" t="n">
        <v>30.9</v>
      </c>
      <c r="H2" s="30" t="inlineStr">
        <is>
          <t>O0344 O0347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2026-10-07T07:26:30Z</dcterms:created>
  <dcterms:modified xsi:type="dcterms:W3CDTF">2026-10-07T07:26:35Z</dcterms:modified>
</cp:coreProperties>
</file>